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U\Projekte\GRU\01_Projekte\_Abgeschlossene Projekte\1332_FINEPRINT\02_Activities &amp; Work packages\WP1\Task 1.2_Mining\Mining and water\Copper\Data\Reports\"/>
    </mc:Choice>
  </mc:AlternateContent>
  <xr:revisionPtr revIDLastSave="0" documentId="13_ncr:1_{92122A41-EB8E-4B32-A43D-BD37D4DA2B2A}" xr6:coauthVersionLast="47" xr6:coauthVersionMax="47" xr10:uidLastSave="{00000000-0000-0000-0000-000000000000}"/>
  <bookViews>
    <workbookView xWindow="28680" yWindow="-120" windowWidth="29040" windowHeight="17640" xr2:uid="{5D81B011-875E-4C9E-B70A-79495E041DD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C28" i="1"/>
  <c r="C29" i="1"/>
  <c r="C30" i="1"/>
  <c r="C31" i="1"/>
  <c r="C32" i="1"/>
  <c r="C33" i="1"/>
  <c r="C34" i="1"/>
  <c r="C27" i="1"/>
  <c r="M7" i="1" l="1"/>
  <c r="E15" i="1"/>
  <c r="D15" i="1"/>
  <c r="C8" i="1"/>
  <c r="L8" i="1" s="1"/>
  <c r="C9" i="1"/>
  <c r="L9" i="1" s="1"/>
  <c r="C10" i="1"/>
  <c r="L10" i="1" s="1"/>
  <c r="C11" i="1"/>
  <c r="L11" i="1" s="1"/>
  <c r="C12" i="1"/>
  <c r="L12" i="1" s="1"/>
  <c r="C13" i="1"/>
  <c r="L13" i="1" s="1"/>
  <c r="C14" i="1"/>
  <c r="L14" i="1" s="1"/>
  <c r="C7" i="1"/>
  <c r="L7" i="1" s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Q7" i="1"/>
  <c r="P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N7" i="1"/>
</calcChain>
</file>

<file path=xl/sharedStrings.xml><?xml version="1.0" encoding="utf-8"?>
<sst xmlns="http://schemas.openxmlformats.org/spreadsheetml/2006/main" count="100" uniqueCount="38">
  <si>
    <t>Wunugetushan</t>
  </si>
  <si>
    <t>PoDe</t>
  </si>
  <si>
    <t>Bangpu</t>
  </si>
  <si>
    <t>Cayeli</t>
  </si>
  <si>
    <t>Cobre Las Cruces</t>
  </si>
  <si>
    <t>Cobre Panama</t>
  </si>
  <si>
    <t>Guelb Moghrein</t>
  </si>
  <si>
    <t>Kansanshi</t>
  </si>
  <si>
    <t>Pyhäsalmi</t>
  </si>
  <si>
    <t>Ravensthorpe</t>
  </si>
  <si>
    <t>Sentinel</t>
  </si>
  <si>
    <t>Reuse</t>
  </si>
  <si>
    <t>Freshwater</t>
  </si>
  <si>
    <t>Seawater</t>
  </si>
  <si>
    <t>Saline groundwater</t>
  </si>
  <si>
    <t>Waste water</t>
  </si>
  <si>
    <t>Intensity [m³/t ore]</t>
  </si>
  <si>
    <t>Total water use</t>
  </si>
  <si>
    <t>Ore production [kt]</t>
  </si>
  <si>
    <t>Water Withdrawal [ML = 1000m³]</t>
  </si>
  <si>
    <t>Share in total</t>
  </si>
  <si>
    <t>Total</t>
  </si>
  <si>
    <t>megalitre</t>
  </si>
  <si>
    <t>Çayeli</t>
  </si>
  <si>
    <t>PI</t>
  </si>
  <si>
    <t>Units</t>
  </si>
  <si>
    <t>From 2021 ESG Data Summary (p. 56)</t>
  </si>
  <si>
    <t>From ESG Report 2019/2020/2021</t>
  </si>
  <si>
    <t>Total operational water withdrawal</t>
  </si>
  <si>
    <t>Water withdrawal: sea water</t>
  </si>
  <si>
    <t>Water withdrawal fresh surface water</t>
  </si>
  <si>
    <t>Cobre las Cruces</t>
  </si>
  <si>
    <t>Seawater used for cooling at the Cobre Panama power has been excluded for the data presented as this type of water use is not directed used for mining operations</t>
  </si>
  <si>
    <t>Seawater withdrawal associated with cooling water for the Cobre Panama Power Station has been excluded from totals relating to direct mining and processing activities.</t>
  </si>
  <si>
    <t>Water withdrawal: groundwater</t>
  </si>
  <si>
    <t>Water withdrawal: municipal water and other industrial users</t>
  </si>
  <si>
    <t>Water withdrawal: total (excl. Sea water)</t>
  </si>
  <si>
    <t>https://ungc-production.s3.us-west-2.amazonaws.com/attachments/cop_2018/468159/original/Report_Antamina_2017_Ingl%C3%A9s_%28Baja_Calidad%29.pdf?1539360325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</si>
</sst>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0" fillId="2" borderId="0" xfId="0" applyFill="1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ngc-production.s3.us-west-2.amazonaws.com/attachments/cop_2018/468159/original/Report_Antamina_2017_Ingl%C3%A9s_%28Baja_Calidad%29.pdf?15393603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D722-74CF-407A-9119-F7F38AA42D6B}">
  <dimension ref="A1:DC365"/>
  <sheetViews>
    <sheetView tabSelected="1" topLeftCell="A5" zoomScale="130" zoomScaleNormal="130" workbookViewId="0">
      <selection activeCell="C7" sqref="C7:C14"/>
    </sheetView>
  </sheetViews>
  <sheetFormatPr baseColWidth="10" defaultRowHeight="15" x14ac:dyDescent="0.25"/>
  <sheetData>
    <row r="1" spans="1:17" x14ac:dyDescent="0.25">
      <c r="A1" t="s">
        <v>0</v>
      </c>
      <c r="D1" t="s">
        <v>1</v>
      </c>
    </row>
    <row r="2" spans="1:17" x14ac:dyDescent="0.25">
      <c r="A2" t="s">
        <v>2</v>
      </c>
      <c r="D2" t="s">
        <v>1</v>
      </c>
    </row>
    <row r="4" spans="1:17" x14ac:dyDescent="0.25">
      <c r="A4" t="s">
        <v>27</v>
      </c>
    </row>
    <row r="5" spans="1:17" x14ac:dyDescent="0.25">
      <c r="B5" t="s">
        <v>20</v>
      </c>
      <c r="C5" t="s">
        <v>19</v>
      </c>
      <c r="F5" t="s">
        <v>16</v>
      </c>
      <c r="I5" t="s">
        <v>11</v>
      </c>
      <c r="L5" t="s">
        <v>17</v>
      </c>
      <c r="O5" t="s">
        <v>18</v>
      </c>
    </row>
    <row r="6" spans="1:17" x14ac:dyDescent="0.25">
      <c r="C6">
        <v>2019</v>
      </c>
      <c r="D6">
        <v>2020</v>
      </c>
      <c r="E6">
        <v>2021</v>
      </c>
      <c r="F6">
        <v>2019</v>
      </c>
      <c r="G6">
        <v>2020</v>
      </c>
      <c r="H6">
        <v>2021</v>
      </c>
      <c r="I6">
        <v>2019</v>
      </c>
      <c r="J6">
        <v>2020</v>
      </c>
      <c r="K6">
        <v>2021</v>
      </c>
      <c r="L6">
        <v>2019</v>
      </c>
      <c r="M6">
        <v>2020</v>
      </c>
      <c r="N6">
        <v>2021</v>
      </c>
      <c r="O6">
        <v>2019</v>
      </c>
      <c r="P6">
        <v>2020</v>
      </c>
      <c r="Q6">
        <v>2021</v>
      </c>
    </row>
    <row r="7" spans="1:17" x14ac:dyDescent="0.25">
      <c r="A7" t="s">
        <v>3</v>
      </c>
      <c r="B7">
        <v>0.5</v>
      </c>
      <c r="C7" s="1">
        <f>B7/$B$15*$C$15</f>
        <v>8361.5410052910065</v>
      </c>
      <c r="D7">
        <v>4200</v>
      </c>
      <c r="E7">
        <v>4700</v>
      </c>
      <c r="G7">
        <v>5.43</v>
      </c>
      <c r="H7">
        <v>5.7</v>
      </c>
      <c r="I7">
        <v>0.15</v>
      </c>
      <c r="J7">
        <v>0.13</v>
      </c>
      <c r="K7">
        <v>0.14000000000000001</v>
      </c>
      <c r="L7" s="1">
        <f>C7/(1-I7)</f>
        <v>9837.1070650482434</v>
      </c>
      <c r="M7" s="1">
        <f>D7/(1-J7)</f>
        <v>4827.5862068965516</v>
      </c>
      <c r="N7" s="1">
        <f>E7/(1-K7)</f>
        <v>5465.1162790697672</v>
      </c>
      <c r="P7" s="1">
        <f>D7/G7</f>
        <v>773.48066298342542</v>
      </c>
      <c r="Q7" s="1">
        <f>E7/H7</f>
        <v>824.56140350877195</v>
      </c>
    </row>
    <row r="8" spans="1:17" x14ac:dyDescent="0.25">
      <c r="A8" t="s">
        <v>4</v>
      </c>
      <c r="B8">
        <v>0.42</v>
      </c>
      <c r="C8" s="1">
        <f t="shared" ref="C8:C14" si="0">B8/$B$15*$C$15</f>
        <v>7023.6944444444453</v>
      </c>
      <c r="D8">
        <v>3100</v>
      </c>
      <c r="E8">
        <v>3000</v>
      </c>
      <c r="G8">
        <v>2.15</v>
      </c>
      <c r="H8">
        <v>2.2999999999999998</v>
      </c>
      <c r="I8">
        <v>0.3</v>
      </c>
      <c r="J8">
        <v>0.4</v>
      </c>
      <c r="K8">
        <v>0.43</v>
      </c>
      <c r="L8" s="1">
        <f t="shared" ref="L8:M14" si="1">C8/(1-I8)</f>
        <v>10033.849206349209</v>
      </c>
      <c r="M8" s="1">
        <f t="shared" si="1"/>
        <v>5166.666666666667</v>
      </c>
      <c r="N8" s="1">
        <f t="shared" ref="N8:N14" si="2">E8/(1-K8)</f>
        <v>5263.1578947368416</v>
      </c>
      <c r="P8" s="1">
        <f t="shared" ref="P8:P14" si="3">D8/G8</f>
        <v>1441.8604651162791</v>
      </c>
      <c r="Q8" s="1">
        <f t="shared" ref="Q8:Q14" si="4">E8/H8</f>
        <v>1304.3478260869567</v>
      </c>
    </row>
    <row r="9" spans="1:17" x14ac:dyDescent="0.25">
      <c r="A9" t="s">
        <v>5</v>
      </c>
      <c r="B9">
        <v>6.66</v>
      </c>
      <c r="C9" s="1">
        <f t="shared" si="0"/>
        <v>111375.7261904762</v>
      </c>
      <c r="D9">
        <v>581900</v>
      </c>
      <c r="E9">
        <v>138100</v>
      </c>
      <c r="G9">
        <v>2.08</v>
      </c>
      <c r="H9">
        <v>1.7</v>
      </c>
      <c r="I9">
        <v>0.59</v>
      </c>
      <c r="J9">
        <v>0.7</v>
      </c>
      <c r="K9">
        <v>0.78</v>
      </c>
      <c r="L9" s="1">
        <f t="shared" si="1"/>
        <v>271648.112659698</v>
      </c>
      <c r="M9" s="1">
        <f t="shared" si="1"/>
        <v>1939666.6666666663</v>
      </c>
      <c r="N9" s="1">
        <f t="shared" si="2"/>
        <v>627727.27272727282</v>
      </c>
      <c r="P9" s="1">
        <f t="shared" si="3"/>
        <v>279759.61538461538</v>
      </c>
      <c r="Q9" s="1">
        <f t="shared" si="4"/>
        <v>81235.294117647063</v>
      </c>
    </row>
    <row r="10" spans="1:17" x14ac:dyDescent="0.25">
      <c r="A10" t="s">
        <v>6</v>
      </c>
      <c r="B10">
        <v>0.54</v>
      </c>
      <c r="C10" s="1">
        <f t="shared" si="0"/>
        <v>9030.4642857142862</v>
      </c>
      <c r="D10">
        <v>2500</v>
      </c>
      <c r="E10">
        <v>2600</v>
      </c>
      <c r="G10">
        <v>0.66</v>
      </c>
      <c r="H10">
        <v>0.8</v>
      </c>
      <c r="I10">
        <v>0.73</v>
      </c>
      <c r="J10">
        <v>0.72</v>
      </c>
      <c r="K10">
        <v>0.72</v>
      </c>
      <c r="L10" s="1">
        <f t="shared" si="1"/>
        <v>33446.164021164019</v>
      </c>
      <c r="M10" s="1">
        <f t="shared" si="1"/>
        <v>8928.5714285714275</v>
      </c>
      <c r="N10" s="1">
        <f t="shared" si="2"/>
        <v>9285.7142857142844</v>
      </c>
      <c r="P10" s="1">
        <f t="shared" si="3"/>
        <v>3787.8787878787875</v>
      </c>
      <c r="Q10" s="1">
        <f t="shared" si="4"/>
        <v>3250</v>
      </c>
    </row>
    <row r="11" spans="1:17" x14ac:dyDescent="0.25">
      <c r="A11" t="s">
        <v>7</v>
      </c>
      <c r="B11">
        <v>2.4</v>
      </c>
      <c r="C11" s="1">
        <f t="shared" si="0"/>
        <v>40135.39682539682</v>
      </c>
      <c r="D11">
        <v>43100</v>
      </c>
      <c r="E11">
        <v>46800</v>
      </c>
      <c r="G11">
        <v>1.48</v>
      </c>
      <c r="H11">
        <v>1.7</v>
      </c>
      <c r="I11">
        <v>0.78</v>
      </c>
      <c r="J11">
        <v>0.76</v>
      </c>
      <c r="K11">
        <v>0.66</v>
      </c>
      <c r="L11" s="1">
        <f t="shared" si="1"/>
        <v>182433.62193362194</v>
      </c>
      <c r="M11" s="1">
        <f t="shared" si="1"/>
        <v>179583.33333333334</v>
      </c>
      <c r="N11" s="1">
        <f t="shared" si="2"/>
        <v>137647.05882352943</v>
      </c>
      <c r="P11" s="1">
        <f t="shared" si="3"/>
        <v>29121.621621621623</v>
      </c>
      <c r="Q11" s="1">
        <f t="shared" si="4"/>
        <v>27529.411764705885</v>
      </c>
    </row>
    <row r="12" spans="1:17" x14ac:dyDescent="0.25">
      <c r="A12" t="s">
        <v>8</v>
      </c>
      <c r="B12">
        <v>0.6</v>
      </c>
      <c r="C12" s="1">
        <f t="shared" si="0"/>
        <v>10033.849206349205</v>
      </c>
      <c r="D12">
        <v>4400</v>
      </c>
      <c r="E12">
        <v>4100</v>
      </c>
      <c r="G12">
        <v>5.81</v>
      </c>
      <c r="H12">
        <v>6.2</v>
      </c>
      <c r="I12">
        <v>0.28000000000000003</v>
      </c>
      <c r="J12">
        <v>0.25</v>
      </c>
      <c r="K12">
        <v>0.43</v>
      </c>
      <c r="L12" s="1">
        <f t="shared" si="1"/>
        <v>13935.901675485007</v>
      </c>
      <c r="M12" s="1">
        <f t="shared" si="1"/>
        <v>5866.666666666667</v>
      </c>
      <c r="N12" s="1">
        <f t="shared" si="2"/>
        <v>7192.9824561403502</v>
      </c>
      <c r="P12" s="1">
        <f t="shared" si="3"/>
        <v>757.31497418244408</v>
      </c>
      <c r="Q12" s="1">
        <f t="shared" si="4"/>
        <v>661.29032258064512</v>
      </c>
    </row>
    <row r="13" spans="1:17" x14ac:dyDescent="0.25">
      <c r="A13" t="s">
        <v>9</v>
      </c>
      <c r="B13">
        <v>0.4</v>
      </c>
      <c r="C13" s="1">
        <f t="shared" si="0"/>
        <v>6689.2328042328045</v>
      </c>
      <c r="D13">
        <v>6600</v>
      </c>
      <c r="E13">
        <v>6300</v>
      </c>
      <c r="G13">
        <v>1.56</v>
      </c>
      <c r="H13">
        <v>1.1000000000000001</v>
      </c>
      <c r="J13">
        <v>0.43</v>
      </c>
      <c r="K13">
        <v>0.46</v>
      </c>
      <c r="L13" s="1">
        <f t="shared" si="1"/>
        <v>6689.2328042328045</v>
      </c>
      <c r="M13" s="1">
        <f t="shared" si="1"/>
        <v>11578.947368421052</v>
      </c>
      <c r="N13" s="1">
        <f t="shared" si="2"/>
        <v>11666.666666666666</v>
      </c>
      <c r="P13" s="1">
        <f t="shared" si="3"/>
        <v>4230.7692307692305</v>
      </c>
      <c r="Q13" s="1">
        <f t="shared" si="4"/>
        <v>5727.272727272727</v>
      </c>
    </row>
    <row r="14" spans="1:17" x14ac:dyDescent="0.25">
      <c r="A14" t="s">
        <v>10</v>
      </c>
      <c r="B14">
        <v>3.6</v>
      </c>
      <c r="C14" s="1">
        <f t="shared" si="0"/>
        <v>60203.095238095244</v>
      </c>
      <c r="D14">
        <v>60900</v>
      </c>
      <c r="E14">
        <v>57500</v>
      </c>
      <c r="G14">
        <v>1.08</v>
      </c>
      <c r="H14">
        <v>1</v>
      </c>
      <c r="I14">
        <v>0.67</v>
      </c>
      <c r="J14">
        <v>0.56000000000000005</v>
      </c>
      <c r="K14">
        <v>0.61</v>
      </c>
      <c r="L14" s="1">
        <f t="shared" si="1"/>
        <v>182433.62193362197</v>
      </c>
      <c r="M14" s="1">
        <f t="shared" si="1"/>
        <v>138409.09090909091</v>
      </c>
      <c r="N14" s="1">
        <f t="shared" si="2"/>
        <v>147435.89743589744</v>
      </c>
      <c r="P14" s="1">
        <f t="shared" si="3"/>
        <v>56388.888888888883</v>
      </c>
      <c r="Q14" s="1">
        <f t="shared" si="4"/>
        <v>57500</v>
      </c>
    </row>
    <row r="15" spans="1:17" x14ac:dyDescent="0.25">
      <c r="A15" t="s">
        <v>21</v>
      </c>
      <c r="B15">
        <v>15.12</v>
      </c>
      <c r="C15">
        <v>252853</v>
      </c>
      <c r="D15">
        <f>SUM(D7:D14)</f>
        <v>706700</v>
      </c>
      <c r="E15">
        <f>SUM(E7:E14)</f>
        <v>263100</v>
      </c>
    </row>
    <row r="17" spans="1:14" x14ac:dyDescent="0.25">
      <c r="A17" t="s">
        <v>12</v>
      </c>
    </row>
    <row r="18" spans="1:14" x14ac:dyDescent="0.25">
      <c r="A18" t="s">
        <v>13</v>
      </c>
    </row>
    <row r="19" spans="1:14" x14ac:dyDescent="0.25">
      <c r="A19" t="s">
        <v>14</v>
      </c>
    </row>
    <row r="20" spans="1:14" x14ac:dyDescent="0.25">
      <c r="A20" t="s">
        <v>15</v>
      </c>
    </row>
    <row r="22" spans="1:14" x14ac:dyDescent="0.25">
      <c r="A22" t="s">
        <v>26</v>
      </c>
    </row>
    <row r="23" spans="1:14" x14ac:dyDescent="0.25">
      <c r="A23" t="s">
        <v>24</v>
      </c>
      <c r="B23" t="s">
        <v>25</v>
      </c>
      <c r="C23">
        <v>2019</v>
      </c>
      <c r="D23">
        <v>2020</v>
      </c>
      <c r="E23">
        <v>2021</v>
      </c>
    </row>
    <row r="24" spans="1:14" x14ac:dyDescent="0.25">
      <c r="A24" t="s">
        <v>28</v>
      </c>
      <c r="B24" t="s">
        <v>22</v>
      </c>
      <c r="C24">
        <v>247853</v>
      </c>
      <c r="D24">
        <v>238070</v>
      </c>
      <c r="E24">
        <v>263162</v>
      </c>
      <c r="G24" t="s">
        <v>32</v>
      </c>
    </row>
    <row r="25" spans="1:14" x14ac:dyDescent="0.25">
      <c r="I25" t="s">
        <v>11</v>
      </c>
      <c r="L25" t="s">
        <v>17</v>
      </c>
    </row>
    <row r="26" spans="1:14" x14ac:dyDescent="0.25">
      <c r="A26" s="2" t="s">
        <v>36</v>
      </c>
      <c r="B26" s="2"/>
      <c r="C26" s="2"/>
      <c r="D26" s="2"/>
      <c r="E26" s="2"/>
      <c r="I26">
        <v>2019</v>
      </c>
      <c r="J26">
        <v>2020</v>
      </c>
      <c r="K26">
        <v>2021</v>
      </c>
      <c r="L26">
        <v>2019</v>
      </c>
      <c r="M26">
        <v>2020</v>
      </c>
      <c r="N26">
        <v>2021</v>
      </c>
    </row>
    <row r="27" spans="1:14" x14ac:dyDescent="0.25">
      <c r="A27" s="2" t="s">
        <v>23</v>
      </c>
      <c r="B27" s="2" t="s">
        <v>22</v>
      </c>
      <c r="C27" s="2">
        <f>SUMIF($A$41:$A$63,$A27,C$41:C$63)</f>
        <v>3750</v>
      </c>
      <c r="D27" s="2">
        <f t="shared" ref="D27:E27" si="5">SUMIF($A$41:$A$63,$A27,D$41:D$63)</f>
        <v>3972</v>
      </c>
      <c r="E27" s="2">
        <f t="shared" si="5"/>
        <v>4440</v>
      </c>
      <c r="I27">
        <v>0.15</v>
      </c>
      <c r="J27">
        <v>0.13</v>
      </c>
      <c r="K27">
        <v>0.14000000000000001</v>
      </c>
      <c r="L27" s="1">
        <f>C27/(1-I27)</f>
        <v>4411.7647058823532</v>
      </c>
      <c r="M27" s="1">
        <f>D27/(1-J27)</f>
        <v>4565.5172413793107</v>
      </c>
      <c r="N27" s="1">
        <f>E27/(1-K27)</f>
        <v>5162.7906976744189</v>
      </c>
    </row>
    <row r="28" spans="1:14" x14ac:dyDescent="0.25">
      <c r="A28" s="2" t="s">
        <v>31</v>
      </c>
      <c r="B28" s="2" t="s">
        <v>22</v>
      </c>
      <c r="C28" s="2">
        <f t="shared" ref="C28:E34" si="6">SUMIF($A$41:$A$63,$A28,C$41:C$63)</f>
        <v>2047</v>
      </c>
      <c r="D28" s="2">
        <f t="shared" si="6"/>
        <v>3143</v>
      </c>
      <c r="E28" s="2">
        <f t="shared" si="6"/>
        <v>3020</v>
      </c>
      <c r="I28">
        <v>0.3</v>
      </c>
      <c r="J28">
        <v>0.4</v>
      </c>
      <c r="K28">
        <v>0.43</v>
      </c>
      <c r="L28" s="1">
        <f t="shared" ref="L28:L34" si="7">C28/(1-I28)</f>
        <v>2924.2857142857147</v>
      </c>
      <c r="M28" s="1">
        <f t="shared" ref="M28:M34" si="8">D28/(1-J28)</f>
        <v>5238.3333333333339</v>
      </c>
      <c r="N28" s="1">
        <f t="shared" ref="N28:N34" si="9">E28/(1-K28)</f>
        <v>5298.2456140350869</v>
      </c>
    </row>
    <row r="29" spans="1:14" x14ac:dyDescent="0.25">
      <c r="A29" s="2" t="s">
        <v>5</v>
      </c>
      <c r="B29" s="2" t="s">
        <v>22</v>
      </c>
      <c r="C29" s="2">
        <f t="shared" si="6"/>
        <v>121848</v>
      </c>
      <c r="D29" s="2">
        <f t="shared" si="6"/>
        <v>113321</v>
      </c>
      <c r="E29" s="2">
        <f t="shared" si="6"/>
        <v>138073</v>
      </c>
      <c r="I29">
        <v>0.59</v>
      </c>
      <c r="J29">
        <v>0.7</v>
      </c>
      <c r="K29">
        <v>0.78</v>
      </c>
      <c r="L29" s="1">
        <f t="shared" si="7"/>
        <v>297190.24390243902</v>
      </c>
      <c r="M29" s="1">
        <f t="shared" si="8"/>
        <v>377736.66666666663</v>
      </c>
      <c r="N29" s="1">
        <f t="shared" si="9"/>
        <v>627604.54545454553</v>
      </c>
    </row>
    <row r="30" spans="1:14" x14ac:dyDescent="0.25">
      <c r="A30" s="2" t="s">
        <v>6</v>
      </c>
      <c r="B30" s="2" t="s">
        <v>22</v>
      </c>
      <c r="C30" s="2">
        <f t="shared" si="6"/>
        <v>2327</v>
      </c>
      <c r="D30" s="2">
        <f t="shared" si="6"/>
        <v>2486</v>
      </c>
      <c r="E30" s="2">
        <f t="shared" si="6"/>
        <v>2610</v>
      </c>
      <c r="I30">
        <v>0.73</v>
      </c>
      <c r="J30">
        <v>0.72</v>
      </c>
      <c r="K30">
        <v>0.72</v>
      </c>
      <c r="L30" s="1">
        <f t="shared" si="7"/>
        <v>8618.5185185185182</v>
      </c>
      <c r="M30" s="1">
        <f t="shared" si="8"/>
        <v>8878.5714285714275</v>
      </c>
      <c r="N30" s="1">
        <f t="shared" si="9"/>
        <v>9321.4285714285706</v>
      </c>
    </row>
    <row r="31" spans="1:14" x14ac:dyDescent="0.25">
      <c r="A31" s="2" t="s">
        <v>7</v>
      </c>
      <c r="B31" s="2" t="s">
        <v>22</v>
      </c>
      <c r="C31" s="2">
        <f t="shared" si="6"/>
        <v>45681</v>
      </c>
      <c r="D31" s="2">
        <f t="shared" si="6"/>
        <v>43075</v>
      </c>
      <c r="E31" s="2">
        <f t="shared" si="6"/>
        <v>46776</v>
      </c>
      <c r="I31">
        <v>0.78</v>
      </c>
      <c r="J31">
        <v>0.76</v>
      </c>
      <c r="K31">
        <v>0.66</v>
      </c>
      <c r="L31" s="1">
        <f t="shared" si="7"/>
        <v>207640.90909090912</v>
      </c>
      <c r="M31" s="1">
        <f t="shared" si="8"/>
        <v>179479.16666666669</v>
      </c>
      <c r="N31" s="1">
        <f t="shared" si="9"/>
        <v>137576.4705882353</v>
      </c>
    </row>
    <row r="32" spans="1:14" x14ac:dyDescent="0.25">
      <c r="A32" s="2" t="s">
        <v>8</v>
      </c>
      <c r="B32" s="2" t="s">
        <v>22</v>
      </c>
      <c r="C32" s="2">
        <f t="shared" si="6"/>
        <v>4871</v>
      </c>
      <c r="D32" s="2">
        <f t="shared" si="6"/>
        <v>4395</v>
      </c>
      <c r="E32" s="2">
        <f t="shared" si="6"/>
        <v>4130</v>
      </c>
      <c r="I32">
        <v>0.28000000000000003</v>
      </c>
      <c r="J32">
        <v>0.25</v>
      </c>
      <c r="K32">
        <v>0.43</v>
      </c>
      <c r="L32" s="1">
        <f t="shared" si="7"/>
        <v>6765.2777777777783</v>
      </c>
      <c r="M32" s="1">
        <f t="shared" si="8"/>
        <v>5860</v>
      </c>
      <c r="N32" s="1">
        <f t="shared" si="9"/>
        <v>7245.6140350877185</v>
      </c>
    </row>
    <row r="33" spans="1:14" x14ac:dyDescent="0.25">
      <c r="A33" s="2" t="s">
        <v>9</v>
      </c>
      <c r="B33" s="2" t="s">
        <v>22</v>
      </c>
      <c r="C33" s="2">
        <f t="shared" si="6"/>
        <v>555</v>
      </c>
      <c r="D33" s="2">
        <f t="shared" si="6"/>
        <v>1011</v>
      </c>
      <c r="E33" s="2">
        <f t="shared" si="6"/>
        <v>756</v>
      </c>
      <c r="J33">
        <v>0.43</v>
      </c>
      <c r="K33">
        <v>0.46</v>
      </c>
      <c r="L33" s="1">
        <f t="shared" si="7"/>
        <v>555</v>
      </c>
      <c r="M33" s="1">
        <f t="shared" si="8"/>
        <v>1773.6842105263156</v>
      </c>
      <c r="N33" s="1">
        <f t="shared" si="9"/>
        <v>1400</v>
      </c>
    </row>
    <row r="34" spans="1:14" x14ac:dyDescent="0.25">
      <c r="A34" s="2" t="s">
        <v>10</v>
      </c>
      <c r="B34" s="2" t="s">
        <v>22</v>
      </c>
      <c r="C34" s="2">
        <f t="shared" si="6"/>
        <v>66362</v>
      </c>
      <c r="D34" s="2">
        <f t="shared" si="6"/>
        <v>60908</v>
      </c>
      <c r="E34" s="2">
        <f t="shared" si="6"/>
        <v>57526</v>
      </c>
      <c r="I34">
        <v>0.67</v>
      </c>
      <c r="J34">
        <v>0.56000000000000005</v>
      </c>
      <c r="K34">
        <v>0.61</v>
      </c>
      <c r="L34" s="1">
        <f t="shared" si="7"/>
        <v>201096.96969696973</v>
      </c>
      <c r="M34" s="1">
        <f t="shared" si="8"/>
        <v>138427.27272727274</v>
      </c>
      <c r="N34" s="1">
        <f t="shared" si="9"/>
        <v>147502.56410256409</v>
      </c>
    </row>
    <row r="36" spans="1:14" x14ac:dyDescent="0.25">
      <c r="A36" t="s">
        <v>29</v>
      </c>
      <c r="B36" t="s">
        <v>22</v>
      </c>
      <c r="C36">
        <v>412</v>
      </c>
      <c r="D36">
        <v>5760</v>
      </c>
      <c r="E36">
        <v>5832</v>
      </c>
      <c r="G36" t="s">
        <v>33</v>
      </c>
    </row>
    <row r="37" spans="1:14" x14ac:dyDescent="0.25">
      <c r="A37" t="s">
        <v>23</v>
      </c>
      <c r="B37" t="s">
        <v>22</v>
      </c>
      <c r="C37">
        <v>287</v>
      </c>
      <c r="D37">
        <v>244</v>
      </c>
      <c r="E37">
        <v>256</v>
      </c>
    </row>
    <row r="38" spans="1:14" x14ac:dyDescent="0.25">
      <c r="A38" t="s">
        <v>9</v>
      </c>
      <c r="B38" t="s">
        <v>22</v>
      </c>
      <c r="C38">
        <v>125</v>
      </c>
      <c r="D38">
        <v>5516</v>
      </c>
      <c r="E38">
        <v>5576</v>
      </c>
    </row>
    <row r="39" spans="1:14" x14ac:dyDescent="0.25">
      <c r="A39" t="s">
        <v>5</v>
      </c>
      <c r="B39" t="s">
        <v>22</v>
      </c>
      <c r="C39">
        <v>446748</v>
      </c>
      <c r="D39">
        <v>468517</v>
      </c>
      <c r="E39">
        <v>438064</v>
      </c>
    </row>
    <row r="41" spans="1:14" x14ac:dyDescent="0.25">
      <c r="A41" t="s">
        <v>30</v>
      </c>
      <c r="B41" t="s">
        <v>22</v>
      </c>
      <c r="C41">
        <v>200706</v>
      </c>
      <c r="D41">
        <v>189056</v>
      </c>
      <c r="E41">
        <v>203715</v>
      </c>
    </row>
    <row r="42" spans="1:14" x14ac:dyDescent="0.25">
      <c r="A42" t="s">
        <v>23</v>
      </c>
      <c r="B42" t="s">
        <v>22</v>
      </c>
      <c r="C42">
        <v>584</v>
      </c>
      <c r="D42">
        <v>97</v>
      </c>
      <c r="E42">
        <v>90</v>
      </c>
    </row>
    <row r="43" spans="1:14" x14ac:dyDescent="0.25">
      <c r="A43" t="s">
        <v>31</v>
      </c>
      <c r="B43" t="s">
        <v>22</v>
      </c>
      <c r="C43">
        <v>353</v>
      </c>
      <c r="D43">
        <v>614</v>
      </c>
      <c r="E43">
        <v>436</v>
      </c>
    </row>
    <row r="44" spans="1:14" x14ac:dyDescent="0.25">
      <c r="A44" t="s">
        <v>5</v>
      </c>
      <c r="B44" t="s">
        <v>22</v>
      </c>
      <c r="C44">
        <v>120883</v>
      </c>
      <c r="D44">
        <v>111960</v>
      </c>
      <c r="E44">
        <v>133820</v>
      </c>
    </row>
    <row r="45" spans="1:14" x14ac:dyDescent="0.25">
      <c r="A45" t="s">
        <v>6</v>
      </c>
      <c r="B45" t="s">
        <v>22</v>
      </c>
      <c r="E45">
        <v>64</v>
      </c>
    </row>
    <row r="46" spans="1:14" x14ac:dyDescent="0.25">
      <c r="A46" t="s">
        <v>7</v>
      </c>
      <c r="B46" t="s">
        <v>22</v>
      </c>
      <c r="C46">
        <v>14156</v>
      </c>
      <c r="D46">
        <v>16668</v>
      </c>
      <c r="E46">
        <v>12855</v>
      </c>
    </row>
    <row r="47" spans="1:14" x14ac:dyDescent="0.25">
      <c r="A47" t="s">
        <v>8</v>
      </c>
      <c r="B47" t="s">
        <v>22</v>
      </c>
      <c r="C47">
        <v>4249</v>
      </c>
      <c r="D47">
        <v>3720</v>
      </c>
      <c r="E47">
        <v>3471</v>
      </c>
    </row>
    <row r="48" spans="1:14" x14ac:dyDescent="0.25">
      <c r="A48" t="s">
        <v>9</v>
      </c>
      <c r="B48" t="s">
        <v>22</v>
      </c>
      <c r="C48">
        <v>500</v>
      </c>
      <c r="D48">
        <v>500</v>
      </c>
      <c r="E48">
        <v>500</v>
      </c>
    </row>
    <row r="49" spans="1:5" x14ac:dyDescent="0.25">
      <c r="A49" t="s">
        <v>10</v>
      </c>
      <c r="B49" t="s">
        <v>22</v>
      </c>
      <c r="C49">
        <v>59980</v>
      </c>
      <c r="D49">
        <v>55497</v>
      </c>
      <c r="E49">
        <v>52479</v>
      </c>
    </row>
    <row r="51" spans="1:5" x14ac:dyDescent="0.25">
      <c r="A51" t="s">
        <v>34</v>
      </c>
      <c r="B51" t="s">
        <v>22</v>
      </c>
      <c r="C51">
        <v>45576</v>
      </c>
      <c r="D51">
        <v>41514</v>
      </c>
      <c r="E51">
        <v>51907</v>
      </c>
    </row>
    <row r="52" spans="1:5" x14ac:dyDescent="0.25">
      <c r="A52" t="s">
        <v>23</v>
      </c>
      <c r="B52" t="s">
        <v>22</v>
      </c>
      <c r="C52">
        <v>3166</v>
      </c>
      <c r="D52">
        <v>3875</v>
      </c>
      <c r="E52">
        <v>4350</v>
      </c>
    </row>
    <row r="53" spans="1:5" x14ac:dyDescent="0.25">
      <c r="A53" t="s">
        <v>31</v>
      </c>
      <c r="B53" t="s">
        <v>22</v>
      </c>
      <c r="C53">
        <v>567</v>
      </c>
      <c r="D53">
        <v>813</v>
      </c>
      <c r="E53">
        <v>897</v>
      </c>
    </row>
    <row r="54" spans="1:5" x14ac:dyDescent="0.25">
      <c r="A54" t="s">
        <v>5</v>
      </c>
      <c r="B54" t="s">
        <v>22</v>
      </c>
      <c r="C54">
        <v>965</v>
      </c>
      <c r="D54">
        <v>1361</v>
      </c>
      <c r="E54">
        <v>4253</v>
      </c>
    </row>
    <row r="55" spans="1:5" x14ac:dyDescent="0.25">
      <c r="A55" t="s">
        <v>6</v>
      </c>
      <c r="B55" t="s">
        <v>22</v>
      </c>
      <c r="C55">
        <v>2327</v>
      </c>
      <c r="D55">
        <v>2486</v>
      </c>
      <c r="E55">
        <v>2546</v>
      </c>
    </row>
    <row r="56" spans="1:5" x14ac:dyDescent="0.25">
      <c r="A56" t="s">
        <v>7</v>
      </c>
      <c r="B56" t="s">
        <v>22</v>
      </c>
      <c r="C56">
        <v>31525</v>
      </c>
      <c r="D56">
        <v>26407</v>
      </c>
      <c r="E56">
        <v>33921</v>
      </c>
    </row>
    <row r="57" spans="1:5" x14ac:dyDescent="0.25">
      <c r="A57" t="s">
        <v>8</v>
      </c>
      <c r="B57" t="s">
        <v>22</v>
      </c>
      <c r="C57">
        <v>589</v>
      </c>
      <c r="D57">
        <v>650</v>
      </c>
      <c r="E57">
        <v>637</v>
      </c>
    </row>
    <row r="58" spans="1:5" x14ac:dyDescent="0.25">
      <c r="A58" t="s">
        <v>9</v>
      </c>
      <c r="B58" t="s">
        <v>22</v>
      </c>
      <c r="C58">
        <v>55</v>
      </c>
      <c r="D58">
        <v>511</v>
      </c>
      <c r="E58">
        <v>256</v>
      </c>
    </row>
    <row r="59" spans="1:5" x14ac:dyDescent="0.25">
      <c r="A59" t="s">
        <v>10</v>
      </c>
      <c r="B59" t="s">
        <v>22</v>
      </c>
      <c r="C59">
        <v>6382</v>
      </c>
      <c r="D59">
        <v>5411</v>
      </c>
      <c r="E59">
        <v>5047</v>
      </c>
    </row>
    <row r="61" spans="1:5" x14ac:dyDescent="0.25">
      <c r="A61" t="s">
        <v>35</v>
      </c>
      <c r="B61" t="s">
        <v>22</v>
      </c>
      <c r="C61">
        <v>1160</v>
      </c>
      <c r="D61">
        <v>1741</v>
      </c>
      <c r="E61">
        <v>1709</v>
      </c>
    </row>
    <row r="62" spans="1:5" x14ac:dyDescent="0.25">
      <c r="A62" t="s">
        <v>31</v>
      </c>
      <c r="B62" t="s">
        <v>22</v>
      </c>
      <c r="C62">
        <v>1127</v>
      </c>
      <c r="D62">
        <v>1716</v>
      </c>
      <c r="E62">
        <v>1687</v>
      </c>
    </row>
    <row r="63" spans="1:5" x14ac:dyDescent="0.25">
      <c r="A63" t="s">
        <v>8</v>
      </c>
      <c r="B63" t="s">
        <v>22</v>
      </c>
      <c r="C63">
        <v>33</v>
      </c>
      <c r="D63">
        <v>25</v>
      </c>
      <c r="E63">
        <v>22</v>
      </c>
    </row>
    <row r="365" spans="107:107" x14ac:dyDescent="0.25">
      <c r="DC365" s="3" t="s">
        <v>37</v>
      </c>
    </row>
  </sheetData>
  <hyperlinks>
    <hyperlink ref="DC365" r:id="rId1" xr:uid="{A21C0749-F95A-43A6-A42B-7858DF50765A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2D6021BEA655B4CA1356DEB960F1DF5" ma:contentTypeVersion="13" ma:contentTypeDescription="Ein neues Dokument erstellen." ma:contentTypeScope="" ma:versionID="85a414592bcbeb076bab4e1d31c272a7">
  <xsd:schema xmlns:xsd="http://www.w3.org/2001/XMLSchema" xmlns:xs="http://www.w3.org/2001/XMLSchema" xmlns:p="http://schemas.microsoft.com/office/2006/metadata/properties" xmlns:ns2="5519d140-74f4-4611-8c63-87e701bdfda4" xmlns:ns3="c4e42e14-298e-456d-afab-c8bdce1e6052" targetNamespace="http://schemas.microsoft.com/office/2006/metadata/properties" ma:root="true" ma:fieldsID="120bc1badff8d03e12d9429ddd605c63" ns2:_="" ns3:_="">
    <xsd:import namespace="5519d140-74f4-4611-8c63-87e701bdfda4"/>
    <xsd:import namespace="c4e42e14-298e-456d-afab-c8bdce1e6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9d140-74f4-4611-8c63-87e701bdf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1a14e36f-e084-4b04-bba6-548b1473dc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42e14-298e-456d-afab-c8bdce1e60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40354e2-5091-4085-873c-1aec571a9d3d}" ma:internalName="TaxCatchAll" ma:showField="CatchAllData" ma:web="c4e42e14-298e-456d-afab-c8bdce1e6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19d140-74f4-4611-8c63-87e701bdfda4">
      <Terms xmlns="http://schemas.microsoft.com/office/infopath/2007/PartnerControls"/>
    </lcf76f155ced4ddcb4097134ff3c332f>
    <TaxCatchAll xmlns="c4e42e14-298e-456d-afab-c8bdce1e6052" xsi:nil="true"/>
  </documentManagement>
</p:properties>
</file>

<file path=customXml/itemProps1.xml><?xml version="1.0" encoding="utf-8"?>
<ds:datastoreItem xmlns:ds="http://schemas.openxmlformats.org/officeDocument/2006/customXml" ds:itemID="{D3C650B0-894F-4AF1-B16F-8D0026B552A1}"/>
</file>

<file path=customXml/itemProps2.xml><?xml version="1.0" encoding="utf-8"?>
<ds:datastoreItem xmlns:ds="http://schemas.openxmlformats.org/officeDocument/2006/customXml" ds:itemID="{2DB3F4AE-9065-4CB1-B45F-F8B3E42031A9}"/>
</file>

<file path=customXml/itemProps3.xml><?xml version="1.0" encoding="utf-8"?>
<ds:datastoreItem xmlns:ds="http://schemas.openxmlformats.org/officeDocument/2006/customXml" ds:itemID="{BCFFFF82-B21C-4FEF-B0E0-815B9FAC371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Lutter, Franz Stephan</dc:creator>
  <cp:lastModifiedBy>Lutter, Franz Stephan</cp:lastModifiedBy>
  <dcterms:created xsi:type="dcterms:W3CDTF">2024-02-26T14:22:31Z</dcterms:created>
  <dcterms:modified xsi:type="dcterms:W3CDTF">2025-02-20T15:22:54Z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0x010100A2D6021BEA655B4CA1356DEB960F1DF5</vt:lpwstr>
  </property>
  <property fmtid="{D5CDD505-2E9C-101B-9397-08002B2CF9AE}" pid="3" name="Order">
    <vt:r8>29098200</vt:r8>
  </property>
</Properties>
</file>