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Reports\"/>
    </mc:Choice>
  </mc:AlternateContent>
  <xr:revisionPtr revIDLastSave="0" documentId="8_{435C5F5A-30EE-47E1-9711-0669DA4F11FA}" xr6:coauthVersionLast="47" xr6:coauthVersionMax="47" xr10:uidLastSave="{00000000-0000-0000-0000-000000000000}"/>
  <bookViews>
    <workbookView xWindow="-120" yWindow="-120" windowWidth="29040" windowHeight="17640" tabRatio="823" activeTab="9" xr2:uid="{00000000-000D-0000-FFFF-FFFF00000000}"/>
  </bookViews>
  <sheets>
    <sheet name="Home Page" sheetId="18" r:id="rId1"/>
    <sheet name="Contents" sheetId="43" r:id="rId2"/>
    <sheet name="Policies &amp; Commitments" sheetId="27" r:id="rId3"/>
    <sheet name="Environment" sheetId="40" r:id="rId4"/>
    <sheet name="Air Quality" sheetId="31" r:id="rId5"/>
    <sheet name="Biodiversity &amp; Reclamation" sheetId="34" r:id="rId6"/>
    <sheet name="Climate Change" sheetId="33" r:id="rId7"/>
    <sheet name="Responsible Production &amp; Waste" sheetId="24" r:id="rId8"/>
    <sheet name="Tailings" sheetId="48" r:id="rId9"/>
    <sheet name="Water Stewardship" sheetId="23" r:id="rId10"/>
    <sheet name="Social" sheetId="44" r:id="rId11"/>
    <sheet name="Health &amp; Safety" sheetId="36" r:id="rId12"/>
    <sheet name="Workforce" sheetId="29" r:id="rId13"/>
    <sheet name="Communities" sheetId="30" r:id="rId14"/>
    <sheet name="Indigenous Peoples" sheetId="12" r:id="rId15"/>
    <sheet name="Value Sharing" sheetId="46" r:id="rId16"/>
    <sheet name="Economic Performance" sheetId="9" r:id="rId17"/>
    <sheet name="Tax" sheetId="21" r:id="rId18"/>
    <sheet name="Tax Entities" sheetId="47" r:id="rId19"/>
    <sheet name="Restatements" sheetId="37" r:id="rId20"/>
  </sheets>
  <definedNames>
    <definedName name="_ftn1" localSheetId="12">Workforce!$A$263</definedName>
    <definedName name="_ftnref1" localSheetId="12">Workforce!$A$199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9" l="1"/>
  <c r="B41" i="9"/>
  <c r="J40" i="9"/>
  <c r="J39" i="9"/>
  <c r="J38" i="9"/>
  <c r="J35" i="9"/>
  <c r="J36" i="9"/>
  <c r="J37" i="9"/>
  <c r="I41" i="9" l="1"/>
  <c r="H41" i="9"/>
  <c r="F41" i="9"/>
  <c r="E41" i="9"/>
  <c r="D41" i="9"/>
  <c r="C41" i="9"/>
  <c r="K40" i="9"/>
  <c r="K39" i="9"/>
  <c r="K38" i="9"/>
  <c r="K37" i="9"/>
  <c r="K36" i="9"/>
  <c r="K35" i="9"/>
  <c r="J41" i="9" l="1"/>
  <c r="K41" i="9" s="1"/>
  <c r="B60" i="24"/>
  <c r="B111" i="31" l="1"/>
  <c r="B92" i="31"/>
  <c r="B73" i="31"/>
  <c r="B54" i="31"/>
  <c r="K57" i="21"/>
  <c r="J57" i="21"/>
  <c r="I57" i="21"/>
  <c r="H57" i="21"/>
  <c r="G57" i="21"/>
  <c r="F57" i="21"/>
  <c r="E57" i="21"/>
  <c r="D57" i="21"/>
  <c r="C57" i="21"/>
  <c r="B57" i="21"/>
  <c r="I61" i="9"/>
  <c r="H61" i="9"/>
  <c r="G61" i="9"/>
  <c r="F61" i="9"/>
  <c r="E61" i="9"/>
  <c r="D61" i="9"/>
  <c r="C61" i="9"/>
  <c r="B61" i="9"/>
  <c r="J60" i="9"/>
  <c r="K60" i="9" s="1"/>
  <c r="J59" i="9"/>
  <c r="K59" i="9" s="1"/>
  <c r="K58" i="9"/>
  <c r="J57" i="9"/>
  <c r="K57" i="9" s="1"/>
  <c r="J56" i="9"/>
  <c r="K56" i="9" s="1"/>
  <c r="J55" i="9"/>
  <c r="J61" i="9" l="1"/>
  <c r="K55" i="9"/>
  <c r="K61" i="9" s="1"/>
  <c r="D60" i="24" l="1"/>
  <c r="C60" i="24"/>
  <c r="C54" i="31" l="1"/>
  <c r="C111" i="31"/>
  <c r="E58" i="36"/>
  <c r="G58" i="36"/>
  <c r="H58" i="36"/>
  <c r="E70" i="36"/>
  <c r="D101" i="36"/>
  <c r="B251" i="36"/>
  <c r="C251" i="36"/>
  <c r="D251" i="36"/>
  <c r="E251" i="36"/>
  <c r="B257" i="36"/>
  <c r="C257" i="36"/>
  <c r="D257" i="36"/>
  <c r="E257" i="36"/>
  <c r="B263" i="36"/>
  <c r="C263" i="36"/>
  <c r="D263" i="36"/>
  <c r="E263" i="36"/>
  <c r="B113" i="24" l="1"/>
  <c r="C113" i="24"/>
  <c r="E61" i="29" l="1"/>
  <c r="E60" i="29"/>
  <c r="C62" i="29"/>
  <c r="B62" i="29"/>
  <c r="F68" i="24"/>
  <c r="F73" i="24"/>
  <c r="D76" i="24"/>
  <c r="F77" i="24"/>
  <c r="F79" i="24"/>
  <c r="F81" i="24"/>
  <c r="F82" i="24"/>
  <c r="E62" i="29" l="1"/>
  <c r="C92" i="31"/>
  <c r="C73" i="31"/>
  <c r="I100" i="21"/>
  <c r="L24" i="29"/>
  <c r="M24" i="29"/>
  <c r="J24" i="29"/>
  <c r="K24" i="29"/>
  <c r="I24" i="29"/>
  <c r="H24" i="29"/>
  <c r="G24" i="29"/>
  <c r="F24" i="29"/>
  <c r="E24" i="29"/>
  <c r="J68" i="29"/>
  <c r="C216" i="9"/>
  <c r="C162" i="9"/>
  <c r="D17" i="34" l="1"/>
  <c r="G111" i="31" l="1"/>
  <c r="F111" i="31"/>
  <c r="E111" i="31"/>
  <c r="D111" i="31"/>
  <c r="H110" i="31"/>
  <c r="H111" i="31" s="1"/>
  <c r="H92" i="31"/>
  <c r="G92" i="31"/>
  <c r="F92" i="31"/>
  <c r="E92" i="31"/>
  <c r="D92" i="31"/>
  <c r="H73" i="31"/>
  <c r="G73" i="31"/>
  <c r="F73" i="31"/>
  <c r="E73" i="31"/>
  <c r="D73" i="31"/>
  <c r="H54" i="31"/>
  <c r="G54" i="31"/>
  <c r="F54" i="31"/>
  <c r="E54" i="31"/>
  <c r="D54" i="31"/>
  <c r="I118" i="21"/>
  <c r="I119" i="21"/>
  <c r="I120" i="21"/>
  <c r="I121" i="21"/>
  <c r="I122" i="21"/>
  <c r="I123" i="21"/>
  <c r="I124" i="21"/>
  <c r="I125" i="21"/>
  <c r="I126" i="21"/>
  <c r="I117" i="21"/>
  <c r="D127" i="21"/>
  <c r="D128" i="21" s="1"/>
  <c r="E127" i="21"/>
  <c r="E128" i="21" s="1"/>
  <c r="F127" i="21"/>
  <c r="F128" i="21" s="1"/>
  <c r="G127" i="21"/>
  <c r="G128" i="21" s="1"/>
  <c r="H127" i="21"/>
  <c r="H128" i="21" s="1"/>
  <c r="C127" i="21"/>
  <c r="I115" i="21"/>
  <c r="I127" i="21" l="1"/>
  <c r="I128" i="21" s="1"/>
  <c r="C128" i="21"/>
  <c r="F169" i="21"/>
  <c r="F176" i="21" s="1"/>
  <c r="C169" i="21"/>
  <c r="C176" i="21" s="1"/>
  <c r="D169" i="21"/>
  <c r="D176" i="21" s="1"/>
  <c r="E169" i="21"/>
  <c r="E176" i="21" s="1"/>
  <c r="C141" i="9" l="1"/>
  <c r="E21" i="30"/>
  <c r="D21" i="30"/>
  <c r="I252" i="29"/>
  <c r="E252" i="29"/>
  <c r="I251" i="29"/>
  <c r="E251" i="29"/>
  <c r="I208" i="29"/>
  <c r="H208" i="29"/>
  <c r="E167" i="29"/>
  <c r="D167" i="29"/>
  <c r="C167" i="29"/>
  <c r="F166" i="29"/>
  <c r="F165" i="29"/>
  <c r="F164" i="29"/>
  <c r="F163" i="29"/>
  <c r="E162" i="29"/>
  <c r="D162" i="29"/>
  <c r="C162" i="29"/>
  <c r="F161" i="29"/>
  <c r="F160" i="29"/>
  <c r="F159" i="29"/>
  <c r="F158" i="29"/>
  <c r="F157" i="29"/>
  <c r="F151" i="29"/>
  <c r="E151" i="29"/>
  <c r="D151" i="29"/>
  <c r="C151" i="29"/>
  <c r="F145" i="29"/>
  <c r="E145" i="29"/>
  <c r="D145" i="29"/>
  <c r="C145" i="29"/>
  <c r="N89" i="29"/>
  <c r="M89" i="29"/>
  <c r="K89" i="29"/>
  <c r="J89" i="29"/>
  <c r="O88" i="29"/>
  <c r="L88" i="29"/>
  <c r="O87" i="29"/>
  <c r="L87" i="29"/>
  <c r="L81" i="29"/>
  <c r="K81" i="29"/>
  <c r="I81" i="29"/>
  <c r="H81" i="29"/>
  <c r="M78" i="29"/>
  <c r="J78" i="29"/>
  <c r="M77" i="29"/>
  <c r="J77" i="29"/>
  <c r="M76" i="29"/>
  <c r="J76" i="29"/>
  <c r="M75" i="29"/>
  <c r="J75" i="29"/>
  <c r="M74" i="29"/>
  <c r="J74" i="29"/>
  <c r="M73" i="29"/>
  <c r="J73" i="29"/>
  <c r="M72" i="29"/>
  <c r="J72" i="29"/>
  <c r="M71" i="29"/>
  <c r="J71" i="29"/>
  <c r="M70" i="29"/>
  <c r="J70" i="29"/>
  <c r="M69" i="29"/>
  <c r="J69" i="29"/>
  <c r="M68" i="29"/>
  <c r="N62" i="29"/>
  <c r="M62" i="29"/>
  <c r="K62" i="29"/>
  <c r="J62" i="29"/>
  <c r="O61" i="29"/>
  <c r="L61" i="29"/>
  <c r="O60" i="29"/>
  <c r="L60" i="29"/>
  <c r="E55" i="29"/>
  <c r="D55" i="29"/>
  <c r="Q24" i="29"/>
  <c r="P24" i="29"/>
  <c r="N24" i="29"/>
  <c r="O89" i="29" l="1"/>
  <c r="F162" i="29"/>
  <c r="O62" i="29"/>
  <c r="L62" i="29"/>
  <c r="L89" i="29"/>
  <c r="J81" i="29"/>
  <c r="C168" i="29"/>
  <c r="M81" i="29"/>
  <c r="D168" i="29"/>
  <c r="E168" i="29"/>
  <c r="F167" i="29"/>
  <c r="C197" i="9"/>
  <c r="F168" i="29" l="1"/>
  <c r="F103" i="24"/>
  <c r="E102" i="24"/>
  <c r="E98" i="24"/>
  <c r="E103" i="24" l="1"/>
  <c r="D162" i="9" l="1"/>
  <c r="E162" i="9"/>
  <c r="F141" i="9" l="1"/>
  <c r="G141" i="9"/>
  <c r="H141" i="9"/>
  <c r="E141" i="9"/>
  <c r="D216" i="9" l="1"/>
  <c r="H210" i="9" l="1"/>
  <c r="H197" i="9"/>
  <c r="G197" i="9"/>
  <c r="F197" i="9"/>
  <c r="E197" i="9"/>
  <c r="D197" i="9" l="1"/>
  <c r="J99" i="9" l="1"/>
  <c r="I99" i="9"/>
  <c r="H99" i="9"/>
  <c r="G99" i="9"/>
  <c r="F99" i="9"/>
  <c r="E99" i="9"/>
  <c r="D99" i="9"/>
  <c r="C99" i="9"/>
  <c r="B99" i="9"/>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cgysqlp06 BIOlapStore EHSC"/>
    <s v="{[Monthly Calendar].[Monthly Calendar].[Year].&amp;[2017]}"/>
    <s v="[Measures].[YTD LTI Frequency]"/>
    <s v="#,##0.00;-#,##0.00"/>
    <s v="[Measures].[Employee YTD LTI Frequency]"/>
    <s v="[Measures].[Contractor YTD LTI Frequency]"/>
    <s v="[Measures].[YTD Disabling Injury Frequency]"/>
    <s v="[Measures].[Employee YTD Disabling Injury Frequency]"/>
    <s v="[Measures].[Contractor YTD Disabling Injury Frequency]"/>
    <s v="[Measures].[YTD MA Frequency]"/>
    <s v="[Measures].[Employee YTD MA Frequency]"/>
    <s v="[Measures].[Contractor YTD MA Frequency]"/>
    <s v="[Measures].[YTD TRI Frequency]"/>
    <s v="[Measures].[Employee YTD TRI Frequency]"/>
    <s v="[Measures].[Contractor YTD TRI Frequency]"/>
    <s v="[Measures].[YTD Severity]"/>
    <s v="#,###0.00;-#,##0.00"/>
    <s v="[Measures].[Employee YTD Severity]"/>
    <s v="[Measures].[Contractor YTD Severity]"/>
    <s v="[Measures].[YTD Disabling Injury Severity]"/>
    <s v="[Measures].[Employee YTD Disabling Injury Severity]"/>
    <s v="[Measures].[Contractor YTD Disabling Injury Severity]"/>
  </metadataStrings>
  <mdxMetadata count="20">
    <mdx n="0" f="v">
      <t c="2" si="3">
        <n x="1" s="1"/>
        <n x="2"/>
      </t>
    </mdx>
    <mdx n="0" f="v">
      <t c="2" si="3">
        <n x="1" s="1"/>
        <n x="4"/>
      </t>
    </mdx>
    <mdx n="0" f="v">
      <t c="2" si="3">
        <n x="1" s="1"/>
        <n x="5"/>
      </t>
    </mdx>
    <mdx n="0" f="v">
      <t c="2" si="3">
        <n x="1" s="1"/>
        <n x="6"/>
      </t>
    </mdx>
    <mdx n="0" f="v">
      <t c="2" si="3">
        <n x="1" s="1"/>
        <n x="7"/>
      </t>
    </mdx>
    <mdx n="0" f="v">
      <t c="2" si="3">
        <n x="1" s="1"/>
        <n x="8"/>
      </t>
    </mdx>
    <mdx n="0" f="v">
      <t c="2" si="3">
        <n x="1" s="1"/>
        <n x="9"/>
      </t>
    </mdx>
    <mdx n="0" f="v">
      <t c="2" si="3">
        <n x="1" s="1"/>
        <n x="10"/>
      </t>
    </mdx>
    <mdx n="0" f="v">
      <t c="2" si="3">
        <n x="1" s="1"/>
        <n x="11"/>
      </t>
    </mdx>
    <mdx n="0" f="v">
      <t c="2" si="3">
        <n x="1" s="1"/>
        <n x="12"/>
      </t>
    </mdx>
    <mdx n="0" f="v">
      <t c="2" si="3">
        <n x="1" s="1"/>
        <n x="13"/>
      </t>
    </mdx>
    <mdx n="0" f="v">
      <t c="2" si="3">
        <n x="1" s="1"/>
        <n x="14"/>
      </t>
    </mdx>
    <mdx n="0" f="v">
      <t c="2" si="16">
        <n x="1" s="1"/>
        <n x="15"/>
      </t>
    </mdx>
    <mdx n="0" f="v">
      <t c="2" si="16">
        <n x="1" s="1"/>
        <n x="17"/>
      </t>
    </mdx>
    <mdx n="0" f="v">
      <t c="2" si="16">
        <n x="1" s="1"/>
        <n x="18"/>
      </t>
    </mdx>
    <mdx n="0" f="v">
      <t c="2" si="16">
        <n x="1" s="1"/>
        <n x="19"/>
      </t>
    </mdx>
    <mdx n="0" f="v">
      <t c="2" si="16">
        <n x="1" s="1"/>
        <n x="20"/>
      </t>
    </mdx>
    <mdx n="0" f="v">
      <t c="2" si="16">
        <n x="1" s="1"/>
        <n x="21"/>
      </t>
    </mdx>
    <mdx n="0" f="v">
      <t c="2">
        <n x="1" s="1"/>
        <n x="13"/>
      </t>
    </mdx>
    <mdx n="0" f="v">
      <t c="2">
        <n x="1" s="1"/>
        <n x="14"/>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<sst xmlns="http://schemas.openxmlformats.org/spreadsheetml/2006/main" count="5432" uniqueCount="1719">
  <si>
    <t>2022 Sustainability Performance Data</t>
  </si>
  <si>
    <t>About the 2022 Sustainability Performance Data</t>
  </si>
  <si>
    <t>Teck's 2022 Sustainability Performance Data summarizes our sustainability performance for the 2022 reporting year and provides, where possible, historic data and performance trends on consolidated social, environmental and economic data.</t>
  </si>
  <si>
    <t>This document supplements the information presented in our annual Sustainability Report and includes data that cannot be presented in the Report due to space restrictions. Additional data may be available on request.</t>
  </si>
  <si>
    <t xml:space="preserve">The scope of data covers all of the operations managed by Teck and also, where appropriate, key issues at exploration and development projects and at joint venture operations. Data for joint ventures not operated by Teck is not presented unless otherwise stated. </t>
  </si>
  <si>
    <t>Unless otherwise stated, we report data for our operations on a 100% ownership basis (e.g., for a 97.5%-owned operation, 
we report 100% of the data).</t>
  </si>
  <si>
    <t xml:space="preserve">Data is reported using the metric system and Canadian dollars, unless otherwise stated. Some figures and percentages may be rounded and may not add up to the total figure or to 100%. </t>
  </si>
  <si>
    <t xml:space="preserve">Changes to data and re-statements may occur throughout the year due to improved reporting or collection methods, and will be noted with an explanation for the restatement. </t>
  </si>
  <si>
    <t xml:space="preserve">For further details on our reporting methodology, please see our: </t>
  </si>
  <si>
    <t>2022 Sustainability Report</t>
  </si>
  <si>
    <t>For a full set of financial and production data, please see our:</t>
  </si>
  <si>
    <t>2022 Annual Report</t>
  </si>
  <si>
    <t>For management approach disclosures and additional context, please visit our:</t>
  </si>
  <si>
    <t>Sustainability Report and Disclosure Portal</t>
  </si>
  <si>
    <t xml:space="preserve">If you have any questions or feedback on our sustainability performance data, our sustainability report our any other related disclosure, please email us at sustainability@teck.com. </t>
  </si>
  <si>
    <t>Section</t>
  </si>
  <si>
    <t>Link</t>
  </si>
  <si>
    <t>Policies &amp; Commitments</t>
  </si>
  <si>
    <t>Section Link</t>
  </si>
  <si>
    <t>Environment</t>
  </si>
  <si>
    <t>Air Quality</t>
  </si>
  <si>
    <t>Biodiversity &amp; Reclamation</t>
  </si>
  <si>
    <t>Climate Change</t>
  </si>
  <si>
    <t>Responsible Production &amp; Waste</t>
  </si>
  <si>
    <t>Tailings</t>
  </si>
  <si>
    <t>Water Stewardship</t>
  </si>
  <si>
    <t>Social</t>
  </si>
  <si>
    <t xml:space="preserve">Health &amp; Safety </t>
  </si>
  <si>
    <t>Workforce</t>
  </si>
  <si>
    <t>Communities</t>
  </si>
  <si>
    <t>Indigenous Peoples</t>
  </si>
  <si>
    <t>Value Sharing</t>
  </si>
  <si>
    <t>Economic Performance &amp; Contributions</t>
  </si>
  <si>
    <t>Tax</t>
  </si>
  <si>
    <t>Tax Entities</t>
  </si>
  <si>
    <t>Additional Sections</t>
  </si>
  <si>
    <t>Restatements</t>
  </si>
  <si>
    <t xml:space="preserve">Policies and Commitments </t>
  </si>
  <si>
    <t>Organizational Conduct/Governance</t>
  </si>
  <si>
    <t>Anti-Bribery and Corruption Compliance Policy and Interpretation Guide</t>
  </si>
  <si>
    <t>Download</t>
  </si>
  <si>
    <t xml:space="preserve">Code of Ethics </t>
  </si>
  <si>
    <t>Code of Sustainable Conduct</t>
  </si>
  <si>
    <t>Expectations for Suppliers and Contractors</t>
  </si>
  <si>
    <t>Health, Safety, Environment and Community Management Standards</t>
  </si>
  <si>
    <t>Visit</t>
  </si>
  <si>
    <t>Political Contributions Policy</t>
  </si>
  <si>
    <t>Sustainability Strategy and Goals</t>
  </si>
  <si>
    <t>Tax Policy</t>
  </si>
  <si>
    <t>Annual Facility Performance Report</t>
  </si>
  <si>
    <t>Biodiversity and Closure Strategy and Goals</t>
  </si>
  <si>
    <t xml:space="preserve">Climate Change Outlook 2021 Report (TCFD-aligned) </t>
  </si>
  <si>
    <t xml:space="preserve">Climate Change Policy </t>
  </si>
  <si>
    <t>Climate Change Strategy and Goals</t>
  </si>
  <si>
    <t xml:space="preserve">Elk Valley Water Quality Plan </t>
  </si>
  <si>
    <t xml:space="preserve">Responsible Mine Closure and Reclamation Report </t>
  </si>
  <si>
    <t>Responsible Production Strategy and Goals</t>
  </si>
  <si>
    <t>Tailings Management Strategy and Goals</t>
  </si>
  <si>
    <t>Water Stewardship Strategy and Goals</t>
  </si>
  <si>
    <t>Water Policy</t>
  </si>
  <si>
    <t>Communities and Indigenous Peoples Strategy and Goals</t>
  </si>
  <si>
    <t>Community Investment Program</t>
  </si>
  <si>
    <t>Equity, Diversity and Inclusion Policy</t>
  </si>
  <si>
    <t>Health and Safety Policy</t>
  </si>
  <si>
    <t>Health and Safety Strategy and Goals</t>
  </si>
  <si>
    <t>Human Resources Global Policy - Harassment</t>
  </si>
  <si>
    <t>Human Rights Policy</t>
  </si>
  <si>
    <t>Indigenous Peoples Policy</t>
  </si>
  <si>
    <t>Our People Strategy and Goals</t>
  </si>
  <si>
    <t>Products</t>
  </si>
  <si>
    <t>Product Data Sheets</t>
  </si>
  <si>
    <t>Safety Data Sheets</t>
  </si>
  <si>
    <t>Germanium ISO 9001:2015</t>
  </si>
  <si>
    <t>Indium ISO 9001:2015</t>
  </si>
  <si>
    <t>Lead ISO 9001:2015</t>
  </si>
  <si>
    <t>Sulphur ISO 9001:2015</t>
  </si>
  <si>
    <t>Zinc ISO 9001:2015</t>
  </si>
  <si>
    <t>Environmental Management System Certification</t>
  </si>
  <si>
    <t>Elkview Operations ISO 14001:2015</t>
  </si>
  <si>
    <t>Fording River Operations ISO 14001:2015</t>
  </si>
  <si>
    <t>Greenhills Operations ISO 14001:2015</t>
  </si>
  <si>
    <t>Highland Valley Copper Operations ISO 14001:2015</t>
  </si>
  <si>
    <t>Line Creek Operations ISO 14001:2015</t>
  </si>
  <si>
    <t>Trail Operations ISO 14001:2015</t>
  </si>
  <si>
    <t>Red Dog Operations ISO 14001:2015</t>
  </si>
  <si>
    <t>Carmen de Andacollo IQNET ISO 14001:2015</t>
  </si>
  <si>
    <t>Carmen de Andacollo IRAM ISO 14001:2015</t>
  </si>
  <si>
    <t>Sustainability Performance Data</t>
  </si>
  <si>
    <t>Environment Performance Data: Contents and Standards</t>
  </si>
  <si>
    <t>Content</t>
  </si>
  <si>
    <t>GRI Standard(s)</t>
  </si>
  <si>
    <t xml:space="preserve">SASB Standard(s) </t>
  </si>
  <si>
    <t>Sulphur Dioxide Emissions from Stacks, Stationary and Mobile Fossil Fuel Combustion (tonnes)</t>
  </si>
  <si>
    <t>GRI 305-7</t>
  </si>
  <si>
    <t>EM-MM-120a.1</t>
  </si>
  <si>
    <t>Nitrogen Oxides (tonnes)</t>
  </si>
  <si>
    <t>Carbon Monoxide (tonnes)</t>
  </si>
  <si>
    <t xml:space="preserve">Volatile Organic Compounds (tonnes) </t>
  </si>
  <si>
    <t>Mercury (tonnes)</t>
  </si>
  <si>
    <t>Ambient Particulate Matter of Size Less Than 2.5 Microns (µg/m³)</t>
  </si>
  <si>
    <t>Ambient Particulate Matter of Size Less Than 10 Microns (µg/m³)</t>
  </si>
  <si>
    <t>Biodiversity and Reclamation</t>
  </si>
  <si>
    <t>Area Reclaimed and Disturbed</t>
  </si>
  <si>
    <t>GRI G4-MM1</t>
  </si>
  <si>
    <t>Ratio of Land Conserved or Rehabilitated vs. Disturbed</t>
  </si>
  <si>
    <t>IUCN Red List Species and National Conservation List Species with Habitats in Areas Affected by Teck Operations and Level of Extinction Risk</t>
  </si>
  <si>
    <t>GRI 304-4</t>
  </si>
  <si>
    <t>Operational Sites Owned, Leased, Managed in, or Adjacent to, Protected Areas and Areas of High Biodiversity Value Outside Protected Areas</t>
  </si>
  <si>
    <t>GRI 304-1</t>
  </si>
  <si>
    <t>Energy Consumption by Type</t>
  </si>
  <si>
    <t>GRI 302-1</t>
  </si>
  <si>
    <t>EM-MM-130a.1</t>
  </si>
  <si>
    <t>Scope 1 and Scope 2 GHG Emissions by Fuel Type</t>
  </si>
  <si>
    <t>GRI 305-1, 305-2</t>
  </si>
  <si>
    <t>EM-MM-110a.1/EM-CO-110a.1</t>
  </si>
  <si>
    <r>
      <t>Total Emissions (kilotonnes CO</t>
    </r>
    <r>
      <rPr>
        <vertAlign val="subscript"/>
        <sz val="10"/>
        <rFont val="Arial"/>
        <family val="2"/>
      </rPr>
      <t>2</t>
    </r>
    <r>
      <rPr>
        <sz val="10"/>
        <rFont val="Arial"/>
        <family val="2"/>
      </rPr>
      <t>e)</t>
    </r>
  </si>
  <si>
    <t>GHG Emission Reduction Projects</t>
  </si>
  <si>
    <t>GRI 305-5</t>
  </si>
  <si>
    <t>Energy and Carbon Intensity for Steelmaking Coal Production</t>
  </si>
  <si>
    <t>GRI 302-3, 305-4</t>
  </si>
  <si>
    <t xml:space="preserve">Energy and Carbon Intensity for Copper Production </t>
  </si>
  <si>
    <t xml:space="preserve">Energy and Carbon Intensity for Zinc and Lead Production </t>
  </si>
  <si>
    <t>Carbon Intensity on a Copper Equivalent Production Basis</t>
  </si>
  <si>
    <t>Mineral Waste by Composition in Metric Tonnes</t>
  </si>
  <si>
    <t>GRI 306-3</t>
  </si>
  <si>
    <t>EM-MM-150a.5/EM-CO-150a.3 EM-MM-150a.6/EM-CO-150a.4</t>
  </si>
  <si>
    <t>GRI 306-4</t>
  </si>
  <si>
    <t>EM-MM-150a.5/EM-CO-150a.3 EM-MM-150a.6/EM-CO-150a.5</t>
  </si>
  <si>
    <t>Hazardous and Non-Hazardous Waste in Metric Tonnes - 2022</t>
  </si>
  <si>
    <t>GRI 306-3, 306-4, 306-5</t>
  </si>
  <si>
    <t>EM-MM-150a.7/EM-CO-150a.5 EM-MM-150a.8/EM-CO-150a.6</t>
  </si>
  <si>
    <t>Non-Mineral Waste by Composition in Metric Tonnes - 2021</t>
  </si>
  <si>
    <t>EM-MM-150a.4/EM-CO-150a.2</t>
  </si>
  <si>
    <t>Hazardous and Non-Hazardous Waste in Metric Tonnes - 2021</t>
  </si>
  <si>
    <t>Hazardous and Non-Hazardous Waste (tonnes) - 2015-2020</t>
  </si>
  <si>
    <t>GRI 306-2 (2016)</t>
  </si>
  <si>
    <t>Recycled Material at Trail Operations</t>
  </si>
  <si>
    <t>Tailings Storage Facility Inventory Table</t>
  </si>
  <si>
    <t>EM-MM-540a.1/EM-CO-140a.1</t>
  </si>
  <si>
    <t>Water Metrics</t>
  </si>
  <si>
    <t>GRI 303-3, 303-4, 303-5</t>
  </si>
  <si>
    <t>Water Metrics by Quality and Source/Destination - 2022</t>
  </si>
  <si>
    <t>EM-MM-140a.1/EM-CO-140a.1</t>
  </si>
  <si>
    <t>Water Metrics by Site - 2022</t>
  </si>
  <si>
    <t>Site-Level Water Withdrawal by Quality and Source - 2022</t>
  </si>
  <si>
    <t>GRI 303-3</t>
  </si>
  <si>
    <t>Site-Level Water Discharge by Treatment Type (ML) - 2022</t>
  </si>
  <si>
    <t>Site-Level Water Discharge by Quality and Destination - 2022</t>
  </si>
  <si>
    <t>GRI 303-4</t>
  </si>
  <si>
    <t>Water Metrics by Quality and Source/Destination - 2021</t>
  </si>
  <si>
    <t>Air Emissions</t>
  </si>
  <si>
    <r>
      <t>Footnotes: Air Emissions to Air by Type</t>
    </r>
    <r>
      <rPr>
        <b/>
        <vertAlign val="superscript"/>
        <sz val="12"/>
        <rFont val="Arial"/>
        <family val="2"/>
      </rPr>
      <t>(1),(2),(3),(4),(5)</t>
    </r>
  </si>
  <si>
    <t>(1)   Requirements and methods for determining air emissions can vary widely. Air emissions sources vary (e.g. stacks, combustion, explosives detonation). Not all sites have monitoring equipment in place to measure releases from all sources and activities.</t>
  </si>
  <si>
    <t>(2)   “n/m” stands for not measured and "n/r" stands for not reported.</t>
  </si>
  <si>
    <t>(3)   Our Canadian sites report annually to the National Pollutant Release Inventory (NPRI). Our American operations report a different scope of air emissions data to the Toxic Release Inventory (TRI), which has different reporting requirements and, in some cases, alternative calculation methods. Both the NPRI and TRI contain information on chemical releases and waste management activities reported annually by certain facilities. Information in these tables may not reflect exactly the contents of NPRI and/or TRI reports due to further differences in reporting requirements for the Sustainability Report.</t>
  </si>
  <si>
    <t>(4)   Particulate emissions (i.e., dust) vary significantly by operation due to a number of factors, including external conditions such as weather and forest fires, location and size of stockpiles, terrain, nature and volume of materials moved and dust mitigation measures in place.</t>
  </si>
  <si>
    <t>(5)   Air emissions types not included in the tables, such as persistent organic pollutants, are not required to be reported by permit or legislation and are not material.</t>
  </si>
  <si>
    <r>
      <t>Sulphur Dioxide Emissions from Stacks, Stationary and Mobile Fossil Fuel Combustion (tonnes)</t>
    </r>
    <r>
      <rPr>
        <b/>
        <vertAlign val="superscript"/>
        <sz val="10"/>
        <rFont val="Arial"/>
        <family val="2"/>
      </rPr>
      <t>(1),(2),(3),(4),(5),(6)</t>
    </r>
  </si>
  <si>
    <t>Operation</t>
  </si>
  <si>
    <t>Cardinal River</t>
  </si>
  <si>
    <t>n/r</t>
  </si>
  <si>
    <t>Carmen de Andacollo</t>
  </si>
  <si>
    <t xml:space="preserve">n/r </t>
  </si>
  <si>
    <t>Coal Mountain</t>
  </si>
  <si>
    <t>Elkview</t>
  </si>
  <si>
    <t>Fording River</t>
  </si>
  <si>
    <t>Greenhills</t>
  </si>
  <si>
    <r>
      <t>Highland Valley Copper</t>
    </r>
    <r>
      <rPr>
        <vertAlign val="superscript"/>
        <sz val="10"/>
        <rFont val="Arial"/>
        <family val="2"/>
      </rPr>
      <t>(6)</t>
    </r>
  </si>
  <si>
    <t>Line Creek</t>
  </si>
  <si>
    <t>Pend Oreille</t>
  </si>
  <si>
    <t>Quebrada Blanca</t>
  </si>
  <si>
    <t xml:space="preserve">Red Dog </t>
  </si>
  <si>
    <t>Trail</t>
  </si>
  <si>
    <t>Total</t>
  </si>
  <si>
    <t>(1)   Rounding of individual numbers may cause a discrepancy in the total value.</t>
  </si>
  <si>
    <r>
      <t>(2)</t>
    </r>
    <r>
      <rPr>
        <sz val="7"/>
        <rFont val="Times New Roman"/>
        <family val="1"/>
      </rPr>
      <t xml:space="preserve">   </t>
    </r>
    <r>
      <rPr>
        <sz val="8"/>
        <rFont val="Arial"/>
        <family val="2"/>
      </rPr>
      <t xml:space="preserve">Aggregate data for all other operations presented here, as numbers are insignificant compared to Trail. See our website for the full set of data </t>
    </r>
    <r>
      <rPr>
        <u/>
        <sz val="8"/>
        <rFont val="Arial"/>
        <family val="2"/>
      </rPr>
      <t>(https://www.teck.com/sustainability/approach-to-responsibility/sustainability-report-and-disclosure-portal/).</t>
    </r>
  </si>
  <si>
    <r>
      <t>(3)</t>
    </r>
    <r>
      <rPr>
        <sz val="7"/>
        <rFont val="Times New Roman"/>
        <family val="1"/>
      </rPr>
      <t xml:space="preserve">   </t>
    </r>
    <r>
      <rPr>
        <sz val="8"/>
        <rFont val="Arial"/>
        <family val="2"/>
      </rPr>
      <t>Information current at time of publication. However, values will be added, confirmed and/or changed once regulatory reporting for the 2022 period is complete. See our website for up-to-date information.</t>
    </r>
  </si>
  <si>
    <t>(4)   Requirements and methods for determining air emissions can vary widely. Not all sites have monitoring equipment in place to measure releases from all sources and activities, and the frequency of sampling can vary.</t>
  </si>
  <si>
    <t>(5)   Our Canadian sites report annually to the National Pollutant Release Inventory (NPRI) and American operations report to the Toxics Release Inventory (TRI); NPRI and TRI have different reporting requirements and calculation methods. Information in this table may not reflect exactly the contents of NPRI and/or TRI reports, due to different reporting definitions concerning site boundaries as well as the inclusion of mobile equipment in the above table, which is not required in some regulatory reporting requirements.</t>
  </si>
  <si>
    <t xml:space="preserve">(6)   GRI 305-7: NOx, SOx and other significant air emissions; SASB EM-MM-120a.1: Air emissions of the following pollutants: (1) CO, (2) NOx (excluding N2O), (3) SOx, (4) particulate matter (PM10), (5) mercury (Hg), (6) lead (Pb), and (7) volatile organic compounds (VOCs). </t>
  </si>
  <si>
    <r>
      <t>Nitrogen Oxides (tonnes)</t>
    </r>
    <r>
      <rPr>
        <b/>
        <vertAlign val="superscript"/>
        <sz val="10"/>
        <rFont val="Arial"/>
        <family val="2"/>
      </rPr>
      <t>(1),(2),(3)</t>
    </r>
  </si>
  <si>
    <t>-</t>
  </si>
  <si>
    <t>Highland Valley Copper</t>
  </si>
  <si>
    <t>Red Dog</t>
  </si>
  <si>
    <t xml:space="preserve">(1)   On an annual basis, we report to the Canadian National Pollutant Release Inventory (NPRI) on a variety of parameters including PM, VOCs, NOx and SOx. NPRI has a threshold for reporting each parameter and if the facility falls beneath the threshold, they are not required to report. For NOx and VOCs, several of our operations do not meet this threshold, and as a result they are not required to report. Non-Canadian operations are not required by federal regulators to report on NOx emissions. </t>
  </si>
  <si>
    <t xml:space="preserve">(2)   See the Canadian National Pollutant Release Inventory website at https://www.canada.ca/en/environment-climate-change/services/national-pollutant-release-inventory/tools-resources-data.html for more information. </t>
  </si>
  <si>
    <t xml:space="preserve">(3)   GRI 305-7: NOx, SOx and other significant air emissions; SASB EM-MM-120a.1: Air emissions of the following pollutants: (1) CO, (2) NOx (excluding N2O), (3) SOx, (4) particulate matter (PM10), (5) mercury (Hg), (6) lead (Pb), and (7) volatile organic compounds (VOCs). </t>
  </si>
  <si>
    <r>
      <t>Carbon Monoxide (tonnes)</t>
    </r>
    <r>
      <rPr>
        <b/>
        <vertAlign val="superscript"/>
        <sz val="10"/>
        <rFont val="Arial"/>
        <family val="2"/>
      </rPr>
      <t>(1),(2),(3)</t>
    </r>
  </si>
  <si>
    <t xml:space="preserve">(1)   On an annual basis, we report to the Canadian National Pollutant Release Inventory (NPRI) on a variety of parameters including PM, VOCs, NOx and SOx. NPRI has a threshold for reporting each parameter and if the facility falls beneath the threshold, they are not required to report. For NOx and VOCs, several of our operations do not meet this threshold, and as a result they are not required to report. Non-Canadian operations are not required by federal regulators to report on CO emissions. </t>
  </si>
  <si>
    <r>
      <t>Volatile Organic Compounds (tonnes)</t>
    </r>
    <r>
      <rPr>
        <b/>
        <vertAlign val="superscript"/>
        <sz val="10"/>
        <rFont val="Arial"/>
        <family val="2"/>
      </rPr>
      <t>(1),(2),(3)</t>
    </r>
  </si>
  <si>
    <t xml:space="preserve">(1)   On an annual basis, we report to the Canadian National Pollutant Release Inventory (NPRI) on a variety of parameters including PM, VOCs, NOx and SOx. NPRI has a threshold for reporting each parameter and if the facility falls beneath the threshold, they are not required to report. For NOx and VOCs, several of our operations do not meet this threshold, and as a result they are not required to report. Non-Canadian operations are not required by federal regulators to report on VOC emissions. </t>
  </si>
  <si>
    <r>
      <t>Mercury (tonnes)</t>
    </r>
    <r>
      <rPr>
        <b/>
        <vertAlign val="superscript"/>
        <sz val="10"/>
        <rFont val="Arial"/>
        <family val="2"/>
      </rPr>
      <t>(1),(2),(3)</t>
    </r>
  </si>
  <si>
    <r>
      <t>Ambient Particulate Matter of Size Less Than 2.5 Microns (µg/m³)</t>
    </r>
    <r>
      <rPr>
        <b/>
        <vertAlign val="superscript"/>
        <sz val="10"/>
        <rFont val="Arial"/>
        <family val="2"/>
      </rPr>
      <t>(1)</t>
    </r>
  </si>
  <si>
    <t>Station</t>
  </si>
  <si>
    <t>Nearest Operation</t>
  </si>
  <si>
    <t>Average Annual</t>
  </si>
  <si>
    <r>
      <t>98</t>
    </r>
    <r>
      <rPr>
        <b/>
        <vertAlign val="superscript"/>
        <sz val="10"/>
        <color theme="0"/>
        <rFont val="Arial"/>
        <family val="2"/>
      </rPr>
      <t>th</t>
    </r>
    <r>
      <rPr>
        <b/>
        <sz val="10"/>
        <color theme="0"/>
        <rFont val="Arial"/>
        <family val="2"/>
      </rPr>
      <t xml:space="preserve"> Percentile</t>
    </r>
  </si>
  <si>
    <t xml:space="preserve">Urmeneta </t>
  </si>
  <si>
    <t xml:space="preserve">Downtown Sparwood </t>
  </si>
  <si>
    <r>
      <t>52</t>
    </r>
    <r>
      <rPr>
        <vertAlign val="superscript"/>
        <sz val="10"/>
        <rFont val="Arial"/>
        <family val="2"/>
      </rPr>
      <t>(2)</t>
    </r>
  </si>
  <si>
    <t xml:space="preserve">Elkford High School </t>
  </si>
  <si>
    <t>(1)   GRI 305-7: NOx, SOx and other significant air emissions.</t>
  </si>
  <si>
    <t>(2)   Incomplete hourly data set, per the Canadian Council of Ministers of the Environment Criteria.</t>
  </si>
  <si>
    <r>
      <t>Ambient Particulate Matter of Size Less Than 10 Microns (µg/m³)</t>
    </r>
    <r>
      <rPr>
        <b/>
        <vertAlign val="superscript"/>
        <sz val="10"/>
        <rFont val="Arial"/>
        <family val="2"/>
      </rPr>
      <t>(1)</t>
    </r>
  </si>
  <si>
    <t>Urmeneta</t>
  </si>
  <si>
    <t>Downtown Sparwood</t>
  </si>
  <si>
    <r>
      <t>17</t>
    </r>
    <r>
      <rPr>
        <vertAlign val="superscript"/>
        <sz val="10"/>
        <color rgb="FF000000"/>
        <rFont val="Arial"/>
        <family val="2"/>
      </rPr>
      <t>(2)</t>
    </r>
  </si>
  <si>
    <r>
      <t>34</t>
    </r>
    <r>
      <rPr>
        <vertAlign val="superscript"/>
        <sz val="10"/>
        <rFont val="Arial"/>
        <family val="2"/>
      </rPr>
      <t>(2)</t>
    </r>
  </si>
  <si>
    <t>Elkford High School</t>
  </si>
  <si>
    <r>
      <t>46</t>
    </r>
    <r>
      <rPr>
        <vertAlign val="superscript"/>
        <sz val="10"/>
        <rFont val="Arial"/>
        <family val="2"/>
      </rPr>
      <t>(2)</t>
    </r>
    <r>
      <rPr>
        <sz val="10"/>
        <rFont val="Arial"/>
        <family val="2"/>
      </rPr>
      <t xml:space="preserve"> </t>
    </r>
  </si>
  <si>
    <t>Butler Park</t>
  </si>
  <si>
    <t xml:space="preserve">(1)   GRI 305-7: NOx, SOx and other significant air emissions; SASB EM-MM-120a.1: Air emissions of the following pollutants: (1) CO, (2) NOx (excluding N2O), (3) SOx, (4) particulate matter (PM10), (5) mercury (Hg), (6) lead (Pb), and (7) volatile organic compounds (VOCs). </t>
  </si>
  <si>
    <t>Reclamation</t>
  </si>
  <si>
    <r>
      <t>Area Reclaimed and Disturbed</t>
    </r>
    <r>
      <rPr>
        <vertAlign val="superscript"/>
        <sz val="11"/>
        <color theme="1"/>
        <rFont val="Arial"/>
        <family val="2"/>
      </rPr>
      <t>(1),(2),(3)</t>
    </r>
  </si>
  <si>
    <r>
      <t>2021</t>
    </r>
    <r>
      <rPr>
        <b/>
        <vertAlign val="superscript"/>
        <sz val="10"/>
        <color theme="0"/>
        <rFont val="Arial"/>
        <family val="2"/>
      </rPr>
      <t>(4)</t>
    </r>
  </si>
  <si>
    <r>
      <t>2020</t>
    </r>
    <r>
      <rPr>
        <b/>
        <vertAlign val="superscript"/>
        <sz val="10"/>
        <color theme="0"/>
        <rFont val="Arial"/>
        <family val="2"/>
      </rPr>
      <t>(4)</t>
    </r>
  </si>
  <si>
    <r>
      <t>2019</t>
    </r>
    <r>
      <rPr>
        <b/>
        <vertAlign val="superscript"/>
        <sz val="10"/>
        <color theme="0"/>
        <rFont val="Arial"/>
        <family val="2"/>
      </rPr>
      <t>(4)</t>
    </r>
  </si>
  <si>
    <r>
      <t>2018</t>
    </r>
    <r>
      <rPr>
        <b/>
        <vertAlign val="superscript"/>
        <sz val="10"/>
        <color theme="0"/>
        <rFont val="Arial"/>
        <family val="2"/>
      </rPr>
      <t>(4)</t>
    </r>
  </si>
  <si>
    <t>Area reclaimed during the current year (ha)</t>
  </si>
  <si>
    <t xml:space="preserve">Area disturbed during the current year (ha) </t>
  </si>
  <si>
    <t>Area of land yet to be reclaimed (ha)</t>
  </si>
  <si>
    <r>
      <t>24,914</t>
    </r>
    <r>
      <rPr>
        <vertAlign val="superscript"/>
        <sz val="10"/>
        <color theme="1"/>
        <rFont val="Arial"/>
        <family val="2"/>
      </rPr>
      <t>(5)</t>
    </r>
  </si>
  <si>
    <r>
      <t>23,922</t>
    </r>
    <r>
      <rPr>
        <vertAlign val="superscript"/>
        <sz val="10"/>
        <color theme="1"/>
        <rFont val="Arial"/>
        <family val="2"/>
      </rPr>
      <t>(5)</t>
    </r>
  </si>
  <si>
    <r>
      <t>23,449</t>
    </r>
    <r>
      <rPr>
        <vertAlign val="superscript"/>
        <sz val="10"/>
        <color theme="1"/>
        <rFont val="Arial"/>
        <family val="2"/>
      </rPr>
      <t>(5)</t>
    </r>
  </si>
  <si>
    <t>Total area of land reclaimed (ha)</t>
  </si>
  <si>
    <r>
      <t>5,705</t>
    </r>
    <r>
      <rPr>
        <vertAlign val="superscript"/>
        <sz val="10"/>
        <color theme="1"/>
        <rFont val="Arial"/>
        <family val="2"/>
      </rPr>
      <t>(5)</t>
    </r>
  </si>
  <si>
    <r>
      <t>5,878</t>
    </r>
    <r>
      <rPr>
        <vertAlign val="superscript"/>
        <sz val="10"/>
        <color theme="1"/>
        <rFont val="Arial"/>
        <family val="2"/>
      </rPr>
      <t>(5)</t>
    </r>
  </si>
  <si>
    <r>
      <t>6,100</t>
    </r>
    <r>
      <rPr>
        <vertAlign val="superscript"/>
        <sz val="10"/>
        <color theme="1"/>
        <rFont val="Arial"/>
        <family val="2"/>
      </rPr>
      <t>(5)</t>
    </r>
  </si>
  <si>
    <t>Total footprint (ha)</t>
  </si>
  <si>
    <r>
      <t>29,549</t>
    </r>
    <r>
      <rPr>
        <b/>
        <vertAlign val="superscript"/>
        <sz val="10"/>
        <color theme="1"/>
        <rFont val="Arial"/>
        <family val="2"/>
      </rPr>
      <t>(5)</t>
    </r>
  </si>
  <si>
    <r>
      <t xml:space="preserve">(1)  </t>
    </r>
    <r>
      <rPr>
        <sz val="7"/>
        <color theme="1"/>
        <rFont val="Times New Roman"/>
        <family val="1"/>
      </rPr>
      <t> </t>
    </r>
    <r>
      <rPr>
        <sz val="8"/>
        <color theme="1"/>
        <rFont val="Arial"/>
        <family val="2"/>
      </rPr>
      <t xml:space="preserve">The area of land disturbed in the current year may include land that was previously reclaimed and has been re-disturbed. The total area of land reclaimed may decrease in a year, due to unsuccessful reclamation attempts or the mining of a previously reclaimed area. Total footprint is the sum of total area of land yet to be reclaimed and total area of land reclaimed. Values are based on estimates stemming from the use of geographic information systems. </t>
    </r>
  </si>
  <si>
    <t>(2)   Rounding of the individual numbers may cause a discrepancy in the total value.</t>
  </si>
  <si>
    <t xml:space="preserve">(3)   GRI G4-MM1: Amount of land (owned or leased, and managed for production activities or extractive use) disturbed or rehabilitated. </t>
  </si>
  <si>
    <t>(4)   Includes data from our active operations, as well as our Cardinal River mine, Coal Mountain mine and Pend Oreille mine. Does not include Duck Pond mine.</t>
  </si>
  <si>
    <t xml:space="preserve">(5)   Quebrada Blanca Phase 2 project data has been included, as it was an active project with land disturbance. </t>
  </si>
  <si>
    <r>
      <t>Ratio of Land Conserved or Rehabilitated vs. Disturbed</t>
    </r>
    <r>
      <rPr>
        <b/>
        <vertAlign val="superscript"/>
        <sz val="11"/>
        <color theme="1"/>
        <rFont val="Arial"/>
        <family val="2"/>
      </rPr>
      <t>(1)</t>
    </r>
  </si>
  <si>
    <t>Area of land conserved or rehabilitated vs. land disturbed since 2020 (ha)</t>
  </si>
  <si>
    <t>14,198 : 1,675</t>
  </si>
  <si>
    <t>345 : 1,343</t>
  </si>
  <si>
    <t>149 : 965</t>
  </si>
  <si>
    <t>Ratio of area land conserved or rehabilitated vs. land disturbed since 2020</t>
  </si>
  <si>
    <t>9 : 1</t>
  </si>
  <si>
    <t>1 : 4</t>
  </si>
  <si>
    <t>1 : 7</t>
  </si>
  <si>
    <t xml:space="preserve">    </t>
  </si>
  <si>
    <t>(1)   The area of land conserved or reclaimed includes land conserved, protected, and restored through partnerships with third-party organizations, conserved on site, and rehabilitated or reclaimed previously disturbed land.</t>
  </si>
  <si>
    <r>
      <t>IUCN Red List Species and National Conservation List Species with Habitats in Areas Affected by Teck Operations and Level of Extinction Risk</t>
    </r>
    <r>
      <rPr>
        <b/>
        <vertAlign val="superscript"/>
        <sz val="11"/>
        <color theme="1"/>
        <rFont val="Arial"/>
        <family val="2"/>
      </rPr>
      <t>(1),(2),(3),(4)</t>
    </r>
    <r>
      <rPr>
        <b/>
        <sz val="11"/>
        <color theme="1"/>
        <rFont val="Arial"/>
        <family val="2"/>
      </rPr>
      <t xml:space="preserve"> - 2022</t>
    </r>
  </si>
  <si>
    <t>Location</t>
  </si>
  <si>
    <t>Operational Site</t>
  </si>
  <si>
    <t>Commodity</t>
  </si>
  <si>
    <t>IUCN Listed Species Status</t>
  </si>
  <si>
    <t>Critically Endangered</t>
  </si>
  <si>
    <t>Endangered</t>
  </si>
  <si>
    <t>Vulnerable</t>
  </si>
  <si>
    <t>Near Threatened</t>
  </si>
  <si>
    <t>Least Concern</t>
  </si>
  <si>
    <t>Canada</t>
  </si>
  <si>
    <t>Alberta</t>
  </si>
  <si>
    <t>Steelmaking Coal</t>
  </si>
  <si>
    <t>British Columbia</t>
  </si>
  <si>
    <t>Newfoundland and Labrador</t>
  </si>
  <si>
    <t>Duck Pond</t>
  </si>
  <si>
    <t>Copper, Zinc</t>
  </si>
  <si>
    <t>Copper</t>
  </si>
  <si>
    <t>Quintette</t>
  </si>
  <si>
    <t>Zinc (smelting)</t>
  </si>
  <si>
    <t>United States of America</t>
  </si>
  <si>
    <t>Washington</t>
  </si>
  <si>
    <t>Zinc, Lead</t>
  </si>
  <si>
    <t>Alaska</t>
  </si>
  <si>
    <t>Zinc</t>
  </si>
  <si>
    <t>Chile</t>
  </si>
  <si>
    <t>Coquimbo</t>
  </si>
  <si>
    <t>Tarapacá</t>
  </si>
  <si>
    <t>(1)   The area affected by a Teck operation is defined as the total area of the operational site as well as the area of a 50 km buffer around the operational site.</t>
  </si>
  <si>
    <t>(2)   The data from this table is obtained from the Integrated Biodiversity Assessment Tool (IBAT) using the permitted operational boundary for Teck operations.</t>
  </si>
  <si>
    <t xml:space="preserve">(3)   Data only includes sites that are under Teck's full management/operational control and for which permitted area of operation spatial data was available. </t>
  </si>
  <si>
    <t>(4)   GRI 304-4: IUCN Red List species and  national conservation list species with habitats in areas affected by operations.</t>
  </si>
  <si>
    <r>
      <t>Operational Sites Owned, Leased, Managed in, or Adjacent to, Protected Areas and Areas of High Biodiversity Value Outside Protected Areas</t>
    </r>
    <r>
      <rPr>
        <b/>
        <vertAlign val="superscript"/>
        <sz val="11"/>
        <color theme="1"/>
        <rFont val="Arial"/>
        <family val="2"/>
      </rPr>
      <t>(1),(2),(3)</t>
    </r>
    <r>
      <rPr>
        <b/>
        <sz val="11"/>
        <color theme="1"/>
        <rFont val="Arial"/>
        <family val="2"/>
      </rPr>
      <t xml:space="preserve"> - 2022</t>
    </r>
  </si>
  <si>
    <t>Country/Region</t>
  </si>
  <si>
    <t>Size of Operation (km²)</t>
  </si>
  <si>
    <r>
      <t>Type of Operation</t>
    </r>
    <r>
      <rPr>
        <b/>
        <vertAlign val="superscript"/>
        <sz val="10"/>
        <color theme="0"/>
        <rFont val="Arial"/>
        <family val="2"/>
      </rPr>
      <t>(4)</t>
    </r>
  </si>
  <si>
    <t>Habitat Type</t>
  </si>
  <si>
    <t>Area Name</t>
  </si>
  <si>
    <r>
      <t>Position of owned, leased or managed land relative to PA or HBVA</t>
    </r>
    <r>
      <rPr>
        <b/>
        <vertAlign val="superscript"/>
        <sz val="10"/>
        <color theme="0"/>
        <rFont val="Arial"/>
        <family val="2"/>
      </rPr>
      <t>(5),(6)</t>
    </r>
  </si>
  <si>
    <t>For PA - Basis of Recognition (i.e. protected status)</t>
  </si>
  <si>
    <t>For PA - Designation type</t>
  </si>
  <si>
    <t>IUCN Category</t>
  </si>
  <si>
    <r>
      <t>For HBVA - Basis of Recognition</t>
    </r>
    <r>
      <rPr>
        <b/>
        <vertAlign val="superscript"/>
        <sz val="10"/>
        <color theme="0"/>
        <rFont val="Arial"/>
        <family val="2"/>
      </rPr>
      <t>(7)</t>
    </r>
  </si>
  <si>
    <t>Boundary Type</t>
  </si>
  <si>
    <t>Extractive</t>
  </si>
  <si>
    <t>Terrestrial</t>
  </si>
  <si>
    <t>Whitehorse Wildland Provincial Park</t>
  </si>
  <si>
    <t>Contains portions of</t>
  </si>
  <si>
    <t>Wildland Provincial Park</t>
  </si>
  <si>
    <t>National</t>
  </si>
  <si>
    <t>Ib</t>
  </si>
  <si>
    <t>Permitted Area of Operation</t>
  </si>
  <si>
    <t>Big Ranch - Pigat</t>
  </si>
  <si>
    <t>Adjacent to</t>
  </si>
  <si>
    <t>Privately Owned Conservation Area</t>
  </si>
  <si>
    <t>N/A</t>
  </si>
  <si>
    <t>IV</t>
  </si>
  <si>
    <t>Cape Krusenstern</t>
  </si>
  <si>
    <t>National Monument</t>
  </si>
  <si>
    <t>V</t>
  </si>
  <si>
    <t xml:space="preserve">Maritime </t>
  </si>
  <si>
    <t>Cape Krusenstern National Monument</t>
  </si>
  <si>
    <t>Marine Protected Area</t>
  </si>
  <si>
    <t>Not reported</t>
  </si>
  <si>
    <t>Coquimbo Desert Scrub</t>
  </si>
  <si>
    <t>In the area</t>
  </si>
  <si>
    <t>AZE - CR/EN</t>
  </si>
  <si>
    <t>(1)   Data only includes sites that are under Teck's full management/operational control.</t>
  </si>
  <si>
    <t xml:space="preserve">(2)   Protected Area and Key Biodiversity Area data downloaded from the Integrated Biodiversity Assessment Tool (IBAT) (http://www.ibatforbusiness.org). Provided by BirdLife International, Conservation International, IUCN and UNEP-WCMC. </t>
  </si>
  <si>
    <t>(3)   GRI 304-1: Operational sites owned, leased, managed in, or adjacent to, protected areas and areas of high biodiversity value outside protected areas.</t>
  </si>
  <si>
    <t>(4)   Extractive =  mining, exploration, closure activities relating to mining.</t>
  </si>
  <si>
    <t>(5)   PA = Protected Area; HBVA = High Biodiversity Value Area</t>
  </si>
  <si>
    <t>(6)   In the Area = The entire operational site occurs within the PA/HBVA boundary or the entire PA/HBVA site occurs within the boundary of the operational site; Adjacent to = The operational site occurs within 500 metres of the PA or HBVA boundary; Contains portions of = The operational site contains some but not all of the PA/HBVA site or the PA/HBVA site contains some but not all of the operational site.</t>
  </si>
  <si>
    <t>(7)   AZE = Alliance for Zero Extinction (AZE) site, highest priority Key Biodiversity Areas. AZEs will trigger critical habitat status due their extreme importance for the last known populations of highly threatened (CR and EN) species.</t>
  </si>
  <si>
    <t>Climate Change - Energy and Emissions</t>
  </si>
  <si>
    <r>
      <t>Energy Consumption by Type</t>
    </r>
    <r>
      <rPr>
        <b/>
        <vertAlign val="superscript"/>
        <sz val="11"/>
        <color theme="1"/>
        <rFont val="Arial"/>
        <family val="2"/>
      </rPr>
      <t>(1),(2)</t>
    </r>
  </si>
  <si>
    <t>Energy Type (TJ)</t>
  </si>
  <si>
    <t>Diesel</t>
  </si>
  <si>
    <t>Gasoline</t>
  </si>
  <si>
    <t>Coal</t>
  </si>
  <si>
    <t>Natural Gas</t>
  </si>
  <si>
    <t>Coke &amp; Petroleum Coke</t>
  </si>
  <si>
    <t>Other</t>
  </si>
  <si>
    <t>Electricity</t>
  </si>
  <si>
    <t>(1)   Other includes propane, waste oil, fuel oils and other process fuels.</t>
  </si>
  <si>
    <t>(2)   GRI 302-1: Energy consumption within the organization; SASB EM-MM-130a.1: 1) Total energy consumed.</t>
  </si>
  <si>
    <r>
      <t>Scope 1 and Scope 2 GHG Emissions by Fuel Type</t>
    </r>
    <r>
      <rPr>
        <b/>
        <vertAlign val="superscript"/>
        <sz val="11"/>
        <color theme="1"/>
        <rFont val="Arial"/>
        <family val="2"/>
      </rPr>
      <t>(1),(2),(3),(4),(5)</t>
    </r>
  </si>
  <si>
    <r>
      <t>Fuel Type (kt CO</t>
    </r>
    <r>
      <rPr>
        <b/>
        <vertAlign val="subscript"/>
        <sz val="10"/>
        <color theme="0"/>
        <rFont val="Arial"/>
        <family val="2"/>
      </rPr>
      <t>2</t>
    </r>
    <r>
      <rPr>
        <b/>
        <sz val="10"/>
        <color theme="0"/>
        <rFont val="Arial"/>
        <family val="2"/>
      </rPr>
      <t>e)</t>
    </r>
  </si>
  <si>
    <t>Coke and Petroleum Coke</t>
  </si>
  <si>
    <t>Fugitive Emissions</t>
  </si>
  <si>
    <r>
      <t>69</t>
    </r>
    <r>
      <rPr>
        <vertAlign val="superscript"/>
        <sz val="10"/>
        <rFont val="Arial"/>
        <family val="2"/>
      </rPr>
      <t>(6)</t>
    </r>
  </si>
  <si>
    <r>
      <t>204</t>
    </r>
    <r>
      <rPr>
        <vertAlign val="superscript"/>
        <sz val="10"/>
        <rFont val="Arial"/>
        <family val="2"/>
      </rPr>
      <t>(6)</t>
    </r>
  </si>
  <si>
    <r>
      <t>298</t>
    </r>
    <r>
      <rPr>
        <vertAlign val="superscript"/>
        <sz val="10"/>
        <rFont val="Arial"/>
        <family val="2"/>
      </rPr>
      <t>(6)</t>
    </r>
  </si>
  <si>
    <r>
      <t>340</t>
    </r>
    <r>
      <rPr>
        <vertAlign val="superscript"/>
        <sz val="10"/>
        <rFont val="Arial"/>
        <family val="2"/>
      </rPr>
      <t>(6)</t>
    </r>
  </si>
  <si>
    <r>
      <t>285</t>
    </r>
    <r>
      <rPr>
        <vertAlign val="superscript"/>
        <sz val="10"/>
        <rFont val="Arial"/>
        <family val="2"/>
      </rPr>
      <t>(6)</t>
    </r>
  </si>
  <si>
    <r>
      <t>2,920</t>
    </r>
    <r>
      <rPr>
        <b/>
        <vertAlign val="superscript"/>
        <sz val="10"/>
        <rFont val="Arial"/>
        <family val="2"/>
      </rPr>
      <t>(6)</t>
    </r>
    <r>
      <rPr>
        <b/>
        <sz val="10"/>
        <rFont val="Arial"/>
        <family val="2"/>
      </rPr>
      <t xml:space="preserve"> </t>
    </r>
  </si>
  <si>
    <r>
      <t>2,843</t>
    </r>
    <r>
      <rPr>
        <b/>
        <vertAlign val="superscript"/>
        <sz val="10"/>
        <rFont val="Arial"/>
        <family val="2"/>
      </rPr>
      <t>(6)</t>
    </r>
    <r>
      <rPr>
        <b/>
        <sz val="10"/>
        <rFont val="Arial"/>
        <family val="2"/>
      </rPr>
      <t xml:space="preserve"> </t>
    </r>
  </si>
  <si>
    <r>
      <t>3,310</t>
    </r>
    <r>
      <rPr>
        <b/>
        <vertAlign val="superscript"/>
        <sz val="10"/>
        <rFont val="Arial"/>
        <family val="2"/>
      </rPr>
      <t>(6)</t>
    </r>
  </si>
  <si>
    <r>
      <t>3,274</t>
    </r>
    <r>
      <rPr>
        <b/>
        <vertAlign val="superscript"/>
        <sz val="10"/>
        <rFont val="Arial"/>
        <family val="2"/>
      </rPr>
      <t>(6)</t>
    </r>
  </si>
  <si>
    <r>
      <t>3,307</t>
    </r>
    <r>
      <rPr>
        <b/>
        <vertAlign val="superscript"/>
        <sz val="10"/>
        <rFont val="Arial"/>
        <family val="2"/>
      </rPr>
      <t>(6)</t>
    </r>
  </si>
  <si>
    <t>(1)   For electricity emissions in Canada, the emission factors are based on the most recent version of the Canadian National Inventory Report.</t>
  </si>
  <si>
    <t>(2)   Fugitive emissions from our coal operations (i.e., estimated methane release) are captured as direct emissions. For fugitive emissions, the emission factors are based on the most recent version of the Canadian National Inventory Report.</t>
  </si>
  <si>
    <r>
      <t>(3)   Emissions are stated on a CO</t>
    </r>
    <r>
      <rPr>
        <vertAlign val="subscript"/>
        <sz val="8"/>
        <color theme="1"/>
        <rFont val="Arial"/>
        <family val="2"/>
      </rPr>
      <t>2</t>
    </r>
    <r>
      <rPr>
        <sz val="8"/>
        <color theme="1"/>
        <rFont val="Arial"/>
        <family val="2"/>
      </rPr>
      <t>e basis, which is inclusive of CO</t>
    </r>
    <r>
      <rPr>
        <vertAlign val="subscript"/>
        <sz val="8"/>
        <color theme="1"/>
        <rFont val="Arial"/>
        <family val="2"/>
      </rPr>
      <t>2</t>
    </r>
    <r>
      <rPr>
        <sz val="8"/>
        <color theme="1"/>
        <rFont val="Arial"/>
        <family val="2"/>
      </rPr>
      <t>, CH</t>
    </r>
    <r>
      <rPr>
        <vertAlign val="subscript"/>
        <sz val="8"/>
        <color theme="1"/>
        <rFont val="Arial"/>
        <family val="2"/>
      </rPr>
      <t>4</t>
    </r>
    <r>
      <rPr>
        <sz val="8"/>
        <color theme="1"/>
        <rFont val="Arial"/>
        <family val="2"/>
      </rPr>
      <t>, N</t>
    </r>
    <r>
      <rPr>
        <vertAlign val="subscript"/>
        <sz val="8"/>
        <color theme="1"/>
        <rFont val="Arial"/>
        <family val="2"/>
      </rPr>
      <t>2</t>
    </r>
    <r>
      <rPr>
        <sz val="8"/>
        <color theme="1"/>
        <rFont val="Arial"/>
        <family val="2"/>
      </rPr>
      <t>O, PFCs, SF</t>
    </r>
    <r>
      <rPr>
        <vertAlign val="subscript"/>
        <sz val="8"/>
        <color theme="1"/>
        <rFont val="Arial"/>
        <family val="2"/>
      </rPr>
      <t>6</t>
    </r>
    <r>
      <rPr>
        <sz val="8"/>
        <color theme="1"/>
        <rFont val="Arial"/>
        <family val="2"/>
      </rPr>
      <t xml:space="preserve"> and NF</t>
    </r>
    <r>
      <rPr>
        <vertAlign val="subscript"/>
        <sz val="8"/>
        <color theme="1"/>
        <rFont val="Arial"/>
        <family val="2"/>
      </rPr>
      <t>3</t>
    </r>
    <r>
      <rPr>
        <sz val="8"/>
        <color theme="1"/>
        <rFont val="Arial"/>
        <family val="2"/>
      </rPr>
      <t xml:space="preserve"> as appropriate.</t>
    </r>
  </si>
  <si>
    <t>(4)   Carbon dioxide equivalent values calculated using Intergovernmental Panel on Climate Change’s Fourth Assessment Report (AR4) Global Warming Potential (GWP) factors</t>
  </si>
  <si>
    <t>(5)   GRI 305-1: Direct (Scope 1) GHG Emissions, 305-2: Energy indirect (Scope 2) GHG emissions; SASB EM-MM-110a.1/EM-CO-110a.1: Gross global Scope 1 emissions, percentage covered under emissions-limiting regulations (reference our Reporting Index for percentage covered under emissions-limiting regulations).</t>
  </si>
  <si>
    <t>(6)   Figures have been restated due to changes in third-party emission factors.</t>
  </si>
  <si>
    <r>
      <t>Total Emissions (kilotonnes CO</t>
    </r>
    <r>
      <rPr>
        <b/>
        <vertAlign val="subscript"/>
        <sz val="11"/>
        <color theme="1"/>
        <rFont val="Arial"/>
        <family val="2"/>
      </rPr>
      <t>2</t>
    </r>
    <r>
      <rPr>
        <b/>
        <sz val="11"/>
        <color theme="1"/>
        <rFont val="Arial"/>
        <family val="2"/>
      </rPr>
      <t>e)</t>
    </r>
    <r>
      <rPr>
        <b/>
        <vertAlign val="superscript"/>
        <sz val="11"/>
        <color theme="1"/>
        <rFont val="Arial"/>
        <family val="2"/>
      </rPr>
      <t>(1),(2),(3),(4)</t>
    </r>
  </si>
  <si>
    <t>Total Emissions - Direct (Scope 1)</t>
  </si>
  <si>
    <r>
      <t>3,012</t>
    </r>
    <r>
      <rPr>
        <vertAlign val="superscript"/>
        <sz val="10"/>
        <color theme="1"/>
        <rFont val="Arial"/>
        <family val="2"/>
      </rPr>
      <t>(5)</t>
    </r>
  </si>
  <si>
    <r>
      <t>2,934</t>
    </r>
    <r>
      <rPr>
        <vertAlign val="superscript"/>
        <sz val="10"/>
        <rFont val="Arial"/>
        <family val="2"/>
      </rPr>
      <t>(5)</t>
    </r>
  </si>
  <si>
    <t xml:space="preserve">Total Emissions - Indirect (Scope 2) </t>
  </si>
  <si>
    <r>
      <t>69</t>
    </r>
    <r>
      <rPr>
        <vertAlign val="superscript"/>
        <sz val="10"/>
        <color theme="1"/>
        <rFont val="Arial"/>
        <family val="2"/>
      </rPr>
      <t>(5)</t>
    </r>
  </si>
  <si>
    <r>
      <t>204</t>
    </r>
    <r>
      <rPr>
        <vertAlign val="superscript"/>
        <sz val="10"/>
        <color theme="1"/>
        <rFont val="Arial"/>
        <family val="2"/>
      </rPr>
      <t>(5)</t>
    </r>
  </si>
  <si>
    <r>
      <t>298</t>
    </r>
    <r>
      <rPr>
        <vertAlign val="superscript"/>
        <sz val="10"/>
        <color theme="1"/>
        <rFont val="Arial"/>
        <family val="2"/>
      </rPr>
      <t>(5)</t>
    </r>
  </si>
  <si>
    <r>
      <t>340</t>
    </r>
    <r>
      <rPr>
        <vertAlign val="superscript"/>
        <sz val="10"/>
        <rFont val="Arial"/>
        <family val="2"/>
      </rPr>
      <t>(5)</t>
    </r>
  </si>
  <si>
    <r>
      <t>285</t>
    </r>
    <r>
      <rPr>
        <vertAlign val="superscript"/>
        <sz val="10"/>
        <rFont val="Arial"/>
        <family val="2"/>
      </rPr>
      <t>(5)</t>
    </r>
  </si>
  <si>
    <t>Total Emissions (Scope 1 + Scope 2)</t>
  </si>
  <si>
    <r>
      <t>2,920</t>
    </r>
    <r>
      <rPr>
        <vertAlign val="superscript"/>
        <sz val="10"/>
        <color theme="1"/>
        <rFont val="Arial"/>
        <family val="2"/>
      </rPr>
      <t>(5)</t>
    </r>
  </si>
  <si>
    <r>
      <t>2,843</t>
    </r>
    <r>
      <rPr>
        <vertAlign val="superscript"/>
        <sz val="10"/>
        <color theme="1"/>
        <rFont val="Arial"/>
        <family val="2"/>
      </rPr>
      <t>(5)</t>
    </r>
  </si>
  <si>
    <r>
      <t>3,274</t>
    </r>
    <r>
      <rPr>
        <vertAlign val="superscript"/>
        <sz val="10"/>
        <rFont val="Arial"/>
        <family val="2"/>
      </rPr>
      <t>(5)</t>
    </r>
  </si>
  <si>
    <r>
      <t>3,307</t>
    </r>
    <r>
      <rPr>
        <vertAlign val="superscript"/>
        <sz val="10"/>
        <rFont val="Arial"/>
        <family val="2"/>
      </rPr>
      <t>(5)</t>
    </r>
  </si>
  <si>
    <t>Total Emissions - Scope 3 (Use of steelmaking coal product sold)</t>
  </si>
  <si>
    <t>(1)   Teck’s quantification methodology for our Scope 1 and Scope 2 emissions is aligned with the Greenhouse Gas Protocol: A Corporate Accounting and Reporting Standard.</t>
  </si>
  <si>
    <r>
      <t>(2)   Emissions are stated on a CO</t>
    </r>
    <r>
      <rPr>
        <vertAlign val="subscript"/>
        <sz val="8"/>
        <color theme="1"/>
        <rFont val="Arial"/>
        <family val="2"/>
      </rPr>
      <t>2</t>
    </r>
    <r>
      <rPr>
        <sz val="8"/>
        <color theme="1"/>
        <rFont val="Arial"/>
        <family val="2"/>
      </rPr>
      <t>e basis, which is inclusive of CO</t>
    </r>
    <r>
      <rPr>
        <vertAlign val="subscript"/>
        <sz val="8"/>
        <color theme="1"/>
        <rFont val="Arial"/>
        <family val="2"/>
      </rPr>
      <t>2</t>
    </r>
    <r>
      <rPr>
        <sz val="8"/>
        <color theme="1"/>
        <rFont val="Arial"/>
        <family val="2"/>
      </rPr>
      <t>, CH</t>
    </r>
    <r>
      <rPr>
        <vertAlign val="subscript"/>
        <sz val="8"/>
        <color theme="1"/>
        <rFont val="Arial"/>
        <family val="2"/>
      </rPr>
      <t>4</t>
    </r>
    <r>
      <rPr>
        <sz val="8"/>
        <color theme="1"/>
        <rFont val="Arial"/>
        <family val="2"/>
      </rPr>
      <t>, N</t>
    </r>
    <r>
      <rPr>
        <vertAlign val="subscript"/>
        <sz val="8"/>
        <color theme="1"/>
        <rFont val="Arial"/>
        <family val="2"/>
      </rPr>
      <t>2</t>
    </r>
    <r>
      <rPr>
        <sz val="8"/>
        <color theme="1"/>
        <rFont val="Arial"/>
        <family val="2"/>
      </rPr>
      <t>O, PFCs, SF</t>
    </r>
    <r>
      <rPr>
        <vertAlign val="subscript"/>
        <sz val="8"/>
        <color theme="1"/>
        <rFont val="Arial"/>
        <family val="2"/>
      </rPr>
      <t>6</t>
    </r>
    <r>
      <rPr>
        <sz val="8"/>
        <color theme="1"/>
        <rFont val="Arial"/>
        <family val="2"/>
      </rPr>
      <t xml:space="preserve"> and NF</t>
    </r>
    <r>
      <rPr>
        <vertAlign val="subscript"/>
        <sz val="8"/>
        <color theme="1"/>
        <rFont val="Arial"/>
        <family val="2"/>
      </rPr>
      <t>3</t>
    </r>
    <r>
      <rPr>
        <sz val="8"/>
        <color theme="1"/>
        <rFont val="Arial"/>
        <family val="2"/>
      </rPr>
      <t xml:space="preserve"> as appropriate.</t>
    </r>
  </si>
  <si>
    <t>(3)   Figures have been restated due to changes in third-party emission factors.</t>
  </si>
  <si>
    <t>(4)   GRI 305-1: Direct (Scope 1) GHG Emissions, 305-2: Energy indirect (Scope 2) GHG emissions; SASB EM-MM-110a.1/EM-CO-110a.1: Gross global Scope 1 emissions, percentage covered under emissions-limiting regulations (reference our Reporting Index for percentage covered under emissions-limiting regulations).</t>
  </si>
  <si>
    <t>(5)   Carbon dioxide equivalent values calculated using Intergovernmental Panel on Climate Change’s Fourth Assessment Report (AR4) Global Warming Potential (GWP) factors</t>
  </si>
  <si>
    <r>
      <t>GHG Emission Reduction Projects</t>
    </r>
    <r>
      <rPr>
        <b/>
        <vertAlign val="superscript"/>
        <sz val="11"/>
        <color theme="1"/>
        <rFont val="Arial"/>
        <family val="2"/>
      </rPr>
      <t>(1)</t>
    </r>
    <r>
      <rPr>
        <b/>
        <sz val="11"/>
        <color theme="1"/>
        <rFont val="Arial"/>
        <family val="2"/>
      </rPr>
      <t xml:space="preserve"> </t>
    </r>
  </si>
  <si>
    <t xml:space="preserve">Cumulative reductions in GHG emissions since 2011 (kt) </t>
  </si>
  <si>
    <r>
      <t>509</t>
    </r>
    <r>
      <rPr>
        <vertAlign val="superscript"/>
        <sz val="10"/>
        <color theme="1"/>
        <rFont val="Arial"/>
        <family val="2"/>
      </rPr>
      <t>(2)</t>
    </r>
  </si>
  <si>
    <t xml:space="preserve">(1)  GRI 305-5: Reduction of GHG emissions. </t>
  </si>
  <si>
    <t xml:space="preserve">(2)  The decrease in cumulative reductions in GHG emissions from the 2021 to the 2022 year relates to the restructuring of the QB2 power purchase agreement. </t>
  </si>
  <si>
    <r>
      <t>Energy and Carbon Intensity for Steelmaking Coal Production</t>
    </r>
    <r>
      <rPr>
        <b/>
        <vertAlign val="superscript"/>
        <sz val="11"/>
        <rFont val="Arial"/>
        <family val="2"/>
      </rPr>
      <t>(1)</t>
    </r>
  </si>
  <si>
    <t>Type</t>
  </si>
  <si>
    <t>Energy Intensity (energy used per tonne of product)</t>
  </si>
  <si>
    <r>
      <t>Carbon</t>
    </r>
    <r>
      <rPr>
        <vertAlign val="superscript"/>
        <sz val="10"/>
        <rFont val="Arial"/>
        <family val="2"/>
      </rPr>
      <t>(2)</t>
    </r>
    <r>
      <rPr>
        <sz val="10"/>
        <rFont val="Arial"/>
        <family val="2"/>
      </rPr>
      <t xml:space="preserve"> Intensity (carbon emitted per tonne of product)</t>
    </r>
  </si>
  <si>
    <t xml:space="preserve">(1)   GRI 302-3: Energy intensity, 305-4: GHG emissions intensity </t>
  </si>
  <si>
    <r>
      <t>(2)   Carbon intensity includes Scope 1 and Scope 2 emissions and is stated on a CO</t>
    </r>
    <r>
      <rPr>
        <vertAlign val="subscript"/>
        <sz val="8"/>
        <rFont val="Arial"/>
        <family val="2"/>
      </rPr>
      <t>2</t>
    </r>
    <r>
      <rPr>
        <sz val="8"/>
        <rFont val="Arial"/>
        <family val="2"/>
      </rPr>
      <t>e basis, which is inclusive of CO</t>
    </r>
    <r>
      <rPr>
        <vertAlign val="subscript"/>
        <sz val="8"/>
        <rFont val="Arial"/>
        <family val="2"/>
      </rPr>
      <t>2</t>
    </r>
    <r>
      <rPr>
        <sz val="8"/>
        <rFont val="Arial"/>
        <family val="2"/>
      </rPr>
      <t>, CH</t>
    </r>
    <r>
      <rPr>
        <vertAlign val="subscript"/>
        <sz val="8"/>
        <rFont val="Arial"/>
        <family val="2"/>
      </rPr>
      <t>4</t>
    </r>
    <r>
      <rPr>
        <sz val="8"/>
        <rFont val="Arial"/>
        <family val="2"/>
      </rPr>
      <t>, N</t>
    </r>
    <r>
      <rPr>
        <vertAlign val="subscript"/>
        <sz val="8"/>
        <rFont val="Arial"/>
        <family val="2"/>
      </rPr>
      <t>2</t>
    </r>
    <r>
      <rPr>
        <sz val="8"/>
        <rFont val="Arial"/>
        <family val="2"/>
      </rPr>
      <t>O, PFCs, SF</t>
    </r>
    <r>
      <rPr>
        <vertAlign val="subscript"/>
        <sz val="8"/>
        <rFont val="Arial"/>
        <family val="2"/>
      </rPr>
      <t>6</t>
    </r>
    <r>
      <rPr>
        <sz val="8"/>
        <rFont val="Arial"/>
        <family val="2"/>
      </rPr>
      <t xml:space="preserve"> and NF</t>
    </r>
    <r>
      <rPr>
        <vertAlign val="subscript"/>
        <sz val="8"/>
        <rFont val="Arial"/>
        <family val="2"/>
      </rPr>
      <t>3</t>
    </r>
    <r>
      <rPr>
        <sz val="8"/>
        <rFont val="Arial"/>
        <family val="2"/>
      </rPr>
      <t xml:space="preserve"> as appropriate.</t>
    </r>
  </si>
  <si>
    <r>
      <t>Energy and Carbon Intensity for Copper Production</t>
    </r>
    <r>
      <rPr>
        <b/>
        <vertAlign val="superscript"/>
        <sz val="11"/>
        <rFont val="Arial"/>
        <family val="2"/>
      </rPr>
      <t>(1)</t>
    </r>
  </si>
  <si>
    <t>Energy Intensity  (energy used per tonne of product)</t>
  </si>
  <si>
    <r>
      <t>Carbon</t>
    </r>
    <r>
      <rPr>
        <vertAlign val="superscript"/>
        <sz val="10"/>
        <color theme="1"/>
        <rFont val="Arial"/>
        <family val="2"/>
      </rPr>
      <t>(2)</t>
    </r>
    <r>
      <rPr>
        <sz val="10"/>
        <color theme="1"/>
        <rFont val="Arial"/>
        <family val="2"/>
      </rPr>
      <t xml:space="preserve"> Intensity (carbon emitted per tonne of product)</t>
    </r>
  </si>
  <si>
    <r>
      <t>1.57</t>
    </r>
    <r>
      <rPr>
        <vertAlign val="superscript"/>
        <sz val="10"/>
        <color theme="1"/>
        <rFont val="Arial"/>
        <family val="2"/>
      </rPr>
      <t>(3)</t>
    </r>
  </si>
  <si>
    <r>
      <t>2.19</t>
    </r>
    <r>
      <rPr>
        <vertAlign val="superscript"/>
        <sz val="10"/>
        <color theme="1"/>
        <rFont val="Arial"/>
        <family val="2"/>
      </rPr>
      <t>(3)</t>
    </r>
  </si>
  <si>
    <r>
      <t>(2)   Carbon intensity includes Scope 1 and Scope 2 emissions and is stated on a CO</t>
    </r>
    <r>
      <rPr>
        <vertAlign val="subscript"/>
        <sz val="8"/>
        <color theme="1"/>
        <rFont val="Arial"/>
        <family val="2"/>
      </rPr>
      <t>2</t>
    </r>
    <r>
      <rPr>
        <sz val="8"/>
        <color theme="1"/>
        <rFont val="Arial"/>
        <family val="2"/>
      </rPr>
      <t>e basis, which is inclusive of CO</t>
    </r>
    <r>
      <rPr>
        <vertAlign val="subscript"/>
        <sz val="8"/>
        <color theme="1"/>
        <rFont val="Arial"/>
        <family val="2"/>
      </rPr>
      <t>2</t>
    </r>
    <r>
      <rPr>
        <sz val="8"/>
        <color theme="1"/>
        <rFont val="Arial"/>
        <family val="2"/>
      </rPr>
      <t>, CH</t>
    </r>
    <r>
      <rPr>
        <vertAlign val="subscript"/>
        <sz val="8"/>
        <color theme="1"/>
        <rFont val="Arial"/>
        <family val="2"/>
      </rPr>
      <t>4</t>
    </r>
    <r>
      <rPr>
        <sz val="8"/>
        <color theme="1"/>
        <rFont val="Arial"/>
        <family val="2"/>
      </rPr>
      <t>, N</t>
    </r>
    <r>
      <rPr>
        <vertAlign val="subscript"/>
        <sz val="8"/>
        <color theme="1"/>
        <rFont val="Arial"/>
        <family val="2"/>
      </rPr>
      <t>2</t>
    </r>
    <r>
      <rPr>
        <sz val="8"/>
        <color theme="1"/>
        <rFont val="Arial"/>
        <family val="2"/>
      </rPr>
      <t>O, PFCs, SF</t>
    </r>
    <r>
      <rPr>
        <vertAlign val="subscript"/>
        <sz val="8"/>
        <color theme="1"/>
        <rFont val="Arial"/>
        <family val="2"/>
      </rPr>
      <t>6</t>
    </r>
    <r>
      <rPr>
        <sz val="8"/>
        <color theme="1"/>
        <rFont val="Arial"/>
        <family val="2"/>
      </rPr>
      <t xml:space="preserve"> and NF</t>
    </r>
    <r>
      <rPr>
        <vertAlign val="subscript"/>
        <sz val="8"/>
        <color theme="1"/>
        <rFont val="Arial"/>
        <family val="2"/>
      </rPr>
      <t>3</t>
    </r>
    <r>
      <rPr>
        <sz val="8"/>
        <color theme="1"/>
        <rFont val="Arial"/>
        <family val="2"/>
      </rPr>
      <t xml:space="preserve"> as appropriate</t>
    </r>
  </si>
  <si>
    <r>
      <t>Energy and Carbon Intensity for Zinc and Lead Production</t>
    </r>
    <r>
      <rPr>
        <b/>
        <vertAlign val="superscript"/>
        <sz val="11"/>
        <rFont val="Arial"/>
        <family val="2"/>
      </rPr>
      <t xml:space="preserve">(1) </t>
    </r>
  </si>
  <si>
    <r>
      <t>Carbon</t>
    </r>
    <r>
      <rPr>
        <vertAlign val="superscript"/>
        <sz val="10"/>
        <color rgb="FF000000"/>
        <rFont val="Arial"/>
        <family val="2"/>
      </rPr>
      <t>(2)</t>
    </r>
    <r>
      <rPr>
        <sz val="10"/>
        <color rgb="FF000000"/>
        <rFont val="Arial"/>
        <family val="2"/>
      </rPr>
      <t xml:space="preserve"> Intensity (carbon emitted per tonne of product)</t>
    </r>
  </si>
  <si>
    <r>
      <t>(2)   Carbon intensity includes Scope 1 and Scope 2 emissions and is stated on a CO</t>
    </r>
    <r>
      <rPr>
        <vertAlign val="subscript"/>
        <sz val="8"/>
        <color theme="1"/>
        <rFont val="Arial"/>
        <family val="2"/>
      </rPr>
      <t>2</t>
    </r>
    <r>
      <rPr>
        <sz val="8"/>
        <color theme="1"/>
        <rFont val="Arial"/>
        <family val="2"/>
      </rPr>
      <t>e basis, which is inclusive of CO</t>
    </r>
    <r>
      <rPr>
        <vertAlign val="subscript"/>
        <sz val="8"/>
        <color theme="1"/>
        <rFont val="Arial"/>
        <family val="2"/>
      </rPr>
      <t>2</t>
    </r>
    <r>
      <rPr>
        <sz val="8"/>
        <color theme="1"/>
        <rFont val="Arial"/>
        <family val="2"/>
      </rPr>
      <t>, CH</t>
    </r>
    <r>
      <rPr>
        <vertAlign val="subscript"/>
        <sz val="8"/>
        <color theme="1"/>
        <rFont val="Arial"/>
        <family val="2"/>
      </rPr>
      <t>4</t>
    </r>
    <r>
      <rPr>
        <sz val="8"/>
        <color theme="1"/>
        <rFont val="Arial"/>
        <family val="2"/>
      </rPr>
      <t>, N</t>
    </r>
    <r>
      <rPr>
        <vertAlign val="subscript"/>
        <sz val="8"/>
        <color theme="1"/>
        <rFont val="Arial"/>
        <family val="2"/>
      </rPr>
      <t>2</t>
    </r>
    <r>
      <rPr>
        <sz val="8"/>
        <color theme="1"/>
        <rFont val="Arial"/>
        <family val="2"/>
      </rPr>
      <t>O, PFCs, SF</t>
    </r>
    <r>
      <rPr>
        <vertAlign val="subscript"/>
        <sz val="8"/>
        <color theme="1"/>
        <rFont val="Arial"/>
        <family val="2"/>
      </rPr>
      <t>6</t>
    </r>
    <r>
      <rPr>
        <sz val="8"/>
        <color theme="1"/>
        <rFont val="Arial"/>
        <family val="2"/>
      </rPr>
      <t xml:space="preserve"> and NF</t>
    </r>
    <r>
      <rPr>
        <vertAlign val="subscript"/>
        <sz val="8"/>
        <color theme="1"/>
        <rFont val="Arial"/>
        <family val="2"/>
      </rPr>
      <t>3</t>
    </r>
    <r>
      <rPr>
        <sz val="8"/>
        <color theme="1"/>
        <rFont val="Arial"/>
        <family val="2"/>
      </rPr>
      <t xml:space="preserve"> as appropriate.</t>
    </r>
  </si>
  <si>
    <r>
      <t>Carbon Intensity on a Copper Equivalent</t>
    </r>
    <r>
      <rPr>
        <b/>
        <vertAlign val="superscript"/>
        <sz val="11"/>
        <color theme="1"/>
        <rFont val="Arial"/>
        <family val="2"/>
      </rPr>
      <t>(1)</t>
    </r>
    <r>
      <rPr>
        <b/>
        <sz val="11"/>
        <color theme="1"/>
        <rFont val="Arial"/>
        <family val="2"/>
      </rPr>
      <t xml:space="preserve"> Production Basis</t>
    </r>
    <r>
      <rPr>
        <b/>
        <vertAlign val="superscript"/>
        <sz val="11"/>
        <color theme="1"/>
        <rFont val="Arial"/>
        <family val="2"/>
      </rPr>
      <t xml:space="preserve">(2) </t>
    </r>
  </si>
  <si>
    <r>
      <t>Carbon</t>
    </r>
    <r>
      <rPr>
        <vertAlign val="superscript"/>
        <sz val="10"/>
        <color theme="1"/>
        <rFont val="Arial"/>
        <family val="2"/>
      </rPr>
      <t>(3)</t>
    </r>
    <r>
      <rPr>
        <sz val="10"/>
        <color theme="1"/>
        <rFont val="Arial"/>
        <family val="2"/>
      </rPr>
      <t xml:space="preserve"> Intensity (</t>
    </r>
    <r>
      <rPr>
        <sz val="10"/>
        <color rgb="FF000000"/>
        <rFont val="Arial"/>
        <family val="2"/>
      </rPr>
      <t>carbon emitted per tonne of copper equivalent) — 3-year trailing average</t>
    </r>
  </si>
  <si>
    <r>
      <t>Carbon</t>
    </r>
    <r>
      <rPr>
        <vertAlign val="superscript"/>
        <sz val="10"/>
        <color theme="1"/>
        <rFont val="Arial"/>
        <family val="2"/>
      </rPr>
      <t>(3)</t>
    </r>
    <r>
      <rPr>
        <sz val="10"/>
        <color theme="1"/>
        <rFont val="Arial"/>
        <family val="2"/>
      </rPr>
      <t xml:space="preserve"> Intensity (</t>
    </r>
    <r>
      <rPr>
        <sz val="10"/>
        <color rgb="FF000000"/>
        <rFont val="Arial"/>
        <family val="2"/>
      </rPr>
      <t>carbon emitted per tonne of copper equivalent) — 2018–2020 average pricing</t>
    </r>
  </si>
  <si>
    <t>(1)   Only the primary commodities we report on — i.e., steelmaking coal, copper and zinc — from Teck-operated mines are included within the equivalency calculation. Lead has been excluded. Carbon equivalency was calculated by using a three-year commodity price average, using prices reported in our previous annual reports.</t>
  </si>
  <si>
    <t xml:space="preserve">(2)   GRI 302-3: Energy intensity, 305-4: GHG emissions intensity. </t>
  </si>
  <si>
    <t>(3)   Carbon intensity on a copper equivalent basis is presented in two manners as shown in the Figure. The 3-year trailing average reflects our historical reporting practice and includes different commodity prices to convert each year’s performance. For example, the 2022 value in the 3-year trailing average would use 2022-2020 pricing averages, whereas the 2021 value would use 2021-2019 pricing averages. This reflects how some external groups assess carbon performance. We have also included carbon intensities used the 2018-2020 pricing averages across all performance years, as this is the pricing used to establish our 2020 baseline against which our 2030 targets are being assessed. We have fixed the commodity pricing for the copper equivalent calculation to ensure consistent accounting over time (from our baseline year to our target year).</t>
  </si>
  <si>
    <r>
      <t>Mineral Waste by Composition in Metric Tonnes (t)</t>
    </r>
    <r>
      <rPr>
        <b/>
        <vertAlign val="superscript"/>
        <sz val="11"/>
        <color theme="1"/>
        <rFont val="Arial"/>
        <family val="2"/>
      </rPr>
      <t>(1),(2),(3)</t>
    </r>
  </si>
  <si>
    <t>Tailings &amp; fine coal refuse from processing ore and raw coal</t>
  </si>
  <si>
    <t>Coarse coal refuse</t>
  </si>
  <si>
    <t>Waste rock</t>
  </si>
  <si>
    <t>Total mineral waste</t>
  </si>
  <si>
    <t>(1)   Figures have been restated in tonnes per GRI 306 (2020) standard requirements.</t>
  </si>
  <si>
    <t xml:space="preserve">(3)   GRI 306-3: Waste generated; SASB EM-MM-150a.5/EM-CO-150a.3: Total weight of tailings produced, EM-MM-150a.6/EM-CO-150a.4: Total weight of waste rock generated. </t>
  </si>
  <si>
    <r>
      <t>Non-Mineral Waste by Composition in Metric Tonnes (t) — 2022</t>
    </r>
    <r>
      <rPr>
        <b/>
        <vertAlign val="superscript"/>
        <sz val="11"/>
        <rFont val="Arial"/>
        <family val="2"/>
      </rPr>
      <t>(1),(2)</t>
    </r>
  </si>
  <si>
    <t>Non-Mineral Waste Composition</t>
  </si>
  <si>
    <t>Non-Mineral Waste Generated</t>
  </si>
  <si>
    <t>Non-Mineral Waste Diverted from Disposal</t>
  </si>
  <si>
    <t>Non-Mineral Waste Directed to Disposal</t>
  </si>
  <si>
    <r>
      <t>Hazardous</t>
    </r>
    <r>
      <rPr>
        <vertAlign val="superscript"/>
        <sz val="10"/>
        <color theme="1"/>
        <rFont val="Arial"/>
        <family val="2"/>
      </rPr>
      <t>(3)</t>
    </r>
    <r>
      <rPr>
        <sz val="10"/>
        <color theme="1"/>
        <rFont val="Arial"/>
        <family val="2"/>
      </rPr>
      <t xml:space="preserve"> </t>
    </r>
  </si>
  <si>
    <r>
      <t>Non-Hazardous</t>
    </r>
    <r>
      <rPr>
        <vertAlign val="superscript"/>
        <sz val="10"/>
        <color theme="1"/>
        <rFont val="Arial"/>
        <family val="2"/>
      </rPr>
      <t>(4)</t>
    </r>
  </si>
  <si>
    <t>Total Non-Mineral Waste</t>
  </si>
  <si>
    <t>60,927 </t>
  </si>
  <si>
    <t>(1)   Rounding of the individual numbers may cause a discrepancy in the total value.</t>
  </si>
  <si>
    <t>(2)   GRI 306-3: Waste generated, 306-4: Waste diverted from disposal, 306-5: Waste directed to disposal; SASB EM-MM-150a.4/EM-CO-150a.2: Total weight of non-mineral waste generated.</t>
  </si>
  <si>
    <t>(3)   Hazardous waste includes hazardous industrial waste</t>
  </si>
  <si>
    <t>(4)   Non-hazardous waste includes non-hazardous industrial and municipal/domestic waste</t>
  </si>
  <si>
    <r>
      <t>Hazardous and Non-Hazardous Waste in Metric Tonnes (t) - 2022</t>
    </r>
    <r>
      <rPr>
        <b/>
        <vertAlign val="superscript"/>
        <sz val="11"/>
        <color theme="1"/>
        <rFont val="Arial"/>
        <family val="2"/>
      </rPr>
      <t>(1),(2)</t>
    </r>
  </si>
  <si>
    <t>Type of Waste</t>
  </si>
  <si>
    <t>Method</t>
  </si>
  <si>
    <t>On-Site</t>
  </si>
  <si>
    <t>Off-Site</t>
  </si>
  <si>
    <r>
      <t>Hazardous</t>
    </r>
    <r>
      <rPr>
        <vertAlign val="superscript"/>
        <sz val="10"/>
        <color theme="1"/>
        <rFont val="Arial"/>
        <family val="2"/>
      </rPr>
      <t>(3)</t>
    </r>
  </si>
  <si>
    <t>Waste Diverted from Disposal</t>
  </si>
  <si>
    <t>Preparation for reuse</t>
  </si>
  <si>
    <t>Recycling</t>
  </si>
  <si>
    <t>Other recovery operations</t>
  </si>
  <si>
    <t>Waste Directed to Disposal</t>
  </si>
  <si>
    <t>Incineration (with energy recovery)</t>
  </si>
  <si>
    <t>Incineration (without energy recovery)</t>
  </si>
  <si>
    <t>Landfilling</t>
  </si>
  <si>
    <t>Other disposal operations</t>
  </si>
  <si>
    <r>
      <t>Non-Hazardous</t>
    </r>
    <r>
      <rPr>
        <vertAlign val="superscript"/>
        <sz val="10"/>
        <rFont val="Arial"/>
        <family val="2"/>
      </rPr>
      <t>(4)</t>
    </r>
  </si>
  <si>
    <t xml:space="preserve">Waste Diverted from Disposal </t>
  </si>
  <si>
    <t>(1)   Rounding of the individual numbers may cause a discrepancy in the total value.  Figures also vary annually depending on site activities.</t>
  </si>
  <si>
    <t>(2)   GRI 306-3: Waste generated, 306-4: Waste diverted from disposal, 306-5: Waste directed to disposal; SASB EM-MM-150a.7/EM-CO-150a.5: Total weight of hazardous waste generated, EM-MM-150a.8/EM-CO-150a.6: Total weight of hazardous waste recycled.</t>
  </si>
  <si>
    <t>(3)   Hazardous waste includes hazardous industrial waste.</t>
  </si>
  <si>
    <t>(4)   Non-hazardous waste includes non-hazardous industrial and municipal/domestic waste.</t>
  </si>
  <si>
    <r>
      <t>Non-Mineral Waste by Composition in Metric Tonnes (t) — 2021</t>
    </r>
    <r>
      <rPr>
        <b/>
        <vertAlign val="superscript"/>
        <sz val="11"/>
        <rFont val="Arial"/>
        <family val="2"/>
      </rPr>
      <t>(1),(2)</t>
    </r>
  </si>
  <si>
    <t>Non-Mineral
Waste Generated</t>
  </si>
  <si>
    <r>
      <t>Hazardous and Non-Hazardous Waste in Metric Tonnes (t) - 2021</t>
    </r>
    <r>
      <rPr>
        <b/>
        <vertAlign val="superscript"/>
        <sz val="11"/>
        <color theme="1"/>
        <rFont val="Arial"/>
        <family val="2"/>
      </rPr>
      <t xml:space="preserve">(1),(2),(3),(4) </t>
    </r>
  </si>
  <si>
    <r>
      <t>Hazardous</t>
    </r>
    <r>
      <rPr>
        <vertAlign val="superscript"/>
        <sz val="10"/>
        <color theme="1"/>
        <rFont val="Arial"/>
        <family val="2"/>
      </rPr>
      <t>(5)</t>
    </r>
  </si>
  <si>
    <r>
      <t>Non-Hazardous</t>
    </r>
    <r>
      <rPr>
        <vertAlign val="superscript"/>
        <sz val="10"/>
        <rFont val="Arial"/>
        <family val="2"/>
      </rPr>
      <t>(6)</t>
    </r>
  </si>
  <si>
    <t>(1)   In 2021, we aligned our reporting to the GRI 306 (2020) Waste Standard, and as such may not be comparable with previous years activities.</t>
  </si>
  <si>
    <t>(2)   Rounding of the individual numbers may cause a discrepancy in the total value.  Figures also vary annually depending on site activities.</t>
  </si>
  <si>
    <t xml:space="preserve">(3)   See "Restatements" tab for details on restatements of "Hazardous and Non-Hazardous Waste in Metric Tonnes (t) - 2021". </t>
  </si>
  <si>
    <t>(4)   GRI 306-3: Waste generated, 306-4: Waste diverted from disposal, 306-5: Waste directed to disposal; SASB EM-MM-150a.7/EM-CO-150a.5: Total weight of hazardous waste generated, EM-MM-150a.8/EM-CO-150a.6: Total weight of hazardous waste recycled.</t>
  </si>
  <si>
    <t>(5)   Hazardous waste includes hazardous industrial waste.</t>
  </si>
  <si>
    <t>(6)   Non-hazardous waste includes non-hazardous industrial and municipal/domestic waste.</t>
  </si>
  <si>
    <r>
      <t>Hazardous and Non-Hazardous Waste (tonnes)</t>
    </r>
    <r>
      <rPr>
        <b/>
        <vertAlign val="superscript"/>
        <sz val="11"/>
        <color theme="1"/>
        <rFont val="Arial"/>
        <family val="2"/>
      </rPr>
      <t>(1),(2),(3),(4)</t>
    </r>
    <r>
      <rPr>
        <b/>
        <sz val="11"/>
        <color theme="1"/>
        <rFont val="Arial"/>
        <family val="2"/>
      </rPr>
      <t xml:space="preserve"> - 2015-2020</t>
    </r>
  </si>
  <si>
    <t>Waste</t>
  </si>
  <si>
    <t>Non-Hazardous</t>
  </si>
  <si>
    <t>Sent off-site but not recycled</t>
  </si>
  <si>
    <t>Treated/disposed of on-site</t>
  </si>
  <si>
    <t>Recycled</t>
  </si>
  <si>
    <t>Total Non-Hazardous</t>
  </si>
  <si>
    <t>Hazardous</t>
  </si>
  <si>
    <t>Total Hazardous</t>
  </si>
  <si>
    <t xml:space="preserve">Total Hazardous and Non-Hazardous    </t>
  </si>
  <si>
    <t>(1)   Recycled waste includes waste that is diverted from the landfill through recycling and reuse. Waste sent off-site but not recycled includes waste disposed of at appropriate facilities, landfills and deep-well injections.</t>
  </si>
  <si>
    <t>(3)   Hazardous and non-hazardous waste figures vary annually depending on site activities.</t>
  </si>
  <si>
    <t>(4)   GRI 306-2 (2016): Management of significant waste-related impacts.</t>
  </si>
  <si>
    <r>
      <t>Recycled Material at Trail Operations (tonnes)</t>
    </r>
    <r>
      <rPr>
        <b/>
        <vertAlign val="superscript"/>
        <sz val="11"/>
        <color theme="1"/>
        <rFont val="Arial"/>
        <family val="2"/>
      </rPr>
      <t>(1),(2)</t>
    </r>
  </si>
  <si>
    <r>
      <t>2019</t>
    </r>
    <r>
      <rPr>
        <b/>
        <vertAlign val="superscript"/>
        <sz val="10"/>
        <color theme="0"/>
        <rFont val="Arial"/>
        <family val="2"/>
      </rPr>
      <t>(1)</t>
    </r>
  </si>
  <si>
    <r>
      <t>2018</t>
    </r>
    <r>
      <rPr>
        <b/>
        <vertAlign val="superscript"/>
        <sz val="10"/>
        <color theme="0"/>
        <rFont val="Arial"/>
        <family val="2"/>
      </rPr>
      <t>(1)</t>
    </r>
  </si>
  <si>
    <t>Total hazardous waste treated/recycled on-site</t>
  </si>
  <si>
    <t>Total hazardous waste recycled off-site</t>
  </si>
  <si>
    <t>Amount of recycled material</t>
  </si>
  <si>
    <t>(1)   Figures have been restated due to improvements in calculations.</t>
  </si>
  <si>
    <t>(2)   The disaggregation of hazardous waste recycled on-site and off-site was reported starting in 2021, with disaggregation of historic data available only up to 2018. As such, data prior to 2018 is not available.</t>
  </si>
  <si>
    <t>Number</t>
  </si>
  <si>
    <t>Construction Method</t>
  </si>
  <si>
    <t>Annual Facility Performance Report (AFPR)</t>
  </si>
  <si>
    <t>Dam Safety Review 
(DSR)</t>
  </si>
  <si>
    <t>Material findings</t>
  </si>
  <si>
    <t>Mitigation measurements</t>
  </si>
  <si>
    <t>Site specific EPRP</t>
  </si>
  <si>
    <r>
      <t>Water Metrics (ML)</t>
    </r>
    <r>
      <rPr>
        <b/>
        <vertAlign val="superscript"/>
        <sz val="11"/>
        <color theme="1"/>
        <rFont val="Arial"/>
        <family val="2"/>
      </rPr>
      <t xml:space="preserve">(1) </t>
    </r>
  </si>
  <si>
    <t>All Operations</t>
  </si>
  <si>
    <r>
      <t>Water withdrawal</t>
    </r>
    <r>
      <rPr>
        <vertAlign val="superscript"/>
        <sz val="10"/>
        <rFont val="Arial"/>
        <family val="2"/>
      </rPr>
      <t>(2)</t>
    </r>
  </si>
  <si>
    <r>
      <t>Other managed water</t>
    </r>
    <r>
      <rPr>
        <vertAlign val="superscript"/>
        <sz val="10"/>
        <rFont val="Arial"/>
        <family val="2"/>
      </rPr>
      <t>(3)</t>
    </r>
  </si>
  <si>
    <t>Water discharge</t>
  </si>
  <si>
    <t>Water consumption</t>
  </si>
  <si>
    <t>Water reused/recycled</t>
  </si>
  <si>
    <r>
      <t>Operational water use</t>
    </r>
    <r>
      <rPr>
        <vertAlign val="superscript"/>
        <sz val="10"/>
        <rFont val="Arial"/>
        <family val="2"/>
      </rPr>
      <t>(4)</t>
    </r>
  </si>
  <si>
    <t>Mining Operations</t>
  </si>
  <si>
    <r>
      <t>Water reuse/recycle in operations</t>
    </r>
    <r>
      <rPr>
        <vertAlign val="superscript"/>
        <sz val="10"/>
        <rFont val="Arial"/>
        <family val="2"/>
      </rPr>
      <t>(5)</t>
    </r>
  </si>
  <si>
    <t>(1)   GRI 303-3: Water withdrawal, 303-4: Water discharge, 303-5: Water consumption</t>
  </si>
  <si>
    <t>(2)   Water withdrawal is water that enters the operational water system and is used to supply the operational water demands. It was previously called ‘water withdrawal for use’ or ‘new water use’.</t>
  </si>
  <si>
    <r>
      <t>Water Metrics by Quality and Source/Destination (ML)</t>
    </r>
    <r>
      <rPr>
        <b/>
        <vertAlign val="superscript"/>
        <sz val="11"/>
        <color theme="1"/>
        <rFont val="Arial"/>
        <family val="2"/>
      </rPr>
      <t xml:space="preserve">(1) </t>
    </r>
    <r>
      <rPr>
        <b/>
        <sz val="11"/>
        <color theme="1"/>
        <rFont val="Arial"/>
        <family val="2"/>
      </rPr>
      <t>- 2022</t>
    </r>
  </si>
  <si>
    <t>Source/Destination</t>
  </si>
  <si>
    <r>
      <t>Operations in Water-Stressed</t>
    </r>
    <r>
      <rPr>
        <b/>
        <vertAlign val="superscript"/>
        <sz val="10"/>
        <color theme="0"/>
        <rFont val="Arial"/>
        <family val="2"/>
      </rPr>
      <t>(2)</t>
    </r>
    <r>
      <rPr>
        <b/>
        <sz val="10"/>
        <color theme="0"/>
        <rFont val="Arial"/>
        <family val="2"/>
      </rPr>
      <t xml:space="preserve"> Areas (Carmen de Andacollo, Quebrada Blanca operations)</t>
    </r>
  </si>
  <si>
    <t>Volume of water by quality</t>
  </si>
  <si>
    <r>
      <t>High</t>
    </r>
    <r>
      <rPr>
        <b/>
        <vertAlign val="superscript"/>
        <sz val="10"/>
        <color theme="0"/>
        <rFont val="Arial"/>
        <family val="2"/>
      </rPr>
      <t>(3)</t>
    </r>
  </si>
  <si>
    <r>
      <t>Low</t>
    </r>
    <r>
      <rPr>
        <b/>
        <vertAlign val="superscript"/>
        <sz val="10"/>
        <color theme="0"/>
        <rFont val="Arial"/>
        <family val="2"/>
      </rPr>
      <t>(4)</t>
    </r>
  </si>
  <si>
    <r>
      <t>Water withdrawals</t>
    </r>
    <r>
      <rPr>
        <vertAlign val="superscript"/>
        <sz val="10"/>
        <color theme="1"/>
        <rFont val="Arial"/>
        <family val="2"/>
      </rPr>
      <t>(9)</t>
    </r>
  </si>
  <si>
    <r>
      <t>Surface water</t>
    </r>
    <r>
      <rPr>
        <vertAlign val="superscript"/>
        <sz val="10"/>
        <color theme="1"/>
        <rFont val="Arial"/>
        <family val="2"/>
      </rPr>
      <t>(5)</t>
    </r>
  </si>
  <si>
    <r>
      <t>Groundwater</t>
    </r>
    <r>
      <rPr>
        <vertAlign val="superscript"/>
        <sz val="10"/>
        <color theme="1"/>
        <rFont val="Arial"/>
        <family val="2"/>
      </rPr>
      <t>(6)</t>
    </r>
  </si>
  <si>
    <r>
      <t>Sea water</t>
    </r>
    <r>
      <rPr>
        <vertAlign val="superscript"/>
        <sz val="10"/>
        <color theme="1"/>
        <rFont val="Arial"/>
        <family val="2"/>
      </rPr>
      <t xml:space="preserve">(7) </t>
    </r>
  </si>
  <si>
    <r>
      <t>Third-party water</t>
    </r>
    <r>
      <rPr>
        <vertAlign val="superscript"/>
        <sz val="10"/>
        <color theme="1"/>
        <rFont val="Arial"/>
        <family val="2"/>
      </rPr>
      <t>(8)</t>
    </r>
  </si>
  <si>
    <t>Other Managed water</t>
  </si>
  <si>
    <t>Evaporation</t>
  </si>
  <si>
    <t>Entrainment</t>
  </si>
  <si>
    <t>Change of Storage</t>
  </si>
  <si>
    <t>(1)   GRI 303-3: Water withdrawal, 303-4: Water discharge, 303-5: Water consumption; SASB EM-MM-140a.1/EM-CO-140a.1: (1) Total fresh water withdrawn, (2) total fresh water consumed, (3) Percentage of each in regions with High or Extremely High Baseline Water Stress (%) (reference our Reporting Index for 3).</t>
  </si>
  <si>
    <t>(2)   Water Stress: Water-stressed areas lack the ability to meet human and ecological demands for fresh water. Water stress components include water availability, quality and accessibility. The proportion of sites in water-stressed areas is 25%. WRI Aqueduct Water Risk Atlas was used to assess water stress.</t>
  </si>
  <si>
    <t>(3)   High-Quality Water: Water that has a high socio-environmental value with multiple beneficial uses (e.g., potable, agricultural, recreational, amenity) and that may require minimal to moderate level of treatment to meet appropriate drinking water standards.</t>
  </si>
  <si>
    <t>(4)   Low-Quality Water: Water that has lower socio-environmental value with lower potential for multiple beneficial uses, excluding adapted ecosystems (e.g., industrial, wastewater and seawater), and that would require significant treatment to raise quality to appropriate drinking water standards.</t>
  </si>
  <si>
    <t xml:space="preserve">(5)   Surface water includes water from precipitation and runoff that is not diverted around the operation, and water inputs from surface waterbodies that may or may not be within the boundaries of our operations. </t>
  </si>
  <si>
    <t>(6)   Groundwater is water from beneath the earth's surface that collects or flows in the porous spaces in soil and rock that is not diverted around the operations.</t>
  </si>
  <si>
    <t>(7)   Seawater includes water obtained from a sea or ocean.</t>
  </si>
  <si>
    <t xml:space="preserve">(8)   Third-party water is water supplied by an entity external to the operation, such as from a municipality. We do not use wastewater from other organizations. </t>
  </si>
  <si>
    <t>(9)   Water withdrawal is water that enters the operational water system and is used to supply the operational water demands. It was previously called ‘water withdrawal for use’ or ‘new water use’.</t>
  </si>
  <si>
    <r>
      <t>Water Metrics by Site (ML)</t>
    </r>
    <r>
      <rPr>
        <b/>
        <vertAlign val="superscript"/>
        <sz val="11"/>
        <color theme="1"/>
        <rFont val="Arial"/>
        <family val="2"/>
      </rPr>
      <t xml:space="preserve">(1) </t>
    </r>
    <r>
      <rPr>
        <b/>
        <sz val="11"/>
        <color theme="1"/>
        <rFont val="Arial"/>
        <family val="2"/>
      </rPr>
      <t xml:space="preserve">- 2022 </t>
    </r>
  </si>
  <si>
    <r>
      <t>Teck</t>
    </r>
    <r>
      <rPr>
        <b/>
        <vertAlign val="superscript"/>
        <sz val="10"/>
        <color theme="0"/>
        <rFont val="Arial"/>
        <family val="2"/>
      </rPr>
      <t>(2)</t>
    </r>
  </si>
  <si>
    <t>Milling &amp; Flotation</t>
  </si>
  <si>
    <t>Heap Leach</t>
  </si>
  <si>
    <t>Smelting</t>
  </si>
  <si>
    <r>
      <t>Water Stressed</t>
    </r>
    <r>
      <rPr>
        <b/>
        <vertAlign val="superscript"/>
        <sz val="10"/>
        <color theme="0"/>
        <rFont val="Arial"/>
        <family val="2"/>
      </rPr>
      <t>(3)</t>
    </r>
  </si>
  <si>
    <t>Elkview Operations (EVO)</t>
  </si>
  <si>
    <t>Fording River Operations (FRO)</t>
  </si>
  <si>
    <t>Line Creek Operations (LCO)</t>
  </si>
  <si>
    <t>Greenhills Operations (GHO)</t>
  </si>
  <si>
    <t>Highland Valley Copper Operations (HVC)</t>
  </si>
  <si>
    <t>Red Dog Operations (RDO)</t>
  </si>
  <si>
    <t>Carmen de Andacollo Operations (CdA)</t>
  </si>
  <si>
    <t>Quebrada Blanca Operations (QB)</t>
  </si>
  <si>
    <t>Water Stressed Aggregated</t>
  </si>
  <si>
    <t>Trail Operations (Trail)</t>
  </si>
  <si>
    <r>
      <t>Water withdrawal</t>
    </r>
    <r>
      <rPr>
        <vertAlign val="superscript"/>
        <sz val="10"/>
        <rFont val="Arial"/>
        <family val="2"/>
      </rPr>
      <t>(4)</t>
    </r>
  </si>
  <si>
    <r>
      <t>Other managed water</t>
    </r>
    <r>
      <rPr>
        <vertAlign val="superscript"/>
        <sz val="10"/>
        <rFont val="Arial"/>
        <family val="2"/>
      </rPr>
      <t>(5)</t>
    </r>
  </si>
  <si>
    <r>
      <t>Operational water use</t>
    </r>
    <r>
      <rPr>
        <vertAlign val="superscript"/>
        <sz val="10"/>
        <rFont val="Arial"/>
        <family val="2"/>
      </rPr>
      <t>(6)</t>
    </r>
  </si>
  <si>
    <r>
      <t>Water reuse/recycle in operations</t>
    </r>
    <r>
      <rPr>
        <vertAlign val="superscript"/>
        <sz val="10"/>
        <rFont val="Arial"/>
        <family val="2"/>
      </rPr>
      <t>(9)</t>
    </r>
  </si>
  <si>
    <r>
      <t>Operational water use intensity</t>
    </r>
    <r>
      <rPr>
        <vertAlign val="superscript"/>
        <sz val="10"/>
        <rFont val="Arial"/>
        <family val="2"/>
      </rPr>
      <t>(7)</t>
    </r>
  </si>
  <si>
    <r>
      <t>New water use intensity</t>
    </r>
    <r>
      <rPr>
        <vertAlign val="superscript"/>
        <sz val="10"/>
        <rFont val="Arial"/>
        <family val="2"/>
      </rPr>
      <t>(8)</t>
    </r>
  </si>
  <si>
    <t>(2)   Includes mining operations for the calculation of number of times water reused and recycled, operational water use intensity, and new water use intensity.</t>
  </si>
  <si>
    <t>(3)   Water stress: Water-stressed areas lack the ability to meet human and ecological demands for fresh water. Water stress components include water availability, quality and accessibility. The proportion of sites in water-stressed areas is 25%. Water Risk Atlas was used to assess water stress.</t>
  </si>
  <si>
    <t>(4)   Water withdrawal is water that enters the operational water system and is used to supply the operational water demands. It was previously called ‘water withdrawal for use’ or ‘new water use’.</t>
  </si>
  <si>
    <t>(5)   Other managed water is water that is actively manageed without intent to supply the operational water demands. It was previously called ‘water withdrawal discharged without use’.</t>
  </si>
  <si>
    <t>(6)   Operational water use is the sum of water withdrawals and water reused/recycled. It was previously called 'total water use'.</t>
  </si>
  <si>
    <r>
      <t>(7)   Operational water use intensity is the volume of operational water use (m</t>
    </r>
    <r>
      <rPr>
        <vertAlign val="superscript"/>
        <sz val="8"/>
        <color rgb="FF000000"/>
        <rFont val="Arial"/>
        <family val="2"/>
      </rPr>
      <t>3</t>
    </r>
    <r>
      <rPr>
        <sz val="8"/>
        <color rgb="FF000000"/>
        <rFont val="Arial"/>
        <family val="2"/>
      </rPr>
      <t>) per tonne of raw coal or ore processed</t>
    </r>
  </si>
  <si>
    <r>
      <t>(8)   New water use intensity is the volume of new water use (m</t>
    </r>
    <r>
      <rPr>
        <vertAlign val="superscript"/>
        <sz val="8"/>
        <color rgb="FF000000"/>
        <rFont val="Arial"/>
        <family val="2"/>
      </rPr>
      <t>3</t>
    </r>
    <r>
      <rPr>
        <sz val="8"/>
        <color rgb="FF000000"/>
        <rFont val="Arial"/>
        <family val="2"/>
      </rPr>
      <t>) per tonne of material processed</t>
    </r>
  </si>
  <si>
    <t>(9)   Mining operations only</t>
  </si>
  <si>
    <r>
      <t>Site-Level Water Withdrawal by Quality and Source (ML)</t>
    </r>
    <r>
      <rPr>
        <b/>
        <vertAlign val="superscript"/>
        <sz val="11"/>
        <color theme="1"/>
        <rFont val="Arial"/>
        <family val="2"/>
      </rPr>
      <t>(1),(2)</t>
    </r>
    <r>
      <rPr>
        <b/>
        <sz val="11"/>
        <color theme="1"/>
        <rFont val="Arial"/>
        <family val="2"/>
      </rPr>
      <t xml:space="preserve"> - 2022</t>
    </r>
  </si>
  <si>
    <t>Teck</t>
  </si>
  <si>
    <r>
      <t>Water Stressed</t>
    </r>
    <r>
      <rPr>
        <b/>
        <vertAlign val="superscript"/>
        <sz val="10"/>
        <color theme="0"/>
        <rFont val="Arial"/>
        <family val="2"/>
      </rPr>
      <t>(9)</t>
    </r>
  </si>
  <si>
    <t>EVO</t>
  </si>
  <si>
    <t>FRO</t>
  </si>
  <si>
    <t>LCO</t>
  </si>
  <si>
    <t>GHO</t>
  </si>
  <si>
    <t>HVC</t>
  </si>
  <si>
    <t>RDO</t>
  </si>
  <si>
    <t>CdA</t>
  </si>
  <si>
    <t>QB</t>
  </si>
  <si>
    <r>
      <t>High Quality</t>
    </r>
    <r>
      <rPr>
        <b/>
        <vertAlign val="superscript"/>
        <sz val="10"/>
        <color theme="0"/>
        <rFont val="Arial"/>
        <family val="2"/>
      </rPr>
      <t>(7)</t>
    </r>
  </si>
  <si>
    <r>
      <t>Low Quality</t>
    </r>
    <r>
      <rPr>
        <b/>
        <vertAlign val="superscript"/>
        <sz val="10"/>
        <color theme="0"/>
        <rFont val="Arial"/>
        <family val="2"/>
      </rPr>
      <t>(8)</t>
    </r>
  </si>
  <si>
    <r>
      <t>Withdrawal from surface water</t>
    </r>
    <r>
      <rPr>
        <vertAlign val="superscript"/>
        <sz val="10"/>
        <rFont val="Arial"/>
        <family val="2"/>
      </rPr>
      <t>(3)</t>
    </r>
  </si>
  <si>
    <r>
      <t>Withdrawal from groundwater</t>
    </r>
    <r>
      <rPr>
        <vertAlign val="superscript"/>
        <sz val="10"/>
        <rFont val="Arial"/>
        <family val="2"/>
      </rPr>
      <t>(4)</t>
    </r>
  </si>
  <si>
    <r>
      <t>Withdrawal from seawater</t>
    </r>
    <r>
      <rPr>
        <vertAlign val="superscript"/>
        <sz val="10"/>
        <rFont val="Arial"/>
        <family val="2"/>
      </rPr>
      <t>(5)</t>
    </r>
  </si>
  <si>
    <r>
      <t>Withdrawal from third-party</t>
    </r>
    <r>
      <rPr>
        <vertAlign val="superscript"/>
        <sz val="10"/>
        <rFont val="Arial"/>
        <family val="2"/>
      </rPr>
      <t>(6)</t>
    </r>
  </si>
  <si>
    <t xml:space="preserve">(1)   GRI 303-3: Water withdrawal. </t>
  </si>
  <si>
    <t xml:space="preserve">(3)   Surface water includes water from precipitation and runoff that is not diverted around the operation, and water inputs from surface waterbodies that may or may not be within the boundaries of our operations. </t>
  </si>
  <si>
    <t>(4)   Groundwater is water from beneath the earth's surface that collects or flows in the porous spaces in soil and rock that is not diverted around the operations.</t>
  </si>
  <si>
    <t>(5)   Seawater includes water obtained from a sea or ocean.</t>
  </si>
  <si>
    <t xml:space="preserve">(6)   Third-party water is water supplied by an entity external to the operation, such as from a municipality. We do not use wastewater from other organizations. </t>
  </si>
  <si>
    <r>
      <t>(7)</t>
    </r>
    <r>
      <rPr>
        <sz val="7"/>
        <color rgb="FF000000"/>
        <rFont val="Arial"/>
        <family val="2"/>
      </rPr>
      <t xml:space="preserve">   </t>
    </r>
    <r>
      <rPr>
        <sz val="8"/>
        <color rgb="FF000000"/>
        <rFont val="Arial"/>
        <family val="2"/>
      </rPr>
      <t>High-Quality Water: Water that has a high socio-environmental value with multiple beneficial uses (e.g., potable, agricultural, recreational, amenity) and that may require minimal to moderate level of treatment to meet appropriate drinking water standards.</t>
    </r>
  </si>
  <si>
    <r>
      <t xml:space="preserve">(8) </t>
    </r>
    <r>
      <rPr>
        <sz val="7"/>
        <color rgb="FF000000"/>
        <rFont val="Arial"/>
        <family val="2"/>
      </rPr>
      <t xml:space="preserve">  </t>
    </r>
    <r>
      <rPr>
        <sz val="8"/>
        <color rgb="FF000000"/>
        <rFont val="Arial"/>
        <family val="2"/>
      </rPr>
      <t>Low-Quality Water: Water that has lower socio-environmental value with lower potential for multiple beneficial uses, excluding adapted ecosystems (e.g., industrial, wastewater and seawater), and that would require significant treatment to raise quality to appropriate drinking water standards.</t>
    </r>
  </si>
  <si>
    <t>(9)   Water stress: Water-stressed areas lack the ability to meet human and ecological demands for fresh water. Water stress components include water availability, quality and accessibility. The proportion of sites in water-stressed areas is 25%. Water Risk Atlas was used to assess water stress.</t>
  </si>
  <si>
    <t xml:space="preserve">Site-Level Water Discharge by Treatment Type (ML) - 2022 </t>
  </si>
  <si>
    <r>
      <t>Water Stressed</t>
    </r>
    <r>
      <rPr>
        <b/>
        <vertAlign val="superscript"/>
        <sz val="10"/>
        <color theme="0"/>
        <rFont val="Arial"/>
        <family val="2"/>
      </rPr>
      <t>(7)</t>
    </r>
  </si>
  <si>
    <r>
      <t>Untreated discharge to a destination other than a third-party</t>
    </r>
    <r>
      <rPr>
        <vertAlign val="superscript"/>
        <sz val="10"/>
        <rFont val="Arial"/>
        <family val="2"/>
      </rPr>
      <t>(1)</t>
    </r>
  </si>
  <si>
    <r>
      <t>Untreated discharge to a third-party</t>
    </r>
    <r>
      <rPr>
        <vertAlign val="superscript"/>
        <sz val="10"/>
        <rFont val="Arial"/>
        <family val="2"/>
      </rPr>
      <t>(2)</t>
    </r>
  </si>
  <si>
    <r>
      <t>Primary treatment</t>
    </r>
    <r>
      <rPr>
        <vertAlign val="superscript"/>
        <sz val="10"/>
        <rFont val="Arial"/>
        <family val="2"/>
      </rPr>
      <t>(3)</t>
    </r>
  </si>
  <si>
    <r>
      <t>Secondary treatment</t>
    </r>
    <r>
      <rPr>
        <vertAlign val="superscript"/>
        <sz val="10"/>
        <rFont val="Arial"/>
        <family val="2"/>
      </rPr>
      <t>(4)</t>
    </r>
  </si>
  <si>
    <r>
      <t>Tertiary treatment</t>
    </r>
    <r>
      <rPr>
        <vertAlign val="superscript"/>
        <sz val="10"/>
        <rFont val="Arial"/>
        <family val="2"/>
      </rPr>
      <t>(5)</t>
    </r>
  </si>
  <si>
    <r>
      <t>Other treatment</t>
    </r>
    <r>
      <rPr>
        <vertAlign val="superscript"/>
        <sz val="10"/>
        <rFont val="Arial"/>
        <family val="2"/>
      </rPr>
      <t>(6)</t>
    </r>
  </si>
  <si>
    <t>(1)   Volume of water discharged without treatment and to a destination other than a third party.</t>
  </si>
  <si>
    <t>(2)   Volume of water discharged to a third party which may then treat it.</t>
  </si>
  <si>
    <t>(3)   The physical removal of suspended solids and floating material. Treated discharge is then sent to a destination other than a third party.</t>
  </si>
  <si>
    <t>(4)   The degradation of organic matter and reduction of solids through biological treatment. Treated discharge is then sent to a destination other than a third party.</t>
  </si>
  <si>
    <t>(5)   Removal of suspended, colloidal and dissolved constituents remaining after secondary treatment. Treated discharge is then sent to a destination other than a third party.</t>
  </si>
  <si>
    <t>(6)   Other treatments not considered primary, secondary, or tertiary. Treated discharge is then sent to a destination other than a third party.</t>
  </si>
  <si>
    <t>(7)   Water stress: Water-stressed areas lack the ability to meet human and ecological demands for fresh water. Water stress components include water availability, quality and accessibility. The proportion of sites in water-stressed areas is 25%. Water Risk Atlas was used to assess water stress.</t>
  </si>
  <si>
    <r>
      <t>Site-Level Water Discharge by Quality and Destination (ML)</t>
    </r>
    <r>
      <rPr>
        <b/>
        <vertAlign val="superscript"/>
        <sz val="11"/>
        <color theme="1"/>
        <rFont val="Arial"/>
        <family val="2"/>
      </rPr>
      <t>(1),(2)</t>
    </r>
    <r>
      <rPr>
        <b/>
        <sz val="11"/>
        <color theme="1"/>
        <rFont val="Arial"/>
        <family val="2"/>
      </rPr>
      <t xml:space="preserve"> - 2022</t>
    </r>
  </si>
  <si>
    <r>
      <t>Discharge to surface water</t>
    </r>
    <r>
      <rPr>
        <vertAlign val="superscript"/>
        <sz val="10"/>
        <rFont val="Arial"/>
        <family val="2"/>
      </rPr>
      <t>(3)</t>
    </r>
  </si>
  <si>
    <r>
      <t>Discharge to groundwater</t>
    </r>
    <r>
      <rPr>
        <vertAlign val="superscript"/>
        <sz val="10"/>
        <rFont val="Arial"/>
        <family val="2"/>
      </rPr>
      <t>(4)</t>
    </r>
  </si>
  <si>
    <r>
      <t>Discharge to seawater</t>
    </r>
    <r>
      <rPr>
        <vertAlign val="superscript"/>
        <sz val="10"/>
        <rFont val="Arial"/>
        <family val="2"/>
      </rPr>
      <t>(5)</t>
    </r>
  </si>
  <si>
    <r>
      <t>Discharge to third-party</t>
    </r>
    <r>
      <rPr>
        <vertAlign val="superscript"/>
        <sz val="10"/>
        <rFont val="Arial"/>
        <family val="2"/>
      </rPr>
      <t>(6)</t>
    </r>
  </si>
  <si>
    <t xml:space="preserve">(1)   GRI 303-4: Water discharge. </t>
  </si>
  <si>
    <r>
      <t>(7)</t>
    </r>
    <r>
      <rPr>
        <sz val="7"/>
        <color rgb="FF000000"/>
        <rFont val="Arial"/>
        <family val="2"/>
      </rPr>
      <t xml:space="preserve">    </t>
    </r>
    <r>
      <rPr>
        <sz val="8"/>
        <color rgb="FF000000"/>
        <rFont val="Arial"/>
        <family val="2"/>
      </rPr>
      <t>High-Quality Water: Water that has a high socio-environmental value with multiple beneficial uses (e.g., potable, agricultural, recreational, amenity) and that may require minimal to moderate level of treatment to meet appropriate drinking water standards.</t>
    </r>
  </si>
  <si>
    <r>
      <t>(8)</t>
    </r>
    <r>
      <rPr>
        <sz val="7"/>
        <color rgb="FF000000"/>
        <rFont val="Arial"/>
        <family val="2"/>
      </rPr>
      <t xml:space="preserve">    </t>
    </r>
    <r>
      <rPr>
        <sz val="8"/>
        <color rgb="FF000000"/>
        <rFont val="Arial"/>
        <family val="2"/>
      </rPr>
      <t>Low-Quality Water: Water that has lower socio-environmental value with lower potential for multiple beneficial uses, excluding adapted ecosystems (e.g., industrial, wastewater and seawater), and that would require significant treatment to raise quality to appropriate drinking water standards.</t>
    </r>
  </si>
  <si>
    <r>
      <t>Water Metrics by Quality and Source/Destination (ML)</t>
    </r>
    <r>
      <rPr>
        <b/>
        <vertAlign val="superscript"/>
        <sz val="11"/>
        <color theme="1"/>
        <rFont val="Arial"/>
        <family val="2"/>
      </rPr>
      <t>(1)</t>
    </r>
    <r>
      <rPr>
        <b/>
        <sz val="11"/>
        <color theme="1"/>
        <rFont val="Arial"/>
        <family val="2"/>
      </rPr>
      <t xml:space="preserve"> - 2021</t>
    </r>
  </si>
  <si>
    <t>(2)   Water Stress: Water-stressed areas lack the ability to meet human and ecological demands for fresh water. Water stress components include water availability, quality and accessibility. The proportion of sites in water-stressed areas is 25%. WRI Aqueduct Water Risk Atlas was used to assess water stress.</t>
  </si>
  <si>
    <t>(3)   High-Quality Water: Water that has a high socio-environmental value with multiple beneficial uses (e.g., potable, agricultural, recreational, amenity) and that may require minimal to moderate level of treatment to meet appropriate drinking water standards.</t>
  </si>
  <si>
    <t>(4)   Low-Quality Water: Water that has lower socio-environmental value with lower potential for multiple beneficial uses, excluding adapted ecosystems (e.g., industrial, wastewater and seawater), and that would require significant treatment to raise quality to appropriate drinking water standards.</t>
  </si>
  <si>
    <t>Social Performance Data: Contents and Standards</t>
  </si>
  <si>
    <t>Health &amp; Safety</t>
  </si>
  <si>
    <t>Health and Safety Performance - Teck Total</t>
  </si>
  <si>
    <t>GRI 403-9</t>
  </si>
  <si>
    <t>EM-MM-320a.1/EM-CO-320a.1</t>
  </si>
  <si>
    <t>Health and Safety Performance - Teck-Operated</t>
  </si>
  <si>
    <t>High Potential Incident Performance - Teck Total</t>
  </si>
  <si>
    <t>High Potential Incident Performance - Teck-Operated</t>
  </si>
  <si>
    <t>Process Safety Events - Teck-Operated</t>
  </si>
  <si>
    <t>Occupational Diseases Cases</t>
  </si>
  <si>
    <t>GRI 403-10</t>
  </si>
  <si>
    <t>Occupational Disease Cases by Year and Gender</t>
  </si>
  <si>
    <t>Occupational Disease Rate by Year</t>
  </si>
  <si>
    <t>Detailed Health and Safety Performance in 2022 - Teck Total</t>
  </si>
  <si>
    <t>Detailed Health and Safety Performance in 2022 - Teck Operated</t>
  </si>
  <si>
    <t>Detailed Health and Safety Performance in 2021 - Teck Total</t>
  </si>
  <si>
    <t>Detailed Health and Safety Performance in 2021 - Teck Operated</t>
  </si>
  <si>
    <t>Detailed Health and Safety Performance in 2020 - Teck Total</t>
  </si>
  <si>
    <t>Detailed Health and Safety Performance in 2020 - Teck Operated</t>
  </si>
  <si>
    <t>Detailed Health and Safety Performance in 2019 - Teck Total</t>
  </si>
  <si>
    <t>Detailed Health and Safety Performance in 2018 - Teck Total</t>
  </si>
  <si>
    <t>Detailed Health and Safety Performance in 2017 - Teck Total</t>
  </si>
  <si>
    <t>Detailed Health and Safety Performance in 2016 - Teck Total</t>
  </si>
  <si>
    <t>2022 Total Recordable Injury Frequency (by scope)</t>
  </si>
  <si>
    <t>2021 Total Recordable Injury Frequency (by scope)</t>
  </si>
  <si>
    <t>2020 Total Recordable Injury Frequency (by scope)</t>
  </si>
  <si>
    <t>2019 Total Recordable Injury Frequency (by scope)</t>
  </si>
  <si>
    <t>2018 Total Recordable Injury Frequency (by scope)</t>
  </si>
  <si>
    <t>2017 Total Recordable Injury Frequency (by scope)</t>
  </si>
  <si>
    <t>2016 Total Recordable Injury Frequency (by scope)</t>
  </si>
  <si>
    <t xml:space="preserve">Global Workforce by Age and Gender </t>
  </si>
  <si>
    <t>GRI 405-1</t>
  </si>
  <si>
    <t>Global Workforce in 2022</t>
  </si>
  <si>
    <t>GRI 2-7</t>
  </si>
  <si>
    <t>EM-MM-000.B</t>
  </si>
  <si>
    <t>Workforce by Employment Level</t>
  </si>
  <si>
    <t>Total Employees by Employment Type (Temporary and Permanent) and Gender</t>
  </si>
  <si>
    <t>Total Employees by Employment Type (Temporary and Permanent) and Region</t>
  </si>
  <si>
    <t>Employees by Employment Type (Part-Time and Full-Time) and Gender</t>
  </si>
  <si>
    <t>New Hires by Age Group, Country and Gender in 2022</t>
  </si>
  <si>
    <t>GRI 401-1</t>
  </si>
  <si>
    <t>New Hires by Age Group, Country and Gender in 2021</t>
  </si>
  <si>
    <t>New Hires by Age Group, Country and Gender in 2020</t>
  </si>
  <si>
    <t>New Hires by Age Group, Country and Gender in 2019</t>
  </si>
  <si>
    <t>Total Employee Turnover</t>
  </si>
  <si>
    <t>Return to Work and Retention Rates After Parental Leave</t>
  </si>
  <si>
    <t>GRI 401-3</t>
  </si>
  <si>
    <t>Investment Spend on Training</t>
  </si>
  <si>
    <t>Average Hours of Training per Employee</t>
  </si>
  <si>
    <t>GRI 404-1</t>
  </si>
  <si>
    <t>Diversity of Governance Bodies (as of December 31, 2022)</t>
  </si>
  <si>
    <t>GRI 2-9, 405-1</t>
  </si>
  <si>
    <t>Diversity of Governance Bodies (as of December 31, 2021)</t>
  </si>
  <si>
    <t>Diversity of Governance Bodies (as of December 31, 2020)</t>
  </si>
  <si>
    <t>Entry Level Wage Compared to Local Minimum Wage</t>
  </si>
  <si>
    <t>GRI 202-1</t>
  </si>
  <si>
    <t>Ratio of Basic Salary and Remuneration</t>
  </si>
  <si>
    <t>GRI 405-2</t>
  </si>
  <si>
    <t>Annual Total Compensation Ratio (As of December 31, 2022)</t>
  </si>
  <si>
    <t>GRI 2-21</t>
  </si>
  <si>
    <t>Annual Total Compensation Ratio (2020-2021)</t>
  </si>
  <si>
    <t>GRI 102-38 (2020)</t>
  </si>
  <si>
    <t>Percentage Increase in Annual Total Compensation Ratio (2020-2021)</t>
  </si>
  <si>
    <t>Total Grievances Received through Feedback Mechanisms by Topic Category</t>
  </si>
  <si>
    <t>Significant Disputes</t>
  </si>
  <si>
    <t>GRI G4 MM6</t>
  </si>
  <si>
    <t xml:space="preserve">Company-wide Procurement Spend on Suppliers Who Self-Identified as Indigenous </t>
  </si>
  <si>
    <t>Community Investment Focused on Indigenous Peoples</t>
  </si>
  <si>
    <t>Number of Active Indigenous Agreements</t>
  </si>
  <si>
    <t>GRI G4 MM5</t>
  </si>
  <si>
    <t>Active Agreements with Indigenous Peoples</t>
  </si>
  <si>
    <r>
      <t>Health and Safety Performance - Teck Total</t>
    </r>
    <r>
      <rPr>
        <b/>
        <vertAlign val="superscript"/>
        <sz val="11"/>
        <color rgb="FF000000"/>
        <rFont val="Arial"/>
        <family val="2"/>
      </rPr>
      <t>(1),(2),(3),(4),(5),(6),(7),(8)</t>
    </r>
  </si>
  <si>
    <t>Total Recordable Injury Frequency</t>
  </si>
  <si>
    <t>Lost-Time Injuries</t>
  </si>
  <si>
    <r>
      <t>114</t>
    </r>
    <r>
      <rPr>
        <vertAlign val="superscript"/>
        <sz val="10"/>
        <color theme="1"/>
        <rFont val="Arial"/>
        <family val="2"/>
      </rPr>
      <t>(9)</t>
    </r>
  </si>
  <si>
    <t>Lost-Time Injury Frequency</t>
  </si>
  <si>
    <t>Disabling Injury Frequency</t>
  </si>
  <si>
    <t>Lost-Time Disabling Injury Frequency</t>
  </si>
  <si>
    <r>
      <t>0.39</t>
    </r>
    <r>
      <rPr>
        <vertAlign val="superscript"/>
        <sz val="10"/>
        <color theme="1"/>
        <rFont val="Arial"/>
        <family val="2"/>
      </rPr>
      <t>(9)</t>
    </r>
  </si>
  <si>
    <t>Lost-Time Injury Severity</t>
  </si>
  <si>
    <r>
      <t>31.7</t>
    </r>
    <r>
      <rPr>
        <vertAlign val="superscript"/>
        <sz val="10"/>
        <color theme="1"/>
        <rFont val="Arial"/>
        <family val="2"/>
      </rPr>
      <t>(9)</t>
    </r>
  </si>
  <si>
    <t>Number of Fatalities</t>
  </si>
  <si>
    <r>
      <t>1.2</t>
    </r>
    <r>
      <rPr>
        <vertAlign val="superscript"/>
        <sz val="10"/>
        <color theme="1"/>
        <rFont val="Arial"/>
        <family val="2"/>
      </rPr>
      <t>(10)</t>
    </r>
  </si>
  <si>
    <r>
      <t>0.4</t>
    </r>
    <r>
      <rPr>
        <vertAlign val="superscript"/>
        <sz val="10"/>
        <color rgb="FF000000"/>
        <rFont val="Arial"/>
        <family val="2"/>
      </rPr>
      <t>(11)</t>
    </r>
  </si>
  <si>
    <r>
      <t>1.2</t>
    </r>
    <r>
      <rPr>
        <vertAlign val="superscript"/>
        <sz val="10"/>
        <color rgb="FF000000"/>
        <rFont val="Arial"/>
        <family val="2"/>
      </rPr>
      <t>(11)</t>
    </r>
  </si>
  <si>
    <t>Fatality Rate</t>
  </si>
  <si>
    <t>NR</t>
  </si>
  <si>
    <t xml:space="preserve">(1)   Safety statistics include both employees and contractors at all of our locations (operations, projects, closed properties, exploration sites and offices). For sites where Teck owns more than 50%, safety statistics are weighted 100%; for sites where Teck owns 50% or less, safety statistics are weighted according to Teck’s ownership of the operation. This includes the Antamina mine (22.5% interest), Fort Hills mine (21.3% interest), Neptune Bulk Terminals (Coal) (100% interest) and NuevaUnión (50% interest). We define incidents according to the requirements of the U.S. Department of Labor’s Mine Safety and Health Administration. Severity is calculated as the number of days missed due to Lost-Time Injuries per 200,000 hours worked.  </t>
  </si>
  <si>
    <t>(2)   Decrease in severity in 2022 is in part a consequence of having no fatalities in 2022 versus 1 fatality in 2021. Each fatality results in counting 6,000 lost days.</t>
  </si>
  <si>
    <t>(3)   A Lost-Time Injury is an occupational injury that results in loss of one or more days beyond the initial day of the injury from the employee's scheduled work beyond the date of injury.</t>
  </si>
  <si>
    <t>(4)   A Disabling Injury is a work-related injury that, by orders of a qualified practitioner, designates a person, although at work, unable to perform their full range of regular work duties on the next scheduled work shift after the day of the injury.</t>
  </si>
  <si>
    <t xml:space="preserve">(5)   A fatality is defined as a work-related injury that results in the loss of life. This does not include deaths from occupational disease or illness. </t>
  </si>
  <si>
    <t xml:space="preserve">(6)   Frequency indicators in this table are calculated by the number of events in the period multiplied by 200,000 and divided by the number of exposure hours in the period, which refers to the total number of actual hours worked by employees/contractors at a site where one or more employees/contractors are working or are present as a condition of their employment and are carrying out activities related to their employment duties. Hours of exposure may be calculated differently from site to site; for example, time sheets, estimations and data from human resources are inputs into the total number of exposure hours. </t>
  </si>
  <si>
    <t>(7)   In 2021, health and safety definitions used in our Chilean sites were refined to match Teck’s global definitions, which are aligned to the Mine Safety and Health Administration (MSHA). Accordingly, the results may not be comparable to previous years’ reporting.</t>
  </si>
  <si>
    <t>(8)   GRI 403-9: Work-related injuries; SASB EM-MM-320a.1/EM-CO-320a.1: (1) MSHA all-incidence rate, (2) fatality rate, (3) near miss frequency rate (NMFR) and (4) average hours of health, safety, and emergency response training for (a) full-time employees and (b) contract employees.</t>
  </si>
  <si>
    <t xml:space="preserve">(9)   Non-material adjustments have been applied to 2021 Lost-Time Injury metrics to reflect historical accuracy.   </t>
  </si>
  <si>
    <t>(11)  In 2020 and 2019, there were fatalities at Fort Hills oil sands mine, which is operated by Suncor. See their sustainability reports for further information.</t>
  </si>
  <si>
    <r>
      <t>Health and Safety Performance - Teck-Operated</t>
    </r>
    <r>
      <rPr>
        <b/>
        <vertAlign val="superscript"/>
        <sz val="11"/>
        <color rgb="FF000000"/>
        <rFont val="Arial"/>
        <family val="2"/>
      </rPr>
      <t>(1),(2),(3),(4),(5),(6),(7),(8)</t>
    </r>
  </si>
  <si>
    <r>
      <t>2016</t>
    </r>
    <r>
      <rPr>
        <b/>
        <vertAlign val="superscript"/>
        <sz val="10"/>
        <color theme="0"/>
        <rFont val="Arial"/>
        <family val="2"/>
      </rPr>
      <t>(7)</t>
    </r>
  </si>
  <si>
    <r>
      <t>31.95</t>
    </r>
    <r>
      <rPr>
        <vertAlign val="superscript"/>
        <sz val="10"/>
        <color theme="1"/>
        <rFont val="Arial"/>
        <family val="2"/>
      </rPr>
      <t>(9)</t>
    </r>
  </si>
  <si>
    <t xml:space="preserve">(1)   Safety statistics include both employees and contractors at all of our locations in which Teck holds majority ownership and directly manages (operations, projects, closed properties, exploration sites and offices). For sites where Teck owns more than 50%, safety statistics are weighted 100%. We define incidents according to the requirements of the U.S. Department of Labor’s Mine Safety and Health Administration. Severity is calculated as the number of days missed due to Lost-Time Injuries per 200,000 hours worked. </t>
  </si>
  <si>
    <t xml:space="preserve">(7)   In 2021, there was a transition period to align our Chilean sites to Teck’s global definitions. Accordingly, QB2 2022 results are not comparable to previous reporting years.  </t>
  </si>
  <si>
    <t>(8)   GRI 403-9: Work-related injuries, SASB EM-MM-320a.1/EM-CO-320a.1: (1) MSHA all-incidence rate, (2) fatality rate, (3) near miss frequency rate (NMFR) and (4) average hours of health, safety, and emergency response training for (a) full-time employees and (b) contract employees.</t>
  </si>
  <si>
    <r>
      <t>High Potential Incident Performance - Teck Total</t>
    </r>
    <r>
      <rPr>
        <b/>
        <vertAlign val="superscript"/>
        <sz val="11"/>
        <color rgb="FF000000"/>
        <rFont val="Arial"/>
        <family val="2"/>
      </rPr>
      <t xml:space="preserve">(1),(2),(3),(4) </t>
    </r>
  </si>
  <si>
    <t>High-Potential Incident Frequency</t>
  </si>
  <si>
    <t>Serious High-Potential Incident Frequency</t>
  </si>
  <si>
    <t>Potentially Fatal Occurrence Frequency</t>
  </si>
  <si>
    <t>(4)   SASB EM-MM-320a.1/EM-CO-320a.1: (1) MSHA all-incidence rate, (2) fatality rate, (3) near miss frequency rate (NMFR) and (4) average hours of health, safety, and emergency response training for (a) full-time employees and (b) contract employees.</t>
  </si>
  <si>
    <r>
      <t>High Potential Incident Performance - Teck-Operated</t>
    </r>
    <r>
      <rPr>
        <b/>
        <vertAlign val="superscript"/>
        <sz val="11"/>
        <color rgb="FF000000"/>
        <rFont val="Arial"/>
        <family val="2"/>
      </rPr>
      <t xml:space="preserve">(1),(2),(3),(4) </t>
    </r>
  </si>
  <si>
    <t>(1)   Frequency indicators are calculated by the number of events in the period multiplied by 200,000 and divided by the number of exposure hours in the period, which refers to the total number of actual hours worked by employees/contractors at a site where one or more employees/contractors are working or are present as a condition of their employment and are carrying out activities related to their employment duties.</t>
  </si>
  <si>
    <t>(3)   Safety statistics include both employees and contractors at all of our locations in which Teck holds majority ownership and directly manages (operations, projects, closed properties, exploration sites and offices). For sites where Teck owns more than 50%, safety statistics are weighted 100%.</t>
  </si>
  <si>
    <r>
      <t>Process Safety Events - Teck-Operated</t>
    </r>
    <r>
      <rPr>
        <b/>
        <vertAlign val="superscript"/>
        <sz val="11"/>
        <color rgb="FF000000"/>
        <rFont val="Arial"/>
        <family val="2"/>
      </rPr>
      <t xml:space="preserve">(1),(2) </t>
    </r>
  </si>
  <si>
    <t>Processs Related HPIs</t>
  </si>
  <si>
    <t>Frequency per 1,000,000 hours</t>
  </si>
  <si>
    <t xml:space="preserve">(1)   Teck-operated data covers all operations in which Teck holds majority ownership and directly manages. </t>
  </si>
  <si>
    <t>(2)   SASB EM-MM-320a.1/EM-CO-320a.1: (1) MSHA all-incidence rate, (2) fatality rate, (3) near miss frequency rate (NMFR) and (4) average hours of health, safety, and emergency response training for (a) full-time employees and (b) contract employees.</t>
  </si>
  <si>
    <r>
      <t>Occupational Diseases Cases</t>
    </r>
    <r>
      <rPr>
        <b/>
        <vertAlign val="superscript"/>
        <sz val="11"/>
        <color rgb="FF000000"/>
        <rFont val="Arial"/>
        <family val="2"/>
      </rPr>
      <t>(1),(2),(3),(4)</t>
    </r>
  </si>
  <si>
    <t>Disease Category</t>
  </si>
  <si>
    <t>Respiratory Disorders</t>
  </si>
  <si>
    <r>
      <t>Hearing Loss</t>
    </r>
    <r>
      <rPr>
        <vertAlign val="superscript"/>
        <sz val="10"/>
        <rFont val="Arial"/>
        <family val="2"/>
      </rPr>
      <t>(4)</t>
    </r>
  </si>
  <si>
    <t>Musculoskeletal Disorders</t>
  </si>
  <si>
    <t>Cancer</t>
  </si>
  <si>
    <t>Other Medical Disorders</t>
  </si>
  <si>
    <r>
      <t xml:space="preserve">(1)  </t>
    </r>
    <r>
      <rPr>
        <sz val="7"/>
        <color theme="1"/>
        <rFont val="Times New Roman"/>
        <family val="1"/>
      </rPr>
      <t> </t>
    </r>
    <r>
      <rPr>
        <sz val="8"/>
        <color theme="1"/>
        <rFont val="Arial"/>
        <family val="2"/>
      </rPr>
      <t xml:space="preserve">Occupational disease data is collected from insurance providers such as WorkSafeBC; global exploration sites or marketing offices are not included. </t>
    </r>
  </si>
  <si>
    <t>(3)   Workers’ compensation claims data is for accepted claims over the past four years and is for employees only; contractor data is not included.</t>
  </si>
  <si>
    <t>(5)   GRI 403-10: Work-related ill health; SASB EM-MM-320a.1/EM-CO-320a.1: (1) MSHA all-incidence rate, (2) fatality rate, (3) near miss frequency rate (NMFR) and (4) average hours of health, safety, and emergency response training for (a) full-time employees and (b) contract employees.</t>
  </si>
  <si>
    <r>
      <t>Occupational Disease Cases by Year and Gender</t>
    </r>
    <r>
      <rPr>
        <b/>
        <vertAlign val="superscript"/>
        <sz val="11"/>
        <color rgb="FF000000"/>
        <rFont val="Arial"/>
        <family val="2"/>
      </rPr>
      <t xml:space="preserve">(1),(2),(3),(4),(5) </t>
    </r>
  </si>
  <si>
    <t>Female</t>
  </si>
  <si>
    <t>Male</t>
  </si>
  <si>
    <r>
      <t xml:space="preserve">(2)  </t>
    </r>
    <r>
      <rPr>
        <sz val="7"/>
        <color theme="1"/>
        <rFont val="Times New Roman"/>
        <family val="1"/>
      </rPr>
      <t> </t>
    </r>
    <r>
      <rPr>
        <sz val="8"/>
        <color theme="1"/>
        <rFont val="Arial"/>
        <family val="2"/>
      </rPr>
      <t>Occupational diseases are defined as an adverse, generally chronic and irreversible health effect associated with overexposure to chemical, physical or biological agents in the workplace (e.g., silicosis, bladder cancer, berylliosis, metal fume fever, asthma).</t>
    </r>
  </si>
  <si>
    <t>(4)   The reporting for hearing loss may be under-reported, due to limited data availability.</t>
  </si>
  <si>
    <t xml:space="preserve">(5)   GRI 403-10: Work-related ill health. </t>
  </si>
  <si>
    <r>
      <t>Occupational Disease Rate by Year</t>
    </r>
    <r>
      <rPr>
        <b/>
        <vertAlign val="superscript"/>
        <sz val="11"/>
        <color rgb="FF000000"/>
        <rFont val="Arial"/>
        <family val="2"/>
      </rPr>
      <t>(1),(2),(3),(4)</t>
    </r>
  </si>
  <si>
    <r>
      <t>2018</t>
    </r>
    <r>
      <rPr>
        <b/>
        <vertAlign val="superscript"/>
        <sz val="10"/>
        <color theme="0"/>
        <rFont val="Arial"/>
        <family val="2"/>
      </rPr>
      <t>(5)</t>
    </r>
  </si>
  <si>
    <r>
      <t>2017</t>
    </r>
    <r>
      <rPr>
        <b/>
        <vertAlign val="superscript"/>
        <sz val="10"/>
        <color theme="0"/>
        <rFont val="Arial"/>
        <family val="2"/>
      </rPr>
      <t>(5)</t>
    </r>
  </si>
  <si>
    <r>
      <t>2016</t>
    </r>
    <r>
      <rPr>
        <b/>
        <vertAlign val="superscript"/>
        <sz val="10"/>
        <color theme="0"/>
        <rFont val="Arial"/>
        <family val="2"/>
      </rPr>
      <t>(5)</t>
    </r>
  </si>
  <si>
    <t>Total Occupational Disease Rate (per 200,000 hours)</t>
  </si>
  <si>
    <t>Total Occupational Disease Rate (per 1,000,000 hours)</t>
  </si>
  <si>
    <t>(5)   SASB EM-MM-320a.1/EM-CO-320a.1: (1) MSHA all-incidence rate, (2) fatality rate, (3) near miss frequency rate (NMFR) and (4) average hours of health, safety, and emergency response training for (a) full-time employees and (b) contract employees.</t>
  </si>
  <si>
    <r>
      <t>Detailed Health and Safety Performance in 2022 - Teck Total</t>
    </r>
    <r>
      <rPr>
        <b/>
        <vertAlign val="superscript"/>
        <sz val="11"/>
        <color rgb="FF000000"/>
        <rFont val="Arial"/>
        <family val="2"/>
      </rPr>
      <t>(1),(2)</t>
    </r>
  </si>
  <si>
    <t>USA</t>
  </si>
  <si>
    <t>Combined</t>
  </si>
  <si>
    <t>Employees</t>
  </si>
  <si>
    <t>Contractors</t>
  </si>
  <si>
    <t>Lost Time Injury Frequency</t>
  </si>
  <si>
    <t>Lost Time Disabling Injury Frequency</t>
  </si>
  <si>
    <t>Medical Aid Frequency</t>
  </si>
  <si>
    <t>Lost Time Injury Severity</t>
  </si>
  <si>
    <t>Disabling Injury Severity</t>
  </si>
  <si>
    <t>(2)   GRI 403-9: Work-related injuries; SASB EM-MM-320a.1/EM-CO-320a.1: (1) MSHA all-incidence rate, (2) fatality rate, (3) near miss frequency rate (NMFR) and (4) average hours of health, safety, and emergency response training for (a) full-time employees and (b) contract employees.</t>
  </si>
  <si>
    <r>
      <t>Detailed Health and Safety Performance in 2022 - Teck Operated</t>
    </r>
    <r>
      <rPr>
        <b/>
        <vertAlign val="superscript"/>
        <sz val="11"/>
        <color rgb="FF000000"/>
        <rFont val="Arial"/>
        <family val="2"/>
      </rPr>
      <t>(1),(2)</t>
    </r>
  </si>
  <si>
    <t>(1)   Safety statistics in this table covers all of our locations in which Teck holds majority ownership and directly manages (operations, projects, closed properties, exploration sites and offices). For sites where Teck owns more than 50%, safety statistics are weighted 100%.</t>
  </si>
  <si>
    <r>
      <t>Detailed Health and Safety Performance in 2021 - Teck Total</t>
    </r>
    <r>
      <rPr>
        <b/>
        <vertAlign val="superscript"/>
        <sz val="11"/>
        <color rgb="FF000000"/>
        <rFont val="Arial"/>
        <family val="2"/>
      </rPr>
      <t>(1),(2)</t>
    </r>
  </si>
  <si>
    <t>(1)   Safety statistics in this table cover all of our locations (operations, projects, closed properties, exploration sites and offices). For sites where Teck owns more than 50%, safety statistics are weighted 100%; for sites where Teck owns 50% or less, safety statistics are weighted according to Teck’s ownership of the operation. This includes the Antamina mine (22.5% interest), Fort Hills mine (21.3% interest), Neptune Bulk Terminals (Coal) (100% interest), and NuevaUnión (50% interest).</t>
  </si>
  <si>
    <r>
      <t>Detailed Health and Safety Performance in 2021 - Teck Operated</t>
    </r>
    <r>
      <rPr>
        <b/>
        <vertAlign val="superscript"/>
        <sz val="11"/>
        <color rgb="FF000000"/>
        <rFont val="Arial"/>
        <family val="2"/>
      </rPr>
      <t>(1),(2)</t>
    </r>
  </si>
  <si>
    <r>
      <t>Detailed Health and Safety Performance in 2020 - Teck Total</t>
    </r>
    <r>
      <rPr>
        <b/>
        <vertAlign val="superscript"/>
        <sz val="11"/>
        <color rgb="FF000000"/>
        <rFont val="Arial"/>
        <family val="2"/>
      </rPr>
      <t>(1),(2)</t>
    </r>
  </si>
  <si>
    <r>
      <t>Detailed Health and Safety Performance in 2020 - Teck Operated</t>
    </r>
    <r>
      <rPr>
        <b/>
        <vertAlign val="superscript"/>
        <sz val="11"/>
        <color rgb="FF000000"/>
        <rFont val="Arial"/>
        <family val="2"/>
      </rPr>
      <t>(1),(2)</t>
    </r>
  </si>
  <si>
    <r>
      <t>Detailed Health and Safety Performance in 2019 - Teck Total</t>
    </r>
    <r>
      <rPr>
        <b/>
        <vertAlign val="superscript"/>
        <sz val="11"/>
        <color rgb="FF000000"/>
        <rFont val="Arial"/>
        <family val="2"/>
      </rPr>
      <t>(1),(2)</t>
    </r>
  </si>
  <si>
    <r>
      <t>Detailed Health and Safety Performance in 2018 - Teck Total</t>
    </r>
    <r>
      <rPr>
        <b/>
        <vertAlign val="superscript"/>
        <sz val="11"/>
        <color rgb="FF000000"/>
        <rFont val="Arial"/>
        <family val="2"/>
      </rPr>
      <t>(1),(2)</t>
    </r>
  </si>
  <si>
    <t xml:space="preserve">(2)   GRI 403-9: Work-related injuries; SASB EM-MM-320a.1/EM-CO-320a.1: (1) MSHA all-incidence rate, (2) fatality rate, (3) near miss frequency rate (NMFR) and (4) average hours of health, safety, and emergency response training for (a) full-time employees and (b) contract employees. </t>
  </si>
  <si>
    <r>
      <t>Detailed Health and Safety Performance in 2017 - Teck Total</t>
    </r>
    <r>
      <rPr>
        <b/>
        <vertAlign val="superscript"/>
        <sz val="11"/>
        <color rgb="FF000000"/>
        <rFont val="Arial"/>
        <family val="2"/>
      </rPr>
      <t>(1),(2)</t>
    </r>
  </si>
  <si>
    <r>
      <t>Detailed Health and Safety Performance in 2016 - Teck Total</t>
    </r>
    <r>
      <rPr>
        <b/>
        <vertAlign val="superscript"/>
        <sz val="11"/>
        <color rgb="FF000000"/>
        <rFont val="Arial"/>
        <family val="2"/>
      </rPr>
      <t>(1),(2)</t>
    </r>
  </si>
  <si>
    <r>
      <t>2022 Total Recordable Injury Frequency (by scope)</t>
    </r>
    <r>
      <rPr>
        <b/>
        <vertAlign val="superscript"/>
        <sz val="11"/>
        <color rgb="FF000000"/>
        <rFont val="Arial"/>
        <family val="2"/>
      </rPr>
      <t>(1)</t>
    </r>
  </si>
  <si>
    <r>
      <t>Teck Operated</t>
    </r>
    <r>
      <rPr>
        <b/>
        <vertAlign val="superscript"/>
        <sz val="10"/>
        <color theme="0"/>
        <rFont val="Arial"/>
        <family val="2"/>
      </rPr>
      <t>(2)</t>
    </r>
  </si>
  <si>
    <r>
      <t>Teck Total</t>
    </r>
    <r>
      <rPr>
        <b/>
        <vertAlign val="superscript"/>
        <sz val="10"/>
        <color theme="0"/>
        <rFont val="Arial"/>
        <family val="2"/>
      </rPr>
      <t>(3)</t>
    </r>
  </si>
  <si>
    <t>Total Recordable Injury Frequency (per 200,000 hours)</t>
  </si>
  <si>
    <t>Total Recordable Injury Frequency (per 1,000,000 hours)</t>
  </si>
  <si>
    <r>
      <t>2021 Total Recordable Injury Frequency (by scope)</t>
    </r>
    <r>
      <rPr>
        <b/>
        <vertAlign val="superscript"/>
        <sz val="11"/>
        <color rgb="FF000000"/>
        <rFont val="Arial"/>
        <family val="2"/>
      </rPr>
      <t>(1)</t>
    </r>
  </si>
  <si>
    <r>
      <t>2020 Total Recordable Injury Frequency (by scope)</t>
    </r>
    <r>
      <rPr>
        <b/>
        <vertAlign val="superscript"/>
        <sz val="11"/>
        <color rgb="FF000000"/>
        <rFont val="Arial"/>
        <family val="2"/>
      </rPr>
      <t>(1)</t>
    </r>
  </si>
  <si>
    <r>
      <t>2019 Total Recordable Injury Frequency (by scope)</t>
    </r>
    <r>
      <rPr>
        <b/>
        <vertAlign val="superscript"/>
        <sz val="11"/>
        <color rgb="FF000000"/>
        <rFont val="Arial"/>
        <family val="2"/>
      </rPr>
      <t>(1)</t>
    </r>
  </si>
  <si>
    <r>
      <t>2018 Total Recordable Injury Frequency (by scope)</t>
    </r>
    <r>
      <rPr>
        <b/>
        <vertAlign val="superscript"/>
        <sz val="11"/>
        <color rgb="FF000000"/>
        <rFont val="Arial"/>
        <family val="2"/>
      </rPr>
      <t>(1)</t>
    </r>
  </si>
  <si>
    <r>
      <t>2017 Total Recordable Injury Frequency (by scope)</t>
    </r>
    <r>
      <rPr>
        <b/>
        <vertAlign val="superscript"/>
        <sz val="11"/>
        <color rgb="FF000000"/>
        <rFont val="Arial"/>
        <family val="2"/>
      </rPr>
      <t>(1)</t>
    </r>
    <r>
      <rPr>
        <b/>
        <sz val="11"/>
        <color rgb="FF000000"/>
        <rFont val="Arial"/>
        <family val="2"/>
      </rPr>
      <t xml:space="preserve"> </t>
    </r>
  </si>
  <si>
    <r>
      <t>2016 Total Recordable Injury Frequency (by scope)</t>
    </r>
    <r>
      <rPr>
        <b/>
        <vertAlign val="superscript"/>
        <sz val="11"/>
        <color rgb="FF000000"/>
        <rFont val="Arial"/>
        <family val="2"/>
      </rPr>
      <t>(1)</t>
    </r>
  </si>
  <si>
    <t>(1)   GRI 403-9: Work-related injuries; SASB EM-MM-320a.1/EM-CO-320a.1: (1) MSHA all-incidence rate, (2) fatality rate, (3) near miss frequency rate (NMFR) and (4) average hours of health, safety, and emergency response training for (a) full-time employees and (b) contract employees.</t>
  </si>
  <si>
    <t>(2)   Teck operated data covers all operations in which Teck holds majority ownership and directly manages.</t>
  </si>
  <si>
    <t>(3)   Teck total data covers operations that are included in 'Teck Operated' as well as our percentage ownership in operations in which we have a minority ownership and do not directly manage.</t>
  </si>
  <si>
    <r>
      <t>Workforce Demographics</t>
    </r>
    <r>
      <rPr>
        <b/>
        <vertAlign val="superscript"/>
        <sz val="14"/>
        <color rgb="FF000F7B"/>
        <rFont val="Arial"/>
        <family val="2"/>
      </rPr>
      <t>(1),(2)</t>
    </r>
  </si>
  <si>
    <t>Footnotes: Workforce Demographics</t>
  </si>
  <si>
    <t>(1)   Historical human resources-related data may have been restated due to continual enhancement of human resource reporting systems to improve data integrity and the implementation of standard definitions.</t>
  </si>
  <si>
    <t>(2)   Workforce data includes regular, casual and fixed-term employees unless otherwise stated.</t>
  </si>
  <si>
    <r>
      <t>Global Workforce by Age and Gender (as of December 31, 2022)</t>
    </r>
    <r>
      <rPr>
        <b/>
        <vertAlign val="superscript"/>
        <sz val="11"/>
        <rFont val="Arial"/>
        <family val="2"/>
      </rPr>
      <t xml:space="preserve">(1),(2) </t>
    </r>
  </si>
  <si>
    <t>Age</t>
  </si>
  <si>
    <t>Undeclared</t>
  </si>
  <si>
    <t>0 - 24</t>
  </si>
  <si>
    <t>25 - 34</t>
  </si>
  <si>
    <t>35 - 44</t>
  </si>
  <si>
    <t>45 - 54</t>
  </si>
  <si>
    <t>55 - 64</t>
  </si>
  <si>
    <t>65 and over</t>
  </si>
  <si>
    <t>(1)   Information related to gender is based on self-declaration.</t>
  </si>
  <si>
    <t xml:space="preserve">(2)   GRI 405-1: Diversity of governance bodies and employees. </t>
  </si>
  <si>
    <r>
      <t>Global Workforce in 2022 (as of December 31, 2022)</t>
    </r>
    <r>
      <rPr>
        <b/>
        <vertAlign val="superscript"/>
        <sz val="11"/>
        <color theme="1"/>
        <rFont val="Arial"/>
        <family val="2"/>
      </rPr>
      <t>(1),(2)</t>
    </r>
    <r>
      <rPr>
        <b/>
        <sz val="11"/>
        <color theme="1"/>
        <rFont val="Arial"/>
        <family val="2"/>
      </rPr>
      <t xml:space="preserve"> </t>
    </r>
  </si>
  <si>
    <t>Country</t>
  </si>
  <si>
    <t>Namibia</t>
  </si>
  <si>
    <t>China</t>
  </si>
  <si>
    <t>Japan</t>
  </si>
  <si>
    <t>Turkey</t>
  </si>
  <si>
    <t>Australia</t>
  </si>
  <si>
    <t>Ireland</t>
  </si>
  <si>
    <t>Mexico</t>
  </si>
  <si>
    <t>United States</t>
  </si>
  <si>
    <t>Peru</t>
  </si>
  <si>
    <t>UK</t>
  </si>
  <si>
    <t>Unmapped</t>
  </si>
  <si>
    <t xml:space="preserve">(2)   GRI 2-7: Employees; SASB EM-MM-000.B: Total number of employees, percentage contractors. </t>
  </si>
  <si>
    <t>Workforce by Employment Level (as of December 31, 2022)</t>
  </si>
  <si>
    <t>Category</t>
  </si>
  <si>
    <t>Executive &amp; Senior Management</t>
  </si>
  <si>
    <t>Management</t>
  </si>
  <si>
    <t>Professional</t>
  </si>
  <si>
    <t>Professional Support</t>
  </si>
  <si>
    <t>Administration</t>
  </si>
  <si>
    <t>Operations</t>
  </si>
  <si>
    <r>
      <t>Total Employees by Employment Type (Temporary and Permanent) and Gender</t>
    </r>
    <r>
      <rPr>
        <b/>
        <vertAlign val="superscript"/>
        <sz val="11"/>
        <rFont val="Arial"/>
        <family val="2"/>
      </rPr>
      <t xml:space="preserve">(1) </t>
    </r>
  </si>
  <si>
    <t>Temporary</t>
  </si>
  <si>
    <t>Permanent</t>
  </si>
  <si>
    <t xml:space="preserve">(1)   GRI 2-7: Employees. </t>
  </si>
  <si>
    <r>
      <t>Total Employees by Employment Type (Temporary and Permanent) and Region</t>
    </r>
    <r>
      <rPr>
        <b/>
        <vertAlign val="superscript"/>
        <sz val="11"/>
        <rFont val="Arial"/>
        <family val="2"/>
      </rPr>
      <t>(1)</t>
    </r>
    <r>
      <rPr>
        <b/>
        <sz val="11"/>
        <rFont val="Arial"/>
        <family val="2"/>
      </rPr>
      <t xml:space="preserve"> </t>
    </r>
  </si>
  <si>
    <t>n/a</t>
  </si>
  <si>
    <t>2022</t>
  </si>
  <si>
    <t>Part-Time</t>
  </si>
  <si>
    <t>Full-Time</t>
  </si>
  <si>
    <t>Total Workforce</t>
  </si>
  <si>
    <t>STEM-Related Positions</t>
  </si>
  <si>
    <r>
      <t>New Hires by Age Group, Country and Gender in 2022</t>
    </r>
    <r>
      <rPr>
        <b/>
        <vertAlign val="superscript"/>
        <sz val="11"/>
        <rFont val="Arial"/>
        <family val="2"/>
      </rPr>
      <t xml:space="preserve">(1),(2) </t>
    </r>
  </si>
  <si>
    <t>Under 30 years</t>
  </si>
  <si>
    <t>30 to 50 years</t>
  </si>
  <si>
    <t>Over 50 Years</t>
  </si>
  <si>
    <t xml:space="preserve">Female </t>
  </si>
  <si>
    <t>Female Total</t>
  </si>
  <si>
    <t>Male Total</t>
  </si>
  <si>
    <t>Grand Total</t>
  </si>
  <si>
    <t xml:space="preserve">(1)   Includes regular, fixed-term and casual employees, and students. </t>
  </si>
  <si>
    <t xml:space="preserve">(2)   GRI 401-1: New employee hires and employee turnover. </t>
  </si>
  <si>
    <r>
      <t>New Hires by Age Group, Country and Gender in 2021</t>
    </r>
    <r>
      <rPr>
        <b/>
        <vertAlign val="superscript"/>
        <sz val="11"/>
        <rFont val="Arial"/>
        <family val="2"/>
      </rPr>
      <t xml:space="preserve">(1),(2) </t>
    </r>
  </si>
  <si>
    <t>(1)   Includes regular, fixed-term and casual employees, and students</t>
  </si>
  <si>
    <r>
      <t>New Hires by Age Group, Country and Gender in 2020</t>
    </r>
    <r>
      <rPr>
        <b/>
        <vertAlign val="superscript"/>
        <sz val="11"/>
        <rFont val="Arial"/>
        <family val="2"/>
      </rPr>
      <t xml:space="preserve">(1) </t>
    </r>
  </si>
  <si>
    <t xml:space="preserve">(1)   GRI 401-1: New employee hires and employee turnover. </t>
  </si>
  <si>
    <r>
      <t>New Hires by Age Group, Country and Gender in 2019</t>
    </r>
    <r>
      <rPr>
        <b/>
        <vertAlign val="superscript"/>
        <sz val="11"/>
        <rFont val="Arial"/>
        <family val="2"/>
      </rPr>
      <t xml:space="preserve">(1) </t>
    </r>
  </si>
  <si>
    <r>
      <t>Total Employee Turnover</t>
    </r>
    <r>
      <rPr>
        <b/>
        <vertAlign val="superscript"/>
        <sz val="11"/>
        <rFont val="Arial"/>
        <family val="2"/>
      </rPr>
      <t xml:space="preserve">(1),(2) </t>
    </r>
  </si>
  <si>
    <t>Voluntary Turnover Rate</t>
  </si>
  <si>
    <t>Total Turnover</t>
  </si>
  <si>
    <t>(1)   Employee turnover data includes regular employees only.</t>
  </si>
  <si>
    <r>
      <t>Return to Work and Retention Rates After Parental Leave</t>
    </r>
    <r>
      <rPr>
        <b/>
        <vertAlign val="superscript"/>
        <sz val="11"/>
        <rFont val="Arial"/>
        <family val="2"/>
      </rPr>
      <t xml:space="preserve">(1),(2),(3),(4),(5) </t>
    </r>
  </si>
  <si>
    <r>
      <t>2018</t>
    </r>
    <r>
      <rPr>
        <b/>
        <vertAlign val="superscript"/>
        <sz val="10"/>
        <color theme="0"/>
        <rFont val="Arial"/>
        <family val="2"/>
      </rPr>
      <t xml:space="preserve">(4) </t>
    </r>
  </si>
  <si>
    <t>Number of employees who took parental leave</t>
  </si>
  <si>
    <r>
      <t>Number of employees who returned to work after parental leave ended</t>
    </r>
    <r>
      <rPr>
        <vertAlign val="superscript"/>
        <sz val="10"/>
        <color rgb="FF000000"/>
        <rFont val="Arial"/>
        <family val="2"/>
      </rPr>
      <t>(1)</t>
    </r>
  </si>
  <si>
    <t>Number of employees who returned to work after parental leave ended that were still employed 12 months after their return to work</t>
  </si>
  <si>
    <t>NA</t>
  </si>
  <si>
    <r>
      <t>Return to work rate of employees who took parental leave (%)</t>
    </r>
    <r>
      <rPr>
        <vertAlign val="superscript"/>
        <sz val="10"/>
        <color rgb="FF000000"/>
        <rFont val="Arial"/>
        <family val="2"/>
      </rPr>
      <t>(2)</t>
    </r>
  </si>
  <si>
    <r>
      <t>Retention rate of employees who took parental leave (%)</t>
    </r>
    <r>
      <rPr>
        <vertAlign val="superscript"/>
        <sz val="10"/>
        <color rgb="FF000000"/>
        <rFont val="Arial"/>
        <family val="2"/>
      </rPr>
      <t>(3)</t>
    </r>
  </si>
  <si>
    <t>(1)   Includes employees returning from parental leave in the prior reporting period.</t>
  </si>
  <si>
    <t>(2)   Return to work rate is the total number of employees who returned to work after parental leave, expressed as a percentage of total number of employees due to return to work after taking parental leave. A percentage over 100% indicates that the number of employees who returned from parental leave in a reported year is greater than the number of employees who took parental leave that same year.</t>
  </si>
  <si>
    <t>(3)   Retention rate is the total number of employees retained 12 months after returning to work following a period of parental leave, expressed as a percentage of total number of employees returning from parental leave in the prior reporting period.</t>
  </si>
  <si>
    <t>(4)   Gender disaggregated data was reported starting in 2019 and as such is not available for 2018.</t>
  </si>
  <si>
    <t xml:space="preserve">(5)   GRI 401-3: Parental leave. </t>
  </si>
  <si>
    <t>Dollars spent on training across the company (millions)</t>
  </si>
  <si>
    <r>
      <rPr>
        <b/>
        <sz val="11"/>
        <color rgb="FF000000"/>
        <rFont val="Arial"/>
        <family val="2"/>
      </rPr>
      <t>Average Hours of Training per Employee</t>
    </r>
    <r>
      <rPr>
        <b/>
        <vertAlign val="superscript"/>
        <sz val="11"/>
        <color rgb="FF000000"/>
        <rFont val="Arial"/>
        <family val="2"/>
      </rPr>
      <t xml:space="preserve">(1) </t>
    </r>
  </si>
  <si>
    <t>Hourly</t>
  </si>
  <si>
    <t>Staff</t>
  </si>
  <si>
    <r>
      <t>35</t>
    </r>
    <r>
      <rPr>
        <b/>
        <vertAlign val="superscript"/>
        <sz val="10"/>
        <rFont val="Arial"/>
        <family val="2"/>
      </rPr>
      <t>(2)</t>
    </r>
  </si>
  <si>
    <r>
      <t>38</t>
    </r>
    <r>
      <rPr>
        <b/>
        <vertAlign val="superscript"/>
        <sz val="10"/>
        <rFont val="Arial"/>
        <family val="2"/>
      </rPr>
      <t>(2)</t>
    </r>
  </si>
  <si>
    <r>
      <t>46</t>
    </r>
    <r>
      <rPr>
        <b/>
        <vertAlign val="superscript"/>
        <sz val="10"/>
        <rFont val="Arial"/>
        <family val="2"/>
      </rPr>
      <t>(2)</t>
    </r>
  </si>
  <si>
    <t>(1)   GRI 404-1: Average hours of training per year per employee.</t>
  </si>
  <si>
    <t>(2)   Figures have been restated due to calculation errors.</t>
  </si>
  <si>
    <r>
      <t>Employee Engagement Index</t>
    </r>
    <r>
      <rPr>
        <b/>
        <vertAlign val="superscript"/>
        <sz val="11"/>
        <color theme="1"/>
        <rFont val="Arial"/>
        <family val="2"/>
      </rPr>
      <t>(1)</t>
    </r>
    <r>
      <rPr>
        <b/>
        <sz val="11"/>
        <color theme="1"/>
        <rFont val="Arial"/>
        <family val="2"/>
      </rPr>
      <t xml:space="preserve"> </t>
    </r>
  </si>
  <si>
    <r>
      <t>Diversity of Governance Bodies (as of December 31, 2022)</t>
    </r>
    <r>
      <rPr>
        <b/>
        <vertAlign val="superscript"/>
        <sz val="11"/>
        <color theme="1"/>
        <rFont val="Arial"/>
        <family val="2"/>
      </rPr>
      <t xml:space="preserve">(1) </t>
    </r>
  </si>
  <si>
    <t>Gender</t>
  </si>
  <si>
    <t>Board of Directors</t>
  </si>
  <si>
    <r>
      <t>Independent Directors</t>
    </r>
    <r>
      <rPr>
        <b/>
        <vertAlign val="superscript"/>
        <sz val="10"/>
        <color theme="0"/>
        <rFont val="Arial"/>
        <family val="2"/>
      </rPr>
      <t>(2)</t>
    </r>
  </si>
  <si>
    <t>Percentage</t>
  </si>
  <si>
    <t>Under 30</t>
  </si>
  <si>
    <t>30 - 50</t>
  </si>
  <si>
    <t>50 and Over</t>
  </si>
  <si>
    <r>
      <t>Visible Minorities</t>
    </r>
    <r>
      <rPr>
        <vertAlign val="superscript"/>
        <sz val="10"/>
        <color rgb="FF000000"/>
        <rFont val="Arial"/>
        <family val="2"/>
      </rPr>
      <t>(3)</t>
    </r>
  </si>
  <si>
    <t xml:space="preserve">(1)   GRI 2-9: Governance structure and composition; GRI 405-1: Diversity of governance bodies and employees. </t>
  </si>
  <si>
    <t>(2)   Teck’s Board considers directors to be independent if (i) they are not members of management and are free of any interest or any business, family, or other relationship that could reasonably be perceived to interfere with their ability to act with a view to the best interests of Teck, other than interests and relationships arising solely from holdings in Teck; and (ii) they do not have any direct or indirect material relationship as defined in accordance with applicable Canadian securities laws.</t>
  </si>
  <si>
    <t>(3)   Visible Minorities includes members of a visible minorities as that term is defined in the Employment Equity Act (Canada), being persons, other than Aboriginal peoples, who are non-Caucasian in race or non-white in colour.</t>
  </si>
  <si>
    <r>
      <t>Diversity of Governance Bodies (as of December 31, 2021)</t>
    </r>
    <r>
      <rPr>
        <b/>
        <vertAlign val="superscript"/>
        <sz val="11"/>
        <color theme="1"/>
        <rFont val="Arial"/>
        <family val="2"/>
      </rPr>
      <t>(1)</t>
    </r>
    <r>
      <rPr>
        <b/>
        <sz val="11"/>
        <color theme="1"/>
        <rFont val="Arial"/>
        <family val="2"/>
      </rPr>
      <t xml:space="preserve"> </t>
    </r>
  </si>
  <si>
    <r>
      <t>Diversity of Governance Bodies (as of December 31, 2020)</t>
    </r>
    <r>
      <rPr>
        <b/>
        <vertAlign val="superscript"/>
        <sz val="11"/>
        <color theme="1"/>
        <rFont val="Arial"/>
        <family val="2"/>
      </rPr>
      <t xml:space="preserve">(1) </t>
    </r>
  </si>
  <si>
    <t>Operational or Technical Positions</t>
  </si>
  <si>
    <t>Of the Operational or Technical Positions, the % in Leadership Positions</t>
  </si>
  <si>
    <r>
      <t>Entry Level Wage Compared to Local Minimum Wage</t>
    </r>
    <r>
      <rPr>
        <b/>
        <vertAlign val="superscript"/>
        <sz val="11"/>
        <color theme="1"/>
        <rFont val="Arial"/>
        <family val="2"/>
      </rPr>
      <t>(1),(2),(3),(4)</t>
    </r>
  </si>
  <si>
    <t>Countries</t>
  </si>
  <si>
    <t>1.9 : 1</t>
  </si>
  <si>
    <t>2.3:1</t>
  </si>
  <si>
    <t>2.4:1</t>
  </si>
  <si>
    <t>2.5:1</t>
  </si>
  <si>
    <t>2.6:1</t>
  </si>
  <si>
    <t>2.7:1</t>
  </si>
  <si>
    <t>2.3 : 1</t>
  </si>
  <si>
    <t>2.2:1</t>
  </si>
  <si>
    <t>1.5:1</t>
  </si>
  <si>
    <t>1.7:1</t>
  </si>
  <si>
    <t>1.8 : 1</t>
  </si>
  <si>
    <t>2.0:1</t>
  </si>
  <si>
    <t>1.9:1</t>
  </si>
  <si>
    <t>2.8:1</t>
  </si>
  <si>
    <t>(1)   For Canada, Teck wages are compared against the B.C. minimum wage. For United States, Teck wages are compared against the Alaska minimum wage. In Chile, they are compared against the national minimum wage. Teck provides competitive wages that are above the local minimum for all employees.</t>
  </si>
  <si>
    <t>(2)   The figures represented in this table are for hourly employees and does not include contractors.</t>
  </si>
  <si>
    <r>
      <t>(3)</t>
    </r>
    <r>
      <rPr>
        <sz val="8"/>
        <color rgb="FF000000"/>
        <rFont val="Times New Roman"/>
        <family val="1"/>
      </rPr>
      <t xml:space="preserve">   </t>
    </r>
    <r>
      <rPr>
        <sz val="8"/>
        <color rgb="FF000000"/>
        <rFont val="Arial"/>
        <family val="2"/>
      </rPr>
      <t>The figures representing Chile are for lowest paid operations role as Chilean operations do not have hourly employees.</t>
    </r>
  </si>
  <si>
    <t>(4)   GRI 202-1: Ratios of standard entry level wage by gender compared to local minimum wage</t>
  </si>
  <si>
    <r>
      <t>Ratio of Basic Salary and Remuneration</t>
    </r>
    <r>
      <rPr>
        <b/>
        <vertAlign val="superscript"/>
        <sz val="11"/>
        <color theme="1"/>
        <rFont val="Arial"/>
        <family val="2"/>
      </rPr>
      <t xml:space="preserve">(1),(2)  </t>
    </r>
  </si>
  <si>
    <t>Employee Category</t>
  </si>
  <si>
    <t xml:space="preserve">Average Basic Salary 
(Female: Male) </t>
  </si>
  <si>
    <t>Average Remuneration (Female: Male)</t>
  </si>
  <si>
    <t>Average Basic Salary 
(Female: Male)</t>
  </si>
  <si>
    <r>
      <t>Canada</t>
    </r>
    <r>
      <rPr>
        <b/>
        <vertAlign val="superscript"/>
        <sz val="10"/>
        <color rgb="FF000000"/>
        <rFont val="Arial"/>
        <family val="2"/>
      </rPr>
      <t>(2)</t>
    </r>
  </si>
  <si>
    <t>0.9 : 1</t>
  </si>
  <si>
    <t>0.7 : 1</t>
  </si>
  <si>
    <t>0.7 :1</t>
  </si>
  <si>
    <t>1 : 1</t>
  </si>
  <si>
    <t>0.8 : 1</t>
  </si>
  <si>
    <t>Hourly/Operators</t>
  </si>
  <si>
    <t>1.2 : 1</t>
  </si>
  <si>
    <t xml:space="preserve">1 : 1 </t>
  </si>
  <si>
    <t>1.4 : 1</t>
  </si>
  <si>
    <t>1.1 : 1</t>
  </si>
  <si>
    <t>Operators</t>
  </si>
  <si>
    <t xml:space="preserve">(1)   GRI 405-2: Ratio of basic salary and remuneration of women to men. </t>
  </si>
  <si>
    <t>(2)   Includes CEO.</t>
  </si>
  <si>
    <r>
      <rPr>
        <b/>
        <sz val="11"/>
        <color rgb="FF000000"/>
        <rFont val="Arial"/>
        <family val="2"/>
      </rPr>
      <t>Annual Total Compensation Ratio (As of December 31, 2022)</t>
    </r>
    <r>
      <rPr>
        <b/>
        <vertAlign val="superscript"/>
        <sz val="11"/>
        <color rgb="FF000000"/>
        <rFont val="Arial"/>
        <family val="2"/>
      </rPr>
      <t xml:space="preserve">(1),(2),(3),(4) </t>
    </r>
  </si>
  <si>
    <t>Annual Total
Compensation Ratio</t>
  </si>
  <si>
    <t>Percentage Increase in Annual Total Compensation Ratio</t>
  </si>
  <si>
    <t>Highest Paid</t>
  </si>
  <si>
    <r>
      <t>Median of All Employees</t>
    </r>
    <r>
      <rPr>
        <b/>
        <vertAlign val="superscript"/>
        <sz val="10"/>
        <color theme="0"/>
        <rFont val="Arial"/>
        <family val="2"/>
      </rPr>
      <t>(3)</t>
    </r>
  </si>
  <si>
    <t>Ratio</t>
  </si>
  <si>
    <t>113:1</t>
  </si>
  <si>
    <t>0.25 : 1</t>
  </si>
  <si>
    <t>(1)   This table presents the ratio of the percentage increase in annual total compensation for the highest-paid individual in each country of significant operation, to the median percentage increase in annual total compensation for all employees (excluding the highest-paid individual) in the same country.</t>
  </si>
  <si>
    <t>(2)   Figures reported have been calculated using the target total compensation (i.e., target bonus) and do not include actual bonus payouts.</t>
  </si>
  <si>
    <t>(3)   The median total direct compensation is calculated for all employees, excluding contractors, based on estimates.</t>
  </si>
  <si>
    <t>(4)   GRI 2-21: Annual total compensation ratio.</t>
  </si>
  <si>
    <r>
      <t>Annual Total Compensation Ratio (2020-2021)</t>
    </r>
    <r>
      <rPr>
        <b/>
        <vertAlign val="superscript"/>
        <sz val="11"/>
        <color theme="1"/>
        <rFont val="Arial"/>
        <family val="2"/>
      </rPr>
      <t xml:space="preserve">(1),(2),(3) </t>
    </r>
  </si>
  <si>
    <t>118:1</t>
  </si>
  <si>
    <t>117:1</t>
  </si>
  <si>
    <t>15:1</t>
  </si>
  <si>
    <t>27:1</t>
  </si>
  <si>
    <t>6:1</t>
  </si>
  <si>
    <t>7:1</t>
  </si>
  <si>
    <t>(1)   This table presents the ratio of the annual total compensation for the highest-paid individual in each country of significant operation, to the median annual total compensation for all employees (excluding the highest-paid individual) in the same country.</t>
  </si>
  <si>
    <t>(2)   Figures reported have been calculated using the target total compensation (i.e., target bonus) and does not include actual bonus payouts.</t>
  </si>
  <si>
    <t>(3)   GRI 102-38 (2020): Annual total compensation ratio</t>
  </si>
  <si>
    <r>
      <t>Percentage Increase in Annual Total Compensation Ratio (2020-2021)</t>
    </r>
    <r>
      <rPr>
        <b/>
        <vertAlign val="superscript"/>
        <sz val="11"/>
        <color theme="1"/>
        <rFont val="Arial"/>
        <family val="2"/>
      </rPr>
      <t>(1),(2),(3),(4)</t>
    </r>
  </si>
  <si>
    <t>Median of All Employees</t>
  </si>
  <si>
    <t xml:space="preserve">2.7 : 1 </t>
  </si>
  <si>
    <t>16.6 : 1</t>
  </si>
  <si>
    <t xml:space="preserve">Chile </t>
  </si>
  <si>
    <t>5.5 : 1</t>
  </si>
  <si>
    <t>1.0 : 1</t>
  </si>
  <si>
    <t>7.4 : 1</t>
  </si>
  <si>
    <t>(4)   GRI 102-38 (2020): Annual total compensation ratio</t>
  </si>
  <si>
    <t>Relationships with Communities</t>
  </si>
  <si>
    <r>
      <t>Total Grievances Received through Feedback Mechanisms by Topic Category</t>
    </r>
    <r>
      <rPr>
        <b/>
        <vertAlign val="superscript"/>
        <sz val="11"/>
        <color theme="1"/>
        <rFont val="Arial"/>
        <family val="2"/>
      </rPr>
      <t>(1)</t>
    </r>
  </si>
  <si>
    <t>Topic Category</t>
  </si>
  <si>
    <t>Community Investment</t>
  </si>
  <si>
    <t>Economic Opportunities</t>
  </si>
  <si>
    <t>Health and Safety</t>
  </si>
  <si>
    <t>Land and Resource Use</t>
  </si>
  <si>
    <t>Mining Practices and Activities</t>
  </si>
  <si>
    <t>Social and Communities</t>
  </si>
  <si>
    <t>Transportation and Utilities</t>
  </si>
  <si>
    <t>(1)   Our feedback system allows for multiple labels to be assigned to each grievance/feedback. For the purpose of this table, we have chosen the primary label assigned by our community relations practitioners.</t>
  </si>
  <si>
    <r>
      <t>Significant Disputes</t>
    </r>
    <r>
      <rPr>
        <vertAlign val="superscript"/>
        <sz val="11"/>
        <color theme="1"/>
        <rFont val="Arial"/>
        <family val="2"/>
      </rPr>
      <t xml:space="preserve">(1),(2) </t>
    </r>
  </si>
  <si>
    <t xml:space="preserve"># of significant disputes </t>
  </si>
  <si>
    <t>(1)   Total number of new significant disputes arising during the yearly reporting period and relating to land use and the customary rights of local communities and Indigenous Peoples at Teck sites.</t>
  </si>
  <si>
    <t xml:space="preserve">(2)   GRI G4 MM6: Number and description of significant disputes relating to land use, customary rights of local communities and Indigenous Peoples. </t>
  </si>
  <si>
    <t>Relationships with Indigenous Peoples</t>
  </si>
  <si>
    <t>Dollars spent (millions)</t>
  </si>
  <si>
    <t>% of total community investment</t>
  </si>
  <si>
    <r>
      <t>Number of Active Indigenous Agreements</t>
    </r>
    <r>
      <rPr>
        <b/>
        <vertAlign val="superscript"/>
        <sz val="11"/>
        <color theme="1"/>
        <rFont val="Arial"/>
        <family val="2"/>
      </rPr>
      <t xml:space="preserve">(1),(2),(3) </t>
    </r>
  </si>
  <si>
    <t>Number of agreements</t>
  </si>
  <si>
    <r>
      <t>102</t>
    </r>
    <r>
      <rPr>
        <vertAlign val="superscript"/>
        <sz val="10"/>
        <rFont val="Arial"/>
        <family val="2"/>
      </rPr>
      <t>(4),(5)</t>
    </r>
  </si>
  <si>
    <r>
      <t>88</t>
    </r>
    <r>
      <rPr>
        <vertAlign val="superscript"/>
        <sz val="10"/>
        <rFont val="Arial"/>
        <family val="2"/>
      </rPr>
      <t>(4),(5)</t>
    </r>
  </si>
  <si>
    <r>
      <t>75</t>
    </r>
    <r>
      <rPr>
        <vertAlign val="superscript"/>
        <sz val="10"/>
        <rFont val="Arial"/>
        <family val="2"/>
      </rPr>
      <t>(4),(5)</t>
    </r>
  </si>
  <si>
    <r>
      <t>76</t>
    </r>
    <r>
      <rPr>
        <vertAlign val="superscript"/>
        <sz val="10"/>
        <rFont val="Arial"/>
        <family val="2"/>
      </rPr>
      <t>(4)</t>
    </r>
  </si>
  <si>
    <r>
      <t>67</t>
    </r>
    <r>
      <rPr>
        <vertAlign val="superscript"/>
        <sz val="10"/>
        <rFont val="Arial"/>
        <family val="2"/>
      </rPr>
      <t>(4)</t>
    </r>
  </si>
  <si>
    <r>
      <t>55</t>
    </r>
    <r>
      <rPr>
        <vertAlign val="superscript"/>
        <sz val="10"/>
        <rFont val="Arial"/>
        <family val="2"/>
      </rPr>
      <t>(4)</t>
    </r>
  </si>
  <si>
    <t>(1)   Active agreements are defined as agreements that have come into effect and are currently in force.</t>
  </si>
  <si>
    <t>(2)   Updated agreements are listed in the year of the most recent update.</t>
  </si>
  <si>
    <t xml:space="preserve">(3)   GRI G4 MM5: Total number of operations taking place in or adjacent to Indigenous Peoples’ territories, and number and percentage of operations or site tools where there are formal agreements with Indigenous Peoples’ communities. </t>
  </si>
  <si>
    <t>(4)   1 active agreement from 2017 was not counted in previous public disclosures due to calculation errors. As this agreement is still active in 2022, it impacts the accumulated total by one count in 2017 and the subsequent years.</t>
  </si>
  <si>
    <t>(5)   2 active agreements from 2020 were not counted in previous public disclosures due to calculation errors. As these agreements are still active in 2022, they impact the accumulated total by an additional two counts in 2020 and the subsequent years.</t>
  </si>
  <si>
    <t>Business Unit</t>
  </si>
  <si>
    <t>Project/Operation</t>
  </si>
  <si>
    <t>Community of Interest</t>
  </si>
  <si>
    <t>Agreement Type</t>
  </si>
  <si>
    <t>Signed (year)</t>
  </si>
  <si>
    <t>Operation </t>
  </si>
  <si>
    <t>Coal </t>
  </si>
  <si>
    <t>Canada </t>
  </si>
  <si>
    <t>Cardinal River </t>
  </si>
  <si>
    <t>O'Chiese First Nation </t>
  </si>
  <si>
    <t>Interim Funding and Engagement Agreement </t>
  </si>
  <si>
    <t>2022 </t>
  </si>
  <si>
    <t>Copper </t>
  </si>
  <si>
    <t>Highland Valley Copper </t>
  </si>
  <si>
    <t>Cook’s Ferry Indian Band </t>
  </si>
  <si>
    <t>Spatsum Pumphouse Agreement </t>
  </si>
  <si>
    <t>Highland Valley Reserves Legacy Agreement </t>
  </si>
  <si>
    <t>Chile </t>
  </si>
  <si>
    <t>QB2 </t>
  </si>
  <si>
    <t>Asociación Indígena Sueño Hecho Realidad </t>
  </si>
  <si>
    <t>Collaboration Protocol </t>
  </si>
  <si>
    <t>Asociación Aymara Hijos del Wilq'e </t>
  </si>
  <si>
    <t>Implementation Protocol </t>
  </si>
  <si>
    <t>Project </t>
  </si>
  <si>
    <t>Fording River Extension </t>
  </si>
  <si>
    <t>Shuswap Indian Band </t>
  </si>
  <si>
    <t>Memorandum of Understanding  </t>
  </si>
  <si>
    <t>Exploration  </t>
  </si>
  <si>
    <t>Peru  </t>
  </si>
  <si>
    <t>Quellopunta </t>
  </si>
  <si>
    <t>Sacsaquero </t>
  </si>
  <si>
    <t>Drilling activities execution authorization agreement </t>
  </si>
  <si>
    <t>Peru </t>
  </si>
  <si>
    <t>Pilpichaca </t>
  </si>
  <si>
    <t>2022  </t>
  </si>
  <si>
    <t> Peru </t>
  </si>
  <si>
    <t>Antamayo </t>
  </si>
  <si>
    <t>Flor de Cantu </t>
  </si>
  <si>
    <t>Tassa </t>
  </si>
  <si>
    <t>Permit to gather information for the preparation of DIA (environmental instrument) </t>
  </si>
  <si>
    <t>Exploración Distrital (2022-2024) 
Campaña de Perforación (2022-2023) </t>
  </si>
  <si>
    <t>Colla Runa Urka  </t>
  </si>
  <si>
    <t>Exploration Agreement </t>
  </si>
  <si>
    <t>Sierra Fraga </t>
  </si>
  <si>
    <t>Colla Chiyagua </t>
  </si>
  <si>
    <t>Colla Geoxcultuxial </t>
  </si>
  <si>
    <t>Colla Diego de Almagro </t>
  </si>
  <si>
    <t>Exploration</t>
  </si>
  <si>
    <t>Pashap</t>
  </si>
  <si>
    <t>Macate</t>
  </si>
  <si>
    <t>Transit and activity execution authorization</t>
  </si>
  <si>
    <t>Isa South</t>
  </si>
  <si>
    <t>Waluwarra</t>
  </si>
  <si>
    <t>Exploration Agreement</t>
  </si>
  <si>
    <t xml:space="preserve">Canada </t>
  </si>
  <si>
    <t>Zama</t>
  </si>
  <si>
    <t>Dene' Tha First Nation</t>
  </si>
  <si>
    <t>Collaboration &amp; Engagement Letter of Intent</t>
  </si>
  <si>
    <t>Piikani Nation</t>
  </si>
  <si>
    <t>Participation Agreement</t>
  </si>
  <si>
    <t xml:space="preserve">Shuswap Indian Band  </t>
  </si>
  <si>
    <t>Siksika Nation</t>
  </si>
  <si>
    <t>Kainai (Blood Tribe)</t>
  </si>
  <si>
    <t xml:space="preserve">Lower Nicola Indian Band
</t>
  </si>
  <si>
    <t>Environmental Assessment Collaboration Agreement</t>
  </si>
  <si>
    <t>Stk'emlupsemc the Secwepemc (SSN)</t>
  </si>
  <si>
    <t>Capacity Agreement</t>
  </si>
  <si>
    <t>Project</t>
  </si>
  <si>
    <t>QB2</t>
  </si>
  <si>
    <t>Asociación Indígena Ganadera, Agrícola, Cultural, Manejo Forestal y Elaboración de Carbón Sallihuinca</t>
  </si>
  <si>
    <t>Implemetation Protocol</t>
  </si>
  <si>
    <t>Elk Valley</t>
  </si>
  <si>
    <t>Ktunaxa National Council</t>
  </si>
  <si>
    <t>Joint Management Agreement</t>
  </si>
  <si>
    <t xml:space="preserve">Takomkane &amp; Friendly Lake </t>
  </si>
  <si>
    <t>Soda Creek Indian Band, Canim Lake Indian Band &amp; Williams Lake First Nation</t>
  </si>
  <si>
    <t>Memorandum of Understanding</t>
  </si>
  <si>
    <t>Galore Creek</t>
  </si>
  <si>
    <t>Tahltan Nation</t>
  </si>
  <si>
    <t>Tahltan Knowledge Protocol Agreement</t>
  </si>
  <si>
    <t>Communications and Engagement Agreement</t>
  </si>
  <si>
    <t>Quebrada Blanca (QB)</t>
  </si>
  <si>
    <t>Ecozona Matilla</t>
  </si>
  <si>
    <t>Cooperation, Sustainability and Mutual Benefit Agreement</t>
  </si>
  <si>
    <t>Quebrada Blanca Phase 2 Project (QB2)</t>
  </si>
  <si>
    <t>Asociación Indígena Aymara de Caleta Chanavaya</t>
  </si>
  <si>
    <t>Asociación Indígena Wilamasi de Pescadores Mamaquta, Caleta Chanavaya</t>
  </si>
  <si>
    <t>Comunidad Indígena Quechua Ollagüe</t>
  </si>
  <si>
    <t>Kello Kello</t>
  </si>
  <si>
    <t>Miguel Yucra / Laripata Surface Owner</t>
  </si>
  <si>
    <t>Hermenegilda Herrera / Champacancha Surface Owner</t>
  </si>
  <si>
    <t>Lennard Shelf</t>
  </si>
  <si>
    <t>Gooniyandi People</t>
  </si>
  <si>
    <t xml:space="preserve">Community Participation Agreement </t>
  </si>
  <si>
    <t>Paradise</t>
  </si>
  <si>
    <t>Indjalandji Dhidhanu People</t>
  </si>
  <si>
    <t>Native Title and Cultural Heritage Agreement</t>
  </si>
  <si>
    <t>Juan</t>
  </si>
  <si>
    <t>Flores family Tacora/Troncal Surface Property Owners</t>
  </si>
  <si>
    <t>Nina family Tacora/Troncal Surface Property Owners</t>
  </si>
  <si>
    <t>Ticona family Tacora/Troncal Surface Property Owners</t>
  </si>
  <si>
    <t>Cano family Tacora/Troncal Surface Property Owners</t>
  </si>
  <si>
    <t>Chura family Tacora/Troncal Surface Property Owners</t>
  </si>
  <si>
    <t>Valdés family Tacora/Troncal Surface Property Owners</t>
  </si>
  <si>
    <t>Chambilla family Tacora/Troncal Surface Property Owners</t>
  </si>
  <si>
    <t>Blas Mamani + Silvestre Titire/Troncal Surface Property Owners</t>
  </si>
  <si>
    <t>Kanaka Bar Indian Band</t>
  </si>
  <si>
    <t xml:space="preserve">Participation Agreement </t>
  </si>
  <si>
    <t>Tibetano</t>
  </si>
  <si>
    <t xml:space="preserve">Colla Runa Urka Indigenous Community </t>
  </si>
  <si>
    <t>Cooperation Framework Agreement</t>
  </si>
  <si>
    <t>Colla Geoxcultuxial Indigenous Community</t>
  </si>
  <si>
    <t>Constitution Community Work Table</t>
  </si>
  <si>
    <t>Cooperation Agreement</t>
  </si>
  <si>
    <t xml:space="preserve">QB2 </t>
  </si>
  <si>
    <t>Asociación Ganadera Indígena de Copaquire (AGIC)</t>
  </si>
  <si>
    <t>Cooperation, Sustainability and Mutual Benefit Agreement.</t>
  </si>
  <si>
    <t>Chiclla</t>
  </si>
  <si>
    <t>Asociación Índigena Aymara Naciente Collahuasi</t>
  </si>
  <si>
    <t>Asociación Indígena Aymara Salar de Coposa</t>
  </si>
  <si>
    <t>Sindicato de Trabajadores Independientes de Pescadores y Buzos Mariscadores de Chanavayita (Sindicato N°1)</t>
  </si>
  <si>
    <t>Collaboration Agreement</t>
  </si>
  <si>
    <t>Sindicato de Trabajadores Independientes de Algueros y Recolectores de Orilla Santiago Cortés de Chanavayita (Sindicato N°3)</t>
  </si>
  <si>
    <t>Sindicato de Trabajadores Independientes de Algueros y Recolectores de Orilla y/o pescador Nuevo Horizonte de Chanavayita (Sindicato N°4)</t>
  </si>
  <si>
    <t>Energy</t>
  </si>
  <si>
    <t>Frontier</t>
  </si>
  <si>
    <t xml:space="preserve">Métis Nation of Alberta Region 1 </t>
  </si>
  <si>
    <t>Frontier Project Participation and Economic Agreement</t>
  </si>
  <si>
    <t>Owl River Métis Local 1949</t>
  </si>
  <si>
    <t>Athabasca Landing Métis Local 2010</t>
  </si>
  <si>
    <t xml:space="preserve">Buffalo Lake Métis Local 2002 </t>
  </si>
  <si>
    <t xml:space="preserve">Willow Lake (Anzac) Métis Local 780 </t>
  </si>
  <si>
    <t xml:space="preserve">Conklin Métis Local 193 </t>
  </si>
  <si>
    <t>Athabasca Chipewyan First Nation</t>
  </si>
  <si>
    <t>Mikisew Cree First Nation</t>
  </si>
  <si>
    <t>Sierra Jardín</t>
  </si>
  <si>
    <t>Colla Chiyagua Indigenous Community</t>
  </si>
  <si>
    <t>Colla Diego de Almagro Indigenous Community</t>
  </si>
  <si>
    <t>Native Title and Heritage Protection Agreement</t>
  </si>
  <si>
    <t xml:space="preserve">Whitefish Lake First Nation </t>
  </si>
  <si>
    <t>Ermineskin First Nation</t>
  </si>
  <si>
    <t xml:space="preserve">Negotiation and Funding Agreement </t>
  </si>
  <si>
    <t xml:space="preserve">Quechua Indigenous Community from Huatacondo  </t>
  </si>
  <si>
    <t>Environmental Impact Assessment Agreement on Measures and Commitments</t>
  </si>
  <si>
    <t>Tamentica and Copaquire</t>
  </si>
  <si>
    <t>Implementation of the Livestock Development Measure Update: QB</t>
  </si>
  <si>
    <t>Kivalina IRA Council</t>
  </si>
  <si>
    <t>Memorandum of Agreement</t>
  </si>
  <si>
    <t>Caleta Cáñamo Independent Shellfish Harvesting Divers and Similar Branches Union N°1. 
Caleta Caramucho Independent Beachcombers and Artisanal Fishermen Union N°2. 
Caleta Caramucho Independent Coastal Free Divers Union N°1- Iquique. 
'Nueva Esperanza' Independent Artisanal Fishermen, Shellfish Harvesting Divers, Beachcombers and Shipbuilders Union N°2, Chanavayita.</t>
  </si>
  <si>
    <t>Cooperation Agreement and Permanent Working Table</t>
  </si>
  <si>
    <t>Quebrada Yabricolita and Caya Aymara Indigenous and Cultural Livestock Association</t>
  </si>
  <si>
    <t>Fort McMurray #468 First Nation</t>
  </si>
  <si>
    <t>Funding Agreement</t>
  </si>
  <si>
    <t>Métis Nation of Alberta Association Fort McMurray Local Council 1935</t>
  </si>
  <si>
    <t>Métis Nation of Alberta, Lakeland Local Council 1909</t>
  </si>
  <si>
    <t>LawnHill</t>
  </si>
  <si>
    <t>Waanyi People</t>
  </si>
  <si>
    <t>Sucker Creek First Nation</t>
  </si>
  <si>
    <t xml:space="preserve">Ktunaxa Nation Council  </t>
  </si>
  <si>
    <t>Impact Management and Benefits Agreemgent</t>
  </si>
  <si>
    <t xml:space="preserve">Lower Nicola Indian Band (LNIB)                 
</t>
  </si>
  <si>
    <t>Relationship Agreement</t>
  </si>
  <si>
    <t>Fort McKay Métis Community Association</t>
  </si>
  <si>
    <t>Frontier Project Participation Agreement</t>
  </si>
  <si>
    <t>Métis Nation of Alberta Association Local #125 Fort Chipewyan</t>
  </si>
  <si>
    <t>Fort McKay First Nation</t>
  </si>
  <si>
    <t>Long Term Sustainability Agreement</t>
  </si>
  <si>
    <t xml:space="preserve">Halfway River First Nation                                  </t>
  </si>
  <si>
    <t>CR</t>
  </si>
  <si>
    <t>Skin Tyee First Nation</t>
  </si>
  <si>
    <t>Teck Exploration Agreement</t>
  </si>
  <si>
    <t>Nee Tahi Buhn</t>
  </si>
  <si>
    <t>Wet'suwet'en First Nations</t>
  </si>
  <si>
    <r>
      <t>Nlaka'pamux Nation Tribal Council (NNTC)</t>
    </r>
    <r>
      <rPr>
        <sz val="10"/>
        <color theme="5"/>
        <rFont val="Arial"/>
        <family val="2"/>
      </rPr>
      <t xml:space="preserve"> </t>
    </r>
  </si>
  <si>
    <t>Joint Relationship Agreement</t>
  </si>
  <si>
    <t xml:space="preserve">West Moberly First Nations                              </t>
  </si>
  <si>
    <t xml:space="preserve">Saulteau First Nations                                         </t>
  </si>
  <si>
    <t>Cirque</t>
  </si>
  <si>
    <t>Kwadacha Nation</t>
  </si>
  <si>
    <r>
      <t>Nlaka'pamux Participating Bands (CNA)</t>
    </r>
    <r>
      <rPr>
        <sz val="10"/>
        <color theme="5"/>
        <rFont val="Arial"/>
        <family val="2"/>
      </rPr>
      <t xml:space="preserve">  </t>
    </r>
  </si>
  <si>
    <t>McLeod Lake Indian Band</t>
  </si>
  <si>
    <t xml:space="preserve">Alexis Nakota Sioux </t>
  </si>
  <si>
    <t>Impact Benefit Agreement</t>
  </si>
  <si>
    <t>Kivalina IRA</t>
  </si>
  <si>
    <t>City of Kivalina</t>
  </si>
  <si>
    <t>NANA Regional Corporation, Inc.</t>
  </si>
  <si>
    <t>Land Use Agreement</t>
  </si>
  <si>
    <t xml:space="preserve">Iñupiat of Northwest Alaska  </t>
  </si>
  <si>
    <t>Development and Operating Agreement</t>
  </si>
  <si>
    <t>Value Sharing Performance Data: Contents and Standards</t>
  </si>
  <si>
    <t>Economic Performance and Contributions</t>
  </si>
  <si>
    <t>2022 Breakdown of Economic Value Generated and Distributed</t>
  </si>
  <si>
    <t>GRI 201-1</t>
  </si>
  <si>
    <t>2021 Breakdown of Economic Value Generated and Distributed</t>
  </si>
  <si>
    <t>2020 Breakdown of Economic Value Generated and Distributed</t>
  </si>
  <si>
    <t>2019 Breakdown of Economic Value Generated and Distributed</t>
  </si>
  <si>
    <t>2018 Breakdown of Economic Value Generated and Distributed</t>
  </si>
  <si>
    <t>2017 Breakdown of Economic Value Generated and Distributed</t>
  </si>
  <si>
    <t>2016 Breakdown of Economic Value Generated and Distributed</t>
  </si>
  <si>
    <t>Number of Local Employees by Operation</t>
  </si>
  <si>
    <t>GRI 2-27</t>
  </si>
  <si>
    <t>Percentage of Senior Management Roles Filled by Locals</t>
  </si>
  <si>
    <t>GRI 202-2</t>
  </si>
  <si>
    <t>Percentage of Spending on Local Suppliers</t>
  </si>
  <si>
    <t>GRI 204-1</t>
  </si>
  <si>
    <t>Community Investment by Site</t>
  </si>
  <si>
    <t>Political Contributions (Donation Amount)</t>
  </si>
  <si>
    <t>GRI 415-1</t>
  </si>
  <si>
    <t>Payments Received from Governments</t>
  </si>
  <si>
    <t>GRI 201-4</t>
  </si>
  <si>
    <t>2021 Country-By-Country Reporting</t>
  </si>
  <si>
    <t>GRI 207-4</t>
  </si>
  <si>
    <t>2020 Country-By-Country Reporting</t>
  </si>
  <si>
    <t>2019 Country-By-Country Reporting</t>
  </si>
  <si>
    <t>Reconciliation of Tax Expense at the Statutory Tax Rate to the Corporate Income Tax Expense Recorded For the Year Ended December 31, 2021</t>
  </si>
  <si>
    <t>Reconciliation of Tax Expense at the Statutory Tax Rate to the Corporate Income Tax Expense Recorded For the Year Ended December 31, 2020</t>
  </si>
  <si>
    <t>Reconciliation of Tax Expense at the Statutory Tax Rate to the Corporate Income Tax Expense Recorded For the Year Ended December 31, 2019</t>
  </si>
  <si>
    <t>Reconciliation of Amounts Reported From Country-By-Country Report to Consolidated Financial Statements For the Year Ended December 31, 2021</t>
  </si>
  <si>
    <t>Reconciliation of Amounts Reported From Country-By-Country Report to Consolidated Financial Statements For the Year Ended December 31, 2020</t>
  </si>
  <si>
    <t>Reconciliation of Amounts Reported From Country-By-Country Report to Consolidated Financial Statements For the Year Ended December 31, 2019</t>
  </si>
  <si>
    <t>Summary of All Entities in 2021</t>
  </si>
  <si>
    <t>Summary of All Entities in 2020</t>
  </si>
  <si>
    <t>Summary of All Entities in 2019</t>
  </si>
  <si>
    <r>
      <t>2022 Breakdown of Economic Value Generated and Distributed (millions)</t>
    </r>
    <r>
      <rPr>
        <b/>
        <vertAlign val="superscript"/>
        <sz val="11"/>
        <color theme="1"/>
        <rFont val="Arial"/>
        <family val="2"/>
      </rPr>
      <t>(1)</t>
    </r>
  </si>
  <si>
    <t>Economic Value Generated</t>
  </si>
  <si>
    <t>Economic Value Distributed</t>
  </si>
  <si>
    <t>Economic Value Retained</t>
  </si>
  <si>
    <r>
      <t>Revenues</t>
    </r>
    <r>
      <rPr>
        <vertAlign val="superscript"/>
        <sz val="10"/>
        <color theme="0"/>
        <rFont val="Arial"/>
        <family val="2"/>
      </rPr>
      <t>(2)</t>
    </r>
  </si>
  <si>
    <r>
      <t>Payment to Suppliers</t>
    </r>
    <r>
      <rPr>
        <vertAlign val="superscript"/>
        <sz val="10"/>
        <color theme="0"/>
        <rFont val="Arial"/>
        <family val="2"/>
      </rPr>
      <t>(3)</t>
    </r>
  </si>
  <si>
    <r>
      <t>Employee Wages and Benefits</t>
    </r>
    <r>
      <rPr>
        <vertAlign val="superscript"/>
        <sz val="10"/>
        <color theme="0"/>
        <rFont val="Arial"/>
        <family val="2"/>
      </rPr>
      <t>(4)</t>
    </r>
  </si>
  <si>
    <r>
      <t>Payments to providers of capital</t>
    </r>
    <r>
      <rPr>
        <vertAlign val="superscript"/>
        <sz val="10"/>
        <color theme="0"/>
        <rFont val="Arial"/>
        <family val="2"/>
      </rPr>
      <t>(5)</t>
    </r>
  </si>
  <si>
    <r>
      <t>Income and Resource Taxes</t>
    </r>
    <r>
      <rPr>
        <vertAlign val="superscript"/>
        <sz val="10"/>
        <color theme="0"/>
        <rFont val="Arial"/>
        <family val="2"/>
      </rPr>
      <t>(6)</t>
    </r>
  </si>
  <si>
    <r>
      <t>Community Investments</t>
    </r>
    <r>
      <rPr>
        <vertAlign val="superscript"/>
        <sz val="10"/>
        <color theme="0"/>
        <rFont val="Arial"/>
        <family val="2"/>
      </rPr>
      <t>(7)</t>
    </r>
  </si>
  <si>
    <t>Operating Costs</t>
  </si>
  <si>
    <t>Capital Expenditures</t>
  </si>
  <si>
    <t xml:space="preserve">(1)   GRI 201-1: Direct economic value generated and distributed. </t>
  </si>
  <si>
    <t>(2)   Revenues are presented based on an accrual basis. Internal cross-border sales are eliminated as shown</t>
  </si>
  <si>
    <t>(3)   Operating costs include operating expenses at our mining and processing operations and our general and administration, exploration and research and development expenses and costs relating to production stripping. Operating costs excludes depreciation, employee wages and benefits, and change in inventory which are specified separately. Capital expenditures are payments for purchases of property, plant and equipment, excluding the component relating to capitalized wages and benefits, which is specified separately. Deferred stripping is included in operating costs and not capital expenditure.</t>
  </si>
  <si>
    <t xml:space="preserve">(4)   Wages and Benefits reflects total amounts paid to employees relating to wages and benefits, including payroll taxes. </t>
  </si>
  <si>
    <t xml:space="preserve">(5)   Payments to providers of capital include dividends paid to shareholders, interest paid to debtholders, and payments for share repurchases less issuance of shares. </t>
  </si>
  <si>
    <t xml:space="preserve">(6)   Income and resource taxes include amounts paid in the year. </t>
  </si>
  <si>
    <t>(7)   Community investments include voluntary donations paid during the year.</t>
  </si>
  <si>
    <r>
      <t>2021 Breakdown of Economic Value Generated and Distributed (millions)</t>
    </r>
    <r>
      <rPr>
        <b/>
        <vertAlign val="superscript"/>
        <sz val="11"/>
        <color theme="1"/>
        <rFont val="Arial"/>
        <family val="2"/>
      </rPr>
      <t>(1)</t>
    </r>
    <r>
      <rPr>
        <b/>
        <sz val="11"/>
        <color theme="1"/>
        <rFont val="Arial"/>
        <family val="2"/>
      </rPr>
      <t xml:space="preserve"> </t>
    </r>
  </si>
  <si>
    <r>
      <t>2020 Breakdown of Economic Value Generated and Distributed (millions)</t>
    </r>
    <r>
      <rPr>
        <b/>
        <vertAlign val="superscript"/>
        <sz val="11"/>
        <color theme="1"/>
        <rFont val="Arial"/>
        <family val="2"/>
      </rPr>
      <t xml:space="preserve">(1) </t>
    </r>
  </si>
  <si>
    <r>
      <t>2018 Breakdown of Economic Value Generated and Distributed (millions)</t>
    </r>
    <r>
      <rPr>
        <b/>
        <vertAlign val="superscript"/>
        <sz val="11"/>
        <color theme="1"/>
        <rFont val="Arial"/>
        <family val="2"/>
      </rPr>
      <t xml:space="preserve">(1) </t>
    </r>
  </si>
  <si>
    <t xml:space="preserve">             - </t>
  </si>
  <si>
    <t xml:space="preserve">               - </t>
  </si>
  <si>
    <t xml:space="preserve">            - </t>
  </si>
  <si>
    <t xml:space="preserve">                - </t>
  </si>
  <si>
    <t xml:space="preserve">          - </t>
  </si>
  <si>
    <t xml:space="preserve">      - </t>
  </si>
  <si>
    <t xml:space="preserve">           - </t>
  </si>
  <si>
    <r>
      <t>2017 Breakdown of Economic Value Generated and Distributed (millions)</t>
    </r>
    <r>
      <rPr>
        <b/>
        <vertAlign val="superscript"/>
        <sz val="11"/>
        <color theme="1"/>
        <rFont val="Arial"/>
        <family val="2"/>
      </rPr>
      <t>(1)</t>
    </r>
  </si>
  <si>
    <r>
      <t>2016 Breakdown of Economic Value Generated and Distributed (millions)</t>
    </r>
    <r>
      <rPr>
        <b/>
        <vertAlign val="superscript"/>
        <sz val="11"/>
        <color theme="1"/>
        <rFont val="Arial"/>
        <family val="2"/>
      </rPr>
      <t>(1)</t>
    </r>
  </si>
  <si>
    <r>
      <t>Number of Local Employees by Operation</t>
    </r>
    <r>
      <rPr>
        <b/>
        <vertAlign val="superscript"/>
        <sz val="11"/>
        <color theme="1"/>
        <rFont val="Arial"/>
        <family val="2"/>
      </rPr>
      <t xml:space="preserve">(1),(2) </t>
    </r>
  </si>
  <si>
    <r>
      <t>2022</t>
    </r>
    <r>
      <rPr>
        <b/>
        <vertAlign val="superscript"/>
        <sz val="10"/>
        <color theme="0"/>
        <rFont val="Arial"/>
        <family val="2"/>
      </rPr>
      <t>(3)</t>
    </r>
  </si>
  <si>
    <r>
      <t>2021</t>
    </r>
    <r>
      <rPr>
        <b/>
        <vertAlign val="superscript"/>
        <sz val="10"/>
        <color theme="0"/>
        <rFont val="Arial"/>
        <family val="2"/>
      </rPr>
      <t>(3)</t>
    </r>
  </si>
  <si>
    <r>
      <t>2020</t>
    </r>
    <r>
      <rPr>
        <b/>
        <vertAlign val="superscript"/>
        <sz val="10"/>
        <color theme="0"/>
        <rFont val="Arial"/>
        <family val="2"/>
      </rPr>
      <t>(3)</t>
    </r>
  </si>
  <si>
    <r>
      <t>2019</t>
    </r>
    <r>
      <rPr>
        <b/>
        <vertAlign val="superscript"/>
        <sz val="10"/>
        <color theme="0"/>
        <rFont val="Arial"/>
        <family val="2"/>
      </rPr>
      <t>(3)</t>
    </r>
  </si>
  <si>
    <r>
      <t>2018</t>
    </r>
    <r>
      <rPr>
        <b/>
        <vertAlign val="superscript"/>
        <sz val="10"/>
        <color theme="0"/>
        <rFont val="Arial"/>
        <family val="2"/>
      </rPr>
      <t>(3)</t>
    </r>
  </si>
  <si>
    <r>
      <t>2017</t>
    </r>
    <r>
      <rPr>
        <b/>
        <vertAlign val="superscript"/>
        <sz val="10"/>
        <color theme="0"/>
        <rFont val="Arial"/>
        <family val="2"/>
      </rPr>
      <t>(3)</t>
    </r>
  </si>
  <si>
    <r>
      <t>2016</t>
    </r>
    <r>
      <rPr>
        <b/>
        <vertAlign val="superscript"/>
        <sz val="10"/>
        <color theme="0"/>
        <rFont val="Arial"/>
        <family val="2"/>
      </rPr>
      <t>(3)</t>
    </r>
  </si>
  <si>
    <r>
      <t>Cardinal River</t>
    </r>
    <r>
      <rPr>
        <vertAlign val="superscript"/>
        <sz val="10"/>
        <color theme="1"/>
        <rFont val="Arial"/>
        <family val="2"/>
      </rPr>
      <t>(4)</t>
    </r>
  </si>
  <si>
    <r>
      <t>Coal Mountain</t>
    </r>
    <r>
      <rPr>
        <vertAlign val="superscript"/>
        <sz val="10"/>
        <color theme="1"/>
        <rFont val="Arial"/>
        <family val="2"/>
      </rPr>
      <t>(4)</t>
    </r>
  </si>
  <si>
    <r>
      <t>Pend Oreille</t>
    </r>
    <r>
      <rPr>
        <vertAlign val="superscript"/>
        <sz val="10"/>
        <color theme="1"/>
        <rFont val="Arial"/>
        <family val="2"/>
      </rPr>
      <t>(4)</t>
    </r>
  </si>
  <si>
    <t>Trail Operations</t>
  </si>
  <si>
    <t>(1)   “Local” is defined as persons or groups of persons living and/or working in any areas that are economically, socially or environmentally impacted (positively or negatively) by an organization’s operations. The community can range from persons living adjacent to operations to isolated settlements at a distance from operations, but when individuals are still likely to be affected by operations. Local employees and suppliers are defined as those based in the host province (Canada), state (US) or region (Chile). The operations whose areas of influence (AOI) include out-of-province/state communities are included in the definition of "local".</t>
  </si>
  <si>
    <t xml:space="preserve">(2)   GRI 2-27: Compliance with laws and regulations. </t>
  </si>
  <si>
    <t>(3)   From 2022 to 2016, data is not directly comparable between operations, as there were differences in how we defined “local” and how we tracked data for each operation.</t>
  </si>
  <si>
    <t>(4)   Closed sites. We only report on active operations.</t>
  </si>
  <si>
    <r>
      <t>Percentage of Senior Management Roles Filled by Locals</t>
    </r>
    <r>
      <rPr>
        <b/>
        <vertAlign val="superscript"/>
        <sz val="11"/>
        <color theme="1"/>
        <rFont val="Arial"/>
        <family val="2"/>
      </rPr>
      <t>(1),(2),(3)</t>
    </r>
  </si>
  <si>
    <r>
      <t>Quebrada Blanca</t>
    </r>
    <r>
      <rPr>
        <vertAlign val="superscript"/>
        <sz val="10"/>
        <color theme="1"/>
        <rFont val="Arial"/>
        <family val="2"/>
      </rPr>
      <t>(5)</t>
    </r>
  </si>
  <si>
    <t>(2)   Senior management is defined as employees at bands 10 or higher.</t>
  </si>
  <si>
    <t xml:space="preserve">(3)   GRI 202-2: Proportion of senior management hired from the local community. </t>
  </si>
  <si>
    <t>(5)   Does not include employment for QB2 project.</t>
  </si>
  <si>
    <r>
      <t>Percentage of Spending on Local Suppliers</t>
    </r>
    <r>
      <rPr>
        <b/>
        <vertAlign val="superscript"/>
        <sz val="11"/>
        <color theme="1"/>
        <rFont val="Arial"/>
        <family val="2"/>
      </rPr>
      <t>(1),(2)</t>
    </r>
  </si>
  <si>
    <t>Steelmaking Coal Operations in the Elk Valley</t>
  </si>
  <si>
    <t xml:space="preserve">(2)   GRI 204-1: Proportion of spending on local suppliers. </t>
  </si>
  <si>
    <t>(3)   From 2022 to 2016 data is not directly comparable between operations, as there were differences in how we defined “local” and how we tracked data for each operation.</t>
  </si>
  <si>
    <r>
      <t>Community Investment by Site</t>
    </r>
    <r>
      <rPr>
        <vertAlign val="superscript"/>
        <sz val="11"/>
        <color theme="1"/>
        <rFont val="Arial"/>
        <family val="2"/>
      </rPr>
      <t>(</t>
    </r>
    <r>
      <rPr>
        <b/>
        <vertAlign val="superscript"/>
        <sz val="11"/>
        <color theme="1"/>
        <rFont val="Arial"/>
        <family val="2"/>
      </rPr>
      <t>1)</t>
    </r>
  </si>
  <si>
    <r>
      <t>Corporate Offices and Projects</t>
    </r>
    <r>
      <rPr>
        <vertAlign val="superscript"/>
        <sz val="10"/>
        <color rgb="FF000000"/>
        <rFont val="Arial"/>
        <family val="2"/>
      </rPr>
      <t>(2)</t>
    </r>
  </si>
  <si>
    <r>
      <t>Steelmaking Coal Operations</t>
    </r>
    <r>
      <rPr>
        <vertAlign val="superscript"/>
        <sz val="10"/>
        <color rgb="FF000000"/>
        <rFont val="Arial"/>
        <family val="2"/>
      </rPr>
      <t>(3)</t>
    </r>
  </si>
  <si>
    <r>
      <t>Exploration</t>
    </r>
    <r>
      <rPr>
        <vertAlign val="superscript"/>
        <sz val="10"/>
        <color rgb="FF000000"/>
        <rFont val="Arial"/>
        <family val="2"/>
      </rPr>
      <t>(4)</t>
    </r>
  </si>
  <si>
    <t>(1)   The numbers represent Teck’s portion of ownership (Carmen de Andacollo 90%, Quebrada Blanca 60%, Zafranal 80% and Galore Creek 50%).</t>
  </si>
  <si>
    <t xml:space="preserve">(2)   Includes Calgary, Santiago, Spokane, Toronto, Beijing, Richmond and Vancouver offices as well as resource development projects (Frontier, Galore Creek,Zafranal, San Nicolás, NewRange Copper Nickel (previously Mesaba and NorthMet) and Schaft Creek and all legacy sites. It also includes company-wide donations under the Team Teck Community Giving employee donation matching program. Numbers have been restated to include Duck Pond from 2018-2020. </t>
  </si>
  <si>
    <t>(3)   Steelmaking coal operations include Elkview, Greenhills, Fording River and Line Creek operations.</t>
  </si>
  <si>
    <t>(4)   Teck has a global exploration presence. See our website for details: https://www.teck.com/operations/global/exploration/exploration/.</t>
  </si>
  <si>
    <r>
      <t>Political Contributions (donation amount)</t>
    </r>
    <r>
      <rPr>
        <b/>
        <vertAlign val="superscript"/>
        <sz val="11"/>
        <color theme="1"/>
        <rFont val="Arial"/>
        <family val="2"/>
      </rPr>
      <t xml:space="preserve">(1) </t>
    </r>
  </si>
  <si>
    <t>Political group</t>
  </si>
  <si>
    <t>BC Liberal Party</t>
  </si>
  <si>
    <t>As of mid-2017, Teck does not make political donations and does not make use of corporate resources, including funds, goods, property or services, for the purpose of contributing to a political party or any individual candidate seeking election at any level of government in any jurisdictions.</t>
  </si>
  <si>
    <t>BC New Democratic Party</t>
  </si>
  <si>
    <t>Alberta Progressive Conservative Party</t>
  </si>
  <si>
    <t>Vancouver Non-Partisan Association</t>
  </si>
  <si>
    <t xml:space="preserve">(1)   GRI 415-1: Political contributions.  </t>
  </si>
  <si>
    <r>
      <t>Payments Received from Governments</t>
    </r>
    <r>
      <rPr>
        <b/>
        <vertAlign val="superscript"/>
        <sz val="11"/>
        <color theme="1"/>
        <rFont val="Arial"/>
        <family val="2"/>
      </rPr>
      <t xml:space="preserve">(1) </t>
    </r>
  </si>
  <si>
    <r>
      <t>2022</t>
    </r>
    <r>
      <rPr>
        <b/>
        <vertAlign val="superscript"/>
        <sz val="10"/>
        <color theme="0"/>
        <rFont val="Arial"/>
        <family val="2"/>
      </rPr>
      <t>(2)</t>
    </r>
  </si>
  <si>
    <t xml:space="preserve">(1)   GRI 201-4: Financial assistance received from government. </t>
  </si>
  <si>
    <t>(2)   In 2022, this included payments from the CleanBC Industry Fund and the Student Work Placement Program. See the Business Ethics section of our 2022 Sustainability Report for more details</t>
  </si>
  <si>
    <t>(3)   In 2021, this included payments from the CleanBC Industry Fund and the Student Work Placement Program. See the Business Ethics section of our 2021 Sustainability Report for more details</t>
  </si>
  <si>
    <t>(4)   In 2020, this included payments from the CleanBC Industry Fund and the Student Work Placement Program. See the Business Ethics section of our 2020 Sustainability Report for more details</t>
  </si>
  <si>
    <t>Our 2022 tax data will be available in early 2024.</t>
  </si>
  <si>
    <r>
      <t>2021 Country-By-Country Reporting (In CAD$ Millions except for Number of Employees)</t>
    </r>
    <r>
      <rPr>
        <b/>
        <vertAlign val="superscript"/>
        <sz val="11"/>
        <color theme="1"/>
        <rFont val="Arial"/>
        <family val="2"/>
      </rPr>
      <t>(1),(2),(3),(4),(5),(6),(7),(8),(9),(10)</t>
    </r>
  </si>
  <si>
    <t>Country/Tax Jurisdiction</t>
  </si>
  <si>
    <t>Revenues - Unrelated Party</t>
  </si>
  <si>
    <t>Revenues - Related Party</t>
  </si>
  <si>
    <t>Revenues - Total</t>
  </si>
  <si>
    <t>Profit (Loss) Before Income Tax</t>
  </si>
  <si>
    <t>Income Tax Paid (on cash basis)</t>
  </si>
  <si>
    <t>Income Tax Accrued - Current Year</t>
  </si>
  <si>
    <t>Stated Capital</t>
  </si>
  <si>
    <t>Accumulated Earnings</t>
  </si>
  <si>
    <t>Number of Employees</t>
  </si>
  <si>
    <t>Tangible Assets other than Cash and Cash Equivalents</t>
  </si>
  <si>
    <t>Argentina (AR)</t>
  </si>
  <si>
    <t>Australia (AU)</t>
  </si>
  <si>
    <t>Bermuda (BM)</t>
  </si>
  <si>
    <t>Bolivia (BO)</t>
  </si>
  <si>
    <t>Brazil (BR)</t>
  </si>
  <si>
    <t>Cayman Islands (KY)</t>
  </si>
  <si>
    <t xml:space="preserve">                                   -  </t>
  </si>
  <si>
    <t>Canada (CA)</t>
  </si>
  <si>
    <t>Chile (CL)</t>
  </si>
  <si>
    <t>China (CN)</t>
  </si>
  <si>
    <t>Ghana (GH)</t>
  </si>
  <si>
    <t>Ireland (IE)</t>
  </si>
  <si>
    <t>Japan (JP)</t>
  </si>
  <si>
    <t>Mexico (MX)</t>
  </si>
  <si>
    <t>United Kingdom (UK)</t>
  </si>
  <si>
    <t>Namibia (NA)</t>
  </si>
  <si>
    <t>Panama (PA)</t>
  </si>
  <si>
    <t>Peru (PE)</t>
  </si>
  <si>
    <t>Turkey (TR)</t>
  </si>
  <si>
    <t>United States (US)</t>
  </si>
  <si>
    <r>
      <t>2020 Country-By-Country Reporting (In CAD$ Millions except for Number of Employees)</t>
    </r>
    <r>
      <rPr>
        <b/>
        <vertAlign val="superscript"/>
        <sz val="11"/>
        <rFont val="Arial"/>
        <family val="2"/>
      </rPr>
      <t>(1),(2),(3),(4),(5),(6),(7),(8),(9),(10)</t>
    </r>
  </si>
  <si>
    <t>Mongolia (MN)</t>
  </si>
  <si>
    <r>
      <t>2019 Country-By-Country Reporting (In CAD$ Millions except for Number of Employees)</t>
    </r>
    <r>
      <rPr>
        <b/>
        <vertAlign val="superscript"/>
        <sz val="11"/>
        <color theme="1"/>
        <rFont val="Arial"/>
        <family val="2"/>
      </rPr>
      <t>(1),(2),(3),(4),(5),(6),(7),(8),(9),(10)</t>
    </r>
  </si>
  <si>
    <t xml:space="preserve">(1)   Stated Capital &amp; Accumulated Earnings - For Constituent Entities resident in a jurisdiction other than Canada or those which are resident in Canada but with a functional currency other than CAD, historical foreign exchange rates are used to translate stated capital and accumulated earnings denominated in a foreign currency to CAD for accounting purposes.  For CbCR purposes, stated capital and accumulated earnings for such entities are translated at the applicable average foreign exchange rate for the year.  </t>
  </si>
  <si>
    <t xml:space="preserve">(2)   Income Tax Paid (On Cash Basis) - The amounts reported for income tax paid or refunded on a cash basis are based on information gathered for ESTMA reporting purposes. </t>
  </si>
  <si>
    <t xml:space="preserve">(3)   Stated Capital - Constituent Entities of the Reporting Entity includes partnerships.  For CbCR purposes, partnership contributions are included in the stated capital balances reported.  </t>
  </si>
  <si>
    <t xml:space="preserve">(4)   Difference Between IFRS and Foreign Accounting Standards - The values reported for the allocation of income, taxes and business activities may differ from those reported in accordance with IFRS if the Constituent Entities prepare their financial statements in accordance with their local accounting standards as opposed to IFRS.  The amounts reported are based on the non-consolidated financial statement of the Constituent Entity prepared in accordance with the accounting standards applicable in the Constituent Entity’s tax jurisdiction.  </t>
  </si>
  <si>
    <t xml:space="preserve">(5)   Revenue – Partnership Distributions - Pursuant to the OECD guidance, Revenue is defined to exclude payments received from other Constituent Entities that are treated as dividends in the payor’s tax jurisdiction.  For CbCR purposes, partnership distributions have been excluded from Revenue on the basis that such distributions are of the same nature as dividends. </t>
  </si>
  <si>
    <t xml:space="preserve">(6)   Compania Minera Teck Carmen de Andacollo – Number of Employees - The number of employees of Compania Minera Teck Carmen de Andacollo in Chile is reported on a pro-rata basis in accordance with the pro-rata reporting of the financial data of Compania Minera Teck Carmen de Andacollo.  </t>
  </si>
  <si>
    <t xml:space="preserve">(7)   Compania Minera Teck Quebrada Blanca S.A. – Number of Employees - The number of employees of Compania Minera Teck Quebrada Blanca S.A. in Chile is reported on a pro-rata basis in accordance with the pro-rata reporting of the financial data of Compania Minera Teck Quebrada Blanca S.A.  </t>
  </si>
  <si>
    <t xml:space="preserve">(8)   Compania Minera Antamina S.A. – Number of Employees - The number of employees of Compania Minera Antamina S.A. in Peru is reported on a pro-rata basis in accordance with the pro-rata reporting of the financial data of Compania Minera Antamina S.A.  </t>
  </si>
  <si>
    <t xml:space="preserve">(9)   The number of employees for each tax jurisdiction is computed on a full-time equivalent basis as of the end of year.   </t>
  </si>
  <si>
    <t xml:space="preserve">(10)  GRI 207-4: Country-by-country reporting. </t>
  </si>
  <si>
    <r>
      <t>Reconciliation of Tax Expense at the Statutory Tax Rate to the Corporate Income Tax Expense Recorded</t>
    </r>
    <r>
      <rPr>
        <b/>
        <vertAlign val="superscript"/>
        <sz val="11"/>
        <color theme="1"/>
        <rFont val="Arial"/>
        <family val="2"/>
      </rPr>
      <t xml:space="preserve">(1) </t>
    </r>
  </si>
  <si>
    <t>For the Year Ended December 31, 2021 (In CAD$ millions)</t>
  </si>
  <si>
    <t>Bermuda</t>
  </si>
  <si>
    <t>Tax expense (recovery) at the Canadian statutory income tax rate of 26.94%</t>
  </si>
  <si>
    <t>Tax effect of:</t>
  </si>
  <si>
    <t>Resource taxes</t>
  </si>
  <si>
    <t>Resource and depletion allowances</t>
  </si>
  <si>
    <t>Non-deductible expenses (non-taxable income)</t>
  </si>
  <si>
    <t>Impact of initial recognition exemption related to the Frontier oil sands project</t>
  </si>
  <si>
    <t>Tax pools not recognized (recognition of previously unrecognized tax pools)</t>
  </si>
  <si>
    <t>Effect due to legislative changes</t>
  </si>
  <si>
    <t>Withholding taxes on foreign earnings</t>
  </si>
  <si>
    <t>Difference in tax rates from foreign jurisdictions</t>
  </si>
  <si>
    <t>Revisions to prior year estimates</t>
  </si>
  <si>
    <t>Non-controlling interests</t>
  </si>
  <si>
    <t xml:space="preserve">Reconciled Total </t>
  </si>
  <si>
    <t>Grand Total  - Tax Expense</t>
  </si>
  <si>
    <t xml:space="preserve">(1)   GRI 207-4: Country-by-country reporting. </t>
  </si>
  <si>
    <t>For the Year Ended December 31, 2020 (In CAD$ millions)</t>
  </si>
  <si>
    <r>
      <t>Reconciliation of Tax Expense at the Statutory Tax Rate to the Corporate Income Tax Expense Recorded</t>
    </r>
    <r>
      <rPr>
        <b/>
        <vertAlign val="superscript"/>
        <sz val="11"/>
        <color theme="1"/>
        <rFont val="Arial"/>
        <family val="2"/>
      </rPr>
      <t>(1)</t>
    </r>
  </si>
  <si>
    <t>For the Year Ended December 31, 2019 (In CAD$ millions)</t>
  </si>
  <si>
    <r>
      <t>Reconciliation of Amounts Reported From Country-By-Country Report to Consolidated Financial Statements</t>
    </r>
    <r>
      <rPr>
        <b/>
        <vertAlign val="superscript"/>
        <sz val="10"/>
        <color theme="1"/>
        <rFont val="Arial"/>
        <family val="2"/>
      </rPr>
      <t>(1)</t>
    </r>
    <r>
      <rPr>
        <b/>
        <sz val="10"/>
        <color theme="1"/>
        <rFont val="Arial"/>
        <family val="2"/>
      </rPr>
      <t xml:space="preserve">
For the Year Ended December 31, 2021 (In CAD$ millions)</t>
    </r>
  </si>
  <si>
    <t>Revenues From Third Party Sales</t>
  </si>
  <si>
    <t>Profit/(Loss) Before Tax</t>
  </si>
  <si>
    <t>Tangible Assets Other Than Cash &amp; Cash Equivalents</t>
  </si>
  <si>
    <t>Corporate Income Tax Paid on a Cash Basis</t>
  </si>
  <si>
    <t xml:space="preserve">Amounts Reported : </t>
  </si>
  <si>
    <t>Per CbCR</t>
  </si>
  <si>
    <t>Per TRL Consolidated Financial Statements</t>
  </si>
  <si>
    <t>Differences</t>
  </si>
  <si>
    <t>Reconciling Items from CbCR to Consolidated Financial Statements – Add/(Less):</t>
  </si>
  <si>
    <r>
      <t>Consolidation adjustments</t>
    </r>
    <r>
      <rPr>
        <vertAlign val="superscript"/>
        <sz val="10"/>
        <color theme="1"/>
        <rFont val="Arial"/>
        <family val="2"/>
      </rPr>
      <t>(2)</t>
    </r>
  </si>
  <si>
    <t xml:space="preserve"> -   </t>
  </si>
  <si>
    <r>
      <t>Differences in FX rates applied for CbCR and financial statement purposes</t>
    </r>
    <r>
      <rPr>
        <vertAlign val="superscript"/>
        <sz val="10"/>
        <color theme="1"/>
        <rFont val="Arial"/>
        <family val="2"/>
      </rPr>
      <t>(3)</t>
    </r>
  </si>
  <si>
    <r>
      <t>Interest in controlled entities held by minority interest</t>
    </r>
    <r>
      <rPr>
        <vertAlign val="superscript"/>
        <sz val="10"/>
        <color theme="1"/>
        <rFont val="Arial"/>
        <family val="2"/>
      </rPr>
      <t>(4)</t>
    </r>
  </si>
  <si>
    <r>
      <t>Classification differences between CbCR and financial statements</t>
    </r>
    <r>
      <rPr>
        <vertAlign val="superscript"/>
        <sz val="10"/>
        <color theme="1"/>
        <rFont val="Arial"/>
        <family val="2"/>
      </rPr>
      <t>(5)</t>
    </r>
  </si>
  <si>
    <t xml:space="preserve">-   </t>
  </si>
  <si>
    <r>
      <t>Other</t>
    </r>
    <r>
      <rPr>
        <vertAlign val="superscript"/>
        <sz val="10"/>
        <color theme="1"/>
        <rFont val="Arial"/>
        <family val="2"/>
      </rPr>
      <t>(6)</t>
    </r>
  </si>
  <si>
    <t>Remaining Differences</t>
  </si>
  <si>
    <r>
      <t>Reconciliation of Amounts Reported From Country-By-Country Report to Consolidated Financial Statements</t>
    </r>
    <r>
      <rPr>
        <b/>
        <vertAlign val="superscript"/>
        <sz val="10"/>
        <color theme="1"/>
        <rFont val="Arial"/>
        <family val="2"/>
      </rPr>
      <t>(1)</t>
    </r>
    <r>
      <rPr>
        <b/>
        <sz val="10"/>
        <color theme="1"/>
        <rFont val="Arial"/>
        <family val="2"/>
      </rPr>
      <t xml:space="preserve"> 
For the Year Ended December 31, 2020 (In CAD$ millions)</t>
    </r>
  </si>
  <si>
    <r>
      <t>Reconciliation of Amounts Reported From Country-By-Country Report to Consolidated Financial Statements</t>
    </r>
    <r>
      <rPr>
        <b/>
        <vertAlign val="superscript"/>
        <sz val="10"/>
        <color theme="1"/>
        <rFont val="Arial"/>
        <family val="2"/>
      </rPr>
      <t>(1)</t>
    </r>
    <r>
      <rPr>
        <b/>
        <sz val="10"/>
        <color theme="1"/>
        <rFont val="Arial"/>
        <family val="2"/>
      </rPr>
      <t xml:space="preserve">
For the Year Ended December 31, 2019 (In CAD$ millions)</t>
    </r>
  </si>
  <si>
    <t xml:space="preserve">(2)   Consolidation Adjustments - Amounts relate to adjustments made to bring amounts reported on the non-consolidated financial statement to those reported on the consolidated financial statements.  Adjustments include elimination of intercompany transactions between related entities and purchase price allocation in accordance with IFRS 3 – Business Combinations.  </t>
  </si>
  <si>
    <t xml:space="preserve">(3)   Differences in FX rates applied for CbCR and financial statement purposes - To the extent any entities report in a currency other than the functional currency of the reporting entity, the OECD guidelines for CbC reporting require the amounts for these entities to be translated to the functional currency of the reporting entity using the average annual exchange rate for the year. For financial reporting purposes, a weighted average exchange rate is used to translate amounts reported on the income statement while historical exchange rates are applied to translate amounts reported for tangible assets.  </t>
  </si>
  <si>
    <t>(4)   Interest in controlled entities held by minority interest - For CbCR purposes, amounts reported for each entity are in proportion to the participating interest held by Teck. For financial statement purposes, unrelated revenue, profit before tax and tangible assets of entities controlled but not wholly owned by Teck are fully consolidated into the consolidated financial statements of Teck.</t>
  </si>
  <si>
    <t xml:space="preserve">(5)   Classification differences between CbCR and financial statements - The OECD guidelines for CbC reporting require amounts reported to include and/or exclude certain items which might differ from amounts which would be reported for accounting purposes. For instance, “other income” is included in revenue for CbCR purposes but is not part of revenue for financial reporting purposes.  </t>
  </si>
  <si>
    <t>(6)   Other - Remaining differences between amounts reported for CbCR and financial statements which are insignificant when analyzed individually.</t>
  </si>
  <si>
    <t>Name of Constituent Entities resident in the Tax Jurisdiction</t>
  </si>
  <si>
    <t xml:space="preserve">Main business activity(ies) carried out by the constituent entity </t>
  </si>
  <si>
    <t>Mining or Production</t>
  </si>
  <si>
    <t>Sales, Marketing or Distribution</t>
  </si>
  <si>
    <t>Research and Development</t>
  </si>
  <si>
    <t>Holding or Managing Intellectual Property</t>
  </si>
  <si>
    <t>Administrative, Management or Support Services</t>
  </si>
  <si>
    <t>Internal Group Finance</t>
  </si>
  <si>
    <t>Insurance</t>
  </si>
  <si>
    <t>Holding Shares or other equity instruments</t>
  </si>
  <si>
    <t>Dormant</t>
  </si>
  <si>
    <t>Argentina</t>
  </si>
  <si>
    <t>Cominco Argentina Ltd. (Branch)</t>
  </si>
  <si>
    <t>X</t>
  </si>
  <si>
    <t>Teck Argentina Ltd. (Branch)</t>
  </si>
  <si>
    <t>Lennard Shelf Pty Ltd</t>
  </si>
  <si>
    <t>Teck Australia Pty Ltd.</t>
  </si>
  <si>
    <t>BMC Insurance Company Limited</t>
  </si>
  <si>
    <t>Teck Global Finance Ltd.</t>
  </si>
  <si>
    <t>Bolivia</t>
  </si>
  <si>
    <t>Minera Cominco Bolivia Ltda</t>
  </si>
  <si>
    <t>Brazil</t>
  </si>
  <si>
    <t>Companhia Niquel Santa Fe</t>
  </si>
  <si>
    <t>Mineradora INVI Ltda</t>
  </si>
  <si>
    <t>Cayman Islands</t>
  </si>
  <si>
    <t>Aur Mexcay Inc.</t>
  </si>
  <si>
    <t>Aur Perucay Inc.</t>
  </si>
  <si>
    <t>Patcay Inc.</t>
  </si>
  <si>
    <t>Teck Chilean Holdings Ltd. Agencia Chile</t>
  </si>
  <si>
    <t>Compania Minera Teck Carmen de Andacollo</t>
  </si>
  <si>
    <t>Compania Minera Teck Quebrada Blanca S.A.</t>
  </si>
  <si>
    <t>Mining concession of the Quebrada Blanca deposit. Generate and sell electricity and power.</t>
  </si>
  <si>
    <t>Quebrada Blanca Holdings SpA</t>
  </si>
  <si>
    <t>Teck Resources Chile Limitada</t>
  </si>
  <si>
    <t>SCM Minera AQM Chile</t>
  </si>
  <si>
    <t>Sierra Jardin Mining S.p.A.</t>
  </si>
  <si>
    <t>Teck Consulting (Beijing) Co., Ltd.</t>
  </si>
  <si>
    <t>Ghana</t>
  </si>
  <si>
    <t>Teck Ghana Limited</t>
  </si>
  <si>
    <t>Teck Ireland Ltd. (Branch)</t>
  </si>
  <si>
    <t>Teck Resources Marketing Japan K.K.</t>
  </si>
  <si>
    <t>Coordinaciones Teck Mexico S.A. de C.V.</t>
  </si>
  <si>
    <t>Minas de San Nicolas, S.A. de C.V.</t>
  </si>
  <si>
    <t>Minera Teck S.A. de C.V.</t>
  </si>
  <si>
    <t>Minera Torre de Oro S.A.P.I. de C.V.</t>
  </si>
  <si>
    <t>Tenedora Teck Mexico, S.A. de C.V.</t>
  </si>
  <si>
    <t>Cominco Namibia Ltd. (Branch)</t>
  </si>
  <si>
    <t>Teck Namibia Ltd. (Branch)</t>
  </si>
  <si>
    <t>Panama</t>
  </si>
  <si>
    <t>Minera Teck Panama, S.A.</t>
  </si>
  <si>
    <t>Panacobre, S.A.</t>
  </si>
  <si>
    <t>Compania Minera Antamina S.A.</t>
  </si>
  <si>
    <t>Compania Minera Zafranal S.A.C.</t>
  </si>
  <si>
    <t>Teck Peru S.A.</t>
  </si>
  <si>
    <t>Kavak Madencilik A.S.</t>
  </si>
  <si>
    <t>Konakli Metal Madencilik Sanayi Ticaret A.S.</t>
  </si>
  <si>
    <t>Orta Truva Madencilik Sanayi ve Ticaret A.S.</t>
  </si>
  <si>
    <t>Teck Anadolu Madencilik Anonim Sirketi</t>
  </si>
  <si>
    <t>Teck Madencilik Sanayi Ticaret A.S.</t>
  </si>
  <si>
    <t>American Titanium Inc.</t>
  </si>
  <si>
    <t>Bonna Incorporated</t>
  </si>
  <si>
    <t>Deldorita Ranches Inc.</t>
  </si>
  <si>
    <t>Cattle ranch</t>
  </si>
  <si>
    <t>TCAI Incorporated</t>
  </si>
  <si>
    <t>Teck Advanced Materials Incorporated</t>
  </si>
  <si>
    <t>Supplies materials to the semi-conductor industry</t>
  </si>
  <si>
    <t>Teck Alaska Incorporated</t>
  </si>
  <si>
    <t>Teck American Energy Sales Incorporated</t>
  </si>
  <si>
    <t>Teck American Incorporated</t>
  </si>
  <si>
    <t>Teck Alaska Maritime Incorporated</t>
  </si>
  <si>
    <t>Owning and operating marine vessels</t>
  </si>
  <si>
    <t>Teck American Metal Sales Incorporated</t>
  </si>
  <si>
    <t>Teck CO, LLC</t>
  </si>
  <si>
    <t>Teck Washington Incorporated</t>
  </si>
  <si>
    <t>119994 Canada Limited</t>
  </si>
  <si>
    <t>13525261 Canada Inc.</t>
  </si>
  <si>
    <t>1456359 Ontario Inc.</t>
  </si>
  <si>
    <t>4116313 Canada Inc.</t>
  </si>
  <si>
    <t>585566 B.C. Ltd.</t>
  </si>
  <si>
    <t>6069789 Canada Inc.</t>
  </si>
  <si>
    <t>7062338 Canada Inc.</t>
  </si>
  <si>
    <t>8230137 Canada Inc.</t>
  </si>
  <si>
    <t>8359571 Canada Inc.</t>
  </si>
  <si>
    <t>Holding company for royalty asset</t>
  </si>
  <si>
    <t>9749977 Canada Inc.</t>
  </si>
  <si>
    <t>Afton Operating Corporation</t>
  </si>
  <si>
    <t>Bamoos Minerals Limited</t>
  </si>
  <si>
    <t>Bartec Mining Company Limited</t>
  </si>
  <si>
    <t>Bitmin Resources Inc.</t>
  </si>
  <si>
    <t>BMC Financial Inc.</t>
  </si>
  <si>
    <t>Bullmoose Operating Corporation</t>
  </si>
  <si>
    <t>Cardinal River Coals Ltd.</t>
  </si>
  <si>
    <t>CESL Limited</t>
  </si>
  <si>
    <t>CESL Technology Ltd.</t>
  </si>
  <si>
    <t>Cirque Operating Corp.</t>
  </si>
  <si>
    <t>Cominco Argentina Ltd.</t>
  </si>
  <si>
    <t>Cominco Namibia Ltd.</t>
  </si>
  <si>
    <t>Elkview Mine G.P. Inc.</t>
  </si>
  <si>
    <t>Elkview Mine Limited Partnership</t>
  </si>
  <si>
    <t>Favourable Lake Explorations Limited</t>
  </si>
  <si>
    <t>Feld Temagami Mines Limited</t>
  </si>
  <si>
    <t>Fording (GP) ULC</t>
  </si>
  <si>
    <t>Fording Amalco Inc.</t>
  </si>
  <si>
    <t>Fording Partnership</t>
  </si>
  <si>
    <t>Fort Hills Energy Limited Partnership</t>
  </si>
  <si>
    <t>Frontier Energy Project Corporation</t>
  </si>
  <si>
    <t>Galore Creek Mining Corporation</t>
  </si>
  <si>
    <t>Galore Creek Partnership</t>
  </si>
  <si>
    <t>Highmont Mining Company (A Partnership)</t>
  </si>
  <si>
    <t>Highmont Operating Corporation</t>
  </si>
  <si>
    <t>International Nickel Ventures Inc.</t>
  </si>
  <si>
    <t>Liard Copper Mines Limited</t>
  </si>
  <si>
    <t>Newfoundland Zinc Mines Limited</t>
  </si>
  <si>
    <t>Nome Securities Limited</t>
  </si>
  <si>
    <t>Quintette Coal Limited</t>
  </si>
  <si>
    <t>Quintette Operating Corporation</t>
  </si>
  <si>
    <t>Ridgetop Forwarding Ltd.</t>
  </si>
  <si>
    <t>Freight forwarding</t>
  </si>
  <si>
    <t>Sa Dena Hes Operating Corporation</t>
  </si>
  <si>
    <t>Secrecorp Minerals Ltd.</t>
  </si>
  <si>
    <t>Silverbirch Energy Corporation</t>
  </si>
  <si>
    <t>TCL Australia Holdings Inc.</t>
  </si>
  <si>
    <t>TCL U.S. Holdings Ltd.</t>
  </si>
  <si>
    <t>Teck Argentina Ltd.</t>
  </si>
  <si>
    <t>Teck Base Metals Limited</t>
  </si>
  <si>
    <t>Teck Canadian Energy Sales Limited</t>
  </si>
  <si>
    <t>Teck Chilean Holdings Ltd.</t>
  </si>
  <si>
    <t>Teck Coal Limited</t>
  </si>
  <si>
    <t>Teck Coal Partnership</t>
  </si>
  <si>
    <t>Teck Fording Holding Ltd.</t>
  </si>
  <si>
    <t>Teck Foundation</t>
  </si>
  <si>
    <t>Teck Frontier Corporation</t>
  </si>
  <si>
    <t>Teck Frontier Energy Partnership</t>
  </si>
  <si>
    <t>Teck Highland Valley Copper Corporation</t>
  </si>
  <si>
    <t>Teck Highland Valley Copper Partnership</t>
  </si>
  <si>
    <t>Teck Highmont Holdings Inc.</t>
  </si>
  <si>
    <t xml:space="preserve">Teck Investment Limited </t>
  </si>
  <si>
    <t>Teck Ireland Ltd.</t>
  </si>
  <si>
    <t>Teck Logistics Limited</t>
  </si>
  <si>
    <t>Teck Metals Ltd.</t>
  </si>
  <si>
    <t>Teck Mining Worldwide Holdings Ltd.</t>
  </si>
  <si>
    <t>Teck Namibia Ltd.</t>
  </si>
  <si>
    <t>Teck Nova Scotia Company</t>
  </si>
  <si>
    <t>Teck Panama Minerals Corp.</t>
  </si>
  <si>
    <t>Teck Relincho Holdings Ltd.</t>
  </si>
  <si>
    <t>Teck Resources Coal Partnership</t>
  </si>
  <si>
    <t>Teck Resources Financial Corp.</t>
  </si>
  <si>
    <t>Teck Resources Limited</t>
  </si>
  <si>
    <t>Teck Resources Mining Partnership</t>
  </si>
  <si>
    <t>Teck South American Holdings Ltd.</t>
  </si>
  <si>
    <t>Teck.Com.Inc.</t>
  </si>
  <si>
    <t>Teck-Bullmoose Coal Inc.</t>
  </si>
  <si>
    <t>Teckgold Limited</t>
  </si>
  <si>
    <t>The Quintette Coal Partnership</t>
  </si>
  <si>
    <t>United Kingdom</t>
  </si>
  <si>
    <t>Teck Resources (UK) Ltd.</t>
  </si>
  <si>
    <t>Mongolia</t>
  </si>
  <si>
    <t>TCKMO LLC</t>
  </si>
  <si>
    <t>Truva Bakir Maden Isletmeleri A.S.</t>
  </si>
  <si>
    <t>Holds resource property</t>
  </si>
  <si>
    <t>Agricola Teck S.P.R. de L.R.</t>
  </si>
  <si>
    <t>Minera Tama S.A. de C.V.</t>
  </si>
  <si>
    <t>Minera AQM Copper Peru S.A.C.</t>
  </si>
  <si>
    <t>AQM Copper Inc.</t>
  </si>
  <si>
    <t>Summary of Tax Entities</t>
  </si>
  <si>
    <t>2022 data will be available in early 2024.</t>
  </si>
  <si>
    <r>
      <t>Summary of All Entities</t>
    </r>
    <r>
      <rPr>
        <b/>
        <vertAlign val="superscript"/>
        <sz val="11"/>
        <color theme="1"/>
        <rFont val="Arial"/>
        <family val="2"/>
      </rPr>
      <t>(1)</t>
    </r>
  </si>
  <si>
    <t xml:space="preserve">     b</t>
  </si>
  <si>
    <r>
      <t>Hazardous and Non-Hazardous Waste in Metric Tonnes - 2021</t>
    </r>
    <r>
      <rPr>
        <b/>
        <vertAlign val="superscript"/>
        <sz val="14"/>
        <color rgb="FF002060"/>
        <rFont val="Arial"/>
        <family val="2"/>
      </rPr>
      <t>(1)</t>
    </r>
  </si>
  <si>
    <r>
      <t>Restated: Hazardous and Non-Hazardous Waste in Metric Tonnes (t) - 2021</t>
    </r>
    <r>
      <rPr>
        <b/>
        <vertAlign val="superscript"/>
        <sz val="11"/>
        <color theme="1"/>
        <rFont val="Arial"/>
        <family val="2"/>
      </rPr>
      <t>(1),(2)</t>
    </r>
  </si>
  <si>
    <r>
      <t>9,499</t>
    </r>
    <r>
      <rPr>
        <vertAlign val="superscript"/>
        <sz val="10"/>
        <rFont val="Arial"/>
        <family val="2"/>
      </rPr>
      <t>(5),(6),(7)</t>
    </r>
  </si>
  <si>
    <r>
      <t>45,040</t>
    </r>
    <r>
      <rPr>
        <vertAlign val="superscript"/>
        <sz val="10"/>
        <rFont val="Arial"/>
        <family val="2"/>
      </rPr>
      <t>(5),(6),(7)</t>
    </r>
  </si>
  <si>
    <r>
      <t>0</t>
    </r>
    <r>
      <rPr>
        <vertAlign val="superscript"/>
        <sz val="10"/>
        <rFont val="Arial"/>
        <family val="2"/>
      </rPr>
      <t>(5)</t>
    </r>
  </si>
  <si>
    <r>
      <t>9,499</t>
    </r>
    <r>
      <rPr>
        <b/>
        <vertAlign val="superscript"/>
        <sz val="10"/>
        <rFont val="Arial"/>
        <family val="2"/>
      </rPr>
      <t>(5),(6),(7)</t>
    </r>
  </si>
  <si>
    <r>
      <t>45,040</t>
    </r>
    <r>
      <rPr>
        <b/>
        <vertAlign val="superscript"/>
        <sz val="10"/>
        <rFont val="Arial"/>
        <family val="2"/>
      </rPr>
      <t>(5),(6),(7)</t>
    </r>
  </si>
  <si>
    <r>
      <t>518</t>
    </r>
    <r>
      <rPr>
        <vertAlign val="superscript"/>
        <sz val="10"/>
        <rFont val="Arial"/>
        <family val="2"/>
      </rPr>
      <t>(5)</t>
    </r>
  </si>
  <si>
    <r>
      <t>2,831</t>
    </r>
    <r>
      <rPr>
        <vertAlign val="superscript"/>
        <sz val="10"/>
        <rFont val="Arial"/>
        <family val="2"/>
      </rPr>
      <t>(5),(6),(7)</t>
    </r>
  </si>
  <si>
    <r>
      <t>2,832</t>
    </r>
    <r>
      <rPr>
        <vertAlign val="superscript"/>
        <sz val="10"/>
        <rFont val="Arial"/>
        <family val="2"/>
      </rPr>
      <t>(5),(6),(7)</t>
    </r>
  </si>
  <si>
    <r>
      <t>9,593</t>
    </r>
    <r>
      <rPr>
        <vertAlign val="superscript"/>
        <sz val="10"/>
        <rFont val="Arial"/>
        <family val="2"/>
      </rPr>
      <t>(5),(6),(7)</t>
    </r>
  </si>
  <si>
    <r>
      <t>12,969</t>
    </r>
    <r>
      <rPr>
        <b/>
        <vertAlign val="superscript"/>
        <sz val="10"/>
        <rFont val="Arial"/>
        <family val="2"/>
      </rPr>
      <t>(5),(6),(7)</t>
    </r>
  </si>
  <si>
    <r>
      <t>12,970</t>
    </r>
    <r>
      <rPr>
        <b/>
        <vertAlign val="superscript"/>
        <sz val="10"/>
        <rFont val="Arial"/>
        <family val="2"/>
      </rPr>
      <t>(5),(6),(7)</t>
    </r>
  </si>
  <si>
    <r>
      <t>1,731</t>
    </r>
    <r>
      <rPr>
        <vertAlign val="superscript"/>
        <sz val="10"/>
        <rFont val="Arial"/>
        <family val="2"/>
      </rPr>
      <t>(5)</t>
    </r>
  </si>
  <si>
    <r>
      <t>20,116</t>
    </r>
    <r>
      <rPr>
        <vertAlign val="superscript"/>
        <sz val="10"/>
        <rFont val="Arial"/>
        <family val="2"/>
      </rPr>
      <t>(5),(7)</t>
    </r>
  </si>
  <si>
    <r>
      <t>21,847</t>
    </r>
    <r>
      <rPr>
        <vertAlign val="superscript"/>
        <sz val="10"/>
        <rFont val="Arial"/>
        <family val="2"/>
      </rPr>
      <t>(5),(7)</t>
    </r>
  </si>
  <si>
    <r>
      <t>1,860</t>
    </r>
    <r>
      <rPr>
        <b/>
        <vertAlign val="superscript"/>
        <sz val="10"/>
        <rFont val="Arial"/>
        <family val="2"/>
      </rPr>
      <t>(5)</t>
    </r>
  </si>
  <si>
    <r>
      <t>20,538</t>
    </r>
    <r>
      <rPr>
        <b/>
        <vertAlign val="superscript"/>
        <sz val="10"/>
        <rFont val="Arial"/>
        <family val="2"/>
      </rPr>
      <t>(5),(7)</t>
    </r>
  </si>
  <si>
    <r>
      <t>22,398</t>
    </r>
    <r>
      <rPr>
        <b/>
        <vertAlign val="superscript"/>
        <sz val="10"/>
        <rFont val="Arial"/>
        <family val="2"/>
      </rPr>
      <t>(5),(7)</t>
    </r>
  </si>
  <si>
    <r>
      <t>45,640</t>
    </r>
    <r>
      <rPr>
        <vertAlign val="superscript"/>
        <sz val="10"/>
        <rFont val="Arial"/>
        <family val="2"/>
      </rPr>
      <t>(5),(7)</t>
    </r>
  </si>
  <si>
    <r>
      <t>6,206</t>
    </r>
    <r>
      <rPr>
        <vertAlign val="superscript"/>
        <sz val="10"/>
        <color rgb="FF000000"/>
        <rFont val="Arial"/>
        <family val="2"/>
      </rPr>
      <t>(7)</t>
    </r>
  </si>
  <si>
    <r>
      <t>51,846</t>
    </r>
    <r>
      <rPr>
        <vertAlign val="superscript"/>
        <sz val="10"/>
        <rFont val="Arial"/>
        <family val="2"/>
      </rPr>
      <t>(5),(7)</t>
    </r>
  </si>
  <si>
    <r>
      <t>351</t>
    </r>
    <r>
      <rPr>
        <vertAlign val="superscript"/>
        <sz val="10"/>
        <color rgb="FF000000"/>
        <rFont val="Arial"/>
        <family val="2"/>
      </rPr>
      <t>(7)</t>
    </r>
  </si>
  <si>
    <r>
      <t>6,417</t>
    </r>
    <r>
      <rPr>
        <vertAlign val="superscript"/>
        <sz val="10"/>
        <color rgb="FF000000"/>
        <rFont val="Arial"/>
        <family val="2"/>
      </rPr>
      <t>(7)</t>
    </r>
  </si>
  <si>
    <r>
      <t>63,307</t>
    </r>
    <r>
      <rPr>
        <b/>
        <vertAlign val="superscript"/>
        <sz val="10"/>
        <rFont val="Arial"/>
        <family val="2"/>
      </rPr>
      <t>(5),(7)</t>
    </r>
  </si>
  <si>
    <r>
      <t>6,606</t>
    </r>
    <r>
      <rPr>
        <b/>
        <vertAlign val="superscript"/>
        <sz val="10"/>
        <rFont val="Arial"/>
        <family val="2"/>
      </rPr>
      <t>(7)</t>
    </r>
  </si>
  <si>
    <r>
      <t>69,913</t>
    </r>
    <r>
      <rPr>
        <b/>
        <vertAlign val="superscript"/>
        <sz val="10"/>
        <rFont val="Arial"/>
        <family val="2"/>
      </rPr>
      <t>(5),(7)</t>
    </r>
  </si>
  <si>
    <t xml:space="preserve">(2)   See "Previously Stated: Hazardous and Non-Hazardous Waste in Metric Tonnes (t) - 2021" for previously stated values. </t>
  </si>
  <si>
    <t>(5)   Figures have been restated due to reclassifying waste disposal location.</t>
  </si>
  <si>
    <t>(6)   Figures have been restated due to correcting waste densities.</t>
  </si>
  <si>
    <t>(7)   Figures have been restated to exclude Coal Mountain Operations as the site transitioned to closure prior to 2021.</t>
  </si>
  <si>
    <r>
      <t>Previously Stated: Hazardous and Non-Hazardous Waste in Metric Tonnes (t) - 2021</t>
    </r>
    <r>
      <rPr>
        <b/>
        <vertAlign val="superscript"/>
        <sz val="11"/>
        <color theme="1"/>
        <rFont val="Arial"/>
        <family val="2"/>
      </rPr>
      <t>(1),(2)</t>
    </r>
  </si>
  <si>
    <t xml:space="preserve">(2)   See "Restated: Hazardous and Non-Hazardous Waste in Metric Tonnes (t) - 2021" for restated values. </t>
  </si>
  <si>
    <t>Employee Engagement Index</t>
  </si>
  <si>
    <t>Employee Engagement from the Inclusion &amp; Engagement Survey</t>
  </si>
  <si>
    <t>Full time, permanent positions filled by internal candidates</t>
  </si>
  <si>
    <r>
      <t>Open Positions Filled by Internal Candidates</t>
    </r>
    <r>
      <rPr>
        <b/>
        <vertAlign val="superscript"/>
        <sz val="11"/>
        <rFont val="Arial"/>
        <family val="2"/>
      </rPr>
      <t>(1)</t>
    </r>
  </si>
  <si>
    <t xml:space="preserve">(1)   For equity and transparency, we track the number of open positions filled by internal candidates. The significant increase of net new hires from 2021 to 2022 contributed to the relative decrease in percentage of open positions filled by internal candidates. </t>
  </si>
  <si>
    <t xml:space="preserve">(1)   The results of the 2022 survey found a 78% Employee Engagement Index which reflects employee sentiment related to feeling engaged, enabled, and energized. </t>
  </si>
  <si>
    <t>Management Positions in Revenue-Generating Functions</t>
  </si>
  <si>
    <t>Percentage of Women in the Workforce</t>
  </si>
  <si>
    <r>
      <t>Senior Management</t>
    </r>
    <r>
      <rPr>
        <vertAlign val="superscript"/>
        <sz val="10"/>
        <color theme="1"/>
        <rFont val="Arial"/>
        <family val="2"/>
      </rPr>
      <t>(2)</t>
    </r>
  </si>
  <si>
    <r>
      <t>Percentage of Women in the Workforce</t>
    </r>
    <r>
      <rPr>
        <b/>
        <vertAlign val="superscript"/>
        <sz val="11"/>
        <color theme="1"/>
        <rFont val="Arial"/>
        <family val="2"/>
      </rPr>
      <t>(1)</t>
    </r>
  </si>
  <si>
    <t>(2)   Senior management includes officers at Teck other than the Chair and Vice-Chair of the Board.</t>
  </si>
  <si>
    <t xml:space="preserve">(1)   "n/r" stands for not reported. </t>
  </si>
  <si>
    <t>(4)   Total water use is the sum of water withdrawals and water reused/recycled.</t>
  </si>
  <si>
    <t>(3)   Other Managed Water is water that is actively managed without intent to supply the operational water demands. It was previously called ‘water withdrawal discharged without use’.</t>
  </si>
  <si>
    <t>(5)   Mining operations only.</t>
  </si>
  <si>
    <t>(1)   GRI 303-3: Water withdrawal, 303-4: Water discharge, 303-5: Water consumption.</t>
  </si>
  <si>
    <t>(10)  In 2021, there was a fatality at our Red Dog Operations. See our 2021 Sustainability Report for more details. There was an additional fatality at the Antamina mine in 2021 which is operated by BHP and Glencore. See their sustainability report for further information.</t>
  </si>
  <si>
    <t>Last Updated: July 14th, 2023</t>
  </si>
  <si>
    <t>See Tax Entities tab</t>
  </si>
  <si>
    <r>
      <t>Summary of All Entities</t>
    </r>
    <r>
      <rPr>
        <b/>
        <vertAlign val="superscript"/>
        <sz val="11"/>
        <color theme="1"/>
        <rFont val="Arial"/>
        <family val="2"/>
      </rPr>
      <t xml:space="preserve"> </t>
    </r>
  </si>
  <si>
    <t>Tailings Management Policy</t>
  </si>
  <si>
    <t xml:space="preserve">Respectful Workplace Policy </t>
  </si>
  <si>
    <t xml:space="preserve">(2)   Revenues are presented based on an accrual basis. Internal cross-border sales are eliminated as shown. </t>
  </si>
  <si>
    <r>
      <t>Inter-segment elimination</t>
    </r>
    <r>
      <rPr>
        <vertAlign val="superscript"/>
        <sz val="10"/>
        <color theme="1"/>
        <rFont val="Arial"/>
        <family val="2"/>
      </rPr>
      <t>(2)</t>
    </r>
  </si>
  <si>
    <t>(3)   Safety statistics include both employees and contractors at all of our locations (operations, projects, closed properties, exploration sites and offices). For sites where Teck owns more than 50%, safety statistics are weighted 100%; for sites where Teck owns 50% or less, safety statistics are weighted according to Teck’s ownership of the operation. This includes the Antamina mine (22.5% interest), Fort Hills mine (21.3% interest), Neptune Bulk Terminals (46% interest), and NuevaUnión (50% interest)</t>
  </si>
  <si>
    <t>(2)   Occupational diseases are defined as an adverse, generally chronic and irreversible health effect associated with overexposure to chemical, physical or biological agents in the workplace (e.g., silicosis, bladder cancer, berylliosis, metal fume fever, asthma).</t>
  </si>
  <si>
    <t xml:space="preserve">(1)   Occupational disease data is collected from insurance providers such as WorkSafeBC; global exploration sites or marketing offices are not included. </t>
  </si>
  <si>
    <t>(2)   Revenues are presented based on an accrual basis. Internal cross-border sales are eliminated as shown.</t>
  </si>
  <si>
    <t>(3)   Does not include Fort Hills operation as Teck announced the sale of its 21.3% stake in Fort Hills on October 26, 2022, completing the sale February 2, 2023. See 2022 Annual Report for more information.</t>
  </si>
  <si>
    <r>
      <rPr>
        <sz val="8"/>
        <color rgb="FF000000"/>
        <rFont val="Arial"/>
        <family val="2"/>
      </rPr>
      <t>(2)   Revenues are presented based on an accrual basis. Internal cross-border sales are eliminated as shown.</t>
    </r>
    <r>
      <rPr>
        <b/>
        <sz val="8"/>
        <color rgb="FF000000"/>
        <rFont val="Arial"/>
        <family val="2"/>
      </rPr>
      <t xml:space="preserve"> </t>
    </r>
  </si>
  <si>
    <r>
      <t>Revenues</t>
    </r>
    <r>
      <rPr>
        <vertAlign val="superscript"/>
        <sz val="10"/>
        <color theme="0"/>
        <rFont val="Arial"/>
        <family val="2"/>
      </rPr>
      <t>(2),(3)</t>
    </r>
  </si>
  <si>
    <t>(4)   Operating costs include operating expenses at our mining and processing operations and our general and administration, exploration and research and development expenses and costs relating to production stripping. Operating costs excludes depreciation, employee wages and benefits, and change in inventory which are specified separately. Capital expenditures are payments for purchases of property, plant and equipment, excluding the component relating to capitalized wages and benefits, which is specified separately. Deferred stripping is included in operating costs and not capital expenditure.</t>
  </si>
  <si>
    <t xml:space="preserve">(5)   Wages and Benefits reflects total amounts paid to employees relating to wages and benefits, including payroll taxes. </t>
  </si>
  <si>
    <t xml:space="preserve">(6)   Payments to providers of capital include dividends paid to shareholders, interest paid to debtholders, and payments for share repurchases less issuance of shares. </t>
  </si>
  <si>
    <t xml:space="preserve">(7)   Income and resource taxes include amounts paid in the year. </t>
  </si>
  <si>
    <t>(8)   Community investments include voluntary donations paid during the year.</t>
  </si>
  <si>
    <t xml:space="preserve">(3)   This figure includes Fort Hills operation as stated in the 2021 Annual Report. Teck announced the sale of Fort Hills on October 26, 2022. </t>
  </si>
  <si>
    <r>
      <t>Payment to Suppliers</t>
    </r>
    <r>
      <rPr>
        <vertAlign val="superscript"/>
        <sz val="10"/>
        <color theme="0"/>
        <rFont val="Arial"/>
        <family val="2"/>
      </rPr>
      <t>(4)</t>
    </r>
  </si>
  <si>
    <r>
      <t>Employee Wages and Benefits</t>
    </r>
    <r>
      <rPr>
        <vertAlign val="superscript"/>
        <sz val="10"/>
        <color theme="0"/>
        <rFont val="Arial"/>
        <family val="2"/>
      </rPr>
      <t>(5)</t>
    </r>
  </si>
  <si>
    <r>
      <t>Payments to providers of capital</t>
    </r>
    <r>
      <rPr>
        <vertAlign val="superscript"/>
        <sz val="10"/>
        <color theme="0"/>
        <rFont val="Arial"/>
        <family val="2"/>
      </rPr>
      <t>(6)</t>
    </r>
  </si>
  <si>
    <r>
      <t>Income and Resource Taxes</t>
    </r>
    <r>
      <rPr>
        <vertAlign val="superscript"/>
        <sz val="10"/>
        <color theme="0"/>
        <rFont val="Arial"/>
        <family val="2"/>
      </rPr>
      <t>(7)</t>
    </r>
  </si>
  <si>
    <r>
      <t>Community Investments</t>
    </r>
    <r>
      <rPr>
        <vertAlign val="superscript"/>
        <sz val="10"/>
        <color theme="0"/>
        <rFont val="Arial"/>
        <family val="2"/>
      </rPr>
      <t>(8)</t>
    </r>
  </si>
  <si>
    <r>
      <rPr>
        <b/>
        <sz val="11"/>
        <color theme="1"/>
        <rFont val="Arial"/>
        <family val="2"/>
      </rPr>
      <t>Tailings Storage Facility Inventory Table</t>
    </r>
    <r>
      <rPr>
        <b/>
        <vertAlign val="superscript"/>
        <sz val="11"/>
        <color theme="1"/>
        <rFont val="Arial"/>
        <family val="2"/>
      </rPr>
      <t>(1)</t>
    </r>
  </si>
  <si>
    <t>Site</t>
  </si>
  <si>
    <t>Facility Name</t>
  </si>
  <si>
    <t>Ownership Status</t>
  </si>
  <si>
    <t>Operational Status</t>
  </si>
  <si>
    <t>Permitted  Maximum Storage Capacity (million tonnes)</t>
  </si>
  <si>
    <t>Current Amount of Tailings Stored (million tonnes)</t>
  </si>
  <si>
    <t>Current Dam Height (m)</t>
  </si>
  <si>
    <t>Consequence Classification</t>
  </si>
  <si>
    <t>Date of the most recent independent technical review
(ITRB)</t>
  </si>
  <si>
    <t>Active</t>
  </si>
  <si>
    <t>Depósito de Relaves CdA</t>
  </si>
  <si>
    <t>Teck Resources</t>
  </si>
  <si>
    <t>Downstream</t>
  </si>
  <si>
    <t>Extreme</t>
  </si>
  <si>
    <t>No</t>
  </si>
  <si>
    <t xml:space="preserve">Yes </t>
  </si>
  <si>
    <t>Elkview Operations</t>
  </si>
  <si>
    <t>Lagoon A</t>
  </si>
  <si>
    <t>Inactive</t>
  </si>
  <si>
    <t>Single Stage</t>
  </si>
  <si>
    <t>Low</t>
  </si>
  <si>
    <t>Yes</t>
  </si>
  <si>
    <t>Lagoon B</t>
  </si>
  <si>
    <t>There are no immediate physical safety risks at the facility. The mitigation works in progress are described in detail in the Annual Facility Performance Report at www.teck.com/tailings</t>
  </si>
  <si>
    <t>Lagoon C</t>
  </si>
  <si>
    <t>High</t>
  </si>
  <si>
    <t>Lagoon D</t>
  </si>
  <si>
    <t>Very High</t>
  </si>
  <si>
    <t>West Fork Tailings Facility (WFTF)</t>
  </si>
  <si>
    <t>Fording River Operations</t>
  </si>
  <si>
    <t>2P-3P Tailings Storage Area (2P-3P)</t>
  </si>
  <si>
    <t>Centreline</t>
  </si>
  <si>
    <t>North Tailings Pond (NTP)</t>
  </si>
  <si>
    <t>South Tailings Pond (STP)</t>
  </si>
  <si>
    <t>Swift South Spoil Co-management Facility</t>
  </si>
  <si>
    <t>Stacked</t>
  </si>
  <si>
    <t>1st in 2024</t>
  </si>
  <si>
    <t>Turnbull Pit South TSF</t>
  </si>
  <si>
    <t>In-Pit</t>
  </si>
  <si>
    <t>Greenhills Operations</t>
  </si>
  <si>
    <t>GHO TSF</t>
  </si>
  <si>
    <t>24 Mile Lake</t>
  </si>
  <si>
    <t>7 Day</t>
  </si>
  <si>
    <t>Bethlehem TSF</t>
  </si>
  <si>
    <t>Upstream / Centreline</t>
  </si>
  <si>
    <t>Highmont TSF</t>
  </si>
  <si>
    <t>Highland TSF</t>
  </si>
  <si>
    <t>Trojan TSF</t>
  </si>
  <si>
    <t>Centreline / Upstream</t>
  </si>
  <si>
    <t>Line Creek Operations</t>
  </si>
  <si>
    <t>Pond Fines Dump (PFD)</t>
  </si>
  <si>
    <t>Significant</t>
  </si>
  <si>
    <t xml:space="preserve">No </t>
  </si>
  <si>
    <t>Rail Loop Pond (RLP)</t>
  </si>
  <si>
    <t>Depósito de Relaves QB</t>
  </si>
  <si>
    <t>1st will be done next years</t>
  </si>
  <si>
    <t>Red Dog Operations</t>
  </si>
  <si>
    <t>Red Dog Tailings Storage Facility</t>
  </si>
  <si>
    <t>Downstream / Centreline</t>
  </si>
  <si>
    <t>Beaverdell</t>
  </si>
  <si>
    <t>Beaverdell - North Tailings</t>
  </si>
  <si>
    <t>Bullmoose</t>
  </si>
  <si>
    <t>Tailings Storage Facility</t>
  </si>
  <si>
    <t>Douglas</t>
  </si>
  <si>
    <t>Douglas Mine Tailings Facility</t>
  </si>
  <si>
    <t>2021 (Final)
2022 is draft and in review</t>
  </si>
  <si>
    <t>Duck Pond Tailings Pond</t>
  </si>
  <si>
    <t>Fisherman Road</t>
  </si>
  <si>
    <t>Fisherman Road - Tailings</t>
  </si>
  <si>
    <t>N/A (2024)</t>
  </si>
  <si>
    <t>Lennard Shelf - Tailings</t>
  </si>
  <si>
    <t>Joint Venture</t>
  </si>
  <si>
    <t>Reclaimed landform</t>
  </si>
  <si>
    <t>Louvicourt</t>
  </si>
  <si>
    <t>Louvicourt - Tailings</t>
  </si>
  <si>
    <t>Magmont</t>
  </si>
  <si>
    <t>Magmont Mine Tailings Facility</t>
  </si>
  <si>
    <t>2020 (Final)
2021 and 2022 are draft and in review</t>
  </si>
  <si>
    <t>N/A (2023)</t>
  </si>
  <si>
    <t>Pend Oreille Operations</t>
  </si>
  <si>
    <t>Tailings Disposal Facility #1</t>
  </si>
  <si>
    <t>Upstream</t>
  </si>
  <si>
    <t>Tailings Disposal Facility #2</t>
  </si>
  <si>
    <t>Tailings Disposal Facility #3</t>
  </si>
  <si>
    <t>Pinchi Lake</t>
  </si>
  <si>
    <t>Pinchi Lake - Tailings</t>
  </si>
  <si>
    <t>Pine Point Mines</t>
  </si>
  <si>
    <t>Pine Point Mines - Tailings</t>
  </si>
  <si>
    <t>Sa Dena Hes</t>
  </si>
  <si>
    <t>Sa Dena Hes - Tailings</t>
  </si>
  <si>
    <t>Sullivan</t>
  </si>
  <si>
    <t>Calcine TSF</t>
  </si>
  <si>
    <t>Gypsum TSF</t>
  </si>
  <si>
    <t>Upstream / Single Stage</t>
  </si>
  <si>
    <t>Iron TSF</t>
  </si>
  <si>
    <t>Old Iron TSF</t>
  </si>
  <si>
    <t>Siliceous TSF</t>
  </si>
  <si>
    <t>Plantside TSF</t>
  </si>
  <si>
    <t>Shikano TSF</t>
  </si>
  <si>
    <t>(1) SASB EM-MM-540a.1/EM-CO-140a.1: 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Emergency Preparedness and Response Plans (EPRP).</t>
  </si>
  <si>
    <t>(1)   We equip our employees for future workplace and leadership needs, including upskilling and reskilling, by investing in training and skills development programs. In addition to the Performance and Development programs that all the employees receive, we also provide training to those who are eligible for a Leadership program. In 2022, out of the 3,039 employees who were eligible for a Leadership Program, 716 (2.3% of total Teck population) participated, this represents 23.6% eligible employees across the organization. 
(2)   From 2020-2022, women represented approximately 30% of participants in the Leading for the Future program, compared to an average of 22% women in the total workforce. This supports our goal to increase the percentage of women working at Teck, including women in leadership positions.</t>
  </si>
  <si>
    <r>
      <t>Investment Spend on Training (millions)</t>
    </r>
    <r>
      <rPr>
        <b/>
        <vertAlign val="superscript"/>
        <sz val="11"/>
        <rFont val="Arial"/>
        <family val="2"/>
      </rPr>
      <t>(1),(2)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</si>
</sst>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quot;$&quot;#,##0_);\(&quot;$&quot;#,##0\)"/>
    <numFmt numFmtId="165" formatCode="&quot;$&quot;#,##0_);[Red]\(&quot;$&quot;#,##0\)"/>
    <numFmt numFmtId="166" formatCode="_(* #,##0_);_(* \(#,##0\);_(* &quot;-&quot;_);_(@_)"/>
    <numFmt numFmtId="167" formatCode="_(&quot;$&quot;* #,##0.00_);_(&quot;$&quot;* \(#,##0.00\);_(&quot;$&quot;* &quot;-&quot;??_);_(@_)"/>
    <numFmt numFmtId="168" formatCode="_(* #,##0.00_);_(* \(#,##0.00\);_(* &quot;-&quot;??_);_(@_)"/>
    <numFmt numFmtId="169" formatCode="_(* #,##0_);_(* \(#,##0\);_(* &quot;-&quot;??_);_(@_)"/>
    <numFmt numFmtId="170" formatCode="#,##0.0000\ ;\(#,##0.0000\)"/>
    <numFmt numFmtId="171" formatCode="#,##0\ ;\(#,##0\)"/>
    <numFmt numFmtId="172" formatCode="dd\ mmm\ yy"/>
    <numFmt numFmtId="173" formatCode="dd\ mmm\ yy\ hh:mm"/>
    <numFmt numFmtId="174" formatCode="0.000"/>
    <numFmt numFmtId="175" formatCode="0_);\(0\)"/>
    <numFmt numFmtId="176" formatCode="#,##0.0"/>
    <numFmt numFmtId="177" formatCode="#,##0.0000"/>
    <numFmt numFmtId="178" formatCode="&quot;$&quot;#,##0"/>
    <numFmt numFmtId="179" formatCode="0.0"/>
    <numFmt numFmtId="180" formatCode="0.0000"/>
    <numFmt numFmtId="181" formatCode="0.0%"/>
    <numFmt numFmtId="182" formatCode="&quot;$&quot;#,##0.0_);\(&quot;$&quot;#,##0.0\)"/>
    <numFmt numFmtId="183" formatCode="#,##0.00000"/>
  </numFmts>
  <fonts count="131">
    <font>
      <sz val="11"/>
      <color theme="1"/>
      <name val="Calibri"/>
      <family val="2"/>
      <scheme val="minor"/>
    </font>
    <font>
      <sz val="10"/>
      <color theme="1"/>
      <name val="Arial"/>
      <family val="2"/>
    </font>
    <font>
      <b/>
      <sz val="11"/>
      <color theme="1"/>
      <name val="Calibri"/>
      <family val="2"/>
      <scheme val="minor"/>
    </font>
    <font>
      <b/>
      <sz val="10"/>
      <color theme="1"/>
      <name val="Arial"/>
      <family val="2"/>
    </font>
    <font>
      <sz val="10"/>
      <color rgb="FF000000"/>
      <name val="Arial"/>
      <family val="2"/>
    </font>
    <font>
      <u/>
      <sz val="11"/>
      <color theme="10"/>
      <name val="Calibri"/>
      <family val="2"/>
      <scheme val="minor"/>
    </font>
    <font>
      <sz val="10"/>
      <name val="Arial"/>
      <family val="2"/>
    </font>
    <font>
      <b/>
      <sz val="10"/>
      <color rgb="FF000000"/>
      <name val="Arial"/>
      <family val="2"/>
    </font>
    <font>
      <sz val="11"/>
      <color theme="1"/>
      <name val="Calibri"/>
      <family val="2"/>
      <scheme val="minor"/>
    </font>
    <font>
      <sz val="11"/>
      <color theme="0"/>
      <name val="Calibri"/>
      <family val="2"/>
      <scheme val="minor"/>
    </font>
    <font>
      <b/>
      <sz val="10"/>
      <color rgb="FF0065BD"/>
      <name val="Arial"/>
      <family val="2"/>
    </font>
    <font>
      <b/>
      <i/>
      <sz val="8"/>
      <name val="Arial"/>
      <family val="2"/>
    </font>
    <font>
      <sz val="18"/>
      <color rgb="FF0065BD"/>
      <name val="Arial"/>
      <family val="2"/>
    </font>
    <font>
      <b/>
      <sz val="10"/>
      <color theme="0"/>
      <name val="Arial"/>
      <family val="2"/>
    </font>
    <font>
      <b/>
      <sz val="11"/>
      <color rgb="FF000000"/>
      <name val="Calibri"/>
      <family val="2"/>
      <scheme val="minor"/>
    </font>
    <font>
      <sz val="12"/>
      <name val="Arial"/>
      <family val="2"/>
    </font>
    <font>
      <sz val="10"/>
      <color rgb="FF0065BD"/>
      <name val="Arial"/>
      <family val="2"/>
    </font>
    <font>
      <sz val="10"/>
      <color indexed="9"/>
      <name val="Arial"/>
      <family val="2"/>
    </font>
    <font>
      <b/>
      <sz val="14"/>
      <color indexed="9"/>
      <name val="Verdana"/>
      <family val="2"/>
    </font>
    <font>
      <sz val="10"/>
      <name val="Verdana"/>
      <family val="2"/>
    </font>
    <font>
      <b/>
      <sz val="12"/>
      <color indexed="9"/>
      <name val="Arial"/>
      <family val="2"/>
    </font>
    <font>
      <b/>
      <sz val="10"/>
      <color indexed="9"/>
      <name val="Arial"/>
      <family val="2"/>
    </font>
    <font>
      <sz val="12"/>
      <name val="Verdana"/>
      <family val="2"/>
    </font>
    <font>
      <sz val="10"/>
      <color indexed="8"/>
      <name val="Arial"/>
      <family val="2"/>
    </font>
    <font>
      <sz val="10"/>
      <color indexed="56"/>
      <name val="Arial"/>
      <family val="2"/>
    </font>
    <font>
      <sz val="10"/>
      <color indexed="58"/>
      <name val="Arial"/>
      <family val="2"/>
    </font>
    <font>
      <sz val="10"/>
      <color indexed="60"/>
      <name val="Arial"/>
      <family val="2"/>
    </font>
    <font>
      <b/>
      <sz val="12"/>
      <name val="Arial"/>
      <family val="2"/>
    </font>
    <font>
      <b/>
      <sz val="10"/>
      <name val="Arial"/>
      <family val="2"/>
    </font>
    <font>
      <b/>
      <sz val="14"/>
      <color indexed="28"/>
      <name val="Verdana"/>
      <family val="2"/>
    </font>
    <font>
      <b/>
      <sz val="14"/>
      <color theme="3"/>
      <name val="Verdana"/>
      <family val="2"/>
    </font>
    <font>
      <b/>
      <sz val="11"/>
      <color rgb="FFFF0000"/>
      <name val="Calibri"/>
      <family val="2"/>
      <scheme val="minor"/>
    </font>
    <font>
      <vertAlign val="superscript"/>
      <sz val="10"/>
      <color theme="1"/>
      <name val="Arial"/>
      <family val="2"/>
    </font>
    <font>
      <sz val="8"/>
      <color theme="1"/>
      <name val="Arial"/>
      <family val="2"/>
    </font>
    <font>
      <sz val="11"/>
      <color theme="1"/>
      <name val="Arial"/>
      <family val="2"/>
    </font>
    <font>
      <b/>
      <sz val="16"/>
      <color theme="1"/>
      <name val="Arial"/>
      <family val="2"/>
    </font>
    <font>
      <b/>
      <vertAlign val="superscript"/>
      <sz val="10"/>
      <color theme="1"/>
      <name val="Arial"/>
      <family val="2"/>
    </font>
    <font>
      <vertAlign val="superscript"/>
      <sz val="10"/>
      <color rgb="FF000000"/>
      <name val="Arial"/>
      <family val="2"/>
    </font>
    <font>
      <sz val="11"/>
      <name val="Arial"/>
      <family val="2"/>
    </font>
    <font>
      <sz val="11"/>
      <name val="Calibri"/>
      <family val="2"/>
      <scheme val="minor"/>
    </font>
    <font>
      <b/>
      <vertAlign val="superscript"/>
      <sz val="10"/>
      <name val="Arial"/>
      <family val="2"/>
    </font>
    <font>
      <sz val="8"/>
      <name val="Arial"/>
      <family val="2"/>
    </font>
    <font>
      <vertAlign val="superscript"/>
      <sz val="10"/>
      <name val="Arial"/>
      <family val="2"/>
    </font>
    <font>
      <sz val="8"/>
      <color rgb="FF000000"/>
      <name val="Arial"/>
      <family val="2"/>
    </font>
    <font>
      <b/>
      <sz val="14"/>
      <color theme="4" tint="-0.499984740745262"/>
      <name val="Arial"/>
      <family val="2"/>
    </font>
    <font>
      <sz val="11"/>
      <color theme="4" tint="-0.499984740745262"/>
      <name val="Calibri"/>
      <family val="2"/>
      <scheme val="minor"/>
    </font>
    <font>
      <b/>
      <sz val="11"/>
      <color theme="1"/>
      <name val="Arial"/>
      <family val="2"/>
    </font>
    <font>
      <sz val="12"/>
      <color theme="1"/>
      <name val="Arial"/>
      <family val="2"/>
    </font>
    <font>
      <b/>
      <vertAlign val="superscript"/>
      <sz val="11"/>
      <color theme="1"/>
      <name val="Arial"/>
      <family val="2"/>
    </font>
    <font>
      <sz val="11"/>
      <color rgb="FF000000"/>
      <name val="Calibri"/>
      <family val="2"/>
    </font>
    <font>
      <sz val="8"/>
      <name val="Foundrysterling-bookregular"/>
    </font>
    <font>
      <sz val="10"/>
      <color theme="5"/>
      <name val="Arial"/>
      <family val="2"/>
    </font>
    <font>
      <sz val="9"/>
      <color rgb="FF000000"/>
      <name val="Arial"/>
      <family val="2"/>
    </font>
    <font>
      <b/>
      <sz val="9"/>
      <color rgb="FF000000"/>
      <name val="Arial"/>
      <family val="2"/>
    </font>
    <font>
      <sz val="7"/>
      <color theme="1"/>
      <name val="Times New Roman"/>
      <family val="1"/>
    </font>
    <font>
      <b/>
      <vertAlign val="superscript"/>
      <sz val="10"/>
      <color rgb="FF000000"/>
      <name val="Arial"/>
      <family val="2"/>
    </font>
    <font>
      <u/>
      <sz val="12"/>
      <color theme="10"/>
      <name val="Arial"/>
      <family val="2"/>
    </font>
    <font>
      <sz val="9"/>
      <name val="Arial"/>
      <family val="2"/>
    </font>
    <font>
      <b/>
      <sz val="16"/>
      <color rgb="FF000000"/>
      <name val="Arial"/>
      <family val="2"/>
    </font>
    <font>
      <sz val="11"/>
      <color theme="1"/>
      <name val="Calibri"/>
      <family val="2"/>
    </font>
    <font>
      <sz val="11"/>
      <color rgb="FF1F4E78"/>
      <name val="Calibri"/>
      <family val="2"/>
    </font>
    <font>
      <b/>
      <sz val="10"/>
      <color rgb="FFFFFFFF"/>
      <name val="Arial"/>
      <family val="2"/>
    </font>
    <font>
      <b/>
      <sz val="11"/>
      <color rgb="FF000000"/>
      <name val="Calibri"/>
      <family val="2"/>
    </font>
    <font>
      <b/>
      <sz val="16"/>
      <name val="Arial"/>
      <family val="2"/>
    </font>
    <font>
      <sz val="11"/>
      <name val="Calibri"/>
      <family val="2"/>
    </font>
    <font>
      <b/>
      <sz val="14"/>
      <name val="Arial"/>
      <family val="2"/>
    </font>
    <font>
      <b/>
      <vertAlign val="superscript"/>
      <sz val="12"/>
      <name val="Arial"/>
      <family val="2"/>
    </font>
    <font>
      <sz val="7"/>
      <name val="Times New Roman"/>
      <family val="1"/>
    </font>
    <font>
      <sz val="11"/>
      <name val="Foundrysterling-mediumregular"/>
    </font>
    <font>
      <b/>
      <sz val="11"/>
      <name val="Calibri"/>
      <family val="2"/>
    </font>
    <font>
      <sz val="10"/>
      <name val="Foundrysterling-bookregular"/>
    </font>
    <font>
      <b/>
      <sz val="14"/>
      <color rgb="FF002060"/>
      <name val="Arial"/>
      <family val="2"/>
    </font>
    <font>
      <sz val="11"/>
      <color rgb="FF002060"/>
      <name val="Calibri"/>
      <family val="2"/>
      <scheme val="minor"/>
    </font>
    <font>
      <b/>
      <sz val="14"/>
      <color rgb="FF002060"/>
      <name val="Calibri Light"/>
      <family val="2"/>
    </font>
    <font>
      <sz val="11"/>
      <color rgb="FF002060"/>
      <name val="Calibri Light"/>
      <family val="2"/>
    </font>
    <font>
      <sz val="7"/>
      <color theme="1"/>
      <name val="Arial"/>
      <family val="2"/>
    </font>
    <font>
      <sz val="11"/>
      <color rgb="FF002060"/>
      <name val="Arial"/>
      <family val="2"/>
    </font>
    <font>
      <b/>
      <sz val="12"/>
      <color theme="0"/>
      <name val="Arial"/>
      <family val="2"/>
    </font>
    <font>
      <u/>
      <sz val="10"/>
      <color theme="10"/>
      <name val="Arial"/>
      <family val="2"/>
    </font>
    <font>
      <sz val="10"/>
      <color rgb="FFFF0000"/>
      <name val="Arial"/>
      <family val="2"/>
    </font>
    <font>
      <sz val="11"/>
      <color rgb="FFFF0000"/>
      <name val="Calibri"/>
      <family val="2"/>
      <scheme val="minor"/>
    </font>
    <font>
      <vertAlign val="subscript"/>
      <sz val="8"/>
      <name val="Arial"/>
      <family val="2"/>
    </font>
    <font>
      <vertAlign val="subscript"/>
      <sz val="8"/>
      <color theme="1"/>
      <name val="Arial"/>
      <family val="2"/>
    </font>
    <font>
      <sz val="14"/>
      <color theme="1"/>
      <name val="Calibri"/>
      <family val="2"/>
      <scheme val="minor"/>
    </font>
    <font>
      <b/>
      <sz val="18"/>
      <color theme="1"/>
      <name val="Arial"/>
      <family val="2"/>
    </font>
    <font>
      <u/>
      <sz val="8"/>
      <name val="Arial"/>
      <family val="2"/>
    </font>
    <font>
      <sz val="11"/>
      <color theme="9"/>
      <name val="Calibri"/>
      <family val="2"/>
      <scheme val="minor"/>
    </font>
    <font>
      <sz val="8"/>
      <name val="Calibri"/>
      <family val="2"/>
      <scheme val="minor"/>
    </font>
    <font>
      <sz val="8"/>
      <color theme="1"/>
      <name val="Calibri"/>
      <family val="2"/>
      <scheme val="minor"/>
    </font>
    <font>
      <sz val="12"/>
      <color theme="1"/>
      <name val="Calibri"/>
      <family val="2"/>
      <scheme val="minor"/>
    </font>
    <font>
      <b/>
      <sz val="11"/>
      <color rgb="FF3F3F3F"/>
      <name val="Calibri"/>
      <family val="2"/>
      <scheme val="minor"/>
    </font>
    <font>
      <b/>
      <sz val="11"/>
      <color rgb="FFFA7D00"/>
      <name val="Calibri"/>
      <family val="2"/>
      <scheme val="minor"/>
    </font>
    <font>
      <sz val="11"/>
      <color theme="4" tint="-0.499984740745262"/>
      <name val="Arial"/>
      <family val="2"/>
    </font>
    <font>
      <sz val="11"/>
      <color rgb="FFFF0000"/>
      <name val="Arial"/>
      <family val="2"/>
    </font>
    <font>
      <sz val="7"/>
      <color rgb="FF000000"/>
      <name val="Arial"/>
      <family val="2"/>
    </font>
    <font>
      <vertAlign val="superscript"/>
      <sz val="8"/>
      <color rgb="FF000000"/>
      <name val="Arial"/>
      <family val="2"/>
    </font>
    <font>
      <sz val="9"/>
      <color theme="1"/>
      <name val="Arial"/>
      <family val="2"/>
    </font>
    <font>
      <sz val="8"/>
      <color rgb="FF000000"/>
      <name val="Arial"/>
      <family val="2"/>
      <charset val="1"/>
    </font>
    <font>
      <sz val="7"/>
      <name val="Arial"/>
      <family val="2"/>
    </font>
    <font>
      <b/>
      <sz val="8"/>
      <name val="Arial"/>
      <family val="2"/>
    </font>
    <font>
      <vertAlign val="subscript"/>
      <sz val="10"/>
      <name val="Arial"/>
      <family val="2"/>
    </font>
    <font>
      <sz val="7"/>
      <color theme="1"/>
      <name val="Calibri"/>
      <family val="2"/>
      <scheme val="minor"/>
    </font>
    <font>
      <sz val="8"/>
      <color rgb="FF000000"/>
      <name val="Times New Roman"/>
      <family val="1"/>
    </font>
    <font>
      <b/>
      <sz val="11"/>
      <color theme="0"/>
      <name val="Calibri"/>
      <family val="2"/>
      <scheme val="minor"/>
    </font>
    <font>
      <b/>
      <sz val="14"/>
      <color rgb="FF000F7B"/>
      <name val="Arial"/>
      <family val="2"/>
    </font>
    <font>
      <b/>
      <vertAlign val="superscript"/>
      <sz val="10"/>
      <color theme="0"/>
      <name val="Arial"/>
      <family val="2"/>
    </font>
    <font>
      <b/>
      <vertAlign val="superscript"/>
      <sz val="14"/>
      <color rgb="FF000F7B"/>
      <name val="Arial"/>
      <family val="2"/>
    </font>
    <font>
      <vertAlign val="superscript"/>
      <sz val="11"/>
      <color theme="1"/>
      <name val="Arial"/>
      <family val="2"/>
    </font>
    <font>
      <b/>
      <vertAlign val="subscript"/>
      <sz val="10"/>
      <color theme="0"/>
      <name val="Arial"/>
      <family val="2"/>
    </font>
    <font>
      <sz val="10"/>
      <color theme="0"/>
      <name val="Arial"/>
      <family val="2"/>
    </font>
    <font>
      <b/>
      <vertAlign val="subscript"/>
      <sz val="11"/>
      <color theme="1"/>
      <name val="Arial"/>
      <family val="2"/>
    </font>
    <font>
      <b/>
      <sz val="11"/>
      <name val="Arial"/>
      <family val="2"/>
    </font>
    <font>
      <b/>
      <vertAlign val="superscript"/>
      <sz val="11"/>
      <name val="Arial"/>
      <family val="2"/>
    </font>
    <font>
      <sz val="11"/>
      <color theme="0"/>
      <name val="Arial"/>
      <family val="2"/>
    </font>
    <font>
      <b/>
      <sz val="11"/>
      <color rgb="FF000000"/>
      <name val="Arial"/>
      <family val="2"/>
    </font>
    <font>
      <b/>
      <vertAlign val="superscript"/>
      <sz val="11"/>
      <color rgb="FF000000"/>
      <name val="Arial"/>
      <family val="2"/>
    </font>
    <font>
      <vertAlign val="superscript"/>
      <sz val="10"/>
      <color theme="0"/>
      <name val="Arial"/>
      <family val="2"/>
    </font>
    <font>
      <u/>
      <sz val="11"/>
      <color theme="10"/>
      <name val="Arial"/>
      <family val="2"/>
    </font>
    <font>
      <u/>
      <sz val="10"/>
      <color rgb="FF0070C0"/>
      <name val="Arial"/>
      <family val="2"/>
    </font>
    <font>
      <sz val="10"/>
      <color rgb="FF0070C0"/>
      <name val="Arial"/>
      <family val="2"/>
    </font>
    <font>
      <b/>
      <u/>
      <sz val="12"/>
      <color theme="0"/>
      <name val="Arial"/>
      <family val="2"/>
    </font>
    <font>
      <b/>
      <u/>
      <sz val="11"/>
      <color theme="0"/>
      <name val="Arial"/>
      <family val="2"/>
    </font>
    <font>
      <b/>
      <sz val="7"/>
      <name val="Arial"/>
      <family val="2"/>
    </font>
    <font>
      <b/>
      <vertAlign val="superscript"/>
      <sz val="14"/>
      <color rgb="FF002060"/>
      <name val="Arial"/>
      <family val="2"/>
    </font>
    <font>
      <sz val="8"/>
      <name val="Arial"/>
      <family val="2"/>
    </font>
    <font>
      <b/>
      <sz val="10"/>
      <color theme="0"/>
      <name val="Arial"/>
      <family val="2"/>
    </font>
    <font>
      <b/>
      <sz val="11"/>
      <name val="Arial"/>
      <family val="2"/>
    </font>
    <font>
      <sz val="10"/>
      <name val="Arial"/>
      <family val="2"/>
    </font>
    <font>
      <b/>
      <sz val="8"/>
      <color rgb="FF000000"/>
      <name val="Arial"/>
      <family val="2"/>
    </font>
    <font>
      <b/>
      <sz val="14"/>
      <color rgb="FF1E4E79"/>
      <name val="Arial"/>
      <family val="2"/>
    </font>
    <font>
      <sz val="11"/>
      <color rgb="FF1E4E79"/>
      <name val="Calibri"/>
      <family val="2"/>
    </font>
  </fonts>
  <fills count="41">
    <fill>
      <patternFill patternType="none"/>
    </fill>
    <fill>
      <patternFill patternType="gray125"/>
    </fill>
    <fill>
      <patternFill patternType="solid">
        <fgColor rgb="FF0065BD"/>
        <bgColor indexed="64"/>
      </patternFill>
    </fill>
    <fill>
      <patternFill patternType="solid">
        <fgColor rgb="FFFFFFFF"/>
        <bgColor indexed="64"/>
      </patternFill>
    </fill>
    <fill>
      <patternFill patternType="solid">
        <fgColor indexed="13"/>
        <bgColor indexed="64"/>
      </patternFill>
    </fill>
    <fill>
      <patternFill patternType="solid">
        <fgColor indexed="50"/>
        <bgColor indexed="64"/>
      </patternFill>
    </fill>
    <fill>
      <patternFill patternType="solid">
        <fgColor indexed="10"/>
        <bgColor indexed="64"/>
      </patternFill>
    </fill>
    <fill>
      <patternFill patternType="solid">
        <fgColor indexed="49"/>
        <bgColor indexed="64"/>
      </patternFill>
    </fill>
    <fill>
      <patternFill patternType="solid">
        <fgColor indexed="48"/>
        <bgColor indexed="64"/>
      </patternFill>
    </fill>
    <fill>
      <patternFill patternType="solid">
        <fgColor theme="3"/>
        <bgColor indexed="64"/>
      </patternFill>
    </fill>
    <fill>
      <patternFill patternType="solid">
        <fgColor indexed="39"/>
        <bgColor indexed="64"/>
      </patternFill>
    </fill>
    <fill>
      <patternFill patternType="solid">
        <fgColor indexed="16"/>
        <bgColor indexed="64"/>
      </patternFill>
    </fill>
    <fill>
      <patternFill patternType="solid">
        <fgColor indexed="53"/>
        <bgColor indexed="64"/>
      </patternFill>
    </fill>
    <fill>
      <patternFill patternType="solid">
        <fgColor indexed="19"/>
        <bgColor indexed="64"/>
      </patternFill>
    </fill>
    <fill>
      <patternFill patternType="solid">
        <fgColor indexed="17"/>
        <bgColor indexed="64"/>
      </patternFill>
    </fill>
    <fill>
      <patternFill patternType="solid">
        <fgColor indexed="21"/>
        <bgColor indexed="64"/>
      </patternFill>
    </fill>
    <fill>
      <patternFill patternType="solid">
        <fgColor indexed="12"/>
        <bgColor indexed="64"/>
      </patternFill>
    </fill>
    <fill>
      <patternFill patternType="solid">
        <fgColor indexed="54"/>
        <bgColor indexed="64"/>
      </patternFill>
    </fill>
    <fill>
      <patternFill patternType="solid">
        <fgColor indexed="23"/>
        <bgColor indexed="64"/>
      </patternFill>
    </fill>
    <fill>
      <patternFill patternType="solid">
        <fgColor indexed="47"/>
        <bgColor indexed="64"/>
      </patternFill>
    </fill>
    <fill>
      <patternFill patternType="solid">
        <fgColor indexed="52"/>
        <bgColor indexed="64"/>
      </patternFill>
    </fill>
    <fill>
      <patternFill patternType="solid">
        <fgColor indexed="9"/>
        <bgColor indexed="64"/>
      </patternFill>
    </fill>
    <fill>
      <patternFill patternType="solid">
        <fgColor indexed="25"/>
        <bgColor indexed="64"/>
      </patternFill>
    </fill>
    <fill>
      <patternFill patternType="solid">
        <fgColor indexed="59"/>
        <bgColor indexed="64"/>
      </patternFill>
    </fill>
    <fill>
      <patternFill patternType="solid">
        <fgColor indexed="40"/>
        <bgColor indexed="64"/>
      </patternFill>
    </fill>
    <fill>
      <patternFill patternType="solid">
        <fgColor indexed="11"/>
        <bgColor indexed="64"/>
      </patternFill>
    </fill>
    <fill>
      <patternFill patternType="solid">
        <fgColor indexed="8"/>
        <bgColor indexed="64"/>
      </patternFill>
    </fill>
    <fill>
      <patternFill patternType="solid">
        <fgColor indexed="51"/>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2F2F2"/>
      </patternFill>
    </fill>
    <fill>
      <patternFill patternType="solid">
        <fgColor theme="0" tint="-0.14999847407452621"/>
        <bgColor rgb="FF000000"/>
      </patternFill>
    </fill>
    <fill>
      <patternFill patternType="solid">
        <fgColor rgb="FF69D6F6"/>
        <bgColor indexed="64"/>
      </patternFill>
    </fill>
    <fill>
      <patternFill patternType="solid">
        <fgColor rgb="FF000F7B"/>
        <bgColor indexed="64"/>
      </patternFill>
    </fill>
    <fill>
      <patternFill patternType="solid">
        <fgColor rgb="FF54C9E5"/>
        <bgColor indexed="64"/>
      </patternFill>
    </fill>
    <fill>
      <patternFill patternType="solid">
        <fgColor rgb="FF000F7B"/>
        <bgColor rgb="FF000000"/>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000F7B"/>
        <bgColor rgb="FF000F7B"/>
      </patternFill>
    </fill>
    <fill>
      <patternFill patternType="solid">
        <fgColor rgb="FFD8D8D8"/>
        <bgColor rgb="FFD8D8D8"/>
      </patternFill>
    </fill>
  </fills>
  <borders count="59">
    <border>
      <left/>
      <right/>
      <top/>
      <bottom/>
      <diagonal/>
    </border>
    <border>
      <left style="thin">
        <color auto="1"/>
      </left>
      <right style="thin">
        <color auto="1"/>
      </right>
      <top style="thin">
        <color auto="1"/>
      </top>
      <bottom style="thin">
        <color auto="1"/>
      </bottom>
      <diagonal/>
    </border>
    <border>
      <left/>
      <right/>
      <top style="thick">
        <color rgb="FF0065BD"/>
      </top>
      <bottom/>
      <diagonal/>
    </border>
    <border>
      <left/>
      <right/>
      <top/>
      <bottom style="thick">
        <color rgb="FF0065BD"/>
      </bottom>
      <diagonal/>
    </border>
    <border>
      <left/>
      <right/>
      <top/>
      <bottom style="thin">
        <color rgb="FF0065BD"/>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22"/>
      </left>
      <right style="thin">
        <color indexed="22"/>
      </right>
      <top/>
      <bottom/>
      <diagonal/>
    </border>
    <border>
      <left/>
      <right/>
      <top style="hair">
        <color indexed="46"/>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indexed="64"/>
      </right>
      <top style="thin">
        <color indexed="64"/>
      </top>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hair">
        <color auto="1"/>
      </bottom>
      <diagonal/>
    </border>
    <border>
      <left/>
      <right/>
      <top style="hair">
        <color theme="1"/>
      </top>
      <bottom style="medium">
        <color theme="1"/>
      </bottom>
      <diagonal/>
    </border>
    <border>
      <left/>
      <right/>
      <top/>
      <bottom style="thin">
        <color theme="2"/>
      </bottom>
      <diagonal/>
    </border>
    <border>
      <left/>
      <right/>
      <top/>
      <bottom style="thin">
        <color theme="1" tint="0.14999847407452621"/>
      </bottom>
      <diagonal/>
    </border>
    <border>
      <left/>
      <right style="thin">
        <color theme="0"/>
      </right>
      <top style="thin">
        <color theme="0"/>
      </top>
      <bottom style="thin">
        <color theme="0"/>
      </bottom>
      <diagonal/>
    </border>
    <border>
      <left/>
      <right/>
      <top/>
      <bottom style="thick">
        <color rgb="FF54C9E5"/>
      </bottom>
      <diagonal/>
    </border>
    <border>
      <left/>
      <right/>
      <top style="thick">
        <color rgb="FF54C9E5"/>
      </top>
      <bottom style="thick">
        <color rgb="FF54C9E5"/>
      </bottom>
      <diagonal/>
    </border>
    <border>
      <left style="thick">
        <color rgb="FF54C9E5"/>
      </left>
      <right/>
      <top style="thick">
        <color rgb="FF54C9E5"/>
      </top>
      <bottom style="thick">
        <color rgb="FF54C9E5"/>
      </bottom>
      <diagonal/>
    </border>
    <border>
      <left style="thick">
        <color theme="4" tint="-0.499984740745262"/>
      </left>
      <right/>
      <top style="thick">
        <color rgb="FF54C9E5"/>
      </top>
      <bottom style="thick">
        <color rgb="FF54C9E5"/>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theme="0" tint="-0.34998626667073579"/>
      </right>
      <top/>
      <bottom/>
      <diagonal/>
    </border>
    <border>
      <left style="thin">
        <color auto="1"/>
      </left>
      <right style="thin">
        <color theme="0" tint="-0.34998626667073579"/>
      </right>
      <top style="thin">
        <color auto="1"/>
      </top>
      <bottom/>
      <diagonal/>
    </border>
    <border>
      <left style="thin">
        <color auto="1"/>
      </left>
      <right style="thin">
        <color theme="0" tint="-0.34998626667073579"/>
      </right>
      <top/>
      <bottom style="thin">
        <color indexed="64"/>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theme="0" tint="-0.34998626667073579"/>
      </right>
      <top/>
      <bottom/>
      <diagonal/>
    </border>
    <border>
      <left style="thin">
        <color theme="1" tint="0.14999847407452621"/>
      </left>
      <right/>
      <top/>
      <bottom style="thin">
        <color theme="1" tint="0.14999847407452621"/>
      </bottom>
      <diagonal/>
    </border>
    <border>
      <left style="thin">
        <color theme="1" tint="0.14999847407452621"/>
      </left>
      <right/>
      <top style="thin">
        <color theme="1" tint="0.14999847407452621"/>
      </top>
      <bottom/>
      <diagonal/>
    </border>
    <border>
      <left/>
      <right/>
      <top style="thin">
        <color theme="1" tint="0.14999847407452621"/>
      </top>
      <bottom/>
      <diagonal/>
    </border>
    <border>
      <left/>
      <right/>
      <top style="thick">
        <color rgb="FF69D6F6"/>
      </top>
      <bottom style="thick">
        <color rgb="FF69D6F6"/>
      </bottom>
      <diagonal/>
    </border>
    <border>
      <left/>
      <right/>
      <top/>
      <bottom style="thick">
        <color rgb="FF69D6F6"/>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theme="0" tint="-0.34998626667073579"/>
      </top>
      <bottom/>
      <diagonal/>
    </border>
    <border>
      <left/>
      <right/>
      <top/>
      <bottom style="thin">
        <color theme="3"/>
      </bottom>
      <diagonal/>
    </border>
    <border>
      <left/>
      <right/>
      <top style="thin">
        <color theme="0" tint="-0.34998626667073579"/>
      </top>
      <bottom style="thin">
        <color theme="1" tint="0.14999847407452621"/>
      </bottom>
      <diagonal/>
    </border>
    <border>
      <left/>
      <right style="thin">
        <color theme="0" tint="-0.34998626667073579"/>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s>
  <cellStyleXfs count="236">
    <xf numFmtId="0" fontId="0" fillId="0" borderId="0"/>
    <xf numFmtId="0" fontId="5" fillId="0" borderId="0" applyNumberFormat="0" applyFill="0" applyBorder="0" applyAlignment="0" applyProtection="0"/>
    <xf numFmtId="168" fontId="8" fillId="0" borderId="0" applyFont="0" applyFill="0" applyBorder="0" applyAlignment="0" applyProtection="0"/>
    <xf numFmtId="169" fontId="6" fillId="0" borderId="0">
      <alignment horizontal="left" vertical="center"/>
    </xf>
    <xf numFmtId="169" fontId="6" fillId="0" borderId="0">
      <alignment horizontal="left" vertical="center"/>
    </xf>
    <xf numFmtId="0" fontId="10"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11" fillId="0" borderId="0" applyFont="0">
      <alignment vertical="top" wrapText="1" readingOrder="1"/>
    </xf>
    <xf numFmtId="0" fontId="12" fillId="0" borderId="2">
      <alignment vertical="top"/>
    </xf>
    <xf numFmtId="49" fontId="13" fillId="2" borderId="0">
      <alignment horizontal="center" vertical="center"/>
    </xf>
    <xf numFmtId="0" fontId="14" fillId="3" borderId="0" applyNumberFormat="0" applyFill="0" applyBorder="0" applyProtection="0">
      <alignment horizontal="right"/>
    </xf>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37" fontId="15" fillId="0" borderId="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16" fillId="0" borderId="3"/>
    <xf numFmtId="0" fontId="10" fillId="0" borderId="4">
      <alignment horizontal="center"/>
    </xf>
    <xf numFmtId="0" fontId="6" fillId="4" borderId="5" applyNumberFormat="0" applyFont="0" applyBorder="0" applyAlignment="0" applyProtection="0"/>
    <xf numFmtId="0" fontId="6" fillId="4" borderId="5" applyNumberFormat="0" applyFont="0" applyBorder="0" applyAlignment="0" applyProtection="0"/>
    <xf numFmtId="0" fontId="6" fillId="5" borderId="0" applyNumberFormat="0" applyFont="0" applyBorder="0" applyAlignment="0" applyProtection="0"/>
    <xf numFmtId="0" fontId="6" fillId="5" borderId="0" applyNumberFormat="0" applyFont="0" applyBorder="0" applyAlignment="0" applyProtection="0"/>
    <xf numFmtId="0" fontId="6" fillId="0" borderId="5" applyNumberFormat="0" applyFont="0" applyBorder="0" applyAlignment="0" applyProtection="0"/>
    <xf numFmtId="0" fontId="6" fillId="0" borderId="5" applyNumberFormat="0" applyFont="0" applyBorder="0" applyAlignment="0" applyProtection="0"/>
    <xf numFmtId="0" fontId="17" fillId="6" borderId="0" applyNumberFormat="0" applyBorder="0" applyAlignment="0" applyProtection="0"/>
    <xf numFmtId="0" fontId="6" fillId="7" borderId="5" applyNumberFormat="0" applyFont="0" applyBorder="0" applyAlignment="0" applyProtection="0"/>
    <xf numFmtId="0" fontId="6" fillId="7" borderId="5" applyNumberFormat="0" applyFont="0" applyBorder="0" applyAlignment="0" applyProtection="0"/>
    <xf numFmtId="0" fontId="6" fillId="8" borderId="5" applyNumberFormat="0" applyFont="0" applyBorder="0" applyAlignment="0" applyProtection="0"/>
    <xf numFmtId="0" fontId="6" fillId="8" borderId="5" applyNumberFormat="0" applyFont="0" applyBorder="0" applyAlignment="0" applyProtection="0"/>
    <xf numFmtId="0" fontId="18" fillId="9" borderId="0" applyNumberFormat="0" applyBorder="0" applyProtection="0">
      <alignment horizontal="center" vertical="center"/>
    </xf>
    <xf numFmtId="0" fontId="6" fillId="0" borderId="0"/>
    <xf numFmtId="0" fontId="6" fillId="0" borderId="0"/>
    <xf numFmtId="0" fontId="6" fillId="0" borderId="0" applyNumberFormat="0" applyFont="0" applyFill="0" applyBorder="0" applyAlignment="0" applyProtection="0">
      <alignment vertical="center"/>
    </xf>
    <xf numFmtId="0" fontId="6" fillId="0" borderId="0" applyNumberFormat="0" applyFont="0" applyFill="0" applyBorder="0" applyAlignment="0" applyProtection="0">
      <alignment vertical="center"/>
    </xf>
    <xf numFmtId="170" fontId="6" fillId="0" borderId="0" applyFont="0" applyFill="0" applyBorder="0" applyAlignment="0" applyProtection="0">
      <alignment vertical="center"/>
    </xf>
    <xf numFmtId="170" fontId="6" fillId="0" borderId="0" applyFont="0" applyFill="0" applyBorder="0" applyAlignment="0" applyProtection="0">
      <alignment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171" fontId="6" fillId="0" borderId="0" applyFill="0" applyBorder="0" applyProtection="0">
      <alignment vertical="center"/>
      <protection locked="0"/>
    </xf>
    <xf numFmtId="171" fontId="6" fillId="0" borderId="0" applyFill="0" applyBorder="0" applyProtection="0">
      <alignment vertical="center"/>
      <protection locked="0"/>
    </xf>
    <xf numFmtId="172" fontId="19" fillId="0" borderId="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0" fontId="6" fillId="0" borderId="0" applyNumberFormat="0" applyFont="0" applyFill="0" applyBorder="0" applyAlignment="0" applyProtection="0">
      <alignment wrapText="1"/>
    </xf>
    <xf numFmtId="0" fontId="6" fillId="0" borderId="0" applyNumberFormat="0" applyFont="0" applyFill="0" applyBorder="0" applyAlignment="0" applyProtection="0">
      <alignment wrapText="1"/>
    </xf>
    <xf numFmtId="0" fontId="20" fillId="10" borderId="0" applyProtection="0">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71" fontId="6" fillId="0" borderId="0">
      <alignment vertical="center"/>
    </xf>
    <xf numFmtId="171" fontId="6" fillId="0" borderId="0">
      <alignment vertical="center"/>
    </xf>
    <xf numFmtId="0" fontId="6" fillId="0" borderId="0" applyNumberFormat="0" applyFont="0" applyFill="0" applyBorder="0" applyAlignment="0" applyProtection="0">
      <alignment horizontal="center"/>
    </xf>
    <xf numFmtId="0" fontId="6" fillId="0" borderId="0" applyNumberFormat="0" applyFont="0" applyFill="0" applyBorder="0" applyAlignment="0" applyProtection="0">
      <alignment horizont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21" fillId="11" borderId="6" applyNumberFormat="0" applyBorder="0" applyAlignment="0" applyProtection="0">
      <alignment horizontal="center"/>
    </xf>
    <xf numFmtId="0" fontId="17" fillId="12" borderId="0" applyNumberFormat="0" applyBorder="0" applyAlignment="0" applyProtection="0"/>
    <xf numFmtId="0" fontId="17" fillId="13" borderId="5" applyNumberFormat="0" applyBorder="0" applyAlignment="0" applyProtection="0">
      <alignment horizontal="center"/>
    </xf>
    <xf numFmtId="0" fontId="17" fillId="14" borderId="5" applyNumberFormat="0" applyBorder="0" applyAlignment="0" applyProtection="0">
      <alignment horizontal="center"/>
    </xf>
    <xf numFmtId="0" fontId="6" fillId="15" borderId="5" applyNumberFormat="0" applyFont="0" applyBorder="0" applyAlignment="0" applyProtection="0">
      <alignment horizontal="center"/>
    </xf>
    <xf numFmtId="0" fontId="6" fillId="15" borderId="5" applyNumberFormat="0" applyFont="0" applyBorder="0" applyAlignment="0" applyProtection="0">
      <alignment horizontal="center"/>
    </xf>
    <xf numFmtId="0" fontId="6" fillId="16" borderId="5" applyNumberFormat="0" applyFont="0" applyBorder="0" applyAlignment="0" applyProtection="0">
      <alignment horizontal="center"/>
    </xf>
    <xf numFmtId="0" fontId="6" fillId="16" borderId="5" applyNumberFormat="0" applyFont="0" applyBorder="0" applyAlignment="0" applyProtection="0">
      <alignment horizontal="center"/>
    </xf>
    <xf numFmtId="0" fontId="6" fillId="17" borderId="5" applyNumberFormat="0" applyFont="0" applyBorder="0" applyAlignment="0" applyProtection="0">
      <alignment horizontal="center"/>
    </xf>
    <xf numFmtId="0" fontId="6" fillId="17" borderId="5" applyNumberFormat="0" applyFont="0" applyBorder="0" applyAlignment="0" applyProtection="0">
      <alignment horizontal="center"/>
    </xf>
    <xf numFmtId="0" fontId="6" fillId="18" borderId="7" applyNumberFormat="0" applyFont="0" applyBorder="0" applyAlignment="0" applyProtection="0">
      <alignment horizontal="center"/>
    </xf>
    <xf numFmtId="0" fontId="6" fillId="18" borderId="7" applyNumberFormat="0" applyFont="0" applyBorder="0" applyAlignment="0" applyProtection="0">
      <alignment horizontal="center"/>
    </xf>
    <xf numFmtId="0" fontId="17" fillId="13" borderId="5" applyNumberFormat="0" applyBorder="0" applyAlignment="0" applyProtection="0">
      <alignment horizontal="center"/>
    </xf>
    <xf numFmtId="0" fontId="17" fillId="14" borderId="5" applyNumberFormat="0" applyBorder="0" applyAlignment="0" applyProtection="0">
      <alignment horizontal="center"/>
    </xf>
    <xf numFmtId="0" fontId="6" fillId="15" borderId="5" applyNumberFormat="0" applyBorder="0" applyAlignment="0" applyProtection="0">
      <alignment horizontal="center"/>
    </xf>
    <xf numFmtId="0" fontId="6" fillId="15" borderId="5" applyNumberFormat="0" applyBorder="0" applyAlignment="0" applyProtection="0">
      <alignment horizontal="center"/>
    </xf>
    <xf numFmtId="0" fontId="6" fillId="16" borderId="5" applyNumberFormat="0" applyFont="0" applyBorder="0" applyAlignment="0" applyProtection="0">
      <alignment horizontal="center"/>
    </xf>
    <xf numFmtId="0" fontId="6" fillId="16" borderId="5" applyNumberFormat="0" applyFont="0" applyBorder="0" applyAlignment="0" applyProtection="0">
      <alignment horizontal="center"/>
    </xf>
    <xf numFmtId="0" fontId="6" fillId="17" borderId="5" applyNumberFormat="0" applyFont="0" applyBorder="0" applyAlignment="0" applyProtection="0">
      <alignment horizontal="center"/>
    </xf>
    <xf numFmtId="0" fontId="6" fillId="17" borderId="5" applyNumberFormat="0" applyFont="0" applyBorder="0" applyAlignment="0" applyProtection="0">
      <alignment horizontal="center"/>
    </xf>
    <xf numFmtId="0" fontId="6" fillId="18" borderId="5" applyNumberFormat="0" applyFont="0" applyBorder="0" applyAlignment="0" applyProtection="0">
      <alignment horizontal="center"/>
    </xf>
    <xf numFmtId="0" fontId="6" fillId="18" borderId="5" applyNumberFormat="0" applyFont="0" applyBorder="0" applyAlignment="0" applyProtection="0">
      <alignment horizontal="center"/>
    </xf>
    <xf numFmtId="0" fontId="17" fillId="11" borderId="0" applyNumberFormat="0" applyBorder="0" applyAlignment="0" applyProtection="0"/>
    <xf numFmtId="0" fontId="17" fillId="12" borderId="5" applyNumberFormat="0" applyBorder="0" applyAlignment="0" applyProtection="0">
      <alignment horizontal="center"/>
    </xf>
    <xf numFmtId="0" fontId="6" fillId="0" borderId="0" applyNumberFormat="0" applyFont="0" applyFill="0" applyBorder="0" applyAlignment="0" applyProtection="0"/>
    <xf numFmtId="0" fontId="6" fillId="0" borderId="0" applyNumberFormat="0" applyFont="0" applyFill="0" applyBorder="0" applyAlignment="0" applyProtection="0"/>
    <xf numFmtId="171" fontId="22" fillId="19" borderId="8" applyFont="0" applyFill="0" applyBorder="0" applyAlignment="0" applyProtection="0">
      <alignment horizontal="center" vertical="center"/>
    </xf>
    <xf numFmtId="0" fontId="6" fillId="20" borderId="0" applyNumberFormat="0" applyFont="0" applyBorder="0" applyAlignment="0" applyProtection="0"/>
    <xf numFmtId="0" fontId="6" fillId="20" borderId="0" applyNumberFormat="0" applyFont="0" applyBorder="0" applyAlignment="0" applyProtection="0"/>
    <xf numFmtId="0" fontId="17" fillId="6" borderId="0" applyNumberFormat="0" applyBorder="0" applyAlignment="0" applyProtection="0"/>
    <xf numFmtId="0" fontId="6" fillId="8" borderId="6" applyNumberFormat="0" applyFont="0" applyBorder="0" applyAlignment="0" applyProtection="0"/>
    <xf numFmtId="0" fontId="6" fillId="8" borderId="6" applyNumberFormat="0" applyFont="0" applyBorder="0" applyAlignment="0" applyProtection="0"/>
    <xf numFmtId="0" fontId="6" fillId="4" borderId="5" applyNumberFormat="0" applyFont="0" applyBorder="0" applyAlignment="0" applyProtection="0"/>
    <xf numFmtId="0" fontId="6" fillId="4" borderId="5" applyNumberFormat="0" applyFont="0" applyBorder="0" applyAlignment="0" applyProtection="0"/>
    <xf numFmtId="0" fontId="6" fillId="8" borderId="5" applyNumberFormat="0" applyFont="0" applyBorder="0" applyAlignment="0" applyProtection="0"/>
    <xf numFmtId="0" fontId="6" fillId="8" borderId="5" applyNumberFormat="0" applyFont="0" applyBorder="0" applyAlignment="0" applyProtection="0"/>
    <xf numFmtId="0" fontId="6" fillId="5" borderId="0" applyNumberFormat="0" applyFont="0" applyBorder="0" applyAlignment="0" applyProtection="0"/>
    <xf numFmtId="0" fontId="6" fillId="5"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21" borderId="0" applyNumberFormat="0" applyFont="0" applyBorder="0" applyAlignment="0" applyProtection="0"/>
    <xf numFmtId="0" fontId="6" fillId="21"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6" fillId="22" borderId="0" applyNumberFormat="0" applyFont="0" applyBorder="0" applyAlignment="0" applyProtection="0"/>
    <xf numFmtId="0" fontId="6" fillId="21" borderId="6" applyNumberFormat="0" applyFont="0" applyBorder="0" applyAlignment="0" applyProtection="0"/>
    <xf numFmtId="0" fontId="17" fillId="23" borderId="0" applyNumberFormat="0" applyBorder="0" applyAlignment="0" applyProtection="0"/>
    <xf numFmtId="0" fontId="17" fillId="14" borderId="0" applyNumberFormat="0" applyBorder="0" applyAlignment="0" applyProtection="0"/>
    <xf numFmtId="0" fontId="17"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5" applyNumberFormat="0" applyFont="0" applyBorder="0" applyAlignment="0" applyProtection="0"/>
    <xf numFmtId="0" fontId="6" fillId="18" borderId="5" applyNumberFormat="0" applyFont="0" applyBorder="0" applyAlignment="0" applyProtection="0"/>
    <xf numFmtId="0" fontId="6" fillId="24" borderId="5" applyNumberFormat="0" applyFont="0" applyBorder="0" applyAlignment="0" applyProtection="0"/>
    <xf numFmtId="0" fontId="6" fillId="24" borderId="5" applyNumberFormat="0" applyFont="0" applyBorder="0" applyAlignment="0" applyProtection="0"/>
    <xf numFmtId="0" fontId="6" fillId="25" borderId="0" applyNumberFormat="0" applyFont="0" applyBorder="0" applyAlignment="0" applyProtection="0"/>
    <xf numFmtId="0" fontId="6" fillId="25" borderId="0" applyNumberFormat="0" applyFont="0" applyBorder="0" applyAlignment="0" applyProtection="0"/>
    <xf numFmtId="0" fontId="23" fillId="26" borderId="6"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6"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6"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6"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6"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6" fillId="20" borderId="5" applyNumberFormat="0" applyFont="0" applyBorder="0" applyAlignment="0" applyProtection="0"/>
    <xf numFmtId="0" fontId="6" fillId="20" borderId="5" applyNumberFormat="0" applyFont="0" applyBorder="0" applyAlignment="0" applyProtection="0"/>
    <xf numFmtId="0" fontId="17" fillId="6" borderId="0" applyNumberFormat="0" applyBorder="0" applyAlignment="0" applyProtection="0"/>
    <xf numFmtId="0" fontId="23" fillId="7" borderId="0" applyNumberFormat="0" applyBorder="0" applyAlignment="0" applyProtection="0"/>
    <xf numFmtId="0" fontId="6" fillId="8" borderId="0" applyNumberFormat="0" applyFont="0" applyBorder="0" applyAlignment="0" applyProtection="0"/>
    <xf numFmtId="0" fontId="6" fillId="8"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4" borderId="0" applyNumberFormat="0" applyFont="0" applyBorder="0" applyAlignment="0" applyProtection="0"/>
    <xf numFmtId="0" fontId="6" fillId="4" borderId="0" applyNumberFormat="0" applyFont="0" applyBorder="0" applyAlignment="0" applyProtection="0"/>
    <xf numFmtId="0" fontId="6" fillId="27" borderId="0" applyNumberFormat="0" applyFont="0" applyBorder="0" applyAlignment="0" applyProtection="0"/>
    <xf numFmtId="0" fontId="6" fillId="27" borderId="0" applyNumberFormat="0" applyFont="0" applyBorder="0" applyAlignment="0" applyProtection="0"/>
    <xf numFmtId="0" fontId="27" fillId="22" borderId="0">
      <alignment vertical="center"/>
    </xf>
    <xf numFmtId="0" fontId="28" fillId="0" borderId="9" applyNumberFormat="0" applyFill="0" applyAlignment="0" applyProtection="0"/>
    <xf numFmtId="20" fontId="6" fillId="0" borderId="0" applyFont="0" applyFill="0" applyBorder="0" applyAlignment="0" applyProtection="0"/>
    <xf numFmtId="20" fontId="6" fillId="0" borderId="0" applyFont="0" applyFill="0" applyBorder="0" applyAlignment="0" applyProtection="0"/>
    <xf numFmtId="0" fontId="29" fillId="0" borderId="0" applyNumberFormat="0" applyProtection="0">
      <alignment vertical="center"/>
    </xf>
    <xf numFmtId="0" fontId="29" fillId="0" borderId="0" applyNumberFormat="0" applyProtection="0">
      <alignment vertical="center"/>
    </xf>
    <xf numFmtId="0" fontId="30" fillId="0" borderId="0" applyNumberFormat="0" applyProtection="0">
      <alignment vertical="center"/>
    </xf>
    <xf numFmtId="0" fontId="29" fillId="22" borderId="0" applyNumberFormat="0" applyProtection="0">
      <alignment vertical="center"/>
    </xf>
    <xf numFmtId="168" fontId="6" fillId="0" borderId="0" applyFont="0" applyFill="0" applyBorder="0" applyAlignment="0" applyProtection="0"/>
    <xf numFmtId="9" fontId="8" fillId="0" borderId="0" applyFont="0" applyFill="0" applyBorder="0" applyAlignment="0" applyProtection="0"/>
    <xf numFmtId="167" fontId="8" fillId="0" borderId="0" applyFont="0" applyFill="0" applyBorder="0" applyAlignment="0" applyProtection="0"/>
    <xf numFmtId="0" fontId="90" fillId="31" borderId="16" applyNumberFormat="0" applyAlignment="0" applyProtection="0"/>
    <xf numFmtId="0" fontId="91" fillId="31" borderId="15" applyNumberFormat="0" applyAlignment="0" applyProtection="0"/>
    <xf numFmtId="0" fontId="75" fillId="0" borderId="17" applyNumberFormat="0" applyFill="0" applyProtection="0">
      <alignment horizontal="left" vertical="center" wrapText="1"/>
    </xf>
    <xf numFmtId="0" fontId="98" fillId="0" borderId="0"/>
    <xf numFmtId="0" fontId="75" fillId="0" borderId="18" applyFill="0">
      <alignment horizontal="left" vertical="center" wrapText="1"/>
    </xf>
    <xf numFmtId="49" fontId="101" fillId="0" borderId="19" applyFont="0">
      <alignment horizontal="left" vertical="top" wrapText="1"/>
      <protection locked="0"/>
    </xf>
    <xf numFmtId="49" fontId="122" fillId="0" borderId="49" applyNumberFormat="0" applyFont="0" applyAlignment="0">
      <alignment horizontal="left" vertical="center"/>
      <protection locked="0"/>
    </xf>
  </cellStyleXfs>
  <cellXfs count="787">
    <xf numFmtId="0" fontId="0" fillId="0" borderId="0" xfId="0"/>
    <xf numFmtId="0" fontId="31" fillId="0" borderId="0" xfId="0" applyFont="1"/>
    <xf numFmtId="0" fontId="33" fillId="0" borderId="0" xfId="0" applyFont="1" applyAlignment="1">
      <alignment vertical="center"/>
    </xf>
    <xf numFmtId="0" fontId="3" fillId="0" borderId="0" xfId="0" applyFont="1"/>
    <xf numFmtId="0" fontId="34" fillId="0" borderId="0" xfId="0" applyFont="1"/>
    <xf numFmtId="0" fontId="35" fillId="0" borderId="0" xfId="0" applyFont="1"/>
    <xf numFmtId="0" fontId="33" fillId="0" borderId="0" xfId="0" applyFont="1"/>
    <xf numFmtId="0" fontId="45" fillId="0" borderId="0" xfId="0" applyFont="1"/>
    <xf numFmtId="0" fontId="44" fillId="0" borderId="0" xfId="0" applyFont="1"/>
    <xf numFmtId="0" fontId="47" fillId="0" borderId="0" xfId="0" applyFont="1"/>
    <xf numFmtId="0" fontId="3" fillId="29" borderId="1" xfId="0" applyFont="1" applyFill="1" applyBorder="1" applyAlignment="1">
      <alignment vertical="center"/>
    </xf>
    <xf numFmtId="0" fontId="0" fillId="28" borderId="0" xfId="0" applyFill="1"/>
    <xf numFmtId="0" fontId="1" fillId="0" borderId="0" xfId="0" applyFont="1"/>
    <xf numFmtId="0" fontId="33" fillId="0" borderId="0" xfId="0" applyFont="1" applyAlignment="1">
      <alignment horizontal="left" vertical="center"/>
    </xf>
    <xf numFmtId="0" fontId="1" fillId="0" borderId="0" xfId="0" applyFont="1" applyAlignment="1">
      <alignment horizontal="right" vertical="center"/>
    </xf>
    <xf numFmtId="3" fontId="1" fillId="0" borderId="0" xfId="0" applyNumberFormat="1" applyFont="1"/>
    <xf numFmtId="0" fontId="43" fillId="0" borderId="0" xfId="0" applyFont="1" applyAlignment="1">
      <alignment horizontal="left" vertical="center" wrapText="1"/>
    </xf>
    <xf numFmtId="0" fontId="0" fillId="0" borderId="0" xfId="0" applyAlignment="1">
      <alignment vertical="center"/>
    </xf>
    <xf numFmtId="0" fontId="59" fillId="0" borderId="0" xfId="0" applyFont="1"/>
    <xf numFmtId="0" fontId="60" fillId="0" borderId="0" xfId="0" applyFont="1"/>
    <xf numFmtId="0" fontId="61" fillId="0" borderId="0" xfId="0" applyFont="1" applyAlignment="1">
      <alignment horizontal="right" wrapText="1"/>
    </xf>
    <xf numFmtId="0" fontId="61" fillId="0" borderId="0" xfId="0" applyFont="1"/>
    <xf numFmtId="0" fontId="43" fillId="0" borderId="0" xfId="0" applyFont="1" applyAlignment="1">
      <alignment horizontal="left" vertical="center"/>
    </xf>
    <xf numFmtId="0" fontId="7" fillId="0" borderId="0" xfId="0" applyFont="1" applyAlignment="1">
      <alignment horizontal="right" vertical="center" wrapText="1"/>
    </xf>
    <xf numFmtId="0" fontId="4" fillId="0" borderId="0" xfId="0" applyFont="1" applyAlignment="1">
      <alignment horizontal="right" vertical="center" wrapText="1"/>
    </xf>
    <xf numFmtId="0" fontId="43" fillId="0" borderId="0" xfId="0" applyFont="1" applyAlignment="1">
      <alignment vertical="center"/>
    </xf>
    <xf numFmtId="0" fontId="62" fillId="0" borderId="0" xfId="0" applyFont="1"/>
    <xf numFmtId="0" fontId="43" fillId="0" borderId="0" xfId="0" applyFont="1" applyAlignment="1">
      <alignment horizontal="left"/>
    </xf>
    <xf numFmtId="0" fontId="57" fillId="0" borderId="0" xfId="0" applyFont="1" applyAlignment="1">
      <alignment horizontal="left" vertical="top" wrapText="1"/>
    </xf>
    <xf numFmtId="0" fontId="39" fillId="0" borderId="0" xfId="0" applyFont="1"/>
    <xf numFmtId="0" fontId="1" fillId="0" borderId="0" xfId="0" applyFont="1" applyAlignment="1">
      <alignment horizontal="center" vertical="center" wrapText="1"/>
    </xf>
    <xf numFmtId="0" fontId="33" fillId="0" borderId="0" xfId="0" applyFont="1" applyAlignment="1">
      <alignment vertical="center" wrapText="1"/>
    </xf>
    <xf numFmtId="3" fontId="0" fillId="0" borderId="0" xfId="0" applyNumberFormat="1"/>
    <xf numFmtId="3" fontId="3" fillId="0" borderId="0" xfId="0" applyNumberFormat="1" applyFont="1" applyAlignment="1">
      <alignment horizontal="right" vertical="center" wrapText="1"/>
    </xf>
    <xf numFmtId="0" fontId="28" fillId="0" borderId="0" xfId="0" applyFont="1" applyAlignment="1">
      <alignment horizontal="right"/>
    </xf>
    <xf numFmtId="0" fontId="2" fillId="0" borderId="0" xfId="0" applyFont="1"/>
    <xf numFmtId="169" fontId="9" fillId="0" borderId="0" xfId="2" applyNumberFormat="1" applyFont="1" applyFill="1" applyBorder="1" applyProtection="1"/>
    <xf numFmtId="0" fontId="6" fillId="0" borderId="0" xfId="0" applyFont="1"/>
    <xf numFmtId="0" fontId="1" fillId="0" borderId="0" xfId="0" applyFont="1" applyAlignment="1">
      <alignment vertical="center"/>
    </xf>
    <xf numFmtId="0" fontId="1" fillId="0" borderId="0" xfId="0" applyFont="1" applyAlignment="1">
      <alignment horizontal="right" vertical="center" wrapText="1"/>
    </xf>
    <xf numFmtId="175" fontId="1" fillId="0" borderId="0" xfId="0" applyNumberFormat="1" applyFont="1"/>
    <xf numFmtId="0" fontId="64" fillId="0" borderId="0" xfId="0" applyFont="1"/>
    <xf numFmtId="0" fontId="65" fillId="0" borderId="0" xfId="0" applyFont="1"/>
    <xf numFmtId="0" fontId="69" fillId="0" borderId="0" xfId="0" applyFont="1" applyAlignment="1">
      <alignment vertical="center" wrapText="1"/>
    </xf>
    <xf numFmtId="0" fontId="28" fillId="0" borderId="0" xfId="0" applyFont="1"/>
    <xf numFmtId="176" fontId="6" fillId="30" borderId="0" xfId="0" applyNumberFormat="1" applyFont="1" applyFill="1" applyAlignment="1">
      <alignment horizontal="right" vertical="center" wrapText="1"/>
    </xf>
    <xf numFmtId="4" fontId="6" fillId="30" borderId="0" xfId="0" applyNumberFormat="1" applyFont="1" applyFill="1" applyAlignment="1">
      <alignment horizontal="right" vertical="center" wrapText="1"/>
    </xf>
    <xf numFmtId="176" fontId="6" fillId="30" borderId="0" xfId="0" applyNumberFormat="1" applyFont="1" applyFill="1" applyAlignment="1">
      <alignment vertical="center" wrapText="1"/>
    </xf>
    <xf numFmtId="0" fontId="28" fillId="30" borderId="0" xfId="0" applyFont="1" applyFill="1" applyAlignment="1">
      <alignment horizontal="right" vertical="center" wrapText="1"/>
    </xf>
    <xf numFmtId="0" fontId="70" fillId="30" borderId="0" xfId="0" applyFont="1" applyFill="1" applyAlignment="1">
      <alignment horizontal="left" vertical="center" wrapText="1"/>
    </xf>
    <xf numFmtId="177" fontId="6" fillId="30" borderId="0" xfId="0" applyNumberFormat="1" applyFont="1" applyFill="1" applyAlignment="1">
      <alignment vertical="center" wrapText="1"/>
    </xf>
    <xf numFmtId="0" fontId="70" fillId="30" borderId="0" xfId="0" applyFont="1" applyFill="1" applyAlignment="1">
      <alignment horizontal="right" vertical="center" wrapText="1"/>
    </xf>
    <xf numFmtId="4" fontId="6" fillId="30" borderId="0" xfId="0" applyNumberFormat="1" applyFont="1" applyFill="1" applyAlignment="1">
      <alignment horizontal="right"/>
    </xf>
    <xf numFmtId="180" fontId="64" fillId="0" borderId="0" xfId="0" applyNumberFormat="1" applyFont="1"/>
    <xf numFmtId="177" fontId="64" fillId="30" borderId="0" xfId="0" applyNumberFormat="1" applyFont="1" applyFill="1"/>
    <xf numFmtId="0" fontId="71" fillId="0" borderId="0" xfId="0" applyFont="1"/>
    <xf numFmtId="0" fontId="72" fillId="0" borderId="0" xfId="0" applyFont="1"/>
    <xf numFmtId="0" fontId="73" fillId="0" borderId="0" xfId="0" applyFont="1"/>
    <xf numFmtId="0" fontId="74" fillId="0" borderId="0" xfId="0" applyFont="1"/>
    <xf numFmtId="3" fontId="4" fillId="0" borderId="0" xfId="0" applyNumberFormat="1" applyFont="1" applyAlignment="1">
      <alignment horizontal="right" vertical="center"/>
    </xf>
    <xf numFmtId="9" fontId="1" fillId="0" borderId="0" xfId="0" applyNumberFormat="1" applyFont="1"/>
    <xf numFmtId="0" fontId="38" fillId="0" borderId="0" xfId="0" applyFont="1"/>
    <xf numFmtId="0" fontId="0" fillId="28" borderId="0" xfId="0" applyFill="1" applyAlignment="1">
      <alignment vertical="center" wrapText="1"/>
    </xf>
    <xf numFmtId="0" fontId="15" fillId="0" borderId="0" xfId="0" applyFont="1" applyAlignment="1">
      <alignment horizontal="left"/>
    </xf>
    <xf numFmtId="0" fontId="0" fillId="0" borderId="0" xfId="0" applyAlignment="1">
      <alignment vertical="top"/>
    </xf>
    <xf numFmtId="0" fontId="3" fillId="0" borderId="0" xfId="0" applyFont="1" applyAlignment="1">
      <alignment horizontal="right" vertical="center" wrapText="1"/>
    </xf>
    <xf numFmtId="0" fontId="4" fillId="0" borderId="0" xfId="0" applyFont="1" applyAlignment="1">
      <alignment horizontal="right" vertical="center"/>
    </xf>
    <xf numFmtId="3" fontId="4" fillId="0" borderId="0" xfId="0" applyNumberFormat="1" applyFont="1" applyAlignment="1">
      <alignment horizontal="right" vertical="center" wrapText="1"/>
    </xf>
    <xf numFmtId="0" fontId="33" fillId="0" borderId="0" xfId="0" applyFont="1" applyAlignment="1">
      <alignment horizontal="left" vertical="center" wrapText="1"/>
    </xf>
    <xf numFmtId="0" fontId="43" fillId="0" borderId="0" xfId="0" applyFont="1" applyAlignment="1">
      <alignment vertical="center" wrapText="1"/>
    </xf>
    <xf numFmtId="0" fontId="6" fillId="0" borderId="0" xfId="0" applyFont="1" applyAlignment="1">
      <alignment vertical="center"/>
    </xf>
    <xf numFmtId="2" fontId="6" fillId="0" borderId="0" xfId="0" applyNumberFormat="1" applyFont="1" applyAlignment="1">
      <alignment vertical="center"/>
    </xf>
    <xf numFmtId="49" fontId="41" fillId="0" borderId="0" xfId="0" applyNumberFormat="1" applyFont="1" applyAlignment="1">
      <alignment horizontal="left" vertical="center" wrapText="1"/>
    </xf>
    <xf numFmtId="0" fontId="41" fillId="0" borderId="0" xfId="0" applyFont="1" applyAlignment="1">
      <alignment horizontal="left" vertical="center" wrapText="1"/>
    </xf>
    <xf numFmtId="0" fontId="41" fillId="30" borderId="0" xfId="0" applyFont="1" applyFill="1" applyAlignment="1">
      <alignment horizontal="left" vertical="center" wrapText="1"/>
    </xf>
    <xf numFmtId="0" fontId="3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79" fillId="0" borderId="0" xfId="0" applyFont="1"/>
    <xf numFmtId="0" fontId="3" fillId="0" borderId="0" xfId="0" applyFont="1" applyAlignment="1">
      <alignment horizontal="center" vertical="center" wrapText="1"/>
    </xf>
    <xf numFmtId="0" fontId="79" fillId="0" borderId="0" xfId="0" applyFont="1" applyAlignment="1">
      <alignment vertical="center"/>
    </xf>
    <xf numFmtId="0" fontId="79" fillId="0" borderId="0" xfId="0" applyFont="1" applyAlignment="1">
      <alignment vertical="top"/>
    </xf>
    <xf numFmtId="0" fontId="1" fillId="0" borderId="0" xfId="0" applyFont="1" applyAlignment="1">
      <alignment horizontal="center" vertical="center"/>
    </xf>
    <xf numFmtId="0" fontId="3" fillId="0" borderId="0" xfId="0" applyFont="1" applyAlignment="1">
      <alignment vertical="center" wrapText="1"/>
    </xf>
    <xf numFmtId="9" fontId="4" fillId="0" borderId="0" xfId="0" applyNumberFormat="1" applyFont="1" applyAlignment="1">
      <alignment horizontal="right" vertical="center" wrapText="1"/>
    </xf>
    <xf numFmtId="9" fontId="3" fillId="0" borderId="0" xfId="0" applyNumberFormat="1" applyFont="1" applyAlignment="1">
      <alignment horizontal="right" vertical="center" wrapText="1"/>
    </xf>
    <xf numFmtId="169" fontId="0" fillId="0" borderId="0" xfId="0" applyNumberFormat="1"/>
    <xf numFmtId="0" fontId="80" fillId="0" borderId="0" xfId="0" applyFont="1"/>
    <xf numFmtId="0" fontId="83" fillId="0" borderId="0" xfId="0" applyFont="1"/>
    <xf numFmtId="0" fontId="56" fillId="28" borderId="0" xfId="1" applyFont="1" applyFill="1" applyAlignment="1">
      <alignment wrapText="1"/>
    </xf>
    <xf numFmtId="0" fontId="3" fillId="0" borderId="0" xfId="0" applyFont="1" applyAlignment="1">
      <alignment horizontal="left" wrapText="1"/>
    </xf>
    <xf numFmtId="3" fontId="1" fillId="0" borderId="0" xfId="0" applyNumberFormat="1" applyFont="1" applyAlignment="1">
      <alignment horizontal="right"/>
    </xf>
    <xf numFmtId="0" fontId="0" fillId="0" borderId="0" xfId="0" applyAlignment="1">
      <alignment horizontal="left" vertical="center"/>
    </xf>
    <xf numFmtId="0" fontId="6" fillId="0" borderId="0" xfId="0" applyFont="1" applyAlignment="1">
      <alignment horizontal="right"/>
    </xf>
    <xf numFmtId="0" fontId="49" fillId="0" borderId="0" xfId="0" applyFont="1" applyAlignment="1">
      <alignment vertical="center"/>
    </xf>
    <xf numFmtId="179" fontId="6" fillId="0" borderId="0" xfId="14" applyNumberFormat="1" applyAlignment="1">
      <alignment horizontal="right" wrapText="1"/>
    </xf>
    <xf numFmtId="0" fontId="41" fillId="0" borderId="0" xfId="0" applyFont="1" applyAlignment="1">
      <alignment horizontal="left" vertical="center"/>
    </xf>
    <xf numFmtId="0" fontId="0" fillId="0" borderId="0" xfId="0" applyAlignment="1">
      <alignment horizontal="right"/>
    </xf>
    <xf numFmtId="0" fontId="44" fillId="0" borderId="0" xfId="0" applyFont="1" applyAlignment="1">
      <alignment horizontal="right"/>
    </xf>
    <xf numFmtId="3" fontId="28" fillId="0" borderId="0" xfId="0" applyNumberFormat="1" applyFont="1" applyAlignment="1">
      <alignment horizontal="right"/>
    </xf>
    <xf numFmtId="3" fontId="28" fillId="0" borderId="0" xfId="0" applyNumberFormat="1" applyFont="1"/>
    <xf numFmtId="0" fontId="86" fillId="0" borderId="0" xfId="0" applyFont="1"/>
    <xf numFmtId="0" fontId="86" fillId="0" borderId="0" xfId="0" applyFont="1" applyAlignment="1">
      <alignment horizontal="right"/>
    </xf>
    <xf numFmtId="3" fontId="28" fillId="0" borderId="0" xfId="0" applyNumberFormat="1" applyFont="1" applyAlignment="1">
      <alignment horizontal="right" vertical="center"/>
    </xf>
    <xf numFmtId="3" fontId="28" fillId="0" borderId="0" xfId="0" applyNumberFormat="1" applyFont="1" applyAlignment="1">
      <alignment horizontal="right" vertical="center" wrapText="1"/>
    </xf>
    <xf numFmtId="3" fontId="3" fillId="0" borderId="0" xfId="0" applyNumberFormat="1" applyFont="1" applyAlignment="1">
      <alignment horizontal="right" vertical="center"/>
    </xf>
    <xf numFmtId="3" fontId="7" fillId="0" borderId="0" xfId="0" applyNumberFormat="1" applyFont="1" applyAlignment="1">
      <alignment horizontal="right" vertical="center"/>
    </xf>
    <xf numFmtId="3" fontId="7" fillId="28" borderId="0" xfId="0" applyNumberFormat="1" applyFont="1" applyFill="1" applyAlignment="1">
      <alignment horizontal="right" vertical="center"/>
    </xf>
    <xf numFmtId="0" fontId="6" fillId="0" borderId="0" xfId="0" applyFont="1" applyAlignment="1">
      <alignment horizontal="left"/>
    </xf>
    <xf numFmtId="0" fontId="41" fillId="0" borderId="0" xfId="0" applyFont="1"/>
    <xf numFmtId="0" fontId="39" fillId="0" borderId="0" xfId="0" applyFont="1" applyAlignment="1">
      <alignment horizontal="right"/>
    </xf>
    <xf numFmtId="0" fontId="41" fillId="0" borderId="0" xfId="0" applyFont="1" applyAlignment="1">
      <alignment horizontal="right"/>
    </xf>
    <xf numFmtId="0" fontId="0" fillId="0" borderId="0" xfId="0" applyAlignment="1">
      <alignment horizontal="left"/>
    </xf>
    <xf numFmtId="0" fontId="4" fillId="3" borderId="0" xfId="0" applyFont="1" applyFill="1" applyAlignment="1">
      <alignment horizontal="right" vertical="center" wrapText="1"/>
    </xf>
    <xf numFmtId="0" fontId="33" fillId="0" borderId="0" xfId="0" applyFont="1" applyAlignment="1">
      <alignment horizontal="right" vertical="center" wrapText="1"/>
    </xf>
    <xf numFmtId="0" fontId="4" fillId="3" borderId="0" xfId="0" applyFont="1" applyFill="1" applyAlignment="1">
      <alignment horizontal="left" vertical="center" wrapText="1"/>
    </xf>
    <xf numFmtId="0" fontId="3" fillId="0" borderId="0" xfId="0" applyFont="1" applyAlignment="1">
      <alignment horizontal="right"/>
    </xf>
    <xf numFmtId="0" fontId="28" fillId="0" borderId="0" xfId="0" applyFont="1" applyAlignment="1">
      <alignment horizontal="left" wrapText="1"/>
    </xf>
    <xf numFmtId="0" fontId="87" fillId="0" borderId="0" xfId="0" applyFont="1"/>
    <xf numFmtId="0" fontId="88" fillId="0" borderId="0" xfId="0" applyFont="1"/>
    <xf numFmtId="0" fontId="1" fillId="28" borderId="0" xfId="229" applyFont="1" applyFill="1" applyBorder="1" applyAlignment="1">
      <alignment horizontal="left" vertical="center" wrapText="1"/>
    </xf>
    <xf numFmtId="49" fontId="1" fillId="28" borderId="0" xfId="229" applyNumberFormat="1" applyFont="1" applyFill="1" applyBorder="1" applyAlignment="1">
      <alignment horizontal="left" vertical="center" wrapText="1"/>
    </xf>
    <xf numFmtId="0" fontId="76" fillId="0" borderId="0" xfId="0" applyFont="1"/>
    <xf numFmtId="0" fontId="68" fillId="30" borderId="0" xfId="0" applyFont="1" applyFill="1" applyAlignment="1">
      <alignment horizontal="left" vertical="center" wrapText="1"/>
    </xf>
    <xf numFmtId="0" fontId="33" fillId="0" borderId="0" xfId="0" applyFont="1" applyAlignment="1">
      <alignment horizontal="left" wrapText="1"/>
    </xf>
    <xf numFmtId="0" fontId="0" fillId="0" borderId="0" xfId="0" applyAlignment="1">
      <alignment vertical="top" wrapText="1"/>
    </xf>
    <xf numFmtId="0" fontId="92" fillId="0" borderId="0" xfId="0" applyFont="1"/>
    <xf numFmtId="3" fontId="34" fillId="0" borderId="0" xfId="0" applyNumberFormat="1" applyFont="1"/>
    <xf numFmtId="0" fontId="3" fillId="29" borderId="14" xfId="0" applyFont="1" applyFill="1" applyBorder="1" applyAlignment="1">
      <alignment horizontal="center" wrapText="1"/>
    </xf>
    <xf numFmtId="0" fontId="3" fillId="29" borderId="14" xfId="0" applyFont="1" applyFill="1" applyBorder="1" applyAlignment="1">
      <alignment horizontal="center"/>
    </xf>
    <xf numFmtId="0" fontId="3" fillId="29" borderId="7" xfId="0" applyFont="1" applyFill="1" applyBorder="1" applyAlignment="1">
      <alignment horizontal="center"/>
    </xf>
    <xf numFmtId="0" fontId="3" fillId="0" borderId="11" xfId="0" applyFont="1" applyBorder="1" applyAlignment="1">
      <alignment vertical="center"/>
    </xf>
    <xf numFmtId="0" fontId="3" fillId="0" borderId="13" xfId="0" applyFont="1" applyBorder="1" applyAlignment="1">
      <alignment vertical="center"/>
    </xf>
    <xf numFmtId="0" fontId="93" fillId="0" borderId="0" xfId="0" applyFont="1"/>
    <xf numFmtId="4" fontId="34" fillId="0" borderId="0" xfId="0" applyNumberFormat="1" applyFont="1"/>
    <xf numFmtId="0" fontId="34" fillId="0" borderId="0" xfId="0" applyFont="1" applyAlignment="1">
      <alignment wrapText="1"/>
    </xf>
    <xf numFmtId="9" fontId="1" fillId="0" borderId="0" xfId="0" applyNumberFormat="1" applyFont="1" applyAlignment="1">
      <alignment horizontal="right" vertical="center" wrapText="1"/>
    </xf>
    <xf numFmtId="0" fontId="3" fillId="0" borderId="0" xfId="0" applyFont="1" applyAlignment="1">
      <alignment horizontal="left"/>
    </xf>
    <xf numFmtId="49" fontId="43" fillId="3" borderId="0" xfId="0" applyNumberFormat="1" applyFont="1" applyFill="1" applyAlignment="1">
      <alignment horizontal="left" vertical="center" wrapText="1"/>
    </xf>
    <xf numFmtId="0" fontId="28" fillId="0" borderId="0" xfId="0" applyFont="1" applyAlignment="1">
      <alignment horizontal="right" vertical="center" wrapText="1"/>
    </xf>
    <xf numFmtId="0" fontId="28" fillId="0" borderId="0" xfId="0" applyFont="1" applyAlignment="1">
      <alignment vertical="center" wrapText="1"/>
    </xf>
    <xf numFmtId="0" fontId="43" fillId="0" borderId="0" xfId="0" applyFont="1" applyAlignment="1">
      <alignment horizontal="left" wrapText="1"/>
    </xf>
    <xf numFmtId="0" fontId="41" fillId="0" borderId="0" xfId="0" applyFont="1" applyAlignment="1">
      <alignment horizontal="left" vertical="top" wrapText="1"/>
    </xf>
    <xf numFmtId="166" fontId="1" fillId="0" borderId="0" xfId="0" applyNumberFormat="1" applyFont="1"/>
    <xf numFmtId="3" fontId="41" fillId="0" borderId="0" xfId="0" applyNumberFormat="1" applyFont="1" applyAlignment="1">
      <alignment horizontal="left" vertical="center" wrapText="1"/>
    </xf>
    <xf numFmtId="0" fontId="71" fillId="28" borderId="0" xfId="0" applyFont="1" applyFill="1" applyAlignment="1">
      <alignment horizontal="left" vertical="center" wrapText="1"/>
    </xf>
    <xf numFmtId="0" fontId="34" fillId="0" borderId="0" xfId="0" applyFont="1" applyAlignment="1">
      <alignment horizontal="left"/>
    </xf>
    <xf numFmtId="0" fontId="43" fillId="0" borderId="0" xfId="0" applyFont="1" applyAlignment="1">
      <alignment vertical="top" wrapText="1"/>
    </xf>
    <xf numFmtId="0" fontId="34" fillId="0" borderId="0" xfId="0" applyFont="1" applyAlignment="1">
      <alignment vertical="center"/>
    </xf>
    <xf numFmtId="0" fontId="34" fillId="0" borderId="0" xfId="0" applyFont="1" applyAlignment="1">
      <alignment horizontal="left" vertical="center"/>
    </xf>
    <xf numFmtId="0" fontId="3" fillId="0" borderId="0" xfId="0" applyFont="1" applyAlignment="1">
      <alignment horizontal="right" vertical="center"/>
    </xf>
    <xf numFmtId="0" fontId="38" fillId="0" borderId="0" xfId="0" applyFont="1" applyAlignment="1">
      <alignment horizontal="left" vertical="center"/>
    </xf>
    <xf numFmtId="0" fontId="38" fillId="0" borderId="0" xfId="0"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horizontal="center" vertical="center" wrapText="1"/>
    </xf>
    <xf numFmtId="0" fontId="41" fillId="0" borderId="0" xfId="0" applyFont="1" applyAlignment="1">
      <alignment wrapText="1"/>
    </xf>
    <xf numFmtId="0" fontId="41" fillId="0" borderId="0" xfId="0" applyFont="1" applyAlignment="1">
      <alignment vertical="top"/>
    </xf>
    <xf numFmtId="164" fontId="3" fillId="0" borderId="0" xfId="0" applyNumberFormat="1" applyFont="1" applyAlignment="1">
      <alignment vertical="center" wrapText="1"/>
    </xf>
    <xf numFmtId="166" fontId="3" fillId="0" borderId="0" xfId="0" applyNumberFormat="1" applyFont="1" applyAlignment="1">
      <alignment vertical="center" wrapText="1"/>
    </xf>
    <xf numFmtId="164" fontId="3" fillId="0" borderId="0" xfId="0" applyNumberFormat="1" applyFont="1" applyAlignment="1">
      <alignment horizontal="right" vertical="center" wrapText="1"/>
    </xf>
    <xf numFmtId="0" fontId="76" fillId="0" borderId="0" xfId="0" applyFont="1" applyAlignment="1">
      <alignment vertical="center" wrapText="1"/>
    </xf>
    <xf numFmtId="0" fontId="77" fillId="34" borderId="0" xfId="0" applyFont="1" applyFill="1"/>
    <xf numFmtId="0" fontId="77" fillId="35" borderId="0" xfId="0" applyFont="1" applyFill="1" applyAlignment="1">
      <alignment horizontal="left"/>
    </xf>
    <xf numFmtId="0" fontId="63" fillId="0" borderId="22" xfId="0" applyFont="1" applyBorder="1"/>
    <xf numFmtId="0" fontId="64" fillId="0" borderId="22" xfId="0" applyFont="1" applyBorder="1"/>
    <xf numFmtId="0" fontId="0" fillId="0" borderId="22" xfId="0" applyBorder="1"/>
    <xf numFmtId="0" fontId="34" fillId="0" borderId="22" xfId="0" applyFont="1" applyBorder="1"/>
    <xf numFmtId="0" fontId="35" fillId="0" borderId="22" xfId="0" applyFont="1" applyBorder="1"/>
    <xf numFmtId="0" fontId="59" fillId="0" borderId="22" xfId="0" applyFont="1" applyBorder="1"/>
    <xf numFmtId="0" fontId="35" fillId="0" borderId="22" xfId="0" applyFont="1" applyBorder="1" applyAlignment="1">
      <alignment horizontal="right"/>
    </xf>
    <xf numFmtId="0" fontId="71" fillId="0" borderId="0" xfId="0" applyFont="1" applyAlignment="1">
      <alignment horizontal="center"/>
    </xf>
    <xf numFmtId="0" fontId="34" fillId="0" borderId="22" xfId="0" applyFont="1" applyBorder="1" applyAlignment="1">
      <alignment vertical="center" wrapText="1"/>
    </xf>
    <xf numFmtId="0" fontId="33" fillId="0" borderId="21" xfId="0" applyFont="1" applyBorder="1" applyAlignment="1">
      <alignment horizontal="left" wrapText="1"/>
    </xf>
    <xf numFmtId="0" fontId="13" fillId="34" borderId="26" xfId="0" applyFont="1" applyFill="1" applyBorder="1" applyAlignment="1">
      <alignment horizontal="left" vertical="center" wrapText="1"/>
    </xf>
    <xf numFmtId="0" fontId="13" fillId="34" borderId="26" xfId="0" applyFont="1" applyFill="1" applyBorder="1" applyAlignment="1">
      <alignment horizontal="center" vertical="center" wrapText="1"/>
    </xf>
    <xf numFmtId="0" fontId="13" fillId="34" borderId="26" xfId="0" applyFont="1" applyFill="1" applyBorder="1" applyAlignment="1">
      <alignment horizontal="center" wrapText="1"/>
    </xf>
    <xf numFmtId="0" fontId="33" fillId="0" borderId="0" xfId="0" applyFont="1" applyAlignment="1">
      <alignment vertical="top" wrapText="1"/>
    </xf>
    <xf numFmtId="0" fontId="13" fillId="34" borderId="26" xfId="0" applyFont="1" applyFill="1" applyBorder="1"/>
    <xf numFmtId="0" fontId="13" fillId="34" borderId="26" xfId="0" applyFont="1" applyFill="1" applyBorder="1" applyAlignment="1">
      <alignment vertical="center" wrapText="1"/>
    </xf>
    <xf numFmtId="0" fontId="13" fillId="34" borderId="26" xfId="0" applyFont="1" applyFill="1" applyBorder="1" applyAlignment="1">
      <alignment horizontal="right" vertical="center" wrapText="1"/>
    </xf>
    <xf numFmtId="0" fontId="13" fillId="34" borderId="26" xfId="0" applyFont="1" applyFill="1" applyBorder="1" applyAlignment="1">
      <alignment horizontal="left"/>
    </xf>
    <xf numFmtId="0" fontId="13" fillId="34" borderId="26" xfId="0" applyFont="1" applyFill="1" applyBorder="1" applyAlignment="1">
      <alignment horizontal="center"/>
    </xf>
    <xf numFmtId="0" fontId="13" fillId="36" borderId="26" xfId="0" applyFont="1" applyFill="1" applyBorder="1" applyAlignment="1">
      <alignment horizontal="center" vertical="center" wrapText="1"/>
    </xf>
    <xf numFmtId="0" fontId="13" fillId="36" borderId="26" xfId="0" applyFont="1" applyFill="1" applyBorder="1" applyAlignment="1">
      <alignment horizontal="left" vertical="center" wrapText="1"/>
    </xf>
    <xf numFmtId="0" fontId="13" fillId="36" borderId="26" xfId="0" applyFont="1" applyFill="1" applyBorder="1" applyAlignment="1">
      <alignment horizontal="right" vertical="center" wrapText="1"/>
    </xf>
    <xf numFmtId="0" fontId="13" fillId="36" borderId="26" xfId="0" applyFont="1" applyFill="1" applyBorder="1" applyAlignment="1">
      <alignment horizontal="right"/>
    </xf>
    <xf numFmtId="0" fontId="6" fillId="0" borderId="26" xfId="0" applyFont="1" applyBorder="1" applyAlignment="1">
      <alignment vertical="center" wrapText="1"/>
    </xf>
    <xf numFmtId="0" fontId="4" fillId="0" borderId="26" xfId="0" applyFont="1" applyBorder="1" applyAlignment="1">
      <alignment horizontal="right" vertical="center" wrapText="1"/>
    </xf>
    <xf numFmtId="0" fontId="6" fillId="0" borderId="26" xfId="0" applyFont="1" applyBorder="1" applyAlignment="1">
      <alignment horizontal="right" vertical="center" wrapText="1"/>
    </xf>
    <xf numFmtId="0" fontId="3" fillId="29" borderId="26" xfId="0" applyFont="1" applyFill="1" applyBorder="1" applyAlignment="1">
      <alignment horizontal="left" vertical="center"/>
    </xf>
    <xf numFmtId="0" fontId="3" fillId="29" borderId="26" xfId="0" applyFont="1" applyFill="1" applyBorder="1" applyAlignment="1">
      <alignment horizontal="right" vertical="center"/>
    </xf>
    <xf numFmtId="0" fontId="3" fillId="29" borderId="26" xfId="0" applyFont="1" applyFill="1" applyBorder="1" applyAlignment="1">
      <alignment horizontal="right" vertical="center" wrapText="1"/>
    </xf>
    <xf numFmtId="0" fontId="3" fillId="29" borderId="26" xfId="0" applyFont="1" applyFill="1" applyBorder="1"/>
    <xf numFmtId="0" fontId="28" fillId="29" borderId="26" xfId="0" applyFont="1" applyFill="1" applyBorder="1" applyAlignment="1">
      <alignment horizontal="right" vertical="center"/>
    </xf>
    <xf numFmtId="0" fontId="3" fillId="29" borderId="26" xfId="0" applyFont="1" applyFill="1" applyBorder="1" applyAlignment="1">
      <alignment vertical="center"/>
    </xf>
    <xf numFmtId="0" fontId="28" fillId="29" borderId="26" xfId="0" applyFont="1" applyFill="1" applyBorder="1" applyAlignment="1">
      <alignment horizontal="right" vertical="center" wrapText="1"/>
    </xf>
    <xf numFmtId="0" fontId="3" fillId="29" borderId="26" xfId="0" applyFont="1" applyFill="1" applyBorder="1" applyAlignment="1">
      <alignment vertical="center" wrapText="1"/>
    </xf>
    <xf numFmtId="0" fontId="28" fillId="29" borderId="26" xfId="0" applyFont="1" applyFill="1" applyBorder="1" applyAlignment="1">
      <alignment vertical="center" wrapText="1"/>
    </xf>
    <xf numFmtId="0" fontId="3" fillId="29" borderId="26" xfId="0" applyFont="1" applyFill="1" applyBorder="1" applyAlignment="1">
      <alignment horizontal="right"/>
    </xf>
    <xf numFmtId="0" fontId="1" fillId="0" borderId="26" xfId="0" applyFont="1" applyBorder="1" applyAlignment="1">
      <alignment vertical="center"/>
    </xf>
    <xf numFmtId="0" fontId="1" fillId="0" borderId="26" xfId="0" applyFont="1" applyBorder="1" applyAlignment="1">
      <alignment horizontal="center" vertical="center"/>
    </xf>
    <xf numFmtId="0" fontId="3" fillId="0" borderId="12" xfId="0" applyFont="1" applyBorder="1" applyAlignment="1">
      <alignment vertical="center"/>
    </xf>
    <xf numFmtId="0" fontId="13" fillId="34" borderId="26" xfId="0" applyFont="1" applyFill="1" applyBorder="1" applyAlignment="1">
      <alignment horizontal="left" vertical="center"/>
    </xf>
    <xf numFmtId="0" fontId="13" fillId="34" borderId="26" xfId="0" applyFont="1" applyFill="1" applyBorder="1" applyAlignment="1">
      <alignment horizontal="right" vertical="center"/>
    </xf>
    <xf numFmtId="0" fontId="13" fillId="34" borderId="26" xfId="0" applyFont="1" applyFill="1" applyBorder="1" applyAlignment="1">
      <alignment vertical="center"/>
    </xf>
    <xf numFmtId="0" fontId="13" fillId="34" borderId="26" xfId="0" applyFont="1" applyFill="1" applyBorder="1" applyAlignment="1">
      <alignment horizontal="center" vertical="center"/>
    </xf>
    <xf numFmtId="0" fontId="0" fillId="0" borderId="22" xfId="0" applyBorder="1" applyAlignment="1">
      <alignment horizontal="left"/>
    </xf>
    <xf numFmtId="0" fontId="44" fillId="0" borderId="0" xfId="0" applyFont="1" applyAlignment="1">
      <alignment horizontal="left"/>
    </xf>
    <xf numFmtId="0" fontId="109" fillId="34" borderId="26" xfId="0" applyFont="1" applyFill="1" applyBorder="1" applyAlignment="1">
      <alignment horizontal="left"/>
    </xf>
    <xf numFmtId="0" fontId="1" fillId="0" borderId="0" xfId="0" applyFont="1" applyAlignment="1">
      <alignment horizontal="left" vertical="center"/>
    </xf>
    <xf numFmtId="0" fontId="79" fillId="0" borderId="0" xfId="0" applyFont="1" applyAlignment="1">
      <alignment horizontal="left"/>
    </xf>
    <xf numFmtId="0" fontId="1" fillId="0" borderId="0" xfId="0" applyFont="1" applyAlignment="1">
      <alignment horizontal="left"/>
    </xf>
    <xf numFmtId="0" fontId="0" fillId="28" borderId="0" xfId="0" applyFill="1" applyAlignment="1">
      <alignment horizontal="left"/>
    </xf>
    <xf numFmtId="0" fontId="13" fillId="36" borderId="26" xfId="0" applyFont="1" applyFill="1" applyBorder="1" applyAlignment="1">
      <alignment horizontal="center"/>
    </xf>
    <xf numFmtId="0" fontId="13" fillId="36" borderId="26" xfId="0" applyFont="1" applyFill="1" applyBorder="1" applyAlignment="1">
      <alignment horizontal="center" vertical="center"/>
    </xf>
    <xf numFmtId="0" fontId="1" fillId="0" borderId="26" xfId="0" applyFont="1" applyBorder="1" applyAlignment="1">
      <alignment horizontal="left" vertical="center"/>
    </xf>
    <xf numFmtId="3" fontId="1" fillId="0" borderId="26" xfId="0" applyNumberFormat="1" applyFont="1" applyBorder="1" applyAlignment="1">
      <alignment vertical="center"/>
    </xf>
    <xf numFmtId="3" fontId="1" fillId="0" borderId="26" xfId="0" applyNumberFormat="1" applyFont="1" applyBorder="1" applyAlignment="1">
      <alignment horizontal="right" vertical="center" wrapText="1"/>
    </xf>
    <xf numFmtId="0" fontId="1" fillId="0" borderId="26" xfId="0" applyFont="1" applyBorder="1" applyAlignment="1">
      <alignment horizontal="right"/>
    </xf>
    <xf numFmtId="0" fontId="1" fillId="0" borderId="26" xfId="0" applyFont="1" applyBorder="1" applyAlignment="1">
      <alignment horizontal="right" vertical="center" wrapText="1"/>
    </xf>
    <xf numFmtId="3" fontId="1" fillId="0" borderId="26" xfId="0" applyNumberFormat="1" applyFont="1" applyBorder="1" applyAlignment="1">
      <alignment horizontal="right"/>
    </xf>
    <xf numFmtId="3" fontId="6" fillId="0" borderId="26" xfId="0" applyNumberFormat="1" applyFont="1" applyBorder="1" applyAlignment="1">
      <alignment horizontal="right" vertical="center" wrapText="1"/>
    </xf>
    <xf numFmtId="0" fontId="1" fillId="0" borderId="26" xfId="0" applyFont="1" applyBorder="1" applyAlignment="1">
      <alignment horizontal="left" vertical="center" wrapText="1"/>
    </xf>
    <xf numFmtId="0" fontId="1" fillId="0" borderId="26" xfId="0" applyFont="1" applyBorder="1" applyAlignment="1">
      <alignment vertical="center" wrapText="1"/>
    </xf>
    <xf numFmtId="1" fontId="1" fillId="0" borderId="26" xfId="0" applyNumberFormat="1" applyFont="1" applyBorder="1" applyAlignment="1">
      <alignment horizontal="right" vertical="center" wrapText="1"/>
    </xf>
    <xf numFmtId="3" fontId="6" fillId="0" borderId="26" xfId="0" applyNumberFormat="1" applyFont="1" applyBorder="1" applyAlignment="1">
      <alignment vertical="center"/>
    </xf>
    <xf numFmtId="3" fontId="6" fillId="0" borderId="26" xfId="0" applyNumberFormat="1" applyFont="1" applyBorder="1" applyAlignment="1">
      <alignment horizontal="right" vertical="center"/>
    </xf>
    <xf numFmtId="0" fontId="6" fillId="0" borderId="26" xfId="0" applyFont="1" applyBorder="1" applyAlignment="1">
      <alignment horizontal="left" vertical="center"/>
    </xf>
    <xf numFmtId="0" fontId="6" fillId="0" borderId="26" xfId="0" applyFont="1" applyBorder="1" applyAlignment="1">
      <alignment vertical="center"/>
    </xf>
    <xf numFmtId="0" fontId="6" fillId="0" borderId="26" xfId="0" applyFont="1" applyBorder="1" applyAlignment="1">
      <alignment horizontal="right" vertical="center"/>
    </xf>
    <xf numFmtId="1" fontId="6" fillId="0" borderId="26" xfId="0" applyNumberFormat="1" applyFont="1" applyBorder="1" applyAlignment="1">
      <alignment horizontal="right" vertical="center"/>
    </xf>
    <xf numFmtId="0" fontId="6" fillId="0" borderId="26" xfId="0" applyFont="1" applyBorder="1" applyAlignment="1">
      <alignment horizontal="left" vertical="top" wrapText="1"/>
    </xf>
    <xf numFmtId="3" fontId="6" fillId="0" borderId="26" xfId="0" applyNumberFormat="1" applyFont="1" applyBorder="1" applyAlignment="1">
      <alignment horizontal="right" vertical="top" wrapText="1"/>
    </xf>
    <xf numFmtId="3" fontId="1" fillId="0" borderId="26" xfId="0" applyNumberFormat="1" applyFont="1" applyBorder="1" applyAlignment="1">
      <alignment horizontal="right" vertical="center"/>
    </xf>
    <xf numFmtId="0" fontId="6" fillId="0" borderId="26" xfId="0" applyFont="1" applyBorder="1" applyAlignment="1">
      <alignment horizontal="right" vertical="top" wrapText="1"/>
    </xf>
    <xf numFmtId="0" fontId="1" fillId="0" borderId="26" xfId="0" applyFont="1" applyBorder="1" applyAlignment="1">
      <alignment horizontal="right" vertical="center"/>
    </xf>
    <xf numFmtId="0" fontId="1" fillId="0" borderId="26" xfId="0" applyFont="1" applyBorder="1" applyAlignment="1">
      <alignment horizontal="left" wrapText="1"/>
    </xf>
    <xf numFmtId="175" fontId="1" fillId="0" borderId="26" xfId="0" applyNumberFormat="1" applyFont="1" applyBorder="1" applyAlignment="1">
      <alignment vertical="center"/>
    </xf>
    <xf numFmtId="2" fontId="1" fillId="0" borderId="26" xfId="0" applyNumberFormat="1" applyFont="1" applyBorder="1" applyAlignment="1">
      <alignment horizontal="right" vertical="center" wrapText="1"/>
    </xf>
    <xf numFmtId="0" fontId="6" fillId="0" borderId="26" xfId="0" applyFont="1" applyBorder="1" applyAlignment="1">
      <alignment horizontal="left" vertical="center" wrapText="1"/>
    </xf>
    <xf numFmtId="4" fontId="1" fillId="0" borderId="26" xfId="0" applyNumberFormat="1" applyFont="1" applyBorder="1" applyAlignment="1">
      <alignment horizontal="right" vertical="center" wrapText="1"/>
    </xf>
    <xf numFmtId="2" fontId="1" fillId="0" borderId="26" xfId="0" applyNumberFormat="1" applyFont="1" applyBorder="1" applyAlignment="1">
      <alignment vertical="center" wrapText="1"/>
    </xf>
    <xf numFmtId="4" fontId="1" fillId="0" borderId="26" xfId="0" applyNumberFormat="1" applyFont="1" applyBorder="1" applyAlignment="1">
      <alignment horizontal="right" vertical="center"/>
    </xf>
    <xf numFmtId="0" fontId="4" fillId="0" borderId="26" xfId="0" applyFont="1" applyBorder="1" applyAlignment="1">
      <alignment horizontal="left" vertical="center" wrapText="1"/>
    </xf>
    <xf numFmtId="2" fontId="4" fillId="0" borderId="26" xfId="0" applyNumberFormat="1" applyFont="1" applyBorder="1" applyAlignment="1">
      <alignment vertical="center" wrapText="1"/>
    </xf>
    <xf numFmtId="0" fontId="4" fillId="0" borderId="26" xfId="0" applyFont="1" applyBorder="1" applyAlignment="1">
      <alignment vertical="center" wrapText="1"/>
    </xf>
    <xf numFmtId="0" fontId="4" fillId="0" borderId="26" xfId="0" applyFont="1" applyBorder="1" applyAlignment="1">
      <alignment horizontal="right" vertical="center"/>
    </xf>
    <xf numFmtId="0" fontId="1" fillId="28" borderId="26" xfId="0" applyFont="1" applyFill="1" applyBorder="1" applyAlignment="1">
      <alignment vertical="center" wrapText="1"/>
    </xf>
    <xf numFmtId="0" fontId="1" fillId="3" borderId="26" xfId="0" applyFont="1" applyFill="1" applyBorder="1" applyAlignment="1">
      <alignment horizontal="right" vertical="center" wrapText="1"/>
    </xf>
    <xf numFmtId="0" fontId="4" fillId="3" borderId="26" xfId="0" applyFont="1" applyFill="1" applyBorder="1" applyAlignment="1">
      <alignment horizontal="right" vertical="center" wrapText="1"/>
    </xf>
    <xf numFmtId="3" fontId="1" fillId="3" borderId="26" xfId="0" applyNumberFormat="1" applyFont="1" applyFill="1" applyBorder="1" applyAlignment="1">
      <alignment horizontal="right" vertical="center" wrapText="1"/>
    </xf>
    <xf numFmtId="3" fontId="4" fillId="3" borderId="26" xfId="0" applyNumberFormat="1" applyFont="1" applyFill="1" applyBorder="1" applyAlignment="1">
      <alignment horizontal="right" vertical="center" wrapText="1"/>
    </xf>
    <xf numFmtId="0" fontId="3" fillId="0" borderId="26" xfId="0" applyFont="1" applyBorder="1"/>
    <xf numFmtId="0" fontId="1" fillId="0" borderId="26" xfId="0" applyFont="1" applyBorder="1"/>
    <xf numFmtId="0" fontId="0" fillId="0" borderId="26" xfId="0" applyBorder="1"/>
    <xf numFmtId="0" fontId="13" fillId="34" borderId="26" xfId="230" applyFont="1" applyFill="1" applyBorder="1" applyAlignment="1">
      <alignment horizontal="left" vertical="center" wrapText="1"/>
    </xf>
    <xf numFmtId="0" fontId="13" fillId="34" borderId="26" xfId="230" applyFont="1" applyFill="1" applyBorder="1" applyAlignment="1">
      <alignment horizontal="center" vertical="center" wrapText="1"/>
    </xf>
    <xf numFmtId="0" fontId="1" fillId="28" borderId="26" xfId="229" applyFont="1" applyFill="1" applyBorder="1" applyAlignment="1">
      <alignment horizontal="left" vertical="center" wrapText="1"/>
    </xf>
    <xf numFmtId="0" fontId="1" fillId="28" borderId="26" xfId="229" applyNumberFormat="1" applyFont="1" applyFill="1" applyBorder="1" applyAlignment="1">
      <alignment horizontal="left" vertical="center" wrapText="1"/>
    </xf>
    <xf numFmtId="0" fontId="6" fillId="30" borderId="26" xfId="0" applyFont="1" applyFill="1" applyBorder="1" applyAlignment="1">
      <alignment horizontal="left" vertical="center" wrapText="1"/>
    </xf>
    <xf numFmtId="0" fontId="6" fillId="0" borderId="26" xfId="0" applyFont="1" applyBorder="1" applyAlignment="1">
      <alignment horizontal="center" vertical="center" wrapText="1"/>
    </xf>
    <xf numFmtId="180" fontId="6" fillId="0" borderId="26" xfId="0" applyNumberFormat="1" applyFont="1" applyBorder="1" applyAlignment="1">
      <alignment vertical="center" wrapText="1"/>
    </xf>
    <xf numFmtId="180" fontId="6" fillId="30" borderId="26" xfId="0" applyNumberFormat="1" applyFont="1" applyFill="1" applyBorder="1" applyAlignment="1">
      <alignment horizontal="right" vertical="center" wrapText="1"/>
    </xf>
    <xf numFmtId="177" fontId="6" fillId="30" borderId="26" xfId="0" applyNumberFormat="1" applyFont="1" applyFill="1" applyBorder="1" applyAlignment="1">
      <alignment vertical="center" wrapText="1"/>
    </xf>
    <xf numFmtId="180" fontId="6" fillId="0" borderId="26" xfId="0" applyNumberFormat="1" applyFont="1" applyBorder="1" applyAlignment="1">
      <alignment horizontal="right" vertical="center" wrapText="1"/>
    </xf>
    <xf numFmtId="176" fontId="6" fillId="0" borderId="26" xfId="0" applyNumberFormat="1" applyFont="1" applyBorder="1" applyAlignment="1">
      <alignment horizontal="right" vertical="center" wrapText="1"/>
    </xf>
    <xf numFmtId="176" fontId="6" fillId="30" borderId="26" xfId="0" applyNumberFormat="1" applyFont="1" applyFill="1" applyBorder="1" applyAlignment="1">
      <alignment horizontal="right" vertical="center" wrapText="1"/>
    </xf>
    <xf numFmtId="180" fontId="6" fillId="30" borderId="26" xfId="0" applyNumberFormat="1" applyFont="1" applyFill="1" applyBorder="1" applyAlignment="1">
      <alignment vertical="center" wrapText="1"/>
    </xf>
    <xf numFmtId="174" fontId="6" fillId="30" borderId="26" xfId="0" applyNumberFormat="1" applyFont="1" applyFill="1" applyBorder="1" applyAlignment="1">
      <alignment vertical="center" wrapText="1"/>
    </xf>
    <xf numFmtId="176" fontId="6" fillId="30" borderId="26" xfId="0" applyNumberFormat="1" applyFont="1" applyFill="1" applyBorder="1" applyAlignment="1">
      <alignment vertical="center" wrapText="1"/>
    </xf>
    <xf numFmtId="0" fontId="28" fillId="0" borderId="26" xfId="0" applyFont="1" applyBorder="1" applyAlignment="1">
      <alignment horizontal="right" vertical="center" wrapText="1"/>
    </xf>
    <xf numFmtId="179" fontId="6" fillId="0" borderId="26" xfId="0" applyNumberFormat="1" applyFont="1" applyBorder="1" applyAlignment="1">
      <alignment vertical="center" wrapText="1"/>
    </xf>
    <xf numFmtId="176" fontId="57" fillId="0" borderId="26" xfId="0" applyNumberFormat="1" applyFont="1" applyBorder="1"/>
    <xf numFmtId="176" fontId="64" fillId="0" borderId="26" xfId="0" applyNumberFormat="1" applyFont="1" applyBorder="1"/>
    <xf numFmtId="0" fontId="6" fillId="30" borderId="26" xfId="0" applyFont="1" applyFill="1" applyBorder="1"/>
    <xf numFmtId="1" fontId="6" fillId="30" borderId="26" xfId="0" applyNumberFormat="1" applyFont="1" applyFill="1" applyBorder="1"/>
    <xf numFmtId="3" fontId="6" fillId="30" borderId="26" xfId="0" applyNumberFormat="1" applyFont="1" applyFill="1" applyBorder="1" applyAlignment="1">
      <alignment horizontal="right" vertical="center" wrapText="1"/>
    </xf>
    <xf numFmtId="1" fontId="6" fillId="30" borderId="26" xfId="0" applyNumberFormat="1" applyFont="1" applyFill="1" applyBorder="1" applyAlignment="1">
      <alignment horizontal="right" vertical="center" wrapText="1"/>
    </xf>
    <xf numFmtId="3" fontId="6" fillId="30" borderId="26" xfId="0" applyNumberFormat="1" applyFont="1" applyFill="1" applyBorder="1" applyAlignment="1">
      <alignment vertical="center" wrapText="1"/>
    </xf>
    <xf numFmtId="1" fontId="6" fillId="30" borderId="26" xfId="0" applyNumberFormat="1" applyFont="1" applyFill="1" applyBorder="1" applyAlignment="1">
      <alignment vertical="center" wrapText="1"/>
    </xf>
    <xf numFmtId="0" fontId="64" fillId="0" borderId="26" xfId="0" applyFont="1" applyBorder="1" applyAlignment="1">
      <alignment horizontal="right"/>
    </xf>
    <xf numFmtId="2" fontId="6" fillId="0" borderId="26" xfId="0" applyNumberFormat="1" applyFont="1" applyBorder="1" applyAlignment="1">
      <alignment vertical="center" wrapText="1"/>
    </xf>
    <xf numFmtId="2" fontId="6" fillId="0" borderId="26" xfId="0" applyNumberFormat="1" applyFont="1" applyBorder="1" applyAlignment="1">
      <alignment horizontal="right" vertical="center" wrapText="1"/>
    </xf>
    <xf numFmtId="1" fontId="6" fillId="0" borderId="26" xfId="0" applyNumberFormat="1" applyFont="1" applyBorder="1" applyAlignment="1">
      <alignment horizontal="right" vertical="center" wrapText="1"/>
    </xf>
    <xf numFmtId="3" fontId="4" fillId="0" borderId="26" xfId="0" applyNumberFormat="1" applyFont="1" applyBorder="1" applyAlignment="1">
      <alignment horizontal="right" vertical="center" wrapText="1"/>
    </xf>
    <xf numFmtId="3" fontId="6" fillId="0" borderId="26" xfId="0" applyNumberFormat="1" applyFont="1" applyBorder="1" applyAlignment="1">
      <alignmen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0" fontId="77" fillId="0" borderId="0" xfId="0" applyFont="1" applyAlignment="1">
      <alignment horizontal="left"/>
    </xf>
    <xf numFmtId="0" fontId="1" fillId="0" borderId="30" xfId="0" applyFont="1" applyBorder="1" applyAlignment="1">
      <alignment horizontal="left" vertical="center" wrapText="1"/>
    </xf>
    <xf numFmtId="0" fontId="1" fillId="0" borderId="0" xfId="0" applyFont="1" applyAlignment="1">
      <alignment horizontal="left" vertical="center" wrapText="1"/>
    </xf>
    <xf numFmtId="0" fontId="1" fillId="0" borderId="31" xfId="0" applyFont="1" applyBorder="1" applyAlignment="1">
      <alignment horizontal="left" vertical="center" wrapText="1"/>
    </xf>
    <xf numFmtId="0" fontId="1" fillId="0" borderId="31" xfId="0" applyFont="1" applyBorder="1" applyAlignment="1">
      <alignment horizontal="left" vertical="center"/>
    </xf>
    <xf numFmtId="0" fontId="6" fillId="28" borderId="30" xfId="0" applyFont="1" applyFill="1" applyBorder="1" applyAlignment="1">
      <alignment vertical="center" wrapText="1"/>
    </xf>
    <xf numFmtId="0" fontId="6" fillId="30" borderId="30" xfId="0" applyFont="1" applyFill="1" applyBorder="1" applyAlignment="1">
      <alignment horizontal="left" vertical="center" wrapText="1"/>
    </xf>
    <xf numFmtId="0" fontId="6" fillId="0" borderId="26" xfId="0" applyFont="1" applyBorder="1" applyAlignment="1">
      <alignment horizontal="left" wrapText="1"/>
    </xf>
    <xf numFmtId="3" fontId="6" fillId="0" borderId="26" xfId="0" applyNumberFormat="1" applyFont="1" applyBorder="1" applyAlignment="1">
      <alignment horizontal="right" wrapText="1"/>
    </xf>
    <xf numFmtId="3" fontId="6" fillId="0" borderId="26" xfId="0" applyNumberFormat="1" applyFont="1" applyBorder="1" applyAlignment="1">
      <alignment wrapText="1"/>
    </xf>
    <xf numFmtId="3" fontId="6" fillId="3" borderId="26" xfId="0" applyNumberFormat="1" applyFont="1" applyFill="1" applyBorder="1" applyAlignment="1">
      <alignment horizontal="right"/>
    </xf>
    <xf numFmtId="3" fontId="6" fillId="3" borderId="26" xfId="0" applyNumberFormat="1" applyFont="1" applyFill="1" applyBorder="1" applyAlignment="1">
      <alignment horizontal="right" vertical="center"/>
    </xf>
    <xf numFmtId="3" fontId="6" fillId="0" borderId="26" xfId="0" applyNumberFormat="1" applyFont="1" applyBorder="1" applyAlignment="1">
      <alignment horizontal="right"/>
    </xf>
    <xf numFmtId="3" fontId="1" fillId="0" borderId="26" xfId="0" applyNumberFormat="1" applyFont="1" applyBorder="1"/>
    <xf numFmtId="3" fontId="3" fillId="0" borderId="26" xfId="0" applyNumberFormat="1" applyFont="1" applyBorder="1"/>
    <xf numFmtId="0" fontId="1" fillId="0" borderId="26" xfId="0" applyFont="1" applyBorder="1" applyAlignment="1">
      <alignment horizontal="center" vertical="center" wrapText="1"/>
    </xf>
    <xf numFmtId="0" fontId="6" fillId="0" borderId="26" xfId="0" applyFont="1" applyBorder="1" applyAlignment="1">
      <alignment horizontal="right"/>
    </xf>
    <xf numFmtId="0" fontId="52" fillId="0" borderId="26" xfId="0" applyFont="1" applyBorder="1" applyAlignment="1">
      <alignment vertical="center" wrapText="1"/>
    </xf>
    <xf numFmtId="0" fontId="52" fillId="0" borderId="26" xfId="0" applyFont="1" applyBorder="1" applyAlignment="1">
      <alignment vertical="center"/>
    </xf>
    <xf numFmtId="0" fontId="6" fillId="0" borderId="26" xfId="0" applyFont="1" applyBorder="1" applyAlignment="1">
      <alignment horizontal="left" indent="3"/>
    </xf>
    <xf numFmtId="9" fontId="6" fillId="0" borderId="26" xfId="0" applyNumberFormat="1" applyFont="1" applyBorder="1" applyAlignment="1">
      <alignment horizontal="right" vertical="center"/>
    </xf>
    <xf numFmtId="3" fontId="4" fillId="0" borderId="26" xfId="0" applyNumberFormat="1" applyFont="1" applyBorder="1" applyAlignment="1">
      <alignment horizontal="right" vertical="center"/>
    </xf>
    <xf numFmtId="9" fontId="4" fillId="0" borderId="26" xfId="0" applyNumberFormat="1" applyFont="1" applyBorder="1" applyAlignment="1">
      <alignment horizontal="right" vertical="center"/>
    </xf>
    <xf numFmtId="9" fontId="4" fillId="0" borderId="26" xfId="0" applyNumberFormat="1" applyFont="1" applyBorder="1"/>
    <xf numFmtId="0" fontId="6" fillId="0" borderId="26" xfId="0" applyFont="1" applyBorder="1" applyAlignment="1">
      <alignment horizontal="left" wrapText="1" indent="3"/>
    </xf>
    <xf numFmtId="0" fontId="1" fillId="0" borderId="26" xfId="0" applyFont="1" applyBorder="1" applyAlignment="1">
      <alignment wrapText="1"/>
    </xf>
    <xf numFmtId="0" fontId="109" fillId="34" borderId="26" xfId="0" applyFont="1" applyFill="1" applyBorder="1" applyAlignment="1">
      <alignment vertical="center" wrapText="1"/>
    </xf>
    <xf numFmtId="0" fontId="13" fillId="34" borderId="26" xfId="0" applyFont="1" applyFill="1" applyBorder="1" applyAlignment="1">
      <alignment horizontal="right"/>
    </xf>
    <xf numFmtId="0" fontId="13" fillId="34" borderId="28" xfId="0" applyFont="1" applyFill="1" applyBorder="1" applyAlignment="1">
      <alignment horizontal="center" vertical="center"/>
    </xf>
    <xf numFmtId="0" fontId="13" fillId="34" borderId="28" xfId="0" applyFont="1" applyFill="1" applyBorder="1" applyAlignment="1">
      <alignment horizontal="center"/>
    </xf>
    <xf numFmtId="3" fontId="4" fillId="0" borderId="28" xfId="0" applyNumberFormat="1" applyFont="1" applyBorder="1" applyAlignment="1">
      <alignment horizontal="right" vertical="center"/>
    </xf>
    <xf numFmtId="0" fontId="6" fillId="0" borderId="33" xfId="0" applyFont="1" applyBorder="1" applyAlignment="1">
      <alignment horizontal="left" indent="3"/>
    </xf>
    <xf numFmtId="0" fontId="3" fillId="29" borderId="29" xfId="0" applyFont="1" applyFill="1" applyBorder="1" applyAlignment="1">
      <alignment vertical="center"/>
    </xf>
    <xf numFmtId="0" fontId="3" fillId="0" borderId="38" xfId="0" applyFont="1" applyBorder="1" applyAlignment="1">
      <alignment vertical="center"/>
    </xf>
    <xf numFmtId="0" fontId="1" fillId="0" borderId="40" xfId="0" applyFont="1" applyBorder="1" applyAlignment="1">
      <alignment horizontal="left" vertical="center" wrapText="1"/>
    </xf>
    <xf numFmtId="0" fontId="1" fillId="0" borderId="20" xfId="0" applyFont="1" applyBorder="1" applyAlignment="1">
      <alignment horizontal="left" vertical="center"/>
    </xf>
    <xf numFmtId="0" fontId="1" fillId="0" borderId="20" xfId="0" applyFont="1" applyBorder="1" applyAlignment="1">
      <alignment horizontal="left" vertical="center" wrapText="1"/>
    </xf>
    <xf numFmtId="0" fontId="4" fillId="0" borderId="26" xfId="0" applyFont="1" applyBorder="1" applyAlignment="1">
      <alignment vertical="center"/>
    </xf>
    <xf numFmtId="0" fontId="77" fillId="34" borderId="42" xfId="0" applyFont="1" applyFill="1" applyBorder="1" applyAlignment="1">
      <alignment horizontal="left" vertical="center"/>
    </xf>
    <xf numFmtId="0" fontId="77" fillId="34" borderId="42" xfId="0" applyFont="1" applyFill="1" applyBorder="1" applyAlignment="1">
      <alignment horizontal="left" vertical="center" wrapText="1"/>
    </xf>
    <xf numFmtId="0" fontId="6" fillId="0" borderId="40" xfId="0" applyFont="1" applyBorder="1" applyAlignment="1">
      <alignment horizontal="left" vertical="center" wrapText="1"/>
    </xf>
    <xf numFmtId="0" fontId="6" fillId="0" borderId="20" xfId="0" applyFont="1" applyBorder="1" applyAlignment="1">
      <alignment horizontal="left" vertical="center" wrapText="1"/>
    </xf>
    <xf numFmtId="0" fontId="4" fillId="0" borderId="30" xfId="0" applyFont="1" applyBorder="1" applyAlignment="1">
      <alignment vertical="center"/>
    </xf>
    <xf numFmtId="0" fontId="77" fillId="34" borderId="0" xfId="0" applyFont="1" applyFill="1" applyAlignment="1">
      <alignment horizontal="left" vertical="center"/>
    </xf>
    <xf numFmtId="0" fontId="77" fillId="34" borderId="0" xfId="0" applyFont="1" applyFill="1" applyAlignment="1">
      <alignment horizontal="left" vertical="center" wrapText="1"/>
    </xf>
    <xf numFmtId="2" fontId="4" fillId="0" borderId="26" xfId="0" applyNumberFormat="1" applyFont="1" applyBorder="1" applyAlignment="1">
      <alignment horizontal="right" vertical="center" wrapText="1"/>
    </xf>
    <xf numFmtId="0" fontId="7" fillId="0" borderId="26" xfId="0" applyFont="1" applyBorder="1" applyAlignment="1">
      <alignment vertical="center" wrapText="1"/>
    </xf>
    <xf numFmtId="0" fontId="4" fillId="0" borderId="26" xfId="0" applyFont="1" applyBorder="1"/>
    <xf numFmtId="1" fontId="4" fillId="0" borderId="26" xfId="0" applyNumberFormat="1" applyFont="1" applyBorder="1"/>
    <xf numFmtId="0" fontId="4" fillId="0" borderId="26" xfId="0" applyFont="1" applyBorder="1" applyAlignment="1">
      <alignment wrapText="1"/>
    </xf>
    <xf numFmtId="0" fontId="4" fillId="0" borderId="26" xfId="0" applyFont="1" applyBorder="1" applyAlignment="1">
      <alignment horizontal="right"/>
    </xf>
    <xf numFmtId="2" fontId="4" fillId="0" borderId="26" xfId="0" applyNumberFormat="1" applyFont="1" applyBorder="1"/>
    <xf numFmtId="0" fontId="6" fillId="0" borderId="26" xfId="0" applyFont="1" applyBorder="1"/>
    <xf numFmtId="2" fontId="6" fillId="0" borderId="26" xfId="0" applyNumberFormat="1" applyFont="1" applyBorder="1" applyAlignment="1">
      <alignment vertical="center"/>
    </xf>
    <xf numFmtId="2" fontId="6" fillId="0" borderId="26" xfId="0" applyNumberFormat="1" applyFont="1" applyBorder="1"/>
    <xf numFmtId="0" fontId="6" fillId="0" borderId="26" xfId="0" applyFont="1" applyBorder="1" applyAlignment="1">
      <alignment wrapText="1"/>
    </xf>
    <xf numFmtId="2" fontId="6" fillId="0" borderId="26" xfId="0" applyNumberFormat="1" applyFont="1" applyBorder="1" applyAlignment="1">
      <alignment horizontal="right" vertical="center"/>
    </xf>
    <xf numFmtId="0" fontId="13" fillId="36" borderId="26" xfId="0" applyFont="1" applyFill="1" applyBorder="1" applyAlignment="1">
      <alignment vertical="center" wrapText="1"/>
    </xf>
    <xf numFmtId="0" fontId="109" fillId="36" borderId="26" xfId="0" applyFont="1" applyFill="1" applyBorder="1" applyAlignment="1">
      <alignment horizontal="left"/>
    </xf>
    <xf numFmtId="0" fontId="13" fillId="36" borderId="26" xfId="0" applyFont="1" applyFill="1" applyBorder="1"/>
    <xf numFmtId="1" fontId="13" fillId="36" borderId="26" xfId="0" applyNumberFormat="1" applyFont="1" applyFill="1" applyBorder="1"/>
    <xf numFmtId="0" fontId="28" fillId="29" borderId="26" xfId="0" applyFont="1" applyFill="1" applyBorder="1" applyAlignment="1">
      <alignment horizontal="right"/>
    </xf>
    <xf numFmtId="0" fontId="28" fillId="0" borderId="26" xfId="0" applyFont="1" applyBorder="1"/>
    <xf numFmtId="0" fontId="6" fillId="0" borderId="26" xfId="0" applyFont="1" applyBorder="1" applyAlignment="1">
      <alignment horizontal="left"/>
    </xf>
    <xf numFmtId="3" fontId="6" fillId="0" borderId="26" xfId="0" applyNumberFormat="1" applyFont="1" applyBorder="1"/>
    <xf numFmtId="0" fontId="28" fillId="29" borderId="26" xfId="0" applyFont="1" applyFill="1" applyBorder="1"/>
    <xf numFmtId="3" fontId="7" fillId="29" borderId="26" xfId="0" applyNumberFormat="1" applyFont="1" applyFill="1" applyBorder="1" applyAlignment="1">
      <alignment horizontal="right" vertical="center"/>
    </xf>
    <xf numFmtId="3" fontId="4" fillId="28" borderId="26" xfId="0" applyNumberFormat="1" applyFont="1" applyFill="1" applyBorder="1" applyAlignment="1">
      <alignment vertical="center"/>
    </xf>
    <xf numFmtId="3" fontId="4" fillId="28" borderId="26" xfId="0" applyNumberFormat="1" applyFont="1" applyFill="1" applyBorder="1" applyAlignment="1">
      <alignment horizontal="right" vertical="center"/>
    </xf>
    <xf numFmtId="0" fontId="7" fillId="29" borderId="26" xfId="0" applyFont="1" applyFill="1" applyBorder="1" applyAlignment="1">
      <alignment horizontal="right" vertical="center"/>
    </xf>
    <xf numFmtId="3" fontId="4" fillId="0" borderId="26" xfId="0" applyNumberFormat="1" applyFont="1" applyBorder="1" applyAlignment="1">
      <alignment vertical="center"/>
    </xf>
    <xf numFmtId="0" fontId="89" fillId="0" borderId="26" xfId="0" applyFont="1" applyBorder="1"/>
    <xf numFmtId="181" fontId="6" fillId="0" borderId="26" xfId="0" applyNumberFormat="1" applyFont="1" applyBorder="1"/>
    <xf numFmtId="181" fontId="6" fillId="0" borderId="26" xfId="0" applyNumberFormat="1" applyFont="1" applyBorder="1" applyAlignment="1">
      <alignment horizontal="right"/>
    </xf>
    <xf numFmtId="181" fontId="6" fillId="0" borderId="26" xfId="227" applyNumberFormat="1" applyFont="1" applyFill="1" applyBorder="1" applyProtection="1"/>
    <xf numFmtId="9" fontId="6" fillId="0" borderId="26" xfId="227" applyFont="1" applyFill="1" applyBorder="1" applyProtection="1"/>
    <xf numFmtId="9" fontId="1" fillId="0" borderId="26" xfId="227" applyFont="1" applyFill="1" applyBorder="1" applyProtection="1"/>
    <xf numFmtId="9" fontId="6" fillId="0" borderId="26" xfId="0" applyNumberFormat="1" applyFont="1" applyBorder="1"/>
    <xf numFmtId="9" fontId="1" fillId="0" borderId="26" xfId="0" applyNumberFormat="1" applyFont="1" applyBorder="1"/>
    <xf numFmtId="181" fontId="4" fillId="0" borderId="26" xfId="0" applyNumberFormat="1" applyFont="1" applyBorder="1" applyAlignment="1">
      <alignment vertical="center" wrapText="1"/>
    </xf>
    <xf numFmtId="181" fontId="6" fillId="0" borderId="26" xfId="0" applyNumberFormat="1" applyFont="1" applyBorder="1" applyAlignment="1">
      <alignment horizontal="right" vertical="center" wrapText="1"/>
    </xf>
    <xf numFmtId="9" fontId="6" fillId="0" borderId="26" xfId="0" applyNumberFormat="1" applyFont="1" applyBorder="1" applyAlignment="1">
      <alignment horizontal="right" vertical="center" wrapText="1"/>
    </xf>
    <xf numFmtId="9" fontId="1" fillId="0" borderId="26" xfId="0" applyNumberFormat="1" applyFont="1" applyBorder="1" applyAlignment="1">
      <alignment horizontal="right" vertical="center" wrapText="1"/>
    </xf>
    <xf numFmtId="9" fontId="4" fillId="0" borderId="26" xfId="0" applyNumberFormat="1" applyFont="1" applyBorder="1" applyAlignment="1">
      <alignment horizontal="right" vertical="center" wrapText="1"/>
    </xf>
    <xf numFmtId="10" fontId="4" fillId="0" borderId="26" xfId="0" applyNumberFormat="1" applyFont="1" applyBorder="1" applyAlignment="1">
      <alignment horizontal="right" vertical="center" wrapText="1"/>
    </xf>
    <xf numFmtId="165" fontId="6" fillId="0" borderId="26" xfId="0" applyNumberFormat="1" applyFont="1" applyBorder="1" applyAlignment="1">
      <alignment horizontal="right" vertical="center" wrapText="1"/>
    </xf>
    <xf numFmtId="165" fontId="6" fillId="0" borderId="26" xfId="0" applyNumberFormat="1" applyFont="1" applyBorder="1" applyAlignment="1">
      <alignment vertical="center"/>
    </xf>
    <xf numFmtId="0" fontId="4" fillId="3" borderId="26" xfId="0" applyFont="1" applyFill="1" applyBorder="1" applyAlignment="1">
      <alignment horizontal="left" vertical="center" wrapText="1"/>
    </xf>
    <xf numFmtId="1" fontId="4" fillId="3" borderId="26" xfId="227" applyNumberFormat="1" applyFont="1" applyFill="1" applyBorder="1" applyAlignment="1">
      <alignment horizontal="right" vertical="center" wrapText="1"/>
    </xf>
    <xf numFmtId="9" fontId="4" fillId="3" borderId="26" xfId="227" applyFont="1" applyFill="1" applyBorder="1" applyAlignment="1">
      <alignment horizontal="right" vertical="center" wrapText="1"/>
    </xf>
    <xf numFmtId="9" fontId="4" fillId="0" borderId="26" xfId="227" applyFont="1" applyFill="1" applyBorder="1" applyAlignment="1">
      <alignment horizontal="right" vertical="center" wrapText="1"/>
    </xf>
    <xf numFmtId="0" fontId="4" fillId="28" borderId="26" xfId="0" applyFont="1" applyFill="1" applyBorder="1" applyAlignment="1">
      <alignment horizontal="right" vertical="center" wrapText="1"/>
    </xf>
    <xf numFmtId="9" fontId="4" fillId="28" borderId="26" xfId="227" applyFont="1" applyFill="1" applyBorder="1" applyAlignment="1">
      <alignment horizontal="right" vertical="center" wrapText="1"/>
    </xf>
    <xf numFmtId="49" fontId="6" fillId="0" borderId="26" xfId="0" applyNumberFormat="1" applyFont="1" applyBorder="1" applyAlignment="1">
      <alignment horizontal="right" vertical="center" wrapText="1"/>
    </xf>
    <xf numFmtId="181" fontId="1" fillId="0" borderId="26" xfId="0" applyNumberFormat="1" applyFont="1" applyBorder="1" applyAlignment="1">
      <alignment horizontal="right" vertical="center" wrapText="1"/>
    </xf>
    <xf numFmtId="3" fontId="13" fillId="34" borderId="26" xfId="0" applyNumberFormat="1" applyFont="1" applyFill="1" applyBorder="1" applyAlignment="1">
      <alignment horizontal="right" vertical="center"/>
    </xf>
    <xf numFmtId="0" fontId="103" fillId="34" borderId="26" xfId="0" applyFont="1" applyFill="1" applyBorder="1" applyAlignment="1">
      <alignment horizontal="right"/>
    </xf>
    <xf numFmtId="3" fontId="28" fillId="29" borderId="26" xfId="0" applyNumberFormat="1" applyFont="1" applyFill="1" applyBorder="1"/>
    <xf numFmtId="0" fontId="13" fillId="34" borderId="30" xfId="0" applyFont="1" applyFill="1" applyBorder="1" applyAlignment="1">
      <alignment vertical="center"/>
    </xf>
    <xf numFmtId="0" fontId="9" fillId="34" borderId="26" xfId="0" applyFont="1" applyFill="1" applyBorder="1"/>
    <xf numFmtId="0" fontId="103" fillId="34" borderId="26" xfId="0" applyFont="1" applyFill="1" applyBorder="1"/>
    <xf numFmtId="0" fontId="13" fillId="34" borderId="26" xfId="0" applyFont="1" applyFill="1" applyBorder="1" applyAlignment="1">
      <alignment horizontal="left" wrapText="1"/>
    </xf>
    <xf numFmtId="3" fontId="28" fillId="29" borderId="26" xfId="0" applyNumberFormat="1" applyFont="1" applyFill="1" applyBorder="1" applyAlignment="1">
      <alignment horizontal="right" vertical="center"/>
    </xf>
    <xf numFmtId="3" fontId="3" fillId="29" borderId="26" xfId="0" applyNumberFormat="1" applyFont="1" applyFill="1" applyBorder="1"/>
    <xf numFmtId="3" fontId="28" fillId="29" borderId="26" xfId="0" applyNumberFormat="1" applyFont="1" applyFill="1" applyBorder="1" applyAlignment="1">
      <alignment horizontal="right"/>
    </xf>
    <xf numFmtId="3" fontId="28" fillId="29" borderId="26" xfId="0" applyNumberFormat="1" applyFont="1" applyFill="1" applyBorder="1" applyAlignment="1">
      <alignment horizontal="right" vertical="center" wrapText="1"/>
    </xf>
    <xf numFmtId="3" fontId="3" fillId="29" borderId="26" xfId="0" applyNumberFormat="1" applyFont="1" applyFill="1" applyBorder="1" applyAlignment="1">
      <alignment horizontal="right" vertical="center" wrapText="1"/>
    </xf>
    <xf numFmtId="0" fontId="7" fillId="29" borderId="26" xfId="0" applyFont="1" applyFill="1" applyBorder="1" applyAlignment="1">
      <alignment horizontal="left" vertical="center" wrapText="1"/>
    </xf>
    <xf numFmtId="0" fontId="7" fillId="29" borderId="26" xfId="0" applyFont="1" applyFill="1" applyBorder="1" applyAlignment="1">
      <alignment vertical="center" wrapText="1"/>
    </xf>
    <xf numFmtId="1" fontId="7" fillId="29" borderId="26" xfId="0" applyNumberFormat="1" applyFont="1" applyFill="1" applyBorder="1" applyAlignment="1">
      <alignment vertical="center" wrapText="1"/>
    </xf>
    <xf numFmtId="9" fontId="7" fillId="29" borderId="26" xfId="0" applyNumberFormat="1" applyFont="1" applyFill="1" applyBorder="1" applyAlignment="1">
      <alignment vertical="center" wrapText="1"/>
    </xf>
    <xf numFmtId="0" fontId="7" fillId="29" borderId="26" xfId="0" applyFont="1" applyFill="1" applyBorder="1" applyAlignment="1">
      <alignment horizontal="right" vertical="center" wrapText="1"/>
    </xf>
    <xf numFmtId="2" fontId="7" fillId="29" borderId="26" xfId="0" applyNumberFormat="1" applyFont="1" applyFill="1" applyBorder="1" applyAlignment="1">
      <alignment horizontal="right" vertical="center" wrapText="1"/>
    </xf>
    <xf numFmtId="0" fontId="28" fillId="29" borderId="26" xfId="0" applyFont="1" applyFill="1" applyBorder="1" applyAlignment="1">
      <alignment horizontal="left" wrapText="1"/>
    </xf>
    <xf numFmtId="3" fontId="28" fillId="29" borderId="26" xfId="0" applyNumberFormat="1" applyFont="1" applyFill="1" applyBorder="1" applyAlignment="1">
      <alignment horizontal="right" wrapText="1"/>
    </xf>
    <xf numFmtId="3" fontId="3" fillId="29" borderId="26" xfId="0" applyNumberFormat="1" applyFont="1" applyFill="1" applyBorder="1" applyAlignment="1">
      <alignment horizontal="right"/>
    </xf>
    <xf numFmtId="0" fontId="3" fillId="29" borderId="26" xfId="0" applyFont="1" applyFill="1" applyBorder="1" applyAlignment="1">
      <alignment horizontal="left" vertical="center" wrapText="1"/>
    </xf>
    <xf numFmtId="0" fontId="53" fillId="29" borderId="26" xfId="0" applyFont="1" applyFill="1" applyBorder="1" applyAlignment="1">
      <alignment horizontal="right" vertical="center"/>
    </xf>
    <xf numFmtId="3" fontId="7" fillId="29" borderId="26" xfId="0" applyNumberFormat="1" applyFont="1" applyFill="1" applyBorder="1" applyAlignment="1">
      <alignment horizontal="right" vertical="center" wrapText="1"/>
    </xf>
    <xf numFmtId="3" fontId="3" fillId="29" borderId="26" xfId="0" applyNumberFormat="1" applyFont="1" applyFill="1" applyBorder="1" applyAlignment="1">
      <alignment horizontal="right" vertical="center"/>
    </xf>
    <xf numFmtId="0" fontId="28" fillId="29" borderId="26" xfId="0" applyFont="1" applyFill="1" applyBorder="1" applyAlignment="1">
      <alignment horizontal="left" vertical="center"/>
    </xf>
    <xf numFmtId="169" fontId="28" fillId="29" borderId="26" xfId="2" applyNumberFormat="1" applyFont="1" applyFill="1" applyBorder="1" applyAlignment="1">
      <alignment horizontal="right" vertical="center" wrapText="1"/>
    </xf>
    <xf numFmtId="0" fontId="28" fillId="32" borderId="26" xfId="0" applyFont="1" applyFill="1" applyBorder="1" applyAlignment="1">
      <alignment horizontal="right" vertical="center" wrapText="1"/>
    </xf>
    <xf numFmtId="179" fontId="28" fillId="29" borderId="26" xfId="0" applyNumberFormat="1" applyFont="1" applyFill="1" applyBorder="1" applyAlignment="1">
      <alignment vertical="center" wrapText="1"/>
    </xf>
    <xf numFmtId="176" fontId="28" fillId="32" borderId="26" xfId="0" applyNumberFormat="1" applyFont="1" applyFill="1" applyBorder="1" applyAlignment="1">
      <alignment vertical="center" wrapText="1"/>
    </xf>
    <xf numFmtId="0" fontId="28" fillId="32" borderId="26" xfId="0" applyFont="1" applyFill="1" applyBorder="1" applyAlignment="1">
      <alignment horizontal="right" wrapText="1"/>
    </xf>
    <xf numFmtId="176" fontId="28" fillId="32" borderId="26" xfId="0" applyNumberFormat="1" applyFont="1" applyFill="1" applyBorder="1" applyAlignment="1">
      <alignment horizontal="right" wrapText="1"/>
    </xf>
    <xf numFmtId="180" fontId="28" fillId="29" borderId="26" xfId="0" applyNumberFormat="1" applyFont="1" applyFill="1" applyBorder="1" applyAlignment="1">
      <alignment vertical="center" wrapText="1"/>
    </xf>
    <xf numFmtId="177" fontId="28" fillId="32" borderId="26" xfId="0" applyNumberFormat="1" applyFont="1" applyFill="1" applyBorder="1" applyAlignment="1">
      <alignment vertical="center" wrapText="1"/>
    </xf>
    <xf numFmtId="0" fontId="23" fillId="0" borderId="26" xfId="0" applyFont="1" applyBorder="1" applyAlignment="1">
      <alignment vertical="top" wrapText="1" readingOrder="1"/>
    </xf>
    <xf numFmtId="0" fontId="13" fillId="34" borderId="28" xfId="0" applyFont="1" applyFill="1" applyBorder="1" applyAlignment="1">
      <alignment horizontal="right" vertical="center" wrapText="1"/>
    </xf>
    <xf numFmtId="0" fontId="13" fillId="34" borderId="28" xfId="0" applyFont="1" applyFill="1" applyBorder="1" applyAlignment="1">
      <alignment vertical="center" wrapText="1"/>
    </xf>
    <xf numFmtId="165" fontId="6" fillId="0" borderId="26" xfId="0" applyNumberFormat="1" applyFont="1" applyBorder="1" applyAlignment="1">
      <alignment vertical="center" wrapText="1"/>
    </xf>
    <xf numFmtId="165" fontId="1" fillId="0" borderId="26" xfId="0" applyNumberFormat="1" applyFont="1" applyBorder="1"/>
    <xf numFmtId="9" fontId="6" fillId="0" borderId="26" xfId="0" applyNumberFormat="1" applyFont="1" applyBorder="1" applyAlignment="1">
      <alignment vertical="center" wrapText="1"/>
    </xf>
    <xf numFmtId="9" fontId="1" fillId="0" borderId="26" xfId="0" applyNumberFormat="1" applyFont="1" applyBorder="1" applyAlignment="1">
      <alignment vertical="center"/>
    </xf>
    <xf numFmtId="9" fontId="1" fillId="0" borderId="26" xfId="0" applyNumberFormat="1" applyFont="1" applyBorder="1" applyAlignment="1">
      <alignment horizontal="right" vertical="center"/>
    </xf>
    <xf numFmtId="0" fontId="1" fillId="28" borderId="26" xfId="0" applyFont="1" applyFill="1" applyBorder="1" applyAlignment="1">
      <alignment horizontal="center" vertical="center" wrapText="1"/>
    </xf>
    <xf numFmtId="0" fontId="6" fillId="28" borderId="26" xfId="0" applyFont="1" applyFill="1" applyBorder="1" applyAlignment="1">
      <alignment horizontal="left" vertical="center" wrapText="1"/>
    </xf>
    <xf numFmtId="0" fontId="6" fillId="28" borderId="26" xfId="0" applyFont="1" applyFill="1" applyBorder="1" applyAlignment="1">
      <alignment horizontal="center" vertical="center" wrapText="1"/>
    </xf>
    <xf numFmtId="0" fontId="1" fillId="28" borderId="26" xfId="0" applyFont="1" applyFill="1" applyBorder="1" applyAlignment="1">
      <alignment horizontal="left" vertical="center" wrapText="1"/>
    </xf>
    <xf numFmtId="0" fontId="1" fillId="28" borderId="26" xfId="0" applyFont="1" applyFill="1" applyBorder="1" applyAlignment="1">
      <alignment horizontal="left" vertical="center"/>
    </xf>
    <xf numFmtId="0" fontId="13" fillId="34" borderId="30" xfId="0" applyFont="1" applyFill="1" applyBorder="1" applyAlignment="1">
      <alignment horizontal="right" vertical="center" wrapText="1"/>
    </xf>
    <xf numFmtId="0" fontId="6" fillId="33" borderId="26" xfId="0" applyFont="1" applyFill="1" applyBorder="1" applyAlignment="1">
      <alignment horizontal="center" vertical="center" wrapText="1"/>
    </xf>
    <xf numFmtId="165" fontId="6" fillId="0" borderId="26" xfId="14" applyNumberFormat="1" applyBorder="1"/>
    <xf numFmtId="166" fontId="6" fillId="0" borderId="26" xfId="14" applyNumberFormat="1" applyBorder="1"/>
    <xf numFmtId="166" fontId="6" fillId="0" borderId="26" xfId="14" applyNumberFormat="1" applyBorder="1" applyAlignment="1">
      <alignment horizontal="right"/>
    </xf>
    <xf numFmtId="0" fontId="6" fillId="0" borderId="26" xfId="14" applyBorder="1" applyAlignment="1">
      <alignment horizontal="right"/>
    </xf>
    <xf numFmtId="166" fontId="1" fillId="0" borderId="26" xfId="0" applyNumberFormat="1" applyFont="1" applyBorder="1" applyAlignment="1">
      <alignment horizontal="right" vertical="center" wrapText="1"/>
    </xf>
    <xf numFmtId="164" fontId="1" fillId="0" borderId="26" xfId="0" applyNumberFormat="1" applyFont="1" applyBorder="1" applyAlignment="1">
      <alignment horizontal="right" vertical="center" wrapText="1"/>
    </xf>
    <xf numFmtId="0" fontId="6" fillId="0" borderId="26" xfId="14" applyBorder="1" applyAlignment="1">
      <alignment horizontal="center"/>
    </xf>
    <xf numFmtId="0" fontId="6" fillId="0" borderId="26" xfId="14" applyBorder="1"/>
    <xf numFmtId="166" fontId="3" fillId="0" borderId="26" xfId="0" applyNumberFormat="1" applyFont="1" applyBorder="1" applyAlignment="1">
      <alignment vertical="center" wrapText="1"/>
    </xf>
    <xf numFmtId="182" fontId="1" fillId="0" borderId="26" xfId="0" applyNumberFormat="1" applyFont="1" applyBorder="1" applyAlignment="1">
      <alignment horizontal="right" vertical="center" wrapText="1"/>
    </xf>
    <xf numFmtId="164" fontId="1" fillId="0" borderId="26" xfId="0" applyNumberFormat="1" applyFont="1" applyBorder="1" applyAlignment="1">
      <alignment vertical="center" wrapText="1"/>
    </xf>
    <xf numFmtId="164" fontId="6" fillId="0" borderId="26" xfId="14" applyNumberFormat="1" applyBorder="1"/>
    <xf numFmtId="164" fontId="6" fillId="0" borderId="26" xfId="14" applyNumberFormat="1" applyBorder="1" applyAlignment="1">
      <alignment horizontal="right"/>
    </xf>
    <xf numFmtId="1" fontId="4" fillId="0" borderId="26" xfId="0" applyNumberFormat="1" applyFont="1" applyBorder="1" applyAlignment="1">
      <alignment horizontal="right" vertical="center" wrapText="1"/>
    </xf>
    <xf numFmtId="178" fontId="1" fillId="0" borderId="26" xfId="0" applyNumberFormat="1" applyFont="1" applyBorder="1" applyAlignment="1">
      <alignment horizontal="right" vertical="center"/>
    </xf>
    <xf numFmtId="9" fontId="1" fillId="0" borderId="26" xfId="0" applyNumberFormat="1" applyFont="1" applyBorder="1" applyAlignment="1">
      <alignment horizontal="right" wrapText="1"/>
    </xf>
    <xf numFmtId="165" fontId="4" fillId="0" borderId="26" xfId="0" applyNumberFormat="1" applyFont="1" applyBorder="1" applyAlignment="1">
      <alignment horizontal="right" vertical="center" wrapText="1"/>
    </xf>
    <xf numFmtId="165" fontId="4" fillId="0" borderId="26" xfId="0" applyNumberFormat="1" applyFont="1" applyBorder="1" applyAlignment="1">
      <alignment horizontal="right" vertical="center"/>
    </xf>
    <xf numFmtId="178" fontId="4" fillId="0" borderId="26" xfId="0" applyNumberFormat="1" applyFont="1" applyBorder="1" applyAlignment="1">
      <alignment horizontal="right" vertical="center" wrapText="1"/>
    </xf>
    <xf numFmtId="164" fontId="3" fillId="29" borderId="26" xfId="0" applyNumberFormat="1" applyFont="1" applyFill="1" applyBorder="1" applyAlignment="1">
      <alignment vertical="center" wrapText="1"/>
    </xf>
    <xf numFmtId="166" fontId="3" fillId="29" borderId="26" xfId="0" applyNumberFormat="1" applyFont="1" applyFill="1" applyBorder="1" applyAlignment="1">
      <alignment vertical="center" wrapText="1"/>
    </xf>
    <xf numFmtId="164" fontId="3" fillId="29" borderId="26" xfId="0" applyNumberFormat="1" applyFont="1" applyFill="1" applyBorder="1" applyAlignment="1">
      <alignment horizontal="right" vertical="center" wrapText="1"/>
    </xf>
    <xf numFmtId="164" fontId="28" fillId="29" borderId="26" xfId="14" applyNumberFormat="1" applyFont="1" applyFill="1" applyBorder="1"/>
    <xf numFmtId="178" fontId="3" fillId="29" borderId="26" xfId="0" applyNumberFormat="1" applyFont="1" applyFill="1" applyBorder="1"/>
    <xf numFmtId="0" fontId="28" fillId="29" borderId="26" xfId="14" applyFont="1" applyFill="1" applyBorder="1" applyAlignment="1">
      <alignment horizontal="right"/>
    </xf>
    <xf numFmtId="164" fontId="28" fillId="29" borderId="26" xfId="2" quotePrefix="1" applyNumberFormat="1" applyFont="1" applyFill="1" applyBorder="1"/>
    <xf numFmtId="164" fontId="28" fillId="29" borderId="26" xfId="14" applyNumberFormat="1" applyFont="1" applyFill="1" applyBorder="1" applyAlignment="1">
      <alignment horizontal="right"/>
    </xf>
    <xf numFmtId="168" fontId="3" fillId="29" borderId="26" xfId="2" applyFont="1" applyFill="1" applyBorder="1" applyAlignment="1">
      <alignment horizontal="right" vertical="center"/>
    </xf>
    <xf numFmtId="169" fontId="3" fillId="29" borderId="26" xfId="2" applyNumberFormat="1" applyFont="1" applyFill="1" applyBorder="1"/>
    <xf numFmtId="9" fontId="3" fillId="29" borderId="26" xfId="0" applyNumberFormat="1" applyFont="1" applyFill="1" applyBorder="1" applyAlignment="1">
      <alignment horizontal="right" vertical="center"/>
    </xf>
    <xf numFmtId="9" fontId="3" fillId="29" borderId="26" xfId="0" applyNumberFormat="1" applyFont="1" applyFill="1" applyBorder="1" applyAlignment="1">
      <alignment horizontal="right" vertical="center" wrapText="1"/>
    </xf>
    <xf numFmtId="1" fontId="3" fillId="29" borderId="26" xfId="0" applyNumberFormat="1" applyFont="1" applyFill="1" applyBorder="1" applyAlignment="1">
      <alignment horizontal="right" vertical="center" wrapText="1"/>
    </xf>
    <xf numFmtId="165" fontId="7" fillId="29" borderId="26" xfId="0" applyNumberFormat="1" applyFont="1" applyFill="1" applyBorder="1" applyAlignment="1">
      <alignment horizontal="right" vertical="center"/>
    </xf>
    <xf numFmtId="165" fontId="7" fillId="29" borderId="26" xfId="0" applyNumberFormat="1" applyFont="1" applyFill="1" applyBorder="1" applyAlignment="1">
      <alignment horizontal="right" vertical="center" wrapText="1"/>
    </xf>
    <xf numFmtId="165" fontId="3" fillId="29" borderId="26" xfId="0" applyNumberFormat="1" applyFont="1" applyFill="1" applyBorder="1" applyAlignment="1">
      <alignment horizontal="right" vertical="center"/>
    </xf>
    <xf numFmtId="165" fontId="3" fillId="29" borderId="26" xfId="0" applyNumberFormat="1" applyFont="1" applyFill="1" applyBorder="1"/>
    <xf numFmtId="178" fontId="3" fillId="29" borderId="26" xfId="0" applyNumberFormat="1" applyFont="1" applyFill="1" applyBorder="1" applyAlignment="1">
      <alignment horizontal="right" vertical="center"/>
    </xf>
    <xf numFmtId="0" fontId="1" fillId="0" borderId="26" xfId="2" applyNumberFormat="1" applyFont="1" applyBorder="1" applyAlignment="1">
      <alignment horizontal="right" vertical="top" wrapText="1"/>
    </xf>
    <xf numFmtId="169" fontId="1" fillId="0" borderId="26" xfId="2" applyNumberFormat="1" applyFont="1" applyBorder="1" applyAlignment="1">
      <alignment horizontal="right" vertical="top" wrapText="1"/>
    </xf>
    <xf numFmtId="169" fontId="1" fillId="0" borderId="26" xfId="0" applyNumberFormat="1" applyFont="1" applyBorder="1" applyAlignment="1">
      <alignment horizontal="right" vertical="top" wrapText="1"/>
    </xf>
    <xf numFmtId="0" fontId="1" fillId="0" borderId="26" xfId="0" applyFont="1" applyBorder="1" applyAlignment="1">
      <alignment horizontal="right" vertical="top" wrapText="1"/>
    </xf>
    <xf numFmtId="169" fontId="1" fillId="0" borderId="26" xfId="2" applyNumberFormat="1" applyFont="1" applyBorder="1"/>
    <xf numFmtId="169" fontId="1" fillId="0" borderId="26" xfId="2" applyNumberFormat="1" applyFont="1" applyBorder="1" applyAlignment="1">
      <alignment vertical="top" wrapText="1"/>
    </xf>
    <xf numFmtId="169" fontId="1" fillId="0" borderId="26" xfId="0" applyNumberFormat="1" applyFont="1" applyBorder="1" applyAlignment="1">
      <alignment vertical="top" wrapText="1"/>
    </xf>
    <xf numFmtId="169" fontId="1" fillId="0" borderId="26" xfId="0" applyNumberFormat="1" applyFont="1" applyBorder="1" applyAlignment="1">
      <alignment wrapText="1"/>
    </xf>
    <xf numFmtId="169" fontId="1" fillId="0" borderId="26" xfId="0" applyNumberFormat="1" applyFont="1" applyBorder="1"/>
    <xf numFmtId="166" fontId="1" fillId="0" borderId="26" xfId="0" applyNumberFormat="1" applyFont="1" applyBorder="1" applyAlignment="1">
      <alignment horizontal="right" vertical="center"/>
    </xf>
    <xf numFmtId="166" fontId="3" fillId="0" borderId="26" xfId="0" applyNumberFormat="1" applyFont="1" applyBorder="1" applyAlignment="1">
      <alignment horizontal="right" vertical="center"/>
    </xf>
    <xf numFmtId="166" fontId="1" fillId="0" borderId="26" xfId="0" applyNumberFormat="1" applyFont="1" applyBorder="1" applyAlignment="1">
      <alignment vertical="center"/>
    </xf>
    <xf numFmtId="166" fontId="3" fillId="0" borderId="26" xfId="0" applyNumberFormat="1" applyFont="1" applyBorder="1" applyAlignment="1">
      <alignment vertical="center"/>
    </xf>
    <xf numFmtId="166" fontId="1" fillId="0" borderId="26" xfId="0" applyNumberFormat="1" applyFont="1" applyBorder="1" applyAlignment="1">
      <alignment vertical="center" wrapText="1"/>
    </xf>
    <xf numFmtId="166" fontId="1" fillId="0" borderId="26" xfId="228" applyNumberFormat="1" applyFont="1" applyBorder="1"/>
    <xf numFmtId="0" fontId="79" fillId="0" borderId="26" xfId="0" applyFont="1" applyBorder="1" applyAlignment="1">
      <alignment horizontal="center" vertical="center"/>
    </xf>
    <xf numFmtId="0" fontId="96" fillId="0" borderId="26" xfId="0" applyFont="1" applyBorder="1" applyAlignment="1">
      <alignment horizontal="center" vertical="center" wrapText="1"/>
    </xf>
    <xf numFmtId="0" fontId="79" fillId="0" borderId="26" xfId="0" applyFont="1" applyBorder="1"/>
    <xf numFmtId="0" fontId="1" fillId="0" borderId="26" xfId="0" applyFont="1" applyBorder="1" applyAlignment="1">
      <alignment horizontal="center" wrapText="1"/>
    </xf>
    <xf numFmtId="169" fontId="3" fillId="29" borderId="26" xfId="0" applyNumberFormat="1" applyFont="1" applyFill="1" applyBorder="1" applyAlignment="1">
      <alignment horizontal="right" vertical="top" wrapText="1"/>
    </xf>
    <xf numFmtId="169" fontId="3" fillId="29" borderId="26" xfId="0" applyNumberFormat="1" applyFont="1" applyFill="1" applyBorder="1" applyAlignment="1">
      <alignment vertical="top" wrapText="1"/>
    </xf>
    <xf numFmtId="169" fontId="3" fillId="29" borderId="26" xfId="0" applyNumberFormat="1" applyFont="1" applyFill="1" applyBorder="1" applyAlignment="1">
      <alignment wrapText="1"/>
    </xf>
    <xf numFmtId="169" fontId="3" fillId="29" borderId="26" xfId="0" applyNumberFormat="1" applyFont="1" applyFill="1" applyBorder="1"/>
    <xf numFmtId="166" fontId="1" fillId="29" borderId="26" xfId="0" applyNumberFormat="1" applyFont="1" applyFill="1" applyBorder="1" applyAlignment="1">
      <alignment horizontal="right" vertical="center"/>
    </xf>
    <xf numFmtId="166" fontId="3" fillId="29" borderId="26" xfId="0" applyNumberFormat="1" applyFont="1" applyFill="1" applyBorder="1" applyAlignment="1">
      <alignment horizontal="right" vertical="center"/>
    </xf>
    <xf numFmtId="166" fontId="1" fillId="29" borderId="26" xfId="0" applyNumberFormat="1" applyFont="1" applyFill="1" applyBorder="1" applyAlignment="1">
      <alignment vertical="center"/>
    </xf>
    <xf numFmtId="166" fontId="3" fillId="29" borderId="26" xfId="0" applyNumberFormat="1" applyFont="1" applyFill="1" applyBorder="1" applyAlignment="1">
      <alignment vertical="center"/>
    </xf>
    <xf numFmtId="166" fontId="1" fillId="29" borderId="26" xfId="0" applyNumberFormat="1" applyFont="1" applyFill="1" applyBorder="1" applyAlignment="1">
      <alignment vertical="center" wrapText="1"/>
    </xf>
    <xf numFmtId="166" fontId="3" fillId="29" borderId="26" xfId="228" applyNumberFormat="1" applyFont="1" applyFill="1" applyBorder="1"/>
    <xf numFmtId="1" fontId="3" fillId="29" borderId="26" xfId="228" applyNumberFormat="1" applyFont="1" applyFill="1" applyBorder="1"/>
    <xf numFmtId="0" fontId="6" fillId="0" borderId="26" xfId="0" applyFont="1" applyBorder="1" applyAlignment="1">
      <alignment horizontal="right" wrapText="1"/>
    </xf>
    <xf numFmtId="0" fontId="104" fillId="0" borderId="0" xfId="0" applyFont="1"/>
    <xf numFmtId="0" fontId="13" fillId="34" borderId="34" xfId="0" applyFont="1" applyFill="1" applyBorder="1" applyAlignment="1">
      <alignment horizontal="center" vertical="center" wrapText="1"/>
    </xf>
    <xf numFmtId="49" fontId="1" fillId="0" borderId="26" xfId="0" applyNumberFormat="1" applyFont="1" applyBorder="1" applyAlignment="1">
      <alignment horizontal="right" vertical="center" wrapText="1"/>
    </xf>
    <xf numFmtId="0" fontId="3" fillId="0" borderId="0" xfId="0" applyFont="1" applyAlignment="1">
      <alignment vertical="center"/>
    </xf>
    <xf numFmtId="0" fontId="84" fillId="0" borderId="0" xfId="0" applyFont="1"/>
    <xf numFmtId="0" fontId="15" fillId="0" borderId="0" xfId="0" applyFont="1" applyAlignment="1">
      <alignment vertical="top" wrapText="1"/>
    </xf>
    <xf numFmtId="0" fontId="56" fillId="0" borderId="0" xfId="1" applyFont="1" applyFill="1"/>
    <xf numFmtId="0" fontId="104" fillId="0" borderId="44" xfId="0" applyFont="1" applyBorder="1"/>
    <xf numFmtId="0" fontId="38" fillId="37" borderId="12" xfId="1" applyFont="1" applyFill="1" applyBorder="1" applyAlignment="1">
      <alignment horizontal="left" vertical="center" wrapText="1" indent="1"/>
    </xf>
    <xf numFmtId="0" fontId="117" fillId="37" borderId="13" xfId="1" applyFont="1" applyFill="1" applyBorder="1" applyAlignment="1">
      <alignment vertical="center" wrapText="1"/>
    </xf>
    <xf numFmtId="0" fontId="38" fillId="37" borderId="46" xfId="1" applyFont="1" applyFill="1" applyBorder="1" applyAlignment="1">
      <alignment horizontal="left" vertical="center" wrapText="1" indent="1"/>
    </xf>
    <xf numFmtId="0" fontId="117" fillId="37" borderId="45" xfId="1" applyFont="1" applyFill="1" applyBorder="1" applyAlignment="1">
      <alignment vertical="center" wrapText="1"/>
    </xf>
    <xf numFmtId="0" fontId="38" fillId="37" borderId="47" xfId="1" applyFont="1" applyFill="1" applyBorder="1" applyAlignment="1">
      <alignment horizontal="left" vertical="center" wrapText="1" indent="1"/>
    </xf>
    <xf numFmtId="0" fontId="117" fillId="37" borderId="14" xfId="1" applyFont="1" applyFill="1" applyBorder="1" applyAlignment="1">
      <alignment vertical="center"/>
    </xf>
    <xf numFmtId="0" fontId="78" fillId="0" borderId="31" xfId="1" applyFont="1" applyBorder="1" applyAlignment="1">
      <alignment horizontal="left"/>
    </xf>
    <xf numFmtId="0" fontId="77" fillId="34" borderId="0" xfId="0" applyFont="1" applyFill="1" applyAlignment="1">
      <alignment horizontal="left"/>
    </xf>
    <xf numFmtId="0" fontId="78" fillId="0" borderId="31" xfId="1" applyFont="1" applyFill="1" applyBorder="1" applyAlignment="1">
      <alignment horizontal="left"/>
    </xf>
    <xf numFmtId="0" fontId="121" fillId="34" borderId="0" xfId="1" applyFont="1" applyFill="1" applyBorder="1" applyAlignment="1">
      <alignment horizontal="left" vertical="center"/>
    </xf>
    <xf numFmtId="0" fontId="121" fillId="34" borderId="41" xfId="1" applyFont="1" applyFill="1" applyBorder="1" applyAlignment="1">
      <alignment horizontal="left" vertical="center"/>
    </xf>
    <xf numFmtId="0" fontId="1" fillId="0" borderId="32" xfId="0" applyFont="1" applyBorder="1"/>
    <xf numFmtId="0" fontId="78" fillId="0" borderId="32" xfId="1" applyFont="1" applyBorder="1" applyAlignment="1"/>
    <xf numFmtId="0" fontId="77" fillId="35" borderId="0" xfId="0" applyFont="1" applyFill="1"/>
    <xf numFmtId="0" fontId="120" fillId="34" borderId="0" xfId="1" applyFont="1" applyFill="1" applyBorder="1" applyAlignment="1"/>
    <xf numFmtId="0" fontId="77" fillId="34" borderId="0" xfId="1" applyFont="1" applyFill="1" applyBorder="1" applyAlignment="1"/>
    <xf numFmtId="0" fontId="118" fillId="0" borderId="0" xfId="1" applyFont="1" applyBorder="1" applyAlignment="1"/>
    <xf numFmtId="0" fontId="118" fillId="0" borderId="31" xfId="1" applyFont="1" applyBorder="1" applyAlignment="1"/>
    <xf numFmtId="0" fontId="119" fillId="0" borderId="0" xfId="0" applyFont="1"/>
    <xf numFmtId="0" fontId="78" fillId="0" borderId="0" xfId="1" applyFont="1" applyBorder="1" applyAlignment="1"/>
    <xf numFmtId="0" fontId="78" fillId="0" borderId="31" xfId="1" applyFont="1" applyBorder="1" applyAlignment="1"/>
    <xf numFmtId="0" fontId="1" fillId="0" borderId="31" xfId="0" applyFont="1" applyBorder="1"/>
    <xf numFmtId="0" fontId="6" fillId="30" borderId="31" xfId="0" applyFont="1" applyFill="1" applyBorder="1" applyAlignment="1">
      <alignment horizontal="left" vertical="center" wrapText="1"/>
    </xf>
    <xf numFmtId="0" fontId="6" fillId="28" borderId="31" xfId="0" applyFont="1" applyFill="1" applyBorder="1" applyAlignment="1">
      <alignment vertical="center" wrapText="1"/>
    </xf>
    <xf numFmtId="168" fontId="1" fillId="0" borderId="0" xfId="0" applyNumberFormat="1" applyFont="1" applyAlignment="1">
      <alignment horizontal="left" vertical="center"/>
    </xf>
    <xf numFmtId="0" fontId="6" fillId="0" borderId="31" xfId="0" applyFont="1" applyBorder="1" applyAlignment="1">
      <alignment vertical="center" wrapText="1"/>
    </xf>
    <xf numFmtId="0" fontId="4" fillId="0" borderId="31" xfId="0" applyFont="1" applyBorder="1" applyAlignment="1">
      <alignment vertical="center"/>
    </xf>
    <xf numFmtId="166" fontId="1" fillId="0" borderId="27" xfId="0" applyNumberFormat="1" applyFont="1" applyBorder="1"/>
    <xf numFmtId="0" fontId="1" fillId="0" borderId="33" xfId="0" applyFont="1" applyBorder="1" applyAlignment="1">
      <alignment horizontal="center" vertical="center"/>
    </xf>
    <xf numFmtId="0" fontId="1" fillId="0" borderId="33" xfId="0" applyFont="1" applyBorder="1" applyAlignment="1">
      <alignment vertical="center" wrapText="1"/>
    </xf>
    <xf numFmtId="0" fontId="1" fillId="0" borderId="33" xfId="0" applyFont="1" applyBorder="1" applyAlignment="1">
      <alignment horizontal="center" vertical="center" wrapText="1"/>
    </xf>
    <xf numFmtId="0" fontId="34" fillId="0" borderId="44" xfId="0" applyFont="1" applyBorder="1"/>
    <xf numFmtId="0" fontId="34" fillId="0" borderId="50" xfId="0" applyFont="1" applyBorder="1" applyAlignment="1">
      <alignment vertical="center"/>
    </xf>
    <xf numFmtId="0" fontId="33" fillId="28" borderId="46" xfId="229" applyFont="1" applyFill="1" applyBorder="1" applyAlignment="1">
      <alignment horizontal="left" vertical="center"/>
    </xf>
    <xf numFmtId="0" fontId="33" fillId="0" borderId="46" xfId="0" applyFont="1" applyBorder="1" applyAlignment="1">
      <alignment vertical="top" wrapText="1"/>
    </xf>
    <xf numFmtId="176" fontId="6" fillId="0" borderId="26" xfId="0" applyNumberFormat="1" applyFont="1" applyBorder="1" applyAlignment="1">
      <alignment vertical="center" wrapText="1"/>
    </xf>
    <xf numFmtId="0" fontId="28" fillId="38" borderId="26" xfId="0" applyFont="1" applyFill="1" applyBorder="1" applyAlignment="1">
      <alignment vertical="center" wrapText="1"/>
    </xf>
    <xf numFmtId="179" fontId="28" fillId="38" borderId="26" xfId="0" applyNumberFormat="1" applyFont="1" applyFill="1" applyBorder="1" applyAlignment="1">
      <alignment vertical="center" wrapText="1"/>
    </xf>
    <xf numFmtId="180" fontId="28" fillId="38" borderId="26" xfId="0" applyNumberFormat="1" applyFont="1" applyFill="1" applyBorder="1" applyAlignment="1">
      <alignment vertical="center" wrapText="1"/>
    </xf>
    <xf numFmtId="0" fontId="13" fillId="34" borderId="51" xfId="0" applyFont="1" applyFill="1" applyBorder="1" applyAlignment="1">
      <alignment horizontal="center" vertical="center" wrapText="1"/>
    </xf>
    <xf numFmtId="49" fontId="43" fillId="0" borderId="0" xfId="0" applyNumberFormat="1" applyFont="1" applyAlignment="1">
      <alignment vertical="center"/>
    </xf>
    <xf numFmtId="0" fontId="41" fillId="0" borderId="0" xfId="0" applyFont="1" applyAlignment="1">
      <alignment horizontal="left"/>
    </xf>
    <xf numFmtId="0" fontId="0" fillId="0" borderId="0" xfId="0" applyAlignment="1">
      <alignment wrapText="1"/>
    </xf>
    <xf numFmtId="0" fontId="46" fillId="28" borderId="0" xfId="0" applyFont="1" applyFill="1"/>
    <xf numFmtId="0" fontId="126" fillId="0" borderId="0" xfId="0" applyFont="1"/>
    <xf numFmtId="0" fontId="124" fillId="0" borderId="0" xfId="0" applyFont="1"/>
    <xf numFmtId="0" fontId="125" fillId="34" borderId="51" xfId="0" applyFont="1" applyFill="1" applyBorder="1" applyAlignment="1">
      <alignment horizontal="center" vertical="center"/>
    </xf>
    <xf numFmtId="9" fontId="6" fillId="0" borderId="52" xfId="0" applyNumberFormat="1" applyFont="1" applyBorder="1" applyAlignment="1">
      <alignment horizontal="right" vertical="center"/>
    </xf>
    <xf numFmtId="9" fontId="127" fillId="0" borderId="52" xfId="0" applyNumberFormat="1" applyFont="1" applyBorder="1" applyAlignment="1">
      <alignment horizontal="right" vertical="center"/>
    </xf>
    <xf numFmtId="0" fontId="1" fillId="0" borderId="52" xfId="0" applyFont="1" applyBorder="1" applyAlignment="1">
      <alignment horizontal="left" wrapText="1"/>
    </xf>
    <xf numFmtId="9" fontId="6" fillId="0" borderId="26" xfId="0" applyNumberFormat="1" applyFont="1" applyBorder="1" applyAlignment="1">
      <alignment vertical="center"/>
    </xf>
    <xf numFmtId="183" fontId="7" fillId="28" borderId="0" xfId="0" applyNumberFormat="1" applyFont="1" applyFill="1" applyAlignment="1">
      <alignment horizontal="right" vertical="center"/>
    </xf>
    <xf numFmtId="164" fontId="1" fillId="0" borderId="0" xfId="0" applyNumberFormat="1" applyFont="1"/>
    <xf numFmtId="164" fontId="0" fillId="0" borderId="0" xfId="0" applyNumberFormat="1"/>
    <xf numFmtId="3" fontId="4" fillId="0" borderId="26" xfId="0" applyNumberFormat="1" applyFont="1" applyBorder="1"/>
    <xf numFmtId="178" fontId="3" fillId="29" borderId="26" xfId="228" applyNumberFormat="1" applyFont="1" applyFill="1" applyBorder="1" applyAlignment="1">
      <alignment vertical="center" wrapText="1"/>
    </xf>
    <xf numFmtId="0" fontId="59" fillId="0" borderId="0" xfId="0" applyFont="1" applyAlignment="1">
      <alignment horizontal="left"/>
    </xf>
    <xf numFmtId="0" fontId="59" fillId="0" borderId="0" xfId="0" applyFont="1" applyAlignment="1">
      <alignment horizontal="center"/>
    </xf>
    <xf numFmtId="0" fontId="35" fillId="0" borderId="0" xfId="0" applyFont="1" applyAlignment="1">
      <alignment horizontal="center"/>
    </xf>
    <xf numFmtId="0" fontId="59" fillId="0" borderId="22" xfId="0" applyFont="1" applyBorder="1" applyAlignment="1">
      <alignment horizontal="left"/>
    </xf>
    <xf numFmtId="0" fontId="59" fillId="0" borderId="22" xfId="0" applyFont="1" applyBorder="1" applyAlignment="1">
      <alignment horizontal="center"/>
    </xf>
    <xf numFmtId="0" fontId="129" fillId="0" borderId="0" xfId="0" applyFont="1" applyAlignment="1">
      <alignment horizontal="left"/>
    </xf>
    <xf numFmtId="0" fontId="129" fillId="0" borderId="0" xfId="0" applyFont="1"/>
    <xf numFmtId="0" fontId="130" fillId="0" borderId="0" xfId="0" applyFont="1"/>
    <xf numFmtId="0" fontId="3" fillId="0" borderId="0" xfId="0" applyFont="1" applyAlignment="1">
      <alignment horizontal="left" vertical="center"/>
    </xf>
    <xf numFmtId="0" fontId="13" fillId="39" borderId="56" xfId="0" applyFont="1" applyFill="1" applyBorder="1" applyAlignment="1">
      <alignment horizontal="left" vertical="center"/>
    </xf>
    <xf numFmtId="0" fontId="13" fillId="39" borderId="56" xfId="0" applyFont="1" applyFill="1" applyBorder="1" applyAlignment="1">
      <alignment vertical="center"/>
    </xf>
    <xf numFmtId="0" fontId="13" fillId="39" borderId="56" xfId="0" applyFont="1" applyFill="1" applyBorder="1" applyAlignment="1">
      <alignment horizontal="center" vertical="center" wrapText="1"/>
    </xf>
    <xf numFmtId="0" fontId="3" fillId="40" borderId="57" xfId="0" applyFont="1" applyFill="1" applyBorder="1" applyAlignment="1">
      <alignment wrapText="1"/>
    </xf>
    <xf numFmtId="0" fontId="3" fillId="40" borderId="58" xfId="0" applyFont="1" applyFill="1" applyBorder="1" applyAlignment="1">
      <alignment wrapText="1"/>
    </xf>
    <xf numFmtId="0" fontId="1" fillId="0" borderId="56" xfId="0" applyFont="1" applyBorder="1" applyAlignment="1">
      <alignment horizontal="right" vertical="center" wrapText="1"/>
    </xf>
    <xf numFmtId="0" fontId="1" fillId="0" borderId="56" xfId="0" applyFont="1" applyBorder="1" applyAlignment="1">
      <alignment vertical="center" wrapText="1"/>
    </xf>
    <xf numFmtId="0" fontId="1" fillId="0" borderId="56" xfId="0" applyFont="1" applyBorder="1" applyAlignment="1">
      <alignment horizontal="center" vertical="center" wrapText="1"/>
    </xf>
    <xf numFmtId="16" fontId="1" fillId="0" borderId="56" xfId="0" applyNumberFormat="1" applyFont="1" applyBorder="1" applyAlignment="1">
      <alignment vertical="center" wrapText="1"/>
    </xf>
    <xf numFmtId="0" fontId="33" fillId="0" borderId="58" xfId="0" applyFont="1" applyBorder="1" applyAlignment="1">
      <alignment vertical="center" wrapText="1"/>
    </xf>
    <xf numFmtId="0" fontId="4" fillId="0" borderId="0" xfId="0" applyFont="1" applyAlignment="1">
      <alignment horizontal="left" vertical="top" wrapText="1" readingOrder="1"/>
    </xf>
    <xf numFmtId="0" fontId="3" fillId="0" borderId="0" xfId="0" applyFont="1" applyAlignment="1">
      <alignment horizontal="left" vertical="center" wrapText="1"/>
    </xf>
    <xf numFmtId="0" fontId="34" fillId="37" borderId="47" xfId="0" applyFont="1" applyFill="1" applyBorder="1" applyAlignment="1">
      <alignment horizontal="left" vertical="center" indent="1"/>
    </xf>
    <xf numFmtId="0" fontId="34" fillId="37" borderId="14" xfId="0" applyFont="1" applyFill="1" applyBorder="1" applyAlignment="1">
      <alignment horizontal="left" vertical="center" indent="1"/>
    </xf>
    <xf numFmtId="0" fontId="104" fillId="0" borderId="43" xfId="0" applyFont="1" applyBorder="1" applyAlignment="1">
      <alignment horizontal="left"/>
    </xf>
    <xf numFmtId="0" fontId="38" fillId="37" borderId="12" xfId="0" applyFont="1" applyFill="1" applyBorder="1" applyAlignment="1">
      <alignment horizontal="left" vertical="center" wrapText="1" indent="1"/>
    </xf>
    <xf numFmtId="0" fontId="38" fillId="37" borderId="13" xfId="0" applyFont="1" applyFill="1" applyBorder="1" applyAlignment="1">
      <alignment horizontal="left" vertical="center" wrapText="1" indent="1"/>
    </xf>
    <xf numFmtId="0" fontId="47" fillId="0" borderId="11" xfId="0" applyFont="1" applyBorder="1"/>
    <xf numFmtId="0" fontId="38" fillId="37" borderId="47" xfId="0" applyFont="1" applyFill="1" applyBorder="1" applyAlignment="1">
      <alignment horizontal="left" vertical="center" wrapText="1" indent="1"/>
    </xf>
    <xf numFmtId="0" fontId="38" fillId="37" borderId="14" xfId="0" applyFont="1" applyFill="1" applyBorder="1" applyAlignment="1">
      <alignment horizontal="left" vertical="center" wrapText="1" indent="1"/>
    </xf>
    <xf numFmtId="0" fontId="15" fillId="0" borderId="0" xfId="0" applyFont="1" applyAlignment="1">
      <alignment horizontal="left"/>
    </xf>
    <xf numFmtId="0" fontId="38" fillId="37" borderId="46" xfId="0" applyFont="1" applyFill="1" applyBorder="1" applyAlignment="1">
      <alignment horizontal="left" vertical="center" wrapText="1" indent="1"/>
    </xf>
    <xf numFmtId="0" fontId="38" fillId="37" borderId="45" xfId="0" applyFont="1" applyFill="1" applyBorder="1" applyAlignment="1">
      <alignment horizontal="left" vertical="center" wrapText="1" indent="1"/>
    </xf>
    <xf numFmtId="0" fontId="65" fillId="28" borderId="0" xfId="0" applyFont="1" applyFill="1" applyAlignment="1">
      <alignment horizontal="left" vertical="center" wrapText="1"/>
    </xf>
    <xf numFmtId="0" fontId="34" fillId="0" borderId="0" xfId="0" applyFont="1"/>
    <xf numFmtId="0" fontId="6" fillId="0" borderId="0" xfId="0" applyFont="1"/>
    <xf numFmtId="0" fontId="38" fillId="0" borderId="0" xfId="0" applyFont="1"/>
    <xf numFmtId="0" fontId="121" fillId="34" borderId="0" xfId="1" applyFont="1" applyFill="1" applyBorder="1" applyAlignment="1">
      <alignment horizontal="left" vertical="center"/>
    </xf>
    <xf numFmtId="0" fontId="121" fillId="34" borderId="0" xfId="1" applyFont="1" applyFill="1" applyAlignment="1">
      <alignment horizontal="left" vertical="center"/>
    </xf>
    <xf numFmtId="0" fontId="63" fillId="0" borderId="0" xfId="0" applyFont="1" applyAlignment="1">
      <alignment horizontal="left"/>
    </xf>
    <xf numFmtId="0" fontId="28" fillId="0" borderId="0" xfId="0" applyFont="1" applyAlignment="1">
      <alignment horizontal="left"/>
    </xf>
    <xf numFmtId="0" fontId="28" fillId="30" borderId="0" xfId="0" applyFont="1" applyFill="1" applyAlignment="1">
      <alignment horizontal="left"/>
    </xf>
    <xf numFmtId="0" fontId="28" fillId="0" borderId="0" xfId="0" applyFont="1" applyAlignment="1">
      <alignment horizontal="left" vertical="center"/>
    </xf>
    <xf numFmtId="0" fontId="41" fillId="30" borderId="0" xfId="0" applyFont="1" applyFill="1" applyAlignment="1">
      <alignment horizontal="left" vertical="center" wrapText="1"/>
    </xf>
    <xf numFmtId="0" fontId="27" fillId="0" borderId="0" xfId="0" applyFont="1" applyAlignment="1">
      <alignment horizontal="left"/>
    </xf>
    <xf numFmtId="0" fontId="104" fillId="0" borderId="23" xfId="0" applyFont="1" applyBorder="1" applyAlignment="1">
      <alignment horizontal="left"/>
    </xf>
    <xf numFmtId="0" fontId="28" fillId="30" borderId="0" xfId="0" applyFont="1" applyFill="1" applyAlignment="1">
      <alignment horizontal="left" vertical="center"/>
    </xf>
    <xf numFmtId="0" fontId="43" fillId="0" borderId="0" xfId="0" applyFont="1" applyAlignment="1">
      <alignment horizontal="left" vertical="top" wrapText="1"/>
    </xf>
    <xf numFmtId="0" fontId="41" fillId="0" borderId="0" xfId="0" applyFont="1" applyAlignment="1">
      <alignment horizontal="left" vertical="center" wrapText="1"/>
    </xf>
    <xf numFmtId="0" fontId="13" fillId="36" borderId="26" xfId="0" applyFont="1" applyFill="1" applyBorder="1" applyAlignment="1">
      <alignment horizontal="center" vertical="center" wrapText="1"/>
    </xf>
    <xf numFmtId="0" fontId="99" fillId="30" borderId="0" xfId="0" applyFont="1" applyFill="1" applyAlignment="1">
      <alignment horizontal="left" vertical="center" wrapText="1"/>
    </xf>
    <xf numFmtId="0" fontId="50" fillId="0" borderId="0" xfId="0" applyFont="1" applyAlignment="1">
      <alignment horizontal="left" vertical="center" wrapText="1"/>
    </xf>
    <xf numFmtId="0" fontId="35" fillId="0" borderId="0" xfId="0" applyFont="1" applyAlignment="1">
      <alignment horizontal="left"/>
    </xf>
    <xf numFmtId="0" fontId="104" fillId="0" borderId="24" xfId="0" applyFont="1" applyBorder="1" applyAlignment="1">
      <alignment horizontal="left"/>
    </xf>
    <xf numFmtId="0" fontId="46" fillId="0" borderId="0" xfId="0" applyFont="1" applyAlignment="1">
      <alignment horizontal="left" vertical="center"/>
    </xf>
    <xf numFmtId="0" fontId="33" fillId="0" borderId="0" xfId="0" applyFont="1" applyAlignment="1">
      <alignment horizontal="left" wrapText="1"/>
    </xf>
    <xf numFmtId="0" fontId="46" fillId="0" borderId="0" xfId="0" applyFont="1" applyAlignment="1">
      <alignment horizontal="left"/>
    </xf>
    <xf numFmtId="0" fontId="33" fillId="0" borderId="0" xfId="0" applyFont="1" applyAlignment="1">
      <alignment horizontal="left" vertical="center" wrapText="1"/>
    </xf>
    <xf numFmtId="0" fontId="13" fillId="34" borderId="26" xfId="0" applyFont="1" applyFill="1" applyBorder="1" applyAlignment="1">
      <alignment horizontal="left" vertical="center" wrapText="1"/>
    </xf>
    <xf numFmtId="0" fontId="13" fillId="34" borderId="26" xfId="0" applyFont="1" applyFill="1" applyBorder="1" applyAlignment="1">
      <alignment horizontal="center" vertical="center" wrapText="1"/>
    </xf>
    <xf numFmtId="0" fontId="33" fillId="0" borderId="46" xfId="0" applyFont="1" applyBorder="1" applyAlignment="1">
      <alignment horizontal="left" vertical="top" wrapText="1"/>
    </xf>
    <xf numFmtId="0" fontId="33" fillId="0" borderId="0" xfId="0" applyFont="1" applyAlignment="1">
      <alignment horizontal="left" vertical="top" wrapText="1"/>
    </xf>
    <xf numFmtId="0" fontId="3" fillId="29" borderId="26" xfId="0" applyFont="1" applyFill="1" applyBorder="1" applyAlignment="1">
      <alignment horizontal="left" vertical="center" wrapText="1"/>
    </xf>
    <xf numFmtId="0" fontId="33" fillId="28" borderId="46" xfId="229" applyFont="1" applyFill="1" applyBorder="1" applyAlignment="1">
      <alignment horizontal="left" vertical="center" wrapText="1"/>
    </xf>
    <xf numFmtId="0" fontId="33" fillId="28" borderId="0" xfId="229" applyFont="1" applyFill="1" applyBorder="1" applyAlignment="1">
      <alignment horizontal="left" vertical="center" wrapText="1"/>
    </xf>
    <xf numFmtId="0" fontId="3" fillId="29" borderId="30" xfId="0" applyFont="1" applyFill="1" applyBorder="1" applyAlignment="1">
      <alignment horizontal="left"/>
    </xf>
    <xf numFmtId="0" fontId="3" fillId="29" borderId="31" xfId="0" applyFont="1" applyFill="1" applyBorder="1" applyAlignment="1">
      <alignment horizontal="left"/>
    </xf>
    <xf numFmtId="0" fontId="3" fillId="29" borderId="28" xfId="0" applyFont="1" applyFill="1" applyBorder="1" applyAlignment="1">
      <alignment horizontal="left"/>
    </xf>
    <xf numFmtId="0" fontId="3" fillId="29" borderId="30" xfId="229" applyFont="1" applyFill="1" applyBorder="1" applyAlignment="1">
      <alignment horizontal="left" wrapText="1"/>
    </xf>
    <xf numFmtId="0" fontId="3" fillId="29" borderId="31" xfId="229" applyFont="1" applyFill="1" applyBorder="1" applyAlignment="1">
      <alignment horizontal="left" wrapText="1"/>
    </xf>
    <xf numFmtId="0" fontId="3" fillId="29" borderId="28" xfId="229" applyFont="1" applyFill="1" applyBorder="1" applyAlignment="1">
      <alignment horizontal="left" wrapText="1"/>
    </xf>
    <xf numFmtId="0" fontId="3" fillId="29" borderId="30" xfId="229" applyFont="1" applyFill="1" applyBorder="1" applyAlignment="1">
      <alignment horizontal="left" vertical="center" wrapText="1"/>
    </xf>
    <xf numFmtId="0" fontId="3" fillId="29" borderId="31" xfId="229" applyFont="1" applyFill="1" applyBorder="1" applyAlignment="1">
      <alignment horizontal="left" vertical="center" wrapText="1"/>
    </xf>
    <xf numFmtId="0" fontId="3" fillId="29" borderId="28" xfId="229" applyFont="1" applyFill="1" applyBorder="1" applyAlignment="1">
      <alignment horizontal="left" vertical="center" wrapText="1"/>
    </xf>
    <xf numFmtId="0" fontId="46" fillId="28" borderId="0" xfId="0" applyFont="1" applyFill="1" applyAlignment="1">
      <alignment horizontal="left"/>
    </xf>
    <xf numFmtId="0" fontId="33" fillId="0" borderId="0" xfId="0" applyFont="1" applyAlignment="1">
      <alignment horizontal="left" vertical="center"/>
    </xf>
    <xf numFmtId="0" fontId="41" fillId="0" borderId="0" xfId="0" applyFont="1" applyAlignment="1">
      <alignment horizontal="left" vertical="center"/>
    </xf>
    <xf numFmtId="0" fontId="111" fillId="0" borderId="0" xfId="0" applyFont="1" applyAlignment="1">
      <alignment horizontal="left" vertical="center"/>
    </xf>
    <xf numFmtId="0" fontId="6" fillId="0" borderId="26" xfId="0" applyFont="1" applyBorder="1" applyAlignment="1">
      <alignment horizontal="center" vertical="center" wrapText="1"/>
    </xf>
    <xf numFmtId="0" fontId="52" fillId="0" borderId="26" xfId="0" applyFont="1" applyBorder="1" applyAlignment="1">
      <alignment horizontal="center" vertical="center"/>
    </xf>
    <xf numFmtId="0" fontId="13" fillId="34" borderId="26" xfId="0" applyFont="1" applyFill="1" applyBorder="1" applyAlignment="1">
      <alignment horizontal="center"/>
    </xf>
    <xf numFmtId="0" fontId="1" fillId="0" borderId="26" xfId="0" applyFont="1" applyBorder="1" applyAlignment="1">
      <alignment horizontal="center" vertical="center" wrapText="1"/>
    </xf>
    <xf numFmtId="0" fontId="1" fillId="0" borderId="26" xfId="0" applyFont="1" applyBorder="1" applyAlignment="1">
      <alignment horizontal="center" vertical="center"/>
    </xf>
    <xf numFmtId="0" fontId="53" fillId="29" borderId="30" xfId="0" applyFont="1" applyFill="1" applyBorder="1" applyAlignment="1">
      <alignment horizontal="right" vertical="center" wrapText="1"/>
    </xf>
    <xf numFmtId="0" fontId="53" fillId="29" borderId="28" xfId="0" applyFont="1" applyFill="1" applyBorder="1" applyAlignment="1">
      <alignment horizontal="right" vertical="center" wrapText="1"/>
    </xf>
    <xf numFmtId="0" fontId="0" fillId="0" borderId="0" xfId="0"/>
    <xf numFmtId="0" fontId="64" fillId="0" borderId="23" xfId="0" applyFont="1" applyBorder="1"/>
    <xf numFmtId="0" fontId="33" fillId="0" borderId="58" xfId="0" applyFont="1" applyBorder="1" applyAlignment="1">
      <alignment horizontal="left" vertical="center" wrapText="1"/>
    </xf>
    <xf numFmtId="0" fontId="64" fillId="0" borderId="58" xfId="0" applyFont="1" applyBorder="1"/>
    <xf numFmtId="0" fontId="33" fillId="28" borderId="0" xfId="0" applyFont="1" applyFill="1" applyAlignment="1">
      <alignment vertical="center"/>
    </xf>
    <xf numFmtId="0" fontId="43" fillId="0" borderId="0" xfId="0" applyFont="1" applyAlignment="1">
      <alignment vertical="center"/>
    </xf>
    <xf numFmtId="0" fontId="33" fillId="0" borderId="0" xfId="0" applyFont="1" applyAlignment="1">
      <alignment vertical="center"/>
    </xf>
    <xf numFmtId="0" fontId="43" fillId="0" borderId="0" xfId="0" applyFont="1" applyAlignment="1">
      <alignment vertical="center" wrapText="1"/>
    </xf>
    <xf numFmtId="0" fontId="13" fillId="34" borderId="26" xfId="0" applyFont="1" applyFill="1" applyBorder="1" applyAlignment="1">
      <alignment horizontal="center" vertical="center"/>
    </xf>
    <xf numFmtId="0" fontId="109" fillId="34" borderId="26" xfId="0" applyFont="1" applyFill="1" applyBorder="1" applyAlignment="1">
      <alignment horizontal="center" vertical="center"/>
    </xf>
    <xf numFmtId="0" fontId="1" fillId="0" borderId="26" xfId="0" applyFont="1" applyBorder="1" applyAlignment="1">
      <alignment vertical="center"/>
    </xf>
    <xf numFmtId="0" fontId="43" fillId="30" borderId="0" xfId="0" applyFont="1" applyFill="1" applyAlignment="1">
      <alignment vertical="center"/>
    </xf>
    <xf numFmtId="0" fontId="43" fillId="30" borderId="0" xfId="0" applyFont="1" applyFill="1" applyAlignment="1">
      <alignment horizontal="left" vertical="center"/>
    </xf>
    <xf numFmtId="0" fontId="43" fillId="0" borderId="0" xfId="0" applyFont="1" applyAlignment="1">
      <alignment horizontal="left" vertical="center"/>
    </xf>
    <xf numFmtId="0" fontId="43" fillId="0" borderId="0" xfId="0" applyFont="1"/>
    <xf numFmtId="0" fontId="3" fillId="29" borderId="26" xfId="0" applyFont="1" applyFill="1" applyBorder="1" applyAlignment="1">
      <alignment vertical="center"/>
    </xf>
    <xf numFmtId="3" fontId="3" fillId="29" borderId="30" xfId="0" applyNumberFormat="1" applyFont="1" applyFill="1" applyBorder="1" applyAlignment="1">
      <alignment horizontal="right" vertical="center"/>
    </xf>
    <xf numFmtId="3" fontId="3" fillId="29" borderId="31" xfId="0" applyNumberFormat="1" applyFont="1" applyFill="1" applyBorder="1" applyAlignment="1">
      <alignment horizontal="right" vertical="center"/>
    </xf>
    <xf numFmtId="3" fontId="3" fillId="29" borderId="28" xfId="0" applyNumberFormat="1" applyFont="1" applyFill="1" applyBorder="1" applyAlignment="1">
      <alignment horizontal="right" vertical="center"/>
    </xf>
    <xf numFmtId="0" fontId="13" fillId="34" borderId="28" xfId="0" applyFont="1" applyFill="1" applyBorder="1" applyAlignment="1">
      <alignment horizontal="center" vertical="center"/>
    </xf>
    <xf numFmtId="0" fontId="104" fillId="0" borderId="25" xfId="0" applyFont="1" applyBorder="1" applyAlignment="1">
      <alignment horizontal="left"/>
    </xf>
    <xf numFmtId="0" fontId="43" fillId="0" borderId="0" xfId="0" applyFont="1" applyAlignment="1">
      <alignment horizontal="left" vertical="center" wrapText="1"/>
    </xf>
    <xf numFmtId="0" fontId="3" fillId="29" borderId="26" xfId="0" applyFont="1" applyFill="1" applyBorder="1" applyAlignment="1">
      <alignment horizontal="left" vertical="center"/>
    </xf>
    <xf numFmtId="0" fontId="28" fillId="29" borderId="26" xfId="0" applyFont="1" applyFill="1" applyBorder="1" applyAlignment="1">
      <alignment horizontal="left"/>
    </xf>
    <xf numFmtId="0" fontId="41" fillId="0" borderId="0" xfId="0" applyFont="1" applyAlignment="1">
      <alignment horizontal="left" wrapText="1"/>
    </xf>
    <xf numFmtId="0" fontId="46" fillId="0" borderId="10" xfId="0" applyFont="1" applyBorder="1" applyAlignment="1">
      <alignment horizontal="left" vertical="center"/>
    </xf>
    <xf numFmtId="0" fontId="13" fillId="34" borderId="36" xfId="0" applyFont="1" applyFill="1" applyBorder="1" applyAlignment="1">
      <alignment horizontal="center" vertical="center"/>
    </xf>
    <xf numFmtId="0" fontId="13" fillId="34" borderId="35" xfId="0" applyFont="1" applyFill="1" applyBorder="1" applyAlignment="1">
      <alignment horizontal="center" vertical="center"/>
    </xf>
    <xf numFmtId="0" fontId="13" fillId="34" borderId="37" xfId="0" applyFont="1" applyFill="1" applyBorder="1" applyAlignment="1">
      <alignment horizontal="center" vertical="center"/>
    </xf>
    <xf numFmtId="0" fontId="13" fillId="34" borderId="30" xfId="0" applyFont="1" applyFill="1" applyBorder="1" applyAlignment="1">
      <alignment horizontal="center"/>
    </xf>
    <xf numFmtId="0" fontId="13" fillId="34" borderId="31" xfId="0" applyFont="1" applyFill="1" applyBorder="1" applyAlignment="1">
      <alignment horizontal="center"/>
    </xf>
    <xf numFmtId="0" fontId="13" fillId="34" borderId="28" xfId="0" applyFont="1" applyFill="1" applyBorder="1" applyAlignment="1">
      <alignment horizontal="center"/>
    </xf>
    <xf numFmtId="0" fontId="113" fillId="34" borderId="36" xfId="0" applyFont="1" applyFill="1" applyBorder="1" applyAlignment="1">
      <alignment horizontal="center"/>
    </xf>
    <xf numFmtId="0" fontId="113" fillId="34" borderId="35" xfId="0" applyFont="1" applyFill="1" applyBorder="1" applyAlignment="1">
      <alignment horizontal="center"/>
    </xf>
    <xf numFmtId="0" fontId="113" fillId="34" borderId="37" xfId="0" applyFont="1" applyFill="1" applyBorder="1" applyAlignment="1">
      <alignment horizontal="center"/>
    </xf>
    <xf numFmtId="0" fontId="13" fillId="34" borderId="34" xfId="0" applyFont="1" applyFill="1" applyBorder="1" applyAlignment="1">
      <alignment horizontal="center" vertical="center"/>
    </xf>
    <xf numFmtId="0" fontId="13" fillId="34" borderId="39" xfId="0" applyFont="1" applyFill="1" applyBorder="1" applyAlignment="1">
      <alignment horizontal="center" vertical="center"/>
    </xf>
    <xf numFmtId="0" fontId="13" fillId="34" borderId="33" xfId="0" applyFont="1" applyFill="1" applyBorder="1" applyAlignment="1">
      <alignment horizontal="center" vertical="center"/>
    </xf>
    <xf numFmtId="0" fontId="109" fillId="34" borderId="34" xfId="0" applyFont="1" applyFill="1" applyBorder="1" applyAlignment="1">
      <alignment horizontal="center" wrapText="1"/>
    </xf>
    <xf numFmtId="0" fontId="109" fillId="34" borderId="39" xfId="0" applyFont="1" applyFill="1" applyBorder="1" applyAlignment="1">
      <alignment horizontal="center" wrapText="1"/>
    </xf>
    <xf numFmtId="0" fontId="109" fillId="34" borderId="33" xfId="0" applyFont="1" applyFill="1" applyBorder="1" applyAlignment="1">
      <alignment horizontal="center" wrapText="1"/>
    </xf>
    <xf numFmtId="0" fontId="9" fillId="34" borderId="34" xfId="0" applyFont="1" applyFill="1" applyBorder="1" applyAlignment="1">
      <alignment horizontal="center" vertical="top"/>
    </xf>
    <xf numFmtId="0" fontId="9" fillId="34" borderId="39" xfId="0" applyFont="1" applyFill="1" applyBorder="1" applyAlignment="1">
      <alignment horizontal="center" vertical="top"/>
    </xf>
    <xf numFmtId="0" fontId="9" fillId="34" borderId="33" xfId="0" applyFont="1" applyFill="1" applyBorder="1" applyAlignment="1">
      <alignment horizontal="center" vertical="top"/>
    </xf>
    <xf numFmtId="0" fontId="13" fillId="34" borderId="27" xfId="0" applyFont="1" applyFill="1" applyBorder="1" applyAlignment="1">
      <alignment horizontal="center"/>
    </xf>
    <xf numFmtId="0" fontId="13" fillId="34" borderId="0" xfId="0" applyFont="1" applyFill="1" applyAlignment="1">
      <alignment horizontal="center"/>
    </xf>
    <xf numFmtId="3" fontId="7" fillId="29" borderId="30" xfId="0" applyNumberFormat="1" applyFont="1" applyFill="1" applyBorder="1" applyAlignment="1">
      <alignment horizontal="right" vertical="center"/>
    </xf>
    <xf numFmtId="3" fontId="7" fillId="29" borderId="31" xfId="0" applyNumberFormat="1" applyFont="1" applyFill="1" applyBorder="1" applyAlignment="1">
      <alignment horizontal="right" vertical="center"/>
    </xf>
    <xf numFmtId="3" fontId="7" fillId="29" borderId="28" xfId="0" applyNumberFormat="1" applyFont="1" applyFill="1" applyBorder="1" applyAlignment="1">
      <alignment horizontal="right" vertical="center"/>
    </xf>
    <xf numFmtId="0" fontId="58" fillId="0" borderId="0" xfId="0" applyFont="1" applyAlignment="1">
      <alignment horizontal="left"/>
    </xf>
    <xf numFmtId="0" fontId="114" fillId="0" borderId="0" xfId="0" applyFont="1" applyAlignment="1">
      <alignment horizontal="left" vertical="center"/>
    </xf>
    <xf numFmtId="0" fontId="114" fillId="0" borderId="0" xfId="0" applyFont="1" applyAlignment="1">
      <alignment horizontal="left"/>
    </xf>
    <xf numFmtId="0" fontId="43" fillId="0" borderId="0" xfId="0" applyFont="1" applyAlignment="1">
      <alignment horizontal="left" wrapText="1"/>
    </xf>
    <xf numFmtId="0" fontId="13" fillId="34" borderId="26" xfId="0" applyFont="1" applyFill="1" applyBorder="1" applyAlignment="1">
      <alignment vertical="center"/>
    </xf>
    <xf numFmtId="0" fontId="13" fillId="36" borderId="26" xfId="0" applyFont="1" applyFill="1" applyBorder="1" applyAlignment="1">
      <alignment horizontal="center" vertical="center"/>
    </xf>
    <xf numFmtId="49" fontId="41" fillId="0" borderId="0" xfId="0" applyNumberFormat="1" applyFont="1" applyAlignment="1">
      <alignment horizontal="left" vertical="center" wrapText="1"/>
    </xf>
    <xf numFmtId="0" fontId="13" fillId="36" borderId="26" xfId="0" applyFont="1" applyFill="1" applyBorder="1" applyAlignment="1">
      <alignment vertical="center"/>
    </xf>
    <xf numFmtId="0" fontId="13" fillId="36" borderId="26" xfId="0" applyFont="1" applyFill="1" applyBorder="1" applyAlignment="1">
      <alignment horizontal="left"/>
    </xf>
    <xf numFmtId="0" fontId="13" fillId="36" borderId="26" xfId="0" applyFont="1" applyFill="1" applyBorder="1" applyAlignment="1">
      <alignment horizontal="center"/>
    </xf>
    <xf numFmtId="0" fontId="109" fillId="36" borderId="26" xfId="0" applyFont="1" applyFill="1" applyBorder="1" applyAlignment="1">
      <alignment vertical="center"/>
    </xf>
    <xf numFmtId="0" fontId="41" fillId="0" borderId="0" xfId="0" applyFont="1" applyAlignment="1">
      <alignment horizontal="left" vertical="top" wrapText="1"/>
    </xf>
    <xf numFmtId="0" fontId="6" fillId="0" borderId="0" xfId="0" applyFont="1" applyAlignment="1">
      <alignment horizontal="left" wrapText="1"/>
    </xf>
    <xf numFmtId="0" fontId="13" fillId="34" borderId="30" xfId="0" applyFont="1" applyFill="1" applyBorder="1" applyAlignment="1">
      <alignment horizontal="center" vertical="center"/>
    </xf>
    <xf numFmtId="0" fontId="13" fillId="34" borderId="31" xfId="0" applyFont="1" applyFill="1" applyBorder="1" applyAlignment="1">
      <alignment horizontal="center" vertical="center"/>
    </xf>
    <xf numFmtId="0" fontId="13" fillId="34" borderId="26" xfId="0" applyFont="1" applyFill="1" applyBorder="1" applyAlignment="1">
      <alignment horizontal="center" wrapText="1"/>
    </xf>
    <xf numFmtId="49" fontId="43" fillId="3" borderId="0" xfId="0" applyNumberFormat="1" applyFont="1" applyFill="1" applyAlignment="1">
      <alignment horizontal="left" vertical="center" wrapText="1"/>
    </xf>
    <xf numFmtId="0" fontId="126" fillId="0" borderId="32" xfId="0" applyFont="1" applyBorder="1" applyAlignment="1">
      <alignment horizontal="left"/>
    </xf>
    <xf numFmtId="0" fontId="28" fillId="29" borderId="26" xfId="0" applyFont="1" applyFill="1" applyBorder="1" applyAlignment="1">
      <alignment horizontal="right"/>
    </xf>
    <xf numFmtId="0" fontId="28" fillId="29" borderId="26" xfId="0" applyFont="1" applyFill="1" applyBorder="1" applyAlignment="1">
      <alignment horizontal="right" vertical="center"/>
    </xf>
    <xf numFmtId="49" fontId="43" fillId="0" borderId="0" xfId="0" applyNumberFormat="1" applyFont="1" applyAlignment="1">
      <alignment horizontal="left" vertical="center"/>
    </xf>
    <xf numFmtId="0" fontId="111" fillId="0" borderId="0" xfId="0" applyFont="1" applyAlignment="1">
      <alignment horizontal="left" vertical="center" wrapText="1"/>
    </xf>
    <xf numFmtId="0" fontId="13" fillId="34" borderId="34" xfId="0" applyFont="1" applyFill="1" applyBorder="1" applyAlignment="1">
      <alignment horizontal="center" vertical="center" wrapText="1"/>
    </xf>
    <xf numFmtId="0" fontId="13" fillId="34" borderId="33" xfId="0" applyFont="1" applyFill="1" applyBorder="1" applyAlignment="1">
      <alignment horizontal="center" vertical="center" wrapText="1"/>
    </xf>
    <xf numFmtId="0" fontId="6" fillId="0" borderId="26" xfId="0" applyFont="1" applyBorder="1" applyAlignment="1">
      <alignment horizontal="left" vertical="center"/>
    </xf>
    <xf numFmtId="49" fontId="43" fillId="0" borderId="48" xfId="0" applyNumberFormat="1" applyFont="1" applyBorder="1" applyAlignment="1">
      <alignment horizontal="left" vertical="center" wrapText="1"/>
    </xf>
    <xf numFmtId="49" fontId="43" fillId="0" borderId="0" xfId="0" applyNumberFormat="1" applyFont="1" applyAlignment="1">
      <alignment horizontal="left" vertical="center" wrapText="1"/>
    </xf>
    <xf numFmtId="0" fontId="6" fillId="0" borderId="34" xfId="0" applyFont="1" applyBorder="1" applyAlignment="1">
      <alignment horizontal="left" vertical="center"/>
    </xf>
    <xf numFmtId="0" fontId="6" fillId="0" borderId="39" xfId="0" applyFont="1" applyBorder="1" applyAlignment="1">
      <alignment horizontal="left" vertical="center"/>
    </xf>
    <xf numFmtId="0" fontId="6" fillId="0" borderId="33" xfId="0" applyFont="1" applyBorder="1" applyAlignment="1">
      <alignment horizontal="left" vertical="center"/>
    </xf>
    <xf numFmtId="0" fontId="33" fillId="28" borderId="0" xfId="0" applyFont="1" applyFill="1" applyAlignment="1">
      <alignment horizontal="left"/>
    </xf>
    <xf numFmtId="0" fontId="111" fillId="0" borderId="0" xfId="0" applyFont="1" applyAlignment="1">
      <alignment horizontal="left"/>
    </xf>
    <xf numFmtId="3" fontId="111" fillId="0" borderId="0" xfId="0" applyNumberFormat="1" applyFont="1" applyAlignment="1">
      <alignment horizontal="left" vertical="center"/>
    </xf>
    <xf numFmtId="0" fontId="41" fillId="0" borderId="0" xfId="0" applyFont="1" applyAlignment="1">
      <alignment horizontal="left" vertical="top"/>
    </xf>
    <xf numFmtId="3" fontId="109" fillId="34" borderId="26" xfId="0" applyNumberFormat="1" applyFont="1" applyFill="1" applyBorder="1" applyAlignment="1">
      <alignment horizontal="center" vertical="center"/>
    </xf>
    <xf numFmtId="0" fontId="6" fillId="0" borderId="26" xfId="0" applyFont="1" applyBorder="1" applyAlignment="1">
      <alignment horizontal="left" vertical="center" wrapText="1"/>
    </xf>
    <xf numFmtId="49" fontId="13" fillId="34" borderId="26" xfId="0" applyNumberFormat="1" applyFont="1" applyFill="1" applyBorder="1" applyAlignment="1">
      <alignment horizontal="center" vertical="center"/>
    </xf>
    <xf numFmtId="0" fontId="41" fillId="0" borderId="0" xfId="0" applyFont="1" applyAlignment="1">
      <alignment horizontal="left"/>
    </xf>
    <xf numFmtId="0" fontId="7" fillId="29" borderId="30" xfId="0" applyFont="1" applyFill="1" applyBorder="1" applyAlignment="1">
      <alignment horizontal="left" vertical="center" wrapText="1"/>
    </xf>
    <xf numFmtId="0" fontId="7" fillId="29" borderId="31" xfId="0" applyFont="1" applyFill="1" applyBorder="1" applyAlignment="1">
      <alignment horizontal="left" vertical="center" wrapText="1"/>
    </xf>
    <xf numFmtId="0" fontId="7" fillId="29" borderId="28" xfId="0" applyFont="1" applyFill="1" applyBorder="1" applyAlignment="1">
      <alignment horizontal="left" vertical="center" wrapText="1"/>
    </xf>
    <xf numFmtId="0" fontId="13" fillId="34" borderId="26" xfId="0" applyFont="1" applyFill="1" applyBorder="1" applyAlignment="1">
      <alignment horizontal="left" wrapText="1"/>
    </xf>
    <xf numFmtId="0" fontId="13" fillId="34" borderId="34" xfId="0" applyFont="1" applyFill="1" applyBorder="1" applyAlignment="1">
      <alignment horizontal="left" wrapText="1"/>
    </xf>
    <xf numFmtId="0" fontId="13" fillId="34" borderId="33" xfId="0" applyFont="1" applyFill="1" applyBorder="1" applyAlignment="1">
      <alignment horizontal="left" wrapText="1"/>
    </xf>
    <xf numFmtId="0" fontId="109" fillId="34" borderId="26" xfId="0" applyFont="1" applyFill="1" applyBorder="1" applyAlignment="1">
      <alignment horizontal="center" vertical="center" wrapText="1"/>
    </xf>
    <xf numFmtId="0" fontId="13" fillId="34" borderId="39" xfId="0" applyFont="1" applyFill="1" applyBorder="1" applyAlignment="1">
      <alignment horizontal="left" wrapText="1"/>
    </xf>
    <xf numFmtId="0" fontId="13" fillId="34" borderId="30" xfId="0" applyFont="1" applyFill="1" applyBorder="1" applyAlignment="1">
      <alignment horizontal="center" vertical="center" wrapText="1"/>
    </xf>
    <xf numFmtId="0" fontId="13" fillId="34" borderId="31" xfId="0" applyFont="1" applyFill="1" applyBorder="1" applyAlignment="1">
      <alignment horizontal="center" vertical="center" wrapText="1"/>
    </xf>
    <xf numFmtId="0" fontId="13" fillId="34" borderId="28" xfId="0" applyFont="1" applyFill="1" applyBorder="1" applyAlignment="1">
      <alignment horizontal="center" vertical="center" wrapText="1"/>
    </xf>
    <xf numFmtId="0" fontId="33" fillId="0" borderId="46" xfId="0" applyFont="1" applyBorder="1" applyAlignment="1">
      <alignment horizontal="left" vertical="center" wrapText="1"/>
    </xf>
    <xf numFmtId="0" fontId="33" fillId="0" borderId="46" xfId="0" applyFont="1" applyBorder="1" applyAlignment="1">
      <alignment horizontal="left" vertical="center"/>
    </xf>
    <xf numFmtId="0" fontId="13" fillId="34" borderId="26" xfId="2" applyNumberFormat="1" applyFont="1" applyFill="1" applyBorder="1" applyAlignment="1">
      <alignment horizontal="center" vertical="center"/>
    </xf>
    <xf numFmtId="3" fontId="109" fillId="34" borderId="34" xfId="0" applyNumberFormat="1" applyFont="1" applyFill="1" applyBorder="1" applyAlignment="1">
      <alignment horizontal="center" vertical="center"/>
    </xf>
    <xf numFmtId="3" fontId="109" fillId="34" borderId="33" xfId="0" applyNumberFormat="1" applyFont="1" applyFill="1" applyBorder="1" applyAlignment="1">
      <alignment horizontal="center" vertical="center"/>
    </xf>
    <xf numFmtId="0" fontId="46" fillId="0" borderId="0" xfId="0" applyFont="1" applyAlignment="1">
      <alignment horizontal="left" vertical="center" wrapText="1"/>
    </xf>
    <xf numFmtId="0" fontId="33" fillId="0" borderId="0" xfId="0" applyFont="1" applyAlignment="1">
      <alignment horizontal="left"/>
    </xf>
    <xf numFmtId="0" fontId="46" fillId="0" borderId="0" xfId="0" applyFont="1"/>
    <xf numFmtId="0" fontId="121" fillId="34" borderId="42" xfId="1" applyFont="1" applyFill="1" applyBorder="1" applyAlignment="1">
      <alignment horizontal="left" vertical="center"/>
    </xf>
    <xf numFmtId="0" fontId="1" fillId="34" borderId="26" xfId="0" applyFont="1" applyFill="1" applyBorder="1" applyAlignment="1">
      <alignment horizontal="center" vertical="top" wrapText="1"/>
    </xf>
    <xf numFmtId="0" fontId="33" fillId="0" borderId="0" xfId="0" quotePrefix="1" applyFont="1" applyAlignment="1">
      <alignment horizontal="left" vertical="center"/>
    </xf>
    <xf numFmtId="165" fontId="4" fillId="0" borderId="26" xfId="0" applyNumberFormat="1" applyFont="1" applyBorder="1" applyAlignment="1">
      <alignment horizontal="center" vertical="center" wrapText="1"/>
    </xf>
    <xf numFmtId="0" fontId="78" fillId="0" borderId="53" xfId="1" applyFont="1" applyBorder="1" applyAlignment="1">
      <alignment horizontal="center" vertical="center"/>
    </xf>
    <xf numFmtId="0" fontId="78" fillId="0" borderId="54" xfId="1" applyFont="1" applyBorder="1" applyAlignment="1">
      <alignment horizontal="center" vertical="center"/>
    </xf>
    <xf numFmtId="0" fontId="78" fillId="0" borderId="55" xfId="1" applyFont="1" applyBorder="1" applyAlignment="1">
      <alignment horizontal="center" vertical="center"/>
    </xf>
    <xf numFmtId="168" fontId="1" fillId="0" borderId="0" xfId="0" applyNumberFormat="1" applyFont="1" applyAlignment="1">
      <alignment horizontal="left" vertical="center"/>
    </xf>
    <xf numFmtId="0" fontId="1" fillId="0" borderId="26" xfId="0" applyFont="1" applyBorder="1" applyAlignment="1">
      <alignment horizontal="left" vertical="center" wrapText="1" indent="2"/>
    </xf>
    <xf numFmtId="0" fontId="1" fillId="0" borderId="26" xfId="0" applyFont="1" applyBorder="1" applyAlignment="1">
      <alignment horizontal="left" vertical="center" wrapText="1" indent="1"/>
    </xf>
    <xf numFmtId="0" fontId="1" fillId="0" borderId="26" xfId="0" applyFont="1" applyBorder="1" applyAlignment="1">
      <alignment horizontal="left" vertical="center" indent="1"/>
    </xf>
    <xf numFmtId="0" fontId="3" fillId="29" borderId="26" xfId="0" applyFont="1" applyFill="1" applyBorder="1" applyAlignment="1">
      <alignment horizontal="right"/>
    </xf>
    <xf numFmtId="0" fontId="109" fillId="34" borderId="26" xfId="0" applyFont="1" applyFill="1" applyBorder="1" applyAlignment="1">
      <alignment horizontal="center"/>
    </xf>
    <xf numFmtId="0" fontId="3" fillId="29" borderId="26" xfId="0" applyFont="1" applyFill="1" applyBorder="1" applyAlignment="1">
      <alignment horizontal="left"/>
    </xf>
    <xf numFmtId="0" fontId="3" fillId="0" borderId="0" xfId="0" applyFont="1" applyAlignment="1">
      <alignment horizontal="left" wrapText="1"/>
    </xf>
    <xf numFmtId="0" fontId="1" fillId="0" borderId="26" xfId="0" applyFont="1" applyBorder="1" applyAlignment="1">
      <alignment horizontal="left" wrapText="1"/>
    </xf>
    <xf numFmtId="0" fontId="1" fillId="29" borderId="26" xfId="0" applyFont="1" applyFill="1" applyBorder="1" applyAlignment="1">
      <alignment horizontal="left" wrapText="1"/>
    </xf>
    <xf numFmtId="0" fontId="3" fillId="29" borderId="26" xfId="0" applyFont="1" applyFill="1" applyBorder="1" applyAlignment="1">
      <alignment horizontal="right" wrapText="1"/>
    </xf>
    <xf numFmtId="0" fontId="3" fillId="29" borderId="26" xfId="0" applyFont="1" applyFill="1" applyBorder="1" applyAlignment="1">
      <alignment horizontal="left" wrapText="1"/>
    </xf>
    <xf numFmtId="0" fontId="1" fillId="29" borderId="30" xfId="0" applyFont="1" applyFill="1" applyBorder="1" applyAlignment="1">
      <alignment horizontal="left"/>
    </xf>
    <xf numFmtId="0" fontId="1" fillId="29" borderId="31" xfId="0" applyFont="1" applyFill="1" applyBorder="1" applyAlignment="1">
      <alignment horizontal="left"/>
    </xf>
    <xf numFmtId="0" fontId="1" fillId="29" borderId="28" xfId="0" applyFont="1" applyFill="1" applyBorder="1" applyAlignment="1">
      <alignment horizontal="left"/>
    </xf>
    <xf numFmtId="0" fontId="33" fillId="0" borderId="48" xfId="0" applyFont="1" applyBorder="1" applyAlignment="1">
      <alignment horizontal="left" vertical="top" wrapText="1"/>
    </xf>
    <xf numFmtId="0" fontId="104" fillId="0" borderId="44" xfId="0" applyFont="1" applyBorder="1" applyAlignment="1">
      <alignment horizontal="left"/>
    </xf>
    <xf numFmtId="0" fontId="1" fillId="0" borderId="33" xfId="0" applyFont="1" applyBorder="1" applyAlignment="1">
      <alignment horizontal="center" vertical="center"/>
    </xf>
    <xf numFmtId="0" fontId="28" fillId="29" borderId="30" xfId="0" applyFont="1" applyFill="1" applyBorder="1" applyAlignment="1">
      <alignment horizontal="left" vertical="center"/>
    </xf>
    <xf numFmtId="0" fontId="28" fillId="29" borderId="31" xfId="0" applyFont="1" applyFill="1" applyBorder="1" applyAlignment="1">
      <alignment horizontal="left" vertical="center"/>
    </xf>
    <xf numFmtId="0" fontId="28" fillId="29" borderId="28" xfId="0" applyFont="1" applyFill="1" applyBorder="1" applyAlignment="1">
      <alignment horizontal="left" vertical="center"/>
    </xf>
    <xf numFmtId="0" fontId="71" fillId="0" borderId="23" xfId="0" applyFont="1" applyBorder="1" applyAlignment="1">
      <alignment horizontal="left"/>
    </xf>
    <xf numFmtId="0" fontId="33" fillId="0" borderId="0" xfId="0" applyFont="1"/>
    <xf numFmtId="0" fontId="97" fillId="0" borderId="0" xfId="0" applyFont="1" applyAlignment="1">
      <alignment vertical="center"/>
    </xf>
  </cellXfs>
  <cellStyles count="236">
    <cellStyle name="Ausgabe" xfId="229" builtinId="21"/>
    <cellStyle name="Berechnung" xfId="230" builtinId="22"/>
    <cellStyle name="Body text" xfId="3" xr:uid="{00000000-0005-0000-0000-000000000000}"/>
    <cellStyle name="Body text 2" xfId="4" xr:uid="{00000000-0005-0000-0000-000001000000}"/>
    <cellStyle name="Bottom Border" xfId="235" xr:uid="{23F3C5CB-E596-44EA-AAAB-42961DCA7143}"/>
    <cellStyle name="Chart title" xfId="5" xr:uid="{00000000-0005-0000-0000-000002000000}"/>
    <cellStyle name="Comma 2" xfId="6" xr:uid="{00000000-0005-0000-0000-000004000000}"/>
    <cellStyle name="Comma 2 2" xfId="7" xr:uid="{00000000-0005-0000-0000-000005000000}"/>
    <cellStyle name="Comma 2 3" xfId="226" xr:uid="{00000000-0005-0000-0000-000006000000}"/>
    <cellStyle name="Comma 3" xfId="8" xr:uid="{00000000-0005-0000-0000-000007000000}"/>
    <cellStyle name="Comma 3 2" xfId="9" xr:uid="{00000000-0005-0000-0000-000008000000}"/>
    <cellStyle name="Footnote" xfId="10" xr:uid="{00000000-0005-0000-0000-000009000000}"/>
    <cellStyle name="Header" xfId="11" xr:uid="{00000000-0005-0000-0000-00000A000000}"/>
    <cellStyle name="Komma" xfId="2" builtinId="3"/>
    <cellStyle name="Link" xfId="1" builtinId="8"/>
    <cellStyle name="Main table head" xfId="12" xr:uid="{00000000-0005-0000-0000-00000C000000}"/>
    <cellStyle name="MMDate" xfId="13" xr:uid="{00000000-0005-0000-0000-00000D000000}"/>
    <cellStyle name="NAB FTB1 - Financial Table Body" xfId="232" xr:uid="{39D16C60-A2A0-4EA7-BB34-8C4DC8E389ED}"/>
    <cellStyle name="Narrative" xfId="234" xr:uid="{57BCB123-432E-48F9-9F49-28901BF14BEF}"/>
    <cellStyle name="Normal 2" xfId="14" xr:uid="{00000000-0005-0000-0000-00000F000000}"/>
    <cellStyle name="Normal 2 2" xfId="15" xr:uid="{00000000-0005-0000-0000-000010000000}"/>
    <cellStyle name="Normal 2 2 2" xfId="16" xr:uid="{00000000-0005-0000-0000-000011000000}"/>
    <cellStyle name="Normal 22" xfId="17" xr:uid="{00000000-0005-0000-0000-000012000000}"/>
    <cellStyle name="Normal 22 2" xfId="18" xr:uid="{00000000-0005-0000-0000-000013000000}"/>
    <cellStyle name="Normal 29" xfId="19" xr:uid="{00000000-0005-0000-0000-000014000000}"/>
    <cellStyle name="Normal 29 2" xfId="20" xr:uid="{00000000-0005-0000-0000-000015000000}"/>
    <cellStyle name="Normal 3" xfId="21" xr:uid="{00000000-0005-0000-0000-000016000000}"/>
    <cellStyle name="Normal 3 2" xfId="22" xr:uid="{00000000-0005-0000-0000-000017000000}"/>
    <cellStyle name="Normal 4" xfId="23" xr:uid="{00000000-0005-0000-0000-000018000000}"/>
    <cellStyle name="Normal 4 2" xfId="24" xr:uid="{00000000-0005-0000-0000-000019000000}"/>
    <cellStyle name="Normal 5" xfId="25" xr:uid="{00000000-0005-0000-0000-00001A000000}"/>
    <cellStyle name="Normal 6" xfId="26" xr:uid="{00000000-0005-0000-0000-00001B000000}"/>
    <cellStyle name="Normal 6 2" xfId="27" xr:uid="{00000000-0005-0000-0000-00001C000000}"/>
    <cellStyle name="Normal 7" xfId="28" xr:uid="{00000000-0005-0000-0000-00001D000000}"/>
    <cellStyle name="Normal 7 2" xfId="29" xr:uid="{00000000-0005-0000-0000-00001E000000}"/>
    <cellStyle name="Normal 8" xfId="30" xr:uid="{00000000-0005-0000-0000-00001F000000}"/>
    <cellStyle name="Percent 2" xfId="31" xr:uid="{00000000-0005-0000-0000-000020000000}"/>
    <cellStyle name="Percent 2 2" xfId="32" xr:uid="{00000000-0005-0000-0000-000021000000}"/>
    <cellStyle name="Prozent" xfId="227" builtinId="5"/>
    <cellStyle name="Standard" xfId="0" builtinId="0"/>
    <cellStyle name="subhead" xfId="33" xr:uid="{00000000-0005-0000-0000-000022000000}"/>
    <cellStyle name="Table subhead" xfId="34" xr:uid="{00000000-0005-0000-0000-000023000000}"/>
    <cellStyle name="T-Text-Thick-Centre" xfId="233" xr:uid="{6C9E62B5-F564-4B0D-AE9D-9D092E56ADF1}"/>
    <cellStyle name="T-Text-Thin-Centre" xfId="231" xr:uid="{EABFDD53-7AC9-4BF6-860C-615DF869C5A1}"/>
    <cellStyle name="Währung" xfId="228" builtinId="4"/>
    <cellStyle name="wizActionApproved" xfId="35" xr:uid="{00000000-0005-0000-0000-000024000000}"/>
    <cellStyle name="wizActionApproved 2" xfId="36" xr:uid="{00000000-0005-0000-0000-000025000000}"/>
    <cellStyle name="wizActionPromoted" xfId="37" xr:uid="{00000000-0005-0000-0000-000026000000}"/>
    <cellStyle name="wizActionPromoted 2" xfId="38" xr:uid="{00000000-0005-0000-0000-000027000000}"/>
    <cellStyle name="wizActionPublished" xfId="39" xr:uid="{00000000-0005-0000-0000-000028000000}"/>
    <cellStyle name="wizActionPublished 2" xfId="40" xr:uid="{00000000-0005-0000-0000-000029000000}"/>
    <cellStyle name="wizActionRejected" xfId="41" xr:uid="{00000000-0005-0000-0000-00002A000000}"/>
    <cellStyle name="wizActionSigned-Off" xfId="42" xr:uid="{00000000-0005-0000-0000-00002B000000}"/>
    <cellStyle name="wizActionSigned-Off 2" xfId="43" xr:uid="{00000000-0005-0000-0000-00002C000000}"/>
    <cellStyle name="wizActionSubmitted" xfId="44" xr:uid="{00000000-0005-0000-0000-00002D000000}"/>
    <cellStyle name="wizActionSubmitted 2" xfId="45" xr:uid="{00000000-0005-0000-0000-00002E000000}"/>
    <cellStyle name="wizBORDER" xfId="46" xr:uid="{00000000-0005-0000-0000-00002F000000}"/>
    <cellStyle name="wizCOMMENT" xfId="47" xr:uid="{00000000-0005-0000-0000-000030000000}"/>
    <cellStyle name="wizCOMMENT 2" xfId="48" xr:uid="{00000000-0005-0000-0000-000031000000}"/>
    <cellStyle name="wizCROSSREF" xfId="49" xr:uid="{00000000-0005-0000-0000-000032000000}"/>
    <cellStyle name="wizCROSSREF 2" xfId="50" xr:uid="{00000000-0005-0000-0000-000033000000}"/>
    <cellStyle name="wizCURRENCY" xfId="51" xr:uid="{00000000-0005-0000-0000-000034000000}"/>
    <cellStyle name="wizCURRENCY 2" xfId="52" xr:uid="{00000000-0005-0000-0000-000035000000}"/>
    <cellStyle name="wizCUSTOM" xfId="53" xr:uid="{00000000-0005-0000-0000-000036000000}"/>
    <cellStyle name="wizCUSTOM 2" xfId="54" xr:uid="{00000000-0005-0000-0000-000037000000}"/>
    <cellStyle name="wizDATA" xfId="55" xr:uid="{00000000-0005-0000-0000-000038000000}"/>
    <cellStyle name="wizDATA 2" xfId="56" xr:uid="{00000000-0005-0000-0000-000039000000}"/>
    <cellStyle name="wizDATE" xfId="57" xr:uid="{00000000-0005-0000-0000-00003A000000}"/>
    <cellStyle name="wizDATEANDTIME" xfId="58" xr:uid="{00000000-0005-0000-0000-00003B000000}"/>
    <cellStyle name="wizDATEANDTIME 2" xfId="59" xr:uid="{00000000-0005-0000-0000-00003C000000}"/>
    <cellStyle name="wizDESCRIPTION" xfId="60" xr:uid="{00000000-0005-0000-0000-00003D000000}"/>
    <cellStyle name="wizDESCRIPTION 2" xfId="61" xr:uid="{00000000-0005-0000-0000-00003E000000}"/>
    <cellStyle name="wizDRILLSYMBOL" xfId="62" xr:uid="{00000000-0005-0000-0000-00003F000000}"/>
    <cellStyle name="wizGROUP" xfId="63" xr:uid="{00000000-0005-0000-0000-000040000000}"/>
    <cellStyle name="wizGROUP 2" xfId="64" xr:uid="{00000000-0005-0000-0000-000041000000}"/>
    <cellStyle name="wizHIDDEN" xfId="65" xr:uid="{00000000-0005-0000-0000-000042000000}"/>
    <cellStyle name="wizHIDDEN 2" xfId="66" xr:uid="{00000000-0005-0000-0000-000043000000}"/>
    <cellStyle name="WIZHOTCELL" xfId="67" xr:uid="{00000000-0005-0000-0000-000044000000}"/>
    <cellStyle name="WIZHOTCELL 2" xfId="68" xr:uid="{00000000-0005-0000-0000-000045000000}"/>
    <cellStyle name="wizIGNORE" xfId="69" xr:uid="{00000000-0005-0000-0000-000046000000}"/>
    <cellStyle name="wizIGNORE 2" xfId="70" xr:uid="{00000000-0005-0000-0000-000047000000}"/>
    <cellStyle name="wizINTERCODATA" xfId="71" xr:uid="{00000000-0005-0000-0000-000048000000}"/>
    <cellStyle name="wizINTERCODATA 2" xfId="72" xr:uid="{00000000-0005-0000-0000-000049000000}"/>
    <cellStyle name="wizLevel0" xfId="73" xr:uid="{00000000-0005-0000-0000-00004A000000}"/>
    <cellStyle name="wizLevel0 2" xfId="74" xr:uid="{00000000-0005-0000-0000-00004B000000}"/>
    <cellStyle name="wizLevel1" xfId="75" xr:uid="{00000000-0005-0000-0000-00004C000000}"/>
    <cellStyle name="wizLevel1 2" xfId="76" xr:uid="{00000000-0005-0000-0000-00004D000000}"/>
    <cellStyle name="wizLevel10" xfId="77" xr:uid="{00000000-0005-0000-0000-00004E000000}"/>
    <cellStyle name="wizLevel10 2" xfId="78" xr:uid="{00000000-0005-0000-0000-00004F000000}"/>
    <cellStyle name="wizLevel11" xfId="79" xr:uid="{00000000-0005-0000-0000-000050000000}"/>
    <cellStyle name="wizLevel11 2" xfId="80" xr:uid="{00000000-0005-0000-0000-000051000000}"/>
    <cellStyle name="wizLevel12" xfId="81" xr:uid="{00000000-0005-0000-0000-000052000000}"/>
    <cellStyle name="wizLevel12 2" xfId="82" xr:uid="{00000000-0005-0000-0000-000053000000}"/>
    <cellStyle name="wizLevel13" xfId="83" xr:uid="{00000000-0005-0000-0000-000054000000}"/>
    <cellStyle name="wizLevel13 2" xfId="84" xr:uid="{00000000-0005-0000-0000-000055000000}"/>
    <cellStyle name="wizLevel14" xfId="85" xr:uid="{00000000-0005-0000-0000-000056000000}"/>
    <cellStyle name="wizLevel14 2" xfId="86" xr:uid="{00000000-0005-0000-0000-000057000000}"/>
    <cellStyle name="wizLevel15" xfId="87" xr:uid="{00000000-0005-0000-0000-000058000000}"/>
    <cellStyle name="wizLevel15 2" xfId="88" xr:uid="{00000000-0005-0000-0000-000059000000}"/>
    <cellStyle name="wizLevel2" xfId="89" xr:uid="{00000000-0005-0000-0000-00005A000000}"/>
    <cellStyle name="wizLevel2 2" xfId="90" xr:uid="{00000000-0005-0000-0000-00005B000000}"/>
    <cellStyle name="wizLevel3" xfId="91" xr:uid="{00000000-0005-0000-0000-00005C000000}"/>
    <cellStyle name="wizLevel3 2" xfId="92" xr:uid="{00000000-0005-0000-0000-00005D000000}"/>
    <cellStyle name="wizLevel4" xfId="93" xr:uid="{00000000-0005-0000-0000-00005E000000}"/>
    <cellStyle name="wizLevel4 2" xfId="94" xr:uid="{00000000-0005-0000-0000-00005F000000}"/>
    <cellStyle name="wizLevel5" xfId="95" xr:uid="{00000000-0005-0000-0000-000060000000}"/>
    <cellStyle name="wizLevel5 2" xfId="96" xr:uid="{00000000-0005-0000-0000-000061000000}"/>
    <cellStyle name="wizLevel6" xfId="97" xr:uid="{00000000-0005-0000-0000-000062000000}"/>
    <cellStyle name="wizLevel6 2" xfId="98" xr:uid="{00000000-0005-0000-0000-000063000000}"/>
    <cellStyle name="wizLevel7" xfId="99" xr:uid="{00000000-0005-0000-0000-000064000000}"/>
    <cellStyle name="wizLevel7 2" xfId="100" xr:uid="{00000000-0005-0000-0000-000065000000}"/>
    <cellStyle name="wizLevel8" xfId="101" xr:uid="{00000000-0005-0000-0000-000066000000}"/>
    <cellStyle name="wizLevel8 2" xfId="102" xr:uid="{00000000-0005-0000-0000-000067000000}"/>
    <cellStyle name="wizLevel9" xfId="103" xr:uid="{00000000-0005-0000-0000-000068000000}"/>
    <cellStyle name="wizLevel9 2" xfId="104" xr:uid="{00000000-0005-0000-0000-000069000000}"/>
    <cellStyle name="wizLevelColour0" xfId="105" xr:uid="{00000000-0005-0000-0000-00006A000000}"/>
    <cellStyle name="wizLevelColour1" xfId="106" xr:uid="{00000000-0005-0000-0000-00006B000000}"/>
    <cellStyle name="wizLevelColour10" xfId="107" xr:uid="{00000000-0005-0000-0000-00006C000000}"/>
    <cellStyle name="wizLevelColour11" xfId="108" xr:uid="{00000000-0005-0000-0000-00006D000000}"/>
    <cellStyle name="wizLevelColour12" xfId="109" xr:uid="{00000000-0005-0000-0000-00006E000000}"/>
    <cellStyle name="wizLevelColour12 2" xfId="110" xr:uid="{00000000-0005-0000-0000-00006F000000}"/>
    <cellStyle name="wizLevelColour13" xfId="111" xr:uid="{00000000-0005-0000-0000-000070000000}"/>
    <cellStyle name="wizLevelColour13 2" xfId="112" xr:uid="{00000000-0005-0000-0000-000071000000}"/>
    <cellStyle name="wizLevelColour14" xfId="113" xr:uid="{00000000-0005-0000-0000-000072000000}"/>
    <cellStyle name="wizLevelColour14 2" xfId="114" xr:uid="{00000000-0005-0000-0000-000073000000}"/>
    <cellStyle name="wizLevelColour15" xfId="115" xr:uid="{00000000-0005-0000-0000-000074000000}"/>
    <cellStyle name="wizLevelColour15 2" xfId="116" xr:uid="{00000000-0005-0000-0000-000075000000}"/>
    <cellStyle name="wizLevelColour2" xfId="117" xr:uid="{00000000-0005-0000-0000-000076000000}"/>
    <cellStyle name="wizLevelColour3" xfId="118" xr:uid="{00000000-0005-0000-0000-000077000000}"/>
    <cellStyle name="wizLevelColour4" xfId="119" xr:uid="{00000000-0005-0000-0000-000078000000}"/>
    <cellStyle name="wizLevelColour4 2" xfId="120" xr:uid="{00000000-0005-0000-0000-000079000000}"/>
    <cellStyle name="wizLevelColour5" xfId="121" xr:uid="{00000000-0005-0000-0000-00007A000000}"/>
    <cellStyle name="wizLevelColour5 2" xfId="122" xr:uid="{00000000-0005-0000-0000-00007B000000}"/>
    <cellStyle name="wizLevelColour6" xfId="123" xr:uid="{00000000-0005-0000-0000-00007C000000}"/>
    <cellStyle name="wizLevelColour6 2" xfId="124" xr:uid="{00000000-0005-0000-0000-00007D000000}"/>
    <cellStyle name="wizLevelColour7" xfId="125" xr:uid="{00000000-0005-0000-0000-00007E000000}"/>
    <cellStyle name="wizLevelColour7 2" xfId="126" xr:uid="{00000000-0005-0000-0000-00007F000000}"/>
    <cellStyle name="wizLevelColour8" xfId="127" xr:uid="{00000000-0005-0000-0000-000080000000}"/>
    <cellStyle name="wizLevelColour9" xfId="128" xr:uid="{00000000-0005-0000-0000-000081000000}"/>
    <cellStyle name="wizNORMAL" xfId="129" xr:uid="{00000000-0005-0000-0000-000082000000}"/>
    <cellStyle name="wizNORMAL 2" xfId="130" xr:uid="{00000000-0005-0000-0000-000083000000}"/>
    <cellStyle name="wizNUMBER" xfId="131" xr:uid="{00000000-0005-0000-0000-000084000000}"/>
    <cellStyle name="wizReview0" xfId="132" xr:uid="{00000000-0005-0000-0000-000085000000}"/>
    <cellStyle name="wizReview0 2" xfId="133" xr:uid="{00000000-0005-0000-0000-000086000000}"/>
    <cellStyle name="wizReview1" xfId="134" xr:uid="{00000000-0005-0000-0000-000087000000}"/>
    <cellStyle name="wizReview-1" xfId="135" xr:uid="{00000000-0005-0000-0000-000088000000}"/>
    <cellStyle name="wizReview-1 2" xfId="136" xr:uid="{00000000-0005-0000-0000-000089000000}"/>
    <cellStyle name="wizReview10" xfId="137" xr:uid="{00000000-0005-0000-0000-00008A000000}"/>
    <cellStyle name="wizReview10 2" xfId="138" xr:uid="{00000000-0005-0000-0000-00008B000000}"/>
    <cellStyle name="wizReview11" xfId="139" xr:uid="{00000000-0005-0000-0000-00008C000000}"/>
    <cellStyle name="wizReview11 2" xfId="140" xr:uid="{00000000-0005-0000-0000-00008D000000}"/>
    <cellStyle name="wizReview12" xfId="141" xr:uid="{00000000-0005-0000-0000-00008E000000}"/>
    <cellStyle name="wizReview12 2" xfId="142" xr:uid="{00000000-0005-0000-0000-00008F000000}"/>
    <cellStyle name="wizReview13" xfId="143" xr:uid="{00000000-0005-0000-0000-000090000000}"/>
    <cellStyle name="wizReview13 2" xfId="144" xr:uid="{00000000-0005-0000-0000-000091000000}"/>
    <cellStyle name="wizReview14" xfId="145" xr:uid="{00000000-0005-0000-0000-000092000000}"/>
    <cellStyle name="wizReview14 2" xfId="146" xr:uid="{00000000-0005-0000-0000-000093000000}"/>
    <cellStyle name="wizReview15" xfId="147" xr:uid="{00000000-0005-0000-0000-000094000000}"/>
    <cellStyle name="wizReview15 2" xfId="148" xr:uid="{00000000-0005-0000-0000-000095000000}"/>
    <cellStyle name="wizReview2" xfId="149" xr:uid="{00000000-0005-0000-0000-000096000000}"/>
    <cellStyle name="wizReview-2" xfId="150" xr:uid="{00000000-0005-0000-0000-000097000000}"/>
    <cellStyle name="wizReview2 10" xfId="151" xr:uid="{00000000-0005-0000-0000-000098000000}"/>
    <cellStyle name="wizReview-2 10" xfId="152" xr:uid="{00000000-0005-0000-0000-000099000000}"/>
    <cellStyle name="wizReview2 11" xfId="153" xr:uid="{00000000-0005-0000-0000-00009A000000}"/>
    <cellStyle name="wizReview-2 11" xfId="154" xr:uid="{00000000-0005-0000-0000-00009B000000}"/>
    <cellStyle name="wizReview2 12" xfId="155" xr:uid="{00000000-0005-0000-0000-00009C000000}"/>
    <cellStyle name="wizReview-2 12" xfId="156" xr:uid="{00000000-0005-0000-0000-00009D000000}"/>
    <cellStyle name="wizReview2 13" xfId="157" xr:uid="{00000000-0005-0000-0000-00009E000000}"/>
    <cellStyle name="wizReview-2 13" xfId="158" xr:uid="{00000000-0005-0000-0000-00009F000000}"/>
    <cellStyle name="wizReview2 14" xfId="159" xr:uid="{00000000-0005-0000-0000-0000A0000000}"/>
    <cellStyle name="wizReview-2 14" xfId="160" xr:uid="{00000000-0005-0000-0000-0000A1000000}"/>
    <cellStyle name="wizReview2 15" xfId="161" xr:uid="{00000000-0005-0000-0000-0000A2000000}"/>
    <cellStyle name="wizReview-2 15" xfId="162" xr:uid="{00000000-0005-0000-0000-0000A3000000}"/>
    <cellStyle name="wizReview2 2" xfId="163" xr:uid="{00000000-0005-0000-0000-0000A4000000}"/>
    <cellStyle name="wizReview-2 2" xfId="164" xr:uid="{00000000-0005-0000-0000-0000A5000000}"/>
    <cellStyle name="wizReview2 3" xfId="165" xr:uid="{00000000-0005-0000-0000-0000A6000000}"/>
    <cellStyle name="wizReview-2 3" xfId="166" xr:uid="{00000000-0005-0000-0000-0000A7000000}"/>
    <cellStyle name="wizReview2 4" xfId="167" xr:uid="{00000000-0005-0000-0000-0000A8000000}"/>
    <cellStyle name="wizReview-2 4" xfId="168" xr:uid="{00000000-0005-0000-0000-0000A9000000}"/>
    <cellStyle name="wizReview2 5" xfId="169" xr:uid="{00000000-0005-0000-0000-0000AA000000}"/>
    <cellStyle name="wizReview-2 5" xfId="170" xr:uid="{00000000-0005-0000-0000-0000AB000000}"/>
    <cellStyle name="wizReview2 6" xfId="171" xr:uid="{00000000-0005-0000-0000-0000AC000000}"/>
    <cellStyle name="wizReview-2 6" xfId="172" xr:uid="{00000000-0005-0000-0000-0000AD000000}"/>
    <cellStyle name="wizReview2 7" xfId="173" xr:uid="{00000000-0005-0000-0000-0000AE000000}"/>
    <cellStyle name="wizReview-2 7" xfId="174" xr:uid="{00000000-0005-0000-0000-0000AF000000}"/>
    <cellStyle name="wizReview2 8" xfId="175" xr:uid="{00000000-0005-0000-0000-0000B0000000}"/>
    <cellStyle name="wizReview-2 8" xfId="176" xr:uid="{00000000-0005-0000-0000-0000B1000000}"/>
    <cellStyle name="wizReview2 9" xfId="177" xr:uid="{00000000-0005-0000-0000-0000B2000000}"/>
    <cellStyle name="wizReview-2 9" xfId="178" xr:uid="{00000000-0005-0000-0000-0000B3000000}"/>
    <cellStyle name="wizReview3" xfId="179" xr:uid="{00000000-0005-0000-0000-0000B4000000}"/>
    <cellStyle name="wizReview4" xfId="180" xr:uid="{00000000-0005-0000-0000-0000B5000000}"/>
    <cellStyle name="wizReview5" xfId="181" xr:uid="{00000000-0005-0000-0000-0000B6000000}"/>
    <cellStyle name="wizReview6" xfId="182" xr:uid="{00000000-0005-0000-0000-0000B7000000}"/>
    <cellStyle name="wizReview6 2" xfId="183" xr:uid="{00000000-0005-0000-0000-0000B8000000}"/>
    <cellStyle name="wizReview7" xfId="184" xr:uid="{00000000-0005-0000-0000-0000B9000000}"/>
    <cellStyle name="wizReview7 2" xfId="185" xr:uid="{00000000-0005-0000-0000-0000BA000000}"/>
    <cellStyle name="wizReview8" xfId="186" xr:uid="{00000000-0005-0000-0000-0000BB000000}"/>
    <cellStyle name="wizReview8 2" xfId="187" xr:uid="{00000000-0005-0000-0000-0000BC000000}"/>
    <cellStyle name="wizReview9" xfId="188" xr:uid="{00000000-0005-0000-0000-0000BD000000}"/>
    <cellStyle name="wizReview9 2" xfId="189" xr:uid="{00000000-0005-0000-0000-0000BE000000}"/>
    <cellStyle name="wizRowColour0" xfId="190" xr:uid="{00000000-0005-0000-0000-0000BF000000}"/>
    <cellStyle name="wizRowColour1" xfId="191" xr:uid="{00000000-0005-0000-0000-0000C0000000}"/>
    <cellStyle name="wizRowColour10" xfId="192" xr:uid="{00000000-0005-0000-0000-0000C1000000}"/>
    <cellStyle name="wizRowColour11" xfId="193" xr:uid="{00000000-0005-0000-0000-0000C2000000}"/>
    <cellStyle name="wizRowColour12" xfId="194" xr:uid="{00000000-0005-0000-0000-0000C3000000}"/>
    <cellStyle name="wizRowColour13" xfId="195" xr:uid="{00000000-0005-0000-0000-0000C4000000}"/>
    <cellStyle name="wizRowColour14" xfId="196" xr:uid="{00000000-0005-0000-0000-0000C5000000}"/>
    <cellStyle name="wizRowColour15" xfId="197" xr:uid="{00000000-0005-0000-0000-0000C6000000}"/>
    <cellStyle name="wizRowColour2" xfId="198" xr:uid="{00000000-0005-0000-0000-0000C7000000}"/>
    <cellStyle name="wizRowColour3" xfId="199" xr:uid="{00000000-0005-0000-0000-0000C8000000}"/>
    <cellStyle name="wizRowColour4" xfId="200" xr:uid="{00000000-0005-0000-0000-0000C9000000}"/>
    <cellStyle name="wizRowColour5" xfId="201" xr:uid="{00000000-0005-0000-0000-0000CA000000}"/>
    <cellStyle name="wizRowColour6" xfId="202" xr:uid="{00000000-0005-0000-0000-0000CB000000}"/>
    <cellStyle name="wizRowColour7" xfId="203" xr:uid="{00000000-0005-0000-0000-0000CC000000}"/>
    <cellStyle name="wizRowColour8" xfId="204" xr:uid="{00000000-0005-0000-0000-0000CD000000}"/>
    <cellStyle name="wizRowColour9" xfId="205" xr:uid="{00000000-0005-0000-0000-0000CE000000}"/>
    <cellStyle name="wizStarted" xfId="206" xr:uid="{00000000-0005-0000-0000-0000CF000000}"/>
    <cellStyle name="wizStarted 2" xfId="207" xr:uid="{00000000-0005-0000-0000-0000D0000000}"/>
    <cellStyle name="wizStatusCalculate" xfId="208" xr:uid="{00000000-0005-0000-0000-0000D1000000}"/>
    <cellStyle name="wizStatusConsolidate" xfId="209" xr:uid="{00000000-0005-0000-0000-0000D2000000}"/>
    <cellStyle name="wizStatusNoData" xfId="210" xr:uid="{00000000-0005-0000-0000-0000D3000000}"/>
    <cellStyle name="wizStatusNoData 2" xfId="211" xr:uid="{00000000-0005-0000-0000-0000D4000000}"/>
    <cellStyle name="wizStatusOK" xfId="212" xr:uid="{00000000-0005-0000-0000-0000D5000000}"/>
    <cellStyle name="wizStatusOK 2" xfId="213" xr:uid="{00000000-0005-0000-0000-0000D6000000}"/>
    <cellStyle name="wizStatusSystem" xfId="214" xr:uid="{00000000-0005-0000-0000-0000D7000000}"/>
    <cellStyle name="wizStatusSystem 2" xfId="215" xr:uid="{00000000-0005-0000-0000-0000D8000000}"/>
    <cellStyle name="wizStatusTranslate" xfId="216" xr:uid="{00000000-0005-0000-0000-0000D9000000}"/>
    <cellStyle name="wizStatusTranslate 2" xfId="217" xr:uid="{00000000-0005-0000-0000-0000DA000000}"/>
    <cellStyle name="wizSUBTITLE" xfId="218" xr:uid="{00000000-0005-0000-0000-0000DB000000}"/>
    <cellStyle name="wizSUBTOTAL" xfId="219" xr:uid="{00000000-0005-0000-0000-0000DC000000}"/>
    <cellStyle name="wizTIME" xfId="220" xr:uid="{00000000-0005-0000-0000-0000DD000000}"/>
    <cellStyle name="wizTIME 2" xfId="221" xr:uid="{00000000-0005-0000-0000-0000DE000000}"/>
    <cellStyle name="wizTITLE" xfId="222" xr:uid="{00000000-0005-0000-0000-0000DF000000}"/>
    <cellStyle name="wizTITLE1" xfId="223" xr:uid="{00000000-0005-0000-0000-0000E0000000}"/>
    <cellStyle name="wizTITLE2" xfId="224" xr:uid="{00000000-0005-0000-0000-0000E1000000}"/>
    <cellStyle name="wizTITLE3" xfId="225" xr:uid="{00000000-0005-0000-0000-0000E2000000}"/>
  </cellStyles>
  <dxfs count="3">
    <dxf>
      <fill>
        <patternFill>
          <bgColor rgb="FF00B0F0"/>
        </patternFill>
      </fill>
    </dxf>
    <dxf>
      <fill>
        <patternFill>
          <bgColor rgb="FF00B0F0"/>
        </patternFill>
      </fill>
    </dxf>
    <dxf>
      <fill>
        <patternFill>
          <bgColor rgb="FF0099FF"/>
        </patternFill>
      </fill>
    </dxf>
  </dxfs>
  <tableStyles count="0" defaultTableStyle="TableStyleMedium2" defaultPivotStyle="PivotStyleLight16"/>
  <colors>
    <mruColors>
      <color rgb="FF000F7B"/>
      <color rgb="FF69D6F6"/>
      <color rgb="FF54C9E5"/>
      <color rgb="FF33CCFF"/>
      <color rgb="FF93E3FF"/>
      <color rgb="FF06157B"/>
      <color rgb="FF90B6F4"/>
      <color rgb="FF8F9CF9"/>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3486150</xdr:colOff>
      <xdr:row>10</xdr:row>
      <xdr:rowOff>168783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684" y="0"/>
          <a:ext cx="3486150" cy="2188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1619249</xdr:colOff>
      <xdr:row>5</xdr:row>
      <xdr:rowOff>139836</xdr:rowOff>
    </xdr:to>
    <xdr:pic>
      <xdr:nvPicPr>
        <xdr:cNvPr id="3" name="Picture 2">
          <a:extLst>
            <a:ext uri="{FF2B5EF4-FFF2-40B4-BE49-F238E27FC236}">
              <a16:creationId xmlns:a16="http://schemas.microsoft.com/office/drawing/2014/main" id="{43120483-9148-4B75-920E-D50EC707A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1353243</xdr:colOff>
      <xdr:row>4</xdr:row>
      <xdr:rowOff>133623</xdr:rowOff>
    </xdr:to>
    <xdr:pic>
      <xdr:nvPicPr>
        <xdr:cNvPr id="4" name="Picture 3">
          <a:extLst>
            <a:ext uri="{FF2B5EF4-FFF2-40B4-BE49-F238E27FC236}">
              <a16:creationId xmlns:a16="http://schemas.microsoft.com/office/drawing/2014/main" id="{C90837E5-BE47-46F1-9255-3062AC5D1E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1351065</xdr:colOff>
      <xdr:row>4</xdr:row>
      <xdr:rowOff>131445</xdr:rowOff>
    </xdr:to>
    <xdr:pic>
      <xdr:nvPicPr>
        <xdr:cNvPr id="8" name="Picture 7">
          <a:extLst>
            <a:ext uri="{FF2B5EF4-FFF2-40B4-BE49-F238E27FC236}">
              <a16:creationId xmlns:a16="http://schemas.microsoft.com/office/drawing/2014/main" id="{437D9590-5783-411C-8591-27AF7BE1B4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495299</xdr:colOff>
      <xdr:row>5</xdr:row>
      <xdr:rowOff>109356</xdr:rowOff>
    </xdr:to>
    <xdr:pic>
      <xdr:nvPicPr>
        <xdr:cNvPr id="10" name="Picture 9">
          <a:extLst>
            <a:ext uri="{FF2B5EF4-FFF2-40B4-BE49-F238E27FC236}">
              <a16:creationId xmlns:a16="http://schemas.microsoft.com/office/drawing/2014/main" id="{281CD16B-088B-463F-A819-A876AA9E3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1623059</xdr:colOff>
      <xdr:row>5</xdr:row>
      <xdr:rowOff>103641</xdr:rowOff>
    </xdr:to>
    <xdr:pic>
      <xdr:nvPicPr>
        <xdr:cNvPr id="6" name="Picture 5">
          <a:extLst>
            <a:ext uri="{FF2B5EF4-FFF2-40B4-BE49-F238E27FC236}">
              <a16:creationId xmlns:a16="http://schemas.microsoft.com/office/drawing/2014/main" id="{9DA7F5BF-64CD-45C0-A4C4-B0F3AF690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1630679</xdr:colOff>
      <xdr:row>5</xdr:row>
      <xdr:rowOff>109356</xdr:rowOff>
    </xdr:to>
    <xdr:pic>
      <xdr:nvPicPr>
        <xdr:cNvPr id="8" name="Picture 7">
          <a:extLst>
            <a:ext uri="{FF2B5EF4-FFF2-40B4-BE49-F238E27FC236}">
              <a16:creationId xmlns:a16="http://schemas.microsoft.com/office/drawing/2014/main" id="{CF282B27-4528-4F8A-AD2E-9AABFA8271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1619249</xdr:colOff>
      <xdr:row>5</xdr:row>
      <xdr:rowOff>132216</xdr:rowOff>
    </xdr:to>
    <xdr:pic>
      <xdr:nvPicPr>
        <xdr:cNvPr id="8" name="Picture 7">
          <a:extLst>
            <a:ext uri="{FF2B5EF4-FFF2-40B4-BE49-F238E27FC236}">
              <a16:creationId xmlns:a16="http://schemas.microsoft.com/office/drawing/2014/main" id="{73F35CBF-B558-4D64-B139-3A841487A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609725" cy="990600"/>
    <xdr:pic>
      <xdr:nvPicPr>
        <xdr:cNvPr id="2" name="image9.jpg">
          <a:extLst>
            <a:ext uri="{FF2B5EF4-FFF2-40B4-BE49-F238E27FC236}">
              <a16:creationId xmlns:a16="http://schemas.microsoft.com/office/drawing/2014/main" id="{4FF04667-7BBC-442F-8570-E94447A1F796}"/>
            </a:ext>
          </a:extLst>
        </xdr:cNvPr>
        <xdr:cNvPicPr preferRelativeResize="0"/>
      </xdr:nvPicPr>
      <xdr:blipFill>
        <a:blip xmlns:r="http://schemas.openxmlformats.org/officeDocument/2006/relationships" r:embed="rId1" cstate="print"/>
        <a:stretch>
          <a:fillRect/>
        </a:stretch>
      </xdr:blipFill>
      <xdr:spPr>
        <a:xfrm>
          <a:off x="0" y="0"/>
          <a:ext cx="1609725" cy="99060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1635033</xdr:colOff>
      <xdr:row>5</xdr:row>
      <xdr:rowOff>111533</xdr:rowOff>
    </xdr:to>
    <xdr:pic>
      <xdr:nvPicPr>
        <xdr:cNvPr id="7" name="Picture 6">
          <a:extLst>
            <a:ext uri="{FF2B5EF4-FFF2-40B4-BE49-F238E27FC236}">
              <a16:creationId xmlns:a16="http://schemas.microsoft.com/office/drawing/2014/main" id="{5456C831-3767-4A57-838A-1305DBCD21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1351065</xdr:colOff>
      <xdr:row>4</xdr:row>
      <xdr:rowOff>131445</xdr:rowOff>
    </xdr:to>
    <xdr:pic>
      <xdr:nvPicPr>
        <xdr:cNvPr id="4" name="Picture 3">
          <a:extLst>
            <a:ext uri="{FF2B5EF4-FFF2-40B4-BE49-F238E27FC236}">
              <a16:creationId xmlns:a16="http://schemas.microsoft.com/office/drawing/2014/main" id="{95FC636E-C5D8-4B73-A399-79B1F396D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1623059</xdr:colOff>
      <xdr:row>5</xdr:row>
      <xdr:rowOff>97926</xdr:rowOff>
    </xdr:to>
    <xdr:pic>
      <xdr:nvPicPr>
        <xdr:cNvPr id="5" name="Picture 4">
          <a:extLst>
            <a:ext uri="{FF2B5EF4-FFF2-40B4-BE49-F238E27FC236}">
              <a16:creationId xmlns:a16="http://schemas.microsoft.com/office/drawing/2014/main" id="{5556E7B2-DB56-48FE-A0E1-C77629B4E7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1617979</xdr:colOff>
      <xdr:row>5</xdr:row>
      <xdr:rowOff>97926</xdr:rowOff>
    </xdr:to>
    <xdr:pic>
      <xdr:nvPicPr>
        <xdr:cNvPr id="3" name="Picture 2">
          <a:extLst>
            <a:ext uri="{FF2B5EF4-FFF2-40B4-BE49-F238E27FC236}">
              <a16:creationId xmlns:a16="http://schemas.microsoft.com/office/drawing/2014/main" id="{328B6AD0-0339-4D51-8C18-4F11DD072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1623059</xdr:colOff>
      <xdr:row>5</xdr:row>
      <xdr:rowOff>103641</xdr:rowOff>
    </xdr:to>
    <xdr:pic>
      <xdr:nvPicPr>
        <xdr:cNvPr id="4" name="Picture 3">
          <a:extLst>
            <a:ext uri="{FF2B5EF4-FFF2-40B4-BE49-F238E27FC236}">
              <a16:creationId xmlns:a16="http://schemas.microsoft.com/office/drawing/2014/main" id="{7DDA2E98-7E7C-4D5C-8716-DB7D0805A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19049</xdr:colOff>
      <xdr:row>5</xdr:row>
      <xdr:rowOff>107451</xdr:rowOff>
    </xdr:to>
    <xdr:pic>
      <xdr:nvPicPr>
        <xdr:cNvPr id="5" name="Picture 4">
          <a:extLst>
            <a:ext uri="{FF2B5EF4-FFF2-40B4-BE49-F238E27FC236}">
              <a16:creationId xmlns:a16="http://schemas.microsoft.com/office/drawing/2014/main" id="{EF9E707E-15C9-4B6A-AFF5-330D5B7E8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8774" cy="101232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1354875</xdr:colOff>
      <xdr:row>4</xdr:row>
      <xdr:rowOff>135255</xdr:rowOff>
    </xdr:to>
    <xdr:pic>
      <xdr:nvPicPr>
        <xdr:cNvPr id="4" name="Picture 3">
          <a:extLst>
            <a:ext uri="{FF2B5EF4-FFF2-40B4-BE49-F238E27FC236}">
              <a16:creationId xmlns:a16="http://schemas.microsoft.com/office/drawing/2014/main" id="{61032239-F6B8-4411-B66E-4B155A9D54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1619249</xdr:colOff>
      <xdr:row>5</xdr:row>
      <xdr:rowOff>94116</xdr:rowOff>
    </xdr:to>
    <xdr:pic>
      <xdr:nvPicPr>
        <xdr:cNvPr id="2" name="Picture 1">
          <a:extLst>
            <a:ext uri="{FF2B5EF4-FFF2-40B4-BE49-F238E27FC236}">
              <a16:creationId xmlns:a16="http://schemas.microsoft.com/office/drawing/2014/main" id="{7FC1A755-F9FD-46E2-AA95-A5E673826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1619249</xdr:colOff>
      <xdr:row>5</xdr:row>
      <xdr:rowOff>132216</xdr:rowOff>
    </xdr:to>
    <xdr:pic>
      <xdr:nvPicPr>
        <xdr:cNvPr id="3" name="Picture 2">
          <a:extLst>
            <a:ext uri="{FF2B5EF4-FFF2-40B4-BE49-F238E27FC236}">
              <a16:creationId xmlns:a16="http://schemas.microsoft.com/office/drawing/2014/main" id="{15253501-704F-4CDD-883E-2F10BAD3E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327659</xdr:colOff>
      <xdr:row>5</xdr:row>
      <xdr:rowOff>136026</xdr:rowOff>
    </xdr:to>
    <xdr:pic>
      <xdr:nvPicPr>
        <xdr:cNvPr id="2" name="Picture 1">
          <a:extLst>
            <a:ext uri="{FF2B5EF4-FFF2-40B4-BE49-F238E27FC236}">
              <a16:creationId xmlns:a16="http://schemas.microsoft.com/office/drawing/2014/main" id="{26603B43-C839-4E82-8430-02E218F009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19249" cy="98946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1623059</xdr:colOff>
      <xdr:row>5</xdr:row>
      <xdr:rowOff>136026</xdr:rowOff>
    </xdr:to>
    <xdr:pic>
      <xdr:nvPicPr>
        <xdr:cNvPr id="8" name="Picture 7">
          <a:extLst>
            <a:ext uri="{FF2B5EF4-FFF2-40B4-BE49-F238E27FC236}">
              <a16:creationId xmlns:a16="http://schemas.microsoft.com/office/drawing/2014/main" id="{02E5CB95-52E7-4719-88FF-FBB4E3427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eck.com/sustainability/approach-to-responsibility/sustainability-report-and-disclosure-portal/sustainability-reports-archive/" TargetMode="External"/><Relationship Id="rId2" Type="http://schemas.openxmlformats.org/officeDocument/2006/relationships/hyperlink" Target="https://www.teck.com/media/2022-Annual-Report.pdf" TargetMode="External"/><Relationship Id="rId1" Type="http://schemas.openxmlformats.org/officeDocument/2006/relationships/hyperlink" Target="https://www.teck.com/media/2022-Sustainabilit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teck.com/sustainability/sustainability-topics/responsible-production/" TargetMode="External"/><Relationship Id="rId18" Type="http://schemas.openxmlformats.org/officeDocument/2006/relationships/hyperlink" Target="https://www.teck.com/media/Trail-Lead-ISO-9001-2015.pdf" TargetMode="External"/><Relationship Id="rId26" Type="http://schemas.openxmlformats.org/officeDocument/2006/relationships/hyperlink" Target="https://www.teck.com/sustainability/sustainability-topics/communities-and-indigenous-peoples/" TargetMode="External"/><Relationship Id="rId39" Type="http://schemas.openxmlformats.org/officeDocument/2006/relationships/hyperlink" Target="https://www.teck.com/media/FRO-ISO-14001-2015.pdf" TargetMode="External"/><Relationship Id="rId21" Type="http://schemas.openxmlformats.org/officeDocument/2006/relationships/hyperlink" Target="https://www.teck.com/sustainability/sustainability-topics/health-and-safety/" TargetMode="External"/><Relationship Id="rId34" Type="http://schemas.openxmlformats.org/officeDocument/2006/relationships/hyperlink" Target="https://www.teck.com/media/Political-Contributions-Policy.pdf" TargetMode="External"/><Relationship Id="rId42" Type="http://schemas.openxmlformats.org/officeDocument/2006/relationships/hyperlink" Target="https://www.teck.com/media/LCO-ISO-14001-2015.pdf" TargetMode="External"/><Relationship Id="rId47" Type="http://schemas.openxmlformats.org/officeDocument/2006/relationships/printerSettings" Target="../printerSettings/printerSettings3.bin"/><Relationship Id="rId7" Type="http://schemas.openxmlformats.org/officeDocument/2006/relationships/hyperlink" Target="https://www.teck.com/media/Code-of-Ethics.pdf" TargetMode="External"/><Relationship Id="rId2" Type="http://schemas.openxmlformats.org/officeDocument/2006/relationships/hyperlink" Target="https://www.teck.com/media/Water-Policy.pdf" TargetMode="External"/><Relationship Id="rId16" Type="http://schemas.openxmlformats.org/officeDocument/2006/relationships/hyperlink" Target="https://www.teck.com/media/Trail-Germanium-ISO-9001-2015.pdf" TargetMode="External"/><Relationship Id="rId29" Type="http://schemas.openxmlformats.org/officeDocument/2006/relationships/hyperlink" Target="https://www.teck.com/media/Human-Rights-Policy.pdf" TargetMode="External"/><Relationship Id="rId1" Type="http://schemas.openxmlformats.org/officeDocument/2006/relationships/hyperlink" Target="https://www.teck.com/sustainability/sustainability-topics/water/" TargetMode="External"/><Relationship Id="rId6" Type="http://schemas.openxmlformats.org/officeDocument/2006/relationships/hyperlink" Target="https://www.teck.com/sustainability/approach-to-responsibility/policies-and-commitments/policies/health,-safety,-environment-and-community-management-standards/" TargetMode="External"/><Relationship Id="rId11" Type="http://schemas.openxmlformats.org/officeDocument/2006/relationships/hyperlink" Target="https://www.teck.com/media/Tax-Policy.pdf" TargetMode="External"/><Relationship Id="rId24" Type="http://schemas.openxmlformats.org/officeDocument/2006/relationships/hyperlink" Target="https://www.teck.com/sustainability/sustainability-topics/our-people/" TargetMode="External"/><Relationship Id="rId32" Type="http://schemas.openxmlformats.org/officeDocument/2006/relationships/hyperlink" Target="https://www.teck.com/sustainability/sustainability-topics/climate-change/" TargetMode="External"/><Relationship Id="rId37" Type="http://schemas.openxmlformats.org/officeDocument/2006/relationships/hyperlink" Target="https://www.teck.com/media/CdA-IRAM-ISO-14001-2015.pdf" TargetMode="External"/><Relationship Id="rId40" Type="http://schemas.openxmlformats.org/officeDocument/2006/relationships/hyperlink" Target="https://www.teck.com/media/GHO-ISO-14001-2015.pdf" TargetMode="External"/><Relationship Id="rId45" Type="http://schemas.openxmlformats.org/officeDocument/2006/relationships/hyperlink" Target="https://www.teck.com/media/Tailings-Management-Policy.pdf" TargetMode="External"/><Relationship Id="rId5" Type="http://schemas.openxmlformats.org/officeDocument/2006/relationships/hyperlink" Target="https://www.teck.com/sustainability/sustainability-topics/tailings-management/dam-safety-inspections/" TargetMode="External"/><Relationship Id="rId15" Type="http://schemas.openxmlformats.org/officeDocument/2006/relationships/hyperlink" Target="https://www.teck.com/products/data-sheets/" TargetMode="External"/><Relationship Id="rId23" Type="http://schemas.openxmlformats.org/officeDocument/2006/relationships/hyperlink" Target="https://www.teck.com/media/Health-and-Safety-Policy.pdf" TargetMode="External"/><Relationship Id="rId28" Type="http://schemas.openxmlformats.org/officeDocument/2006/relationships/hyperlink" Target="https://www.teck.com/media/Indigenous-Peoples-Policy.pdf" TargetMode="External"/><Relationship Id="rId36" Type="http://schemas.openxmlformats.org/officeDocument/2006/relationships/hyperlink" Target="https://www.teck.com/media/CdA-IQNET-ISO-14001-2015.pdf" TargetMode="External"/><Relationship Id="rId10" Type="http://schemas.openxmlformats.org/officeDocument/2006/relationships/hyperlink" Target="https://www.teck.com/responsibility/sustainability-topics/biodiversity-and-reclamation/" TargetMode="External"/><Relationship Id="rId19" Type="http://schemas.openxmlformats.org/officeDocument/2006/relationships/hyperlink" Target="https://www.teck.com/media/Trail-Sulphur-ISO-9001-2015.pdf" TargetMode="External"/><Relationship Id="rId31" Type="http://schemas.openxmlformats.org/officeDocument/2006/relationships/hyperlink" Target="https://www.teck.com/media/Responsible-Mine-Closure-and-Reclamation.pdf" TargetMode="External"/><Relationship Id="rId44" Type="http://schemas.openxmlformats.org/officeDocument/2006/relationships/hyperlink" Target="https://www.teck.com/media/RDO-ISO-14001-2015.pdf" TargetMode="External"/><Relationship Id="rId4" Type="http://schemas.openxmlformats.org/officeDocument/2006/relationships/hyperlink" Target="https://www.teck.com/sustainability/sustainability-topics/tailings-management/" TargetMode="External"/><Relationship Id="rId9" Type="http://schemas.openxmlformats.org/officeDocument/2006/relationships/hyperlink" Target="https://www.teck.com/media/Anti-Bribery-and-Corruption-Compliance-Policy-and-Interpretation-Guide.pdf" TargetMode="External"/><Relationship Id="rId14" Type="http://schemas.openxmlformats.org/officeDocument/2006/relationships/hyperlink" Target="https://www.teck.com/products/data-sheets/" TargetMode="External"/><Relationship Id="rId22" Type="http://schemas.openxmlformats.org/officeDocument/2006/relationships/hyperlink" Target="https://www.teck.com/media/Teck's-Expectations-for-Suppliers-and-Contractors.pdf" TargetMode="External"/><Relationship Id="rId27" Type="http://schemas.openxmlformats.org/officeDocument/2006/relationships/hyperlink" Target="https://www.teck.com/sustainability/sustainability-topics/communities-and-indigenous-peoples/community-investment/" TargetMode="External"/><Relationship Id="rId30" Type="http://schemas.openxmlformats.org/officeDocument/2006/relationships/hyperlink" Target="https://www.teck.com/media/Teck-Climate-Change-Policy.pdf" TargetMode="External"/><Relationship Id="rId35" Type="http://schemas.openxmlformats.org/officeDocument/2006/relationships/hyperlink" Target="https://www.teck.com/sustainability/approach-to-responsibility/sustainability-approach-and-goals/" TargetMode="External"/><Relationship Id="rId43" Type="http://schemas.openxmlformats.org/officeDocument/2006/relationships/hyperlink" Target="https://www.teck.com/media/Trail-ISO-14001-2015.pdf" TargetMode="External"/><Relationship Id="rId48" Type="http://schemas.openxmlformats.org/officeDocument/2006/relationships/drawing" Target="../drawings/drawing3.xml"/><Relationship Id="rId8" Type="http://schemas.openxmlformats.org/officeDocument/2006/relationships/hyperlink" Target="https://www.teck.com/media/Code-of-Sustainable-Conduct.pdf" TargetMode="External"/><Relationship Id="rId3" Type="http://schemas.openxmlformats.org/officeDocument/2006/relationships/hyperlink" Target="https://www.teck.com/media/Teck_Climate_Change_Outlook_2021.pdf" TargetMode="External"/><Relationship Id="rId12" Type="http://schemas.openxmlformats.org/officeDocument/2006/relationships/hyperlink" Target="https://www.teck.com/responsibility/sustainability-topics/water/water-quality-in-the-elk-valley/" TargetMode="External"/><Relationship Id="rId17" Type="http://schemas.openxmlformats.org/officeDocument/2006/relationships/hyperlink" Target="https://www.teck.com/media/Trail-Indium-ISO-9001-2015.pdf" TargetMode="External"/><Relationship Id="rId25" Type="http://schemas.openxmlformats.org/officeDocument/2006/relationships/hyperlink" Target="https://www.teck.com/media/Inclusion-and-Diversity-Policy.pdf" TargetMode="External"/><Relationship Id="rId33" Type="http://schemas.openxmlformats.org/officeDocument/2006/relationships/hyperlink" Target="https://www.teck.com/media/Human-Resources-Global-Policy%E2%80%93Harassment.pdf" TargetMode="External"/><Relationship Id="rId38" Type="http://schemas.openxmlformats.org/officeDocument/2006/relationships/hyperlink" Target="https://www.teck.com/media/EVO-ISO-14001-2015.pdf" TargetMode="External"/><Relationship Id="rId46" Type="http://schemas.openxmlformats.org/officeDocument/2006/relationships/hyperlink" Target="https://www.teck.com/media/Respectful-Workplace-Policy.pdf" TargetMode="External"/><Relationship Id="rId20" Type="http://schemas.openxmlformats.org/officeDocument/2006/relationships/hyperlink" Target="https://www.teck.com/media/Trail-Zinc-ISO-9001-2015.pdf" TargetMode="External"/><Relationship Id="rId41" Type="http://schemas.openxmlformats.org/officeDocument/2006/relationships/hyperlink" Target="https://www.teck.com/media/HVC-ISO-14001-2015.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0F7B"/>
  </sheetPr>
  <dimension ref="B1:M28"/>
  <sheetViews>
    <sheetView showGridLines="0" zoomScaleNormal="100" workbookViewId="0"/>
  </sheetViews>
  <sheetFormatPr baseColWidth="10" defaultColWidth="8.7109375" defaultRowHeight="15"/>
  <cols>
    <col min="1" max="1" width="2.28515625" customWidth="1"/>
    <col min="2" max="2" width="80.28515625" customWidth="1"/>
    <col min="3" max="3" width="48" customWidth="1"/>
    <col min="4" max="4" width="85.7109375" customWidth="1"/>
    <col min="5" max="5" width="43.7109375" customWidth="1"/>
    <col min="6" max="9" width="12.28515625" customWidth="1"/>
  </cols>
  <sheetData>
    <row r="1" spans="2:7" ht="15.6" customHeight="1"/>
    <row r="2" spans="2:7" ht="15.6" customHeight="1"/>
    <row r="3" spans="2:7" ht="15.6" customHeight="1"/>
    <row r="4" spans="2:7" ht="15.6" customHeight="1"/>
    <row r="5" spans="2:7" ht="15.6" customHeight="1"/>
    <row r="6" spans="2:7" ht="15.6" customHeight="1"/>
    <row r="7" spans="2:7" ht="15.6" customHeight="1"/>
    <row r="8" spans="2:7" ht="15.6" customHeight="1"/>
    <row r="9" spans="2:7" ht="15.6" customHeight="1"/>
    <row r="10" spans="2:7" ht="15.6" customHeight="1"/>
    <row r="11" spans="2:7" ht="15.6" customHeight="1"/>
    <row r="12" spans="2:7" ht="23.65" customHeight="1">
      <c r="B12" s="506" t="s">
        <v>0</v>
      </c>
      <c r="C12" s="506"/>
      <c r="D12" s="506"/>
      <c r="E12" s="506"/>
    </row>
    <row r="13" spans="2:7" ht="18.75" thickBot="1">
      <c r="B13" s="509"/>
      <c r="C13" s="502"/>
      <c r="D13" s="502"/>
      <c r="E13" s="502"/>
      <c r="F13" s="502"/>
      <c r="G13" s="502"/>
    </row>
    <row r="14" spans="2:7" s="88" customFormat="1" ht="20.25" thickTop="1" thickBot="1">
      <c r="B14" s="589" t="s">
        <v>1</v>
      </c>
      <c r="C14" s="589"/>
      <c r="D14" s="502"/>
      <c r="E14" s="502"/>
      <c r="F14" s="502"/>
      <c r="G14" s="502"/>
    </row>
    <row r="15" spans="2:7" ht="18" customHeight="1" thickTop="1"/>
    <row r="16" spans="2:7" ht="42.6" customHeight="1">
      <c r="B16" s="590" t="s">
        <v>2</v>
      </c>
      <c r="C16" s="591"/>
    </row>
    <row r="17" spans="2:13" ht="42.6" customHeight="1">
      <c r="B17" s="596" t="s">
        <v>3</v>
      </c>
      <c r="C17" s="597"/>
      <c r="D17" s="507"/>
      <c r="E17" s="507"/>
      <c r="F17" s="507"/>
      <c r="G17" s="507"/>
    </row>
    <row r="18" spans="2:13" ht="42.6" customHeight="1">
      <c r="B18" s="596" t="s">
        <v>4</v>
      </c>
      <c r="C18" s="597"/>
      <c r="D18" s="507"/>
      <c r="E18" s="507"/>
      <c r="F18" s="507"/>
      <c r="G18" s="507"/>
    </row>
    <row r="19" spans="2:13" ht="42.6" customHeight="1">
      <c r="B19" s="596" t="s">
        <v>5</v>
      </c>
      <c r="C19" s="597"/>
      <c r="D19" s="507"/>
      <c r="E19" s="507"/>
      <c r="F19" s="507"/>
      <c r="G19" s="507"/>
    </row>
    <row r="20" spans="2:13" ht="42.6" customHeight="1">
      <c r="B20" s="596" t="s">
        <v>6</v>
      </c>
      <c r="C20" s="597"/>
      <c r="D20" s="507"/>
      <c r="E20" s="507"/>
      <c r="F20" s="507"/>
      <c r="G20" s="507"/>
      <c r="M20" s="64"/>
    </row>
    <row r="21" spans="2:13" ht="42.6" customHeight="1">
      <c r="B21" s="593" t="s">
        <v>7</v>
      </c>
      <c r="C21" s="594"/>
      <c r="D21" s="507"/>
      <c r="E21" s="507"/>
      <c r="F21" s="507"/>
      <c r="G21" s="507"/>
    </row>
    <row r="22" spans="2:13" ht="16.350000000000001" customHeight="1">
      <c r="B22" s="595"/>
      <c r="C22" s="595"/>
      <c r="D22" s="63"/>
      <c r="E22" s="63"/>
      <c r="F22" s="63"/>
      <c r="G22" s="63"/>
      <c r="H22" s="63"/>
      <c r="I22" s="63"/>
    </row>
    <row r="23" spans="2:13" ht="23.65" customHeight="1">
      <c r="B23" s="510" t="s">
        <v>8</v>
      </c>
      <c r="C23" s="511" t="s">
        <v>9</v>
      </c>
      <c r="D23" s="89"/>
      <c r="E23" s="89"/>
      <c r="F23" s="89"/>
      <c r="G23" s="89"/>
      <c r="H23" s="89"/>
      <c r="I23" s="89"/>
    </row>
    <row r="24" spans="2:13" ht="23.65" customHeight="1">
      <c r="B24" s="512" t="s">
        <v>10</v>
      </c>
      <c r="C24" s="513" t="s">
        <v>11</v>
      </c>
      <c r="D24" s="89"/>
      <c r="E24" s="89"/>
      <c r="F24" s="89"/>
      <c r="G24" s="89"/>
      <c r="H24" s="89"/>
      <c r="I24" s="89"/>
    </row>
    <row r="25" spans="2:13" ht="23.65" customHeight="1">
      <c r="B25" s="514" t="s">
        <v>12</v>
      </c>
      <c r="C25" s="515" t="s">
        <v>13</v>
      </c>
      <c r="D25" s="508"/>
      <c r="E25" s="508"/>
      <c r="F25" s="89"/>
      <c r="G25" s="89"/>
      <c r="H25" s="89"/>
      <c r="I25" s="89"/>
    </row>
    <row r="26" spans="2:13" ht="18.600000000000001" customHeight="1">
      <c r="B26" s="592"/>
      <c r="C26" s="592"/>
      <c r="D26" s="9"/>
      <c r="E26" s="9"/>
    </row>
    <row r="27" spans="2:13" ht="37.9" customHeight="1">
      <c r="B27" s="590" t="s">
        <v>14</v>
      </c>
      <c r="C27" s="591"/>
      <c r="D27" s="507"/>
      <c r="E27" s="507"/>
      <c r="F27" s="507"/>
      <c r="G27" s="507"/>
      <c r="H27" s="507"/>
      <c r="I27" s="507"/>
    </row>
    <row r="28" spans="2:13" ht="21" customHeight="1">
      <c r="B28" s="587" t="s">
        <v>1591</v>
      </c>
      <c r="C28" s="588"/>
      <c r="D28" s="148"/>
      <c r="E28" s="148"/>
      <c r="F28" s="148"/>
      <c r="G28" s="148"/>
      <c r="H28" s="148"/>
      <c r="I28" s="148"/>
    </row>
  </sheetData>
  <sheetProtection algorithmName="SHA-512" hashValue="PBXuwYQW3iZNNyB0W5d8Asx5tw9UAZE/1Lo9dcQbz1HtNCxj78dTACvX3VWTV9KiRC+KQ2wKkR0ab1HK5IlP+g==" saltValue="cIjPvRscUdbWCge9CLGe3w==" spinCount="100000" sheet="1" objects="1" scenarios="1"/>
  <mergeCells count="11">
    <mergeCell ref="B28:C28"/>
    <mergeCell ref="B14:C14"/>
    <mergeCell ref="B16:C16"/>
    <mergeCell ref="B26:C26"/>
    <mergeCell ref="B27:C27"/>
    <mergeCell ref="B21:C21"/>
    <mergeCell ref="B22:C22"/>
    <mergeCell ref="B17:C17"/>
    <mergeCell ref="B18:C18"/>
    <mergeCell ref="B19:C19"/>
    <mergeCell ref="B20:C20"/>
  </mergeCells>
  <hyperlinks>
    <hyperlink ref="C23" r:id="rId1" xr:uid="{C52250DD-582D-4206-877F-4EAEC311A747}"/>
    <hyperlink ref="C24" r:id="rId2" xr:uid="{EB949A5E-C2B7-4F7B-8571-558AAE1F09A3}"/>
    <hyperlink ref="C25" r:id="rId3" xr:uid="{2D02B417-F285-4A1C-955F-92513D869C37}"/>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43AD-9096-4042-8870-FCADC3634006}">
  <sheetPr codeName="Sheet19">
    <tabColor rgb="FF93E3FF"/>
  </sheetPr>
  <dimension ref="A1:D37"/>
  <sheetViews>
    <sheetView showGridLines="0" workbookViewId="0">
      <selection sqref="A1:B1"/>
    </sheetView>
  </sheetViews>
  <sheetFormatPr baseColWidth="10" defaultColWidth="8.7109375" defaultRowHeight="14.25"/>
  <cols>
    <col min="1" max="1" width="60.7109375" style="4" customWidth="1"/>
    <col min="2" max="2" width="12.42578125" style="4" customWidth="1"/>
    <col min="3" max="16384" width="8.7109375" style="4"/>
  </cols>
  <sheetData>
    <row r="1" spans="1:4">
      <c r="A1" s="599"/>
      <c r="B1" s="599"/>
    </row>
    <row r="2" spans="1:4">
      <c r="A2" s="599"/>
      <c r="B2" s="599"/>
    </row>
    <row r="3" spans="1:4">
      <c r="A3" s="599"/>
      <c r="B3" s="599"/>
    </row>
    <row r="4" spans="1:4">
      <c r="A4" s="599"/>
      <c r="B4" s="599"/>
    </row>
    <row r="5" spans="1:4">
      <c r="A5" s="599"/>
      <c r="B5" s="599"/>
    </row>
    <row r="7" spans="1:4" ht="16.899999999999999" customHeight="1">
      <c r="A7" s="598" t="s">
        <v>0</v>
      </c>
      <c r="B7" s="598"/>
    </row>
    <row r="8" spans="1:4">
      <c r="A8" s="599"/>
      <c r="B8" s="599"/>
    </row>
    <row r="9" spans="1:4" ht="15.75">
      <c r="A9" s="523" t="s">
        <v>15</v>
      </c>
      <c r="B9" s="523" t="s">
        <v>16</v>
      </c>
    </row>
    <row r="10" spans="1:4">
      <c r="A10" s="521" t="s">
        <v>17</v>
      </c>
      <c r="B10" s="522" t="s">
        <v>18</v>
      </c>
    </row>
    <row r="11" spans="1:4">
      <c r="A11" s="37"/>
      <c r="B11" s="37"/>
    </row>
    <row r="12" spans="1:4" ht="15.75">
      <c r="A12" s="524" t="s">
        <v>19</v>
      </c>
      <c r="B12" s="525"/>
    </row>
    <row r="13" spans="1:4" ht="15" customHeight="1">
      <c r="A13" s="12" t="s">
        <v>20</v>
      </c>
      <c r="B13" s="526" t="s">
        <v>18</v>
      </c>
      <c r="C13" s="37"/>
      <c r="D13" s="37"/>
    </row>
    <row r="14" spans="1:4">
      <c r="A14" s="531" t="s">
        <v>21</v>
      </c>
      <c r="B14" s="527" t="s">
        <v>18</v>
      </c>
      <c r="C14" s="37"/>
      <c r="D14" s="37"/>
    </row>
    <row r="15" spans="1:4">
      <c r="A15" s="531" t="s">
        <v>22</v>
      </c>
      <c r="B15" s="527" t="s">
        <v>18</v>
      </c>
      <c r="C15" s="37"/>
      <c r="D15" s="37"/>
    </row>
    <row r="16" spans="1:4">
      <c r="A16" s="531" t="s">
        <v>23</v>
      </c>
      <c r="B16" s="527" t="s">
        <v>18</v>
      </c>
      <c r="C16" s="37"/>
      <c r="D16" s="37"/>
    </row>
    <row r="17" spans="1:4">
      <c r="A17" s="531" t="s">
        <v>24</v>
      </c>
      <c r="B17" s="527" t="s">
        <v>18</v>
      </c>
      <c r="C17" s="37"/>
      <c r="D17" s="37"/>
    </row>
    <row r="18" spans="1:4">
      <c r="A18" s="531" t="s">
        <v>25</v>
      </c>
      <c r="B18" s="527" t="s">
        <v>18</v>
      </c>
      <c r="C18" s="37"/>
      <c r="D18" s="37"/>
    </row>
    <row r="19" spans="1:4" s="12" customFormat="1" ht="12.75">
      <c r="A19" s="37"/>
      <c r="B19" s="528"/>
    </row>
    <row r="20" spans="1:4" ht="15.75">
      <c r="A20" s="524" t="s">
        <v>26</v>
      </c>
      <c r="B20" s="525"/>
    </row>
    <row r="21" spans="1:4">
      <c r="A21" s="12" t="s">
        <v>27</v>
      </c>
      <c r="B21" s="529" t="s">
        <v>18</v>
      </c>
    </row>
    <row r="22" spans="1:4">
      <c r="A22" s="531" t="s">
        <v>28</v>
      </c>
      <c r="B22" s="530" t="s">
        <v>18</v>
      </c>
    </row>
    <row r="23" spans="1:4">
      <c r="A23" s="531" t="s">
        <v>29</v>
      </c>
      <c r="B23" s="530" t="s">
        <v>18</v>
      </c>
    </row>
    <row r="24" spans="1:4">
      <c r="A24" s="531" t="s">
        <v>30</v>
      </c>
      <c r="B24" s="530" t="s">
        <v>18</v>
      </c>
    </row>
    <row r="25" spans="1:4">
      <c r="A25" s="37"/>
      <c r="B25" s="37"/>
    </row>
    <row r="26" spans="1:4" ht="15.75">
      <c r="A26" s="524" t="s">
        <v>31</v>
      </c>
      <c r="B26" s="525"/>
    </row>
    <row r="27" spans="1:4">
      <c r="A27" s="12" t="s">
        <v>32</v>
      </c>
      <c r="B27" s="529" t="s">
        <v>18</v>
      </c>
    </row>
    <row r="28" spans="1:4">
      <c r="A28" s="531" t="s">
        <v>33</v>
      </c>
      <c r="B28" s="530" t="s">
        <v>18</v>
      </c>
    </row>
    <row r="29" spans="1:4">
      <c r="A29" s="531" t="s">
        <v>34</v>
      </c>
      <c r="B29" s="530" t="s">
        <v>18</v>
      </c>
    </row>
    <row r="30" spans="1:4">
      <c r="A30" s="37"/>
      <c r="B30" s="37"/>
    </row>
    <row r="31" spans="1:4" ht="15.75">
      <c r="A31" s="161" t="s">
        <v>35</v>
      </c>
      <c r="B31" s="161"/>
    </row>
    <row r="32" spans="1:4">
      <c r="A32" s="521" t="s">
        <v>36</v>
      </c>
      <c r="B32" s="522" t="s">
        <v>18</v>
      </c>
    </row>
    <row r="33" spans="1:2">
      <c r="A33" s="600"/>
      <c r="B33" s="600"/>
    </row>
    <row r="34" spans="1:2">
      <c r="A34" s="600"/>
      <c r="B34" s="600"/>
    </row>
    <row r="35" spans="1:2">
      <c r="A35" s="600"/>
      <c r="B35" s="600"/>
    </row>
    <row r="36" spans="1:2">
      <c r="A36" s="600"/>
      <c r="B36" s="600"/>
    </row>
    <row r="37" spans="1:2">
      <c r="A37" s="601"/>
      <c r="B37" s="601"/>
    </row>
  </sheetData>
  <sheetProtection algorithmName="SHA-512" hashValue="5zKAbf6FIc3CngMKjeYaC0Q8a6mhrzLRKJ+vdNMH2bA4E06Q+HhmSFrLgXy+qbx9No0umcGkAsxhTZtk9V4FNw==" saltValue="N8MqPD8TgY3xlh4EFqF3bg==" spinCount="100000" sheet="1" objects="1" scenarios="1"/>
  <mergeCells count="12">
    <mergeCell ref="A34:B34"/>
    <mergeCell ref="A35:B35"/>
    <mergeCell ref="A36:B36"/>
    <mergeCell ref="A37:B37"/>
    <mergeCell ref="A33:B33"/>
    <mergeCell ref="A7:B7"/>
    <mergeCell ref="A8:B8"/>
    <mergeCell ref="A1:B1"/>
    <mergeCell ref="A2:B2"/>
    <mergeCell ref="A3:B3"/>
    <mergeCell ref="A4:B4"/>
    <mergeCell ref="A5:B5"/>
  </mergeCells>
  <hyperlinks>
    <hyperlink ref="A26" location="'Value Sharing'!A1" display="Value Sharing" xr:uid="{DDD8A17E-08DE-4EAC-9991-691CE9109629}"/>
    <hyperlink ref="A20" location="Social!A1" display="Social" xr:uid="{EF579808-A57D-483C-A11E-DFF99C87019B}"/>
    <hyperlink ref="A12" location="Environment!A1" display="Environment" xr:uid="{CD1EE9D2-A7DE-41D0-81AC-3946F58716B9}"/>
    <hyperlink ref="B10" location="'Policies &amp; Commitments'!A1" display="Section Link" xr:uid="{B439719B-4491-4361-A13B-0FB0BCF5A9FF}"/>
    <hyperlink ref="B13" location="'Air Quality'!A1" display="Section Link" xr:uid="{6B2B9B25-43EB-4872-8886-9F4E50CB845C}"/>
    <hyperlink ref="B14" location="'Biodiversity &amp; Reclamation'!A1" display="Section Link" xr:uid="{5E448372-B206-4B1C-96D5-1AA5953A9378}"/>
    <hyperlink ref="B15" location="'Climate Change'!A1" display="Section Link" xr:uid="{AD831B53-FCE9-4181-908E-CD357AED0B6D}"/>
    <hyperlink ref="B16" location="'Responsible Production &amp; Waste'!A1" display="Section Link" xr:uid="{7E6662F2-7C98-4D76-8584-C0553ED3C216}"/>
    <hyperlink ref="B17" location="Tailings!A1" display="Section Link" xr:uid="{1BAD7EE3-C6C7-4D51-A30A-53B50D61085B}"/>
    <hyperlink ref="B18" location="'Water Stewardship'!A1" display="Section Link" xr:uid="{F666481A-F874-46C0-8B96-F14568F2539A}"/>
    <hyperlink ref="B21" location="'Health &amp; Safety'!A1" display="Section Link" xr:uid="{231135A5-F5DD-4B37-8106-30B34A21A5E9}"/>
    <hyperlink ref="B22" location="Workforce!A1" display="Section Link" xr:uid="{3B7EB503-279B-4FBA-B408-0E33D4376945}"/>
    <hyperlink ref="B23" location="Communities!A1" display="Section Link" xr:uid="{65CC780B-1004-4C62-9C51-A0058EFE0943}"/>
    <hyperlink ref="B24" location="'Indigenous Peoples'!A1" display="Section Link" xr:uid="{81C79C82-9FE2-4294-9D98-ABDC2B801BF6}"/>
    <hyperlink ref="B27" location="'Economic Performance &amp; Contribu'!A1" display="Section Link" xr:uid="{DF4FAA87-13CE-4195-B5B4-EB83DFF9DAEB}"/>
    <hyperlink ref="B28" location="Tax!A1" display="Section Link" xr:uid="{CF88C2A8-24FB-453A-8099-411650EDDF07}"/>
    <hyperlink ref="B32" location="Restatements!A1" display="Section Link" xr:uid="{A6EBA1D0-7DB1-4945-A542-C81BB116FE64}"/>
    <hyperlink ref="B29" location="'Tax Entities'!A1" display="Section Link" xr:uid="{58861F14-4197-4662-AF27-BEF86DDB12A3}"/>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24AC-0C42-4155-B267-D3F505E1DD16}">
  <sheetPr codeName="Sheet2">
    <tabColor rgb="FF93E3FF"/>
  </sheetPr>
  <dimension ref="A2:C65"/>
  <sheetViews>
    <sheetView showGridLines="0" workbookViewId="0"/>
  </sheetViews>
  <sheetFormatPr baseColWidth="10" defaultColWidth="8.7109375" defaultRowHeight="14.25"/>
  <cols>
    <col min="1" max="1" width="67.7109375" style="4" customWidth="1"/>
    <col min="2" max="2" width="9.7109375" style="146" customWidth="1"/>
    <col min="3" max="16384" width="8.7109375" style="4"/>
  </cols>
  <sheetData>
    <row r="2" spans="1:2">
      <c r="B2" s="137"/>
    </row>
    <row r="6" spans="1:2" ht="18">
      <c r="A6" s="598" t="s">
        <v>37</v>
      </c>
      <c r="B6" s="598"/>
    </row>
    <row r="8" spans="1:2" ht="15.75">
      <c r="A8" s="161" t="s">
        <v>38</v>
      </c>
      <c r="B8" s="517" t="s">
        <v>16</v>
      </c>
    </row>
    <row r="9" spans="1:2">
      <c r="A9" s="531" t="s">
        <v>39</v>
      </c>
      <c r="B9" s="516" t="s">
        <v>40</v>
      </c>
    </row>
    <row r="10" spans="1:2">
      <c r="A10" s="531" t="s">
        <v>41</v>
      </c>
      <c r="B10" s="516" t="s">
        <v>40</v>
      </c>
    </row>
    <row r="11" spans="1:2">
      <c r="A11" s="531" t="s">
        <v>42</v>
      </c>
      <c r="B11" s="516" t="s">
        <v>40</v>
      </c>
    </row>
    <row r="12" spans="1:2">
      <c r="A12" s="531" t="s">
        <v>43</v>
      </c>
      <c r="B12" s="516" t="s">
        <v>40</v>
      </c>
    </row>
    <row r="13" spans="1:2">
      <c r="A13" s="531" t="s">
        <v>44</v>
      </c>
      <c r="B13" s="516" t="s">
        <v>45</v>
      </c>
    </row>
    <row r="14" spans="1:2">
      <c r="A14" s="531" t="s">
        <v>46</v>
      </c>
      <c r="B14" s="516" t="s">
        <v>40</v>
      </c>
    </row>
    <row r="15" spans="1:2">
      <c r="A15" s="531" t="s">
        <v>47</v>
      </c>
      <c r="B15" s="516" t="s">
        <v>45</v>
      </c>
    </row>
    <row r="16" spans="1:2">
      <c r="A16" s="531" t="s">
        <v>48</v>
      </c>
      <c r="B16" s="516" t="s">
        <v>40</v>
      </c>
    </row>
    <row r="17" spans="1:2" ht="16.899999999999999" customHeight="1"/>
    <row r="18" spans="1:2" ht="15.75">
      <c r="A18" s="161" t="s">
        <v>19</v>
      </c>
      <c r="B18" s="517" t="s">
        <v>16</v>
      </c>
    </row>
    <row r="19" spans="1:2" ht="15" customHeight="1">
      <c r="A19" s="531" t="s">
        <v>49</v>
      </c>
      <c r="B19" s="516" t="s">
        <v>40</v>
      </c>
    </row>
    <row r="20" spans="1:2">
      <c r="A20" s="531" t="s">
        <v>50</v>
      </c>
      <c r="B20" s="516" t="s">
        <v>45</v>
      </c>
    </row>
    <row r="21" spans="1:2">
      <c r="A21" s="531" t="s">
        <v>51</v>
      </c>
      <c r="B21" s="516" t="s">
        <v>40</v>
      </c>
    </row>
    <row r="22" spans="1:2">
      <c r="A22" s="531" t="s">
        <v>52</v>
      </c>
      <c r="B22" s="516" t="s">
        <v>40</v>
      </c>
    </row>
    <row r="23" spans="1:2">
      <c r="A23" s="531" t="s">
        <v>53</v>
      </c>
      <c r="B23" s="516" t="s">
        <v>45</v>
      </c>
    </row>
    <row r="24" spans="1:2">
      <c r="A24" s="531" t="s">
        <v>54</v>
      </c>
      <c r="B24" s="518" t="s">
        <v>45</v>
      </c>
    </row>
    <row r="25" spans="1:2" s="12" customFormat="1" ht="12.75">
      <c r="A25" s="531" t="s">
        <v>55</v>
      </c>
      <c r="B25" s="516" t="s">
        <v>40</v>
      </c>
    </row>
    <row r="26" spans="1:2">
      <c r="A26" s="531" t="s">
        <v>56</v>
      </c>
      <c r="B26" s="516" t="s">
        <v>45</v>
      </c>
    </row>
    <row r="27" spans="1:2">
      <c r="A27" s="531" t="s">
        <v>1594</v>
      </c>
      <c r="B27" s="518" t="s">
        <v>45</v>
      </c>
    </row>
    <row r="28" spans="1:2">
      <c r="A28" s="531" t="s">
        <v>57</v>
      </c>
      <c r="B28" s="516" t="s">
        <v>45</v>
      </c>
    </row>
    <row r="29" spans="1:2">
      <c r="A29" s="531" t="s">
        <v>58</v>
      </c>
      <c r="B29" s="516" t="s">
        <v>45</v>
      </c>
    </row>
    <row r="30" spans="1:2">
      <c r="A30" s="531" t="s">
        <v>59</v>
      </c>
      <c r="B30" s="516" t="s">
        <v>40</v>
      </c>
    </row>
    <row r="31" spans="1:2" ht="17.649999999999999" customHeight="1"/>
    <row r="32" spans="1:2" ht="15.75">
      <c r="A32" s="161" t="s">
        <v>26</v>
      </c>
      <c r="B32" s="517" t="s">
        <v>16</v>
      </c>
    </row>
    <row r="33" spans="1:2">
      <c r="A33" s="531" t="s">
        <v>60</v>
      </c>
      <c r="B33" s="516" t="s">
        <v>45</v>
      </c>
    </row>
    <row r="34" spans="1:2">
      <c r="A34" s="531" t="s">
        <v>61</v>
      </c>
      <c r="B34" s="516" t="s">
        <v>45</v>
      </c>
    </row>
    <row r="35" spans="1:2">
      <c r="A35" s="531" t="s">
        <v>62</v>
      </c>
      <c r="B35" s="516" t="s">
        <v>40</v>
      </c>
    </row>
    <row r="36" spans="1:2">
      <c r="A36" s="531" t="s">
        <v>63</v>
      </c>
      <c r="B36" s="516" t="s">
        <v>40</v>
      </c>
    </row>
    <row r="37" spans="1:2">
      <c r="A37" s="531" t="s">
        <v>64</v>
      </c>
      <c r="B37" s="516" t="s">
        <v>45</v>
      </c>
    </row>
    <row r="38" spans="1:2">
      <c r="A38" s="531" t="s">
        <v>65</v>
      </c>
      <c r="B38" s="516" t="s">
        <v>40</v>
      </c>
    </row>
    <row r="39" spans="1:2">
      <c r="A39" s="531" t="s">
        <v>66</v>
      </c>
      <c r="B39" s="516" t="s">
        <v>40</v>
      </c>
    </row>
    <row r="40" spans="1:2">
      <c r="A40" s="531" t="s">
        <v>67</v>
      </c>
      <c r="B40" s="516" t="s">
        <v>40</v>
      </c>
    </row>
    <row r="41" spans="1:2">
      <c r="A41" s="531" t="s">
        <v>68</v>
      </c>
      <c r="B41" s="516" t="s">
        <v>45</v>
      </c>
    </row>
    <row r="42" spans="1:2">
      <c r="A42" s="12" t="s">
        <v>1595</v>
      </c>
      <c r="B42" s="518" t="s">
        <v>45</v>
      </c>
    </row>
    <row r="43" spans="1:2" ht="17.649999999999999" customHeight="1"/>
    <row r="44" spans="1:2" ht="15.75">
      <c r="A44" s="161" t="s">
        <v>69</v>
      </c>
      <c r="B44" s="517" t="s">
        <v>16</v>
      </c>
    </row>
    <row r="45" spans="1:2">
      <c r="A45" s="531" t="s">
        <v>70</v>
      </c>
      <c r="B45" s="516" t="s">
        <v>45</v>
      </c>
    </row>
    <row r="46" spans="1:2">
      <c r="A46" s="531" t="s">
        <v>71</v>
      </c>
      <c r="B46" s="516" t="s">
        <v>45</v>
      </c>
    </row>
    <row r="47" spans="1:2">
      <c r="A47" s="531" t="s">
        <v>72</v>
      </c>
      <c r="B47" s="516" t="s">
        <v>40</v>
      </c>
    </row>
    <row r="48" spans="1:2">
      <c r="A48" s="531" t="s">
        <v>73</v>
      </c>
      <c r="B48" s="516" t="s">
        <v>40</v>
      </c>
    </row>
    <row r="49" spans="1:3">
      <c r="A49" s="531" t="s">
        <v>74</v>
      </c>
      <c r="B49" s="516" t="s">
        <v>40</v>
      </c>
    </row>
    <row r="50" spans="1:3">
      <c r="A50" s="531" t="s">
        <v>75</v>
      </c>
      <c r="B50" s="516" t="s">
        <v>40</v>
      </c>
    </row>
    <row r="51" spans="1:3">
      <c r="A51" s="531" t="s">
        <v>76</v>
      </c>
      <c r="B51" s="516" t="s">
        <v>40</v>
      </c>
    </row>
    <row r="52" spans="1:3" ht="17.649999999999999" customHeight="1"/>
    <row r="53" spans="1:3" ht="15.75">
      <c r="A53" s="161" t="s">
        <v>77</v>
      </c>
      <c r="B53" s="517" t="s">
        <v>16</v>
      </c>
    </row>
    <row r="54" spans="1:3">
      <c r="A54" s="531" t="s">
        <v>78</v>
      </c>
      <c r="B54" s="516" t="s">
        <v>40</v>
      </c>
      <c r="C54" s="12"/>
    </row>
    <row r="55" spans="1:3">
      <c r="A55" s="531" t="s">
        <v>79</v>
      </c>
      <c r="B55" s="516" t="s">
        <v>40</v>
      </c>
      <c r="C55" s="12"/>
    </row>
    <row r="56" spans="1:3">
      <c r="A56" s="531" t="s">
        <v>80</v>
      </c>
      <c r="B56" s="516" t="s">
        <v>40</v>
      </c>
      <c r="C56" s="12"/>
    </row>
    <row r="57" spans="1:3">
      <c r="A57" s="531" t="s">
        <v>81</v>
      </c>
      <c r="B57" s="516" t="s">
        <v>40</v>
      </c>
      <c r="C57" s="12"/>
    </row>
    <row r="58" spans="1:3">
      <c r="A58" s="531" t="s">
        <v>82</v>
      </c>
      <c r="B58" s="516" t="s">
        <v>40</v>
      </c>
      <c r="C58" s="12"/>
    </row>
    <row r="59" spans="1:3">
      <c r="A59" s="531" t="s">
        <v>83</v>
      </c>
      <c r="B59" s="516" t="s">
        <v>40</v>
      </c>
      <c r="C59" s="12"/>
    </row>
    <row r="60" spans="1:3">
      <c r="A60" s="531" t="s">
        <v>84</v>
      </c>
      <c r="B60" s="516" t="s">
        <v>40</v>
      </c>
      <c r="C60" s="12"/>
    </row>
    <row r="61" spans="1:3">
      <c r="A61" s="531" t="s">
        <v>85</v>
      </c>
      <c r="B61" s="516" t="s">
        <v>40</v>
      </c>
      <c r="C61" s="12"/>
    </row>
    <row r="62" spans="1:3">
      <c r="A62" s="531" t="s">
        <v>86</v>
      </c>
      <c r="B62" s="516" t="s">
        <v>40</v>
      </c>
      <c r="C62" s="12"/>
    </row>
    <row r="63" spans="1:3">
      <c r="B63" s="211"/>
    </row>
    <row r="64" spans="1:3">
      <c r="B64" s="211"/>
    </row>
    <row r="65" spans="2:2">
      <c r="B65" s="211"/>
    </row>
  </sheetData>
  <sheetProtection algorithmName="SHA-512" hashValue="WwiSFsg17bFoR7CfkoVtzvGN9/rcX6Qo+mrYWDRRvAzBdGGz4TfLQo4EpLIg4PvcRfJNd0s4wVTUeLVsvuNWrA==" saltValue="KbJ4lsEf8IrHNC++oGZpTg==" spinCount="100000" sheet="1" objects="1" scenarios="1"/>
  <mergeCells count="1">
    <mergeCell ref="A6:B6"/>
  </mergeCells>
  <hyperlinks>
    <hyperlink ref="B29" r:id="rId1" xr:uid="{70D379DB-0185-46BF-9664-FD2D3AB6B5BD}"/>
    <hyperlink ref="B30" r:id="rId2" xr:uid="{64A38691-3513-41E2-9F6B-093EF9DFC1BC}"/>
    <hyperlink ref="B21" r:id="rId3" xr:uid="{CFE101DE-835A-46DA-B32A-E85B8B59F1B7}"/>
    <hyperlink ref="B28" r:id="rId4" xr:uid="{C263C3F8-F2F2-476F-B3F8-B4D2D8551F72}"/>
    <hyperlink ref="B19" r:id="rId5" xr:uid="{B6F403B3-2162-4C70-BA7F-83CBD6C3D4C6}"/>
    <hyperlink ref="B13" r:id="rId6" xr:uid="{FB1FB067-DDF9-496C-823B-97EE9B486BBB}"/>
    <hyperlink ref="B10" r:id="rId7" xr:uid="{27414857-185A-4FB8-998D-7DE23B3EEC1E}"/>
    <hyperlink ref="B11" r:id="rId8" xr:uid="{6C50A1D0-6BB7-472D-9E9C-48049DE37B2E}"/>
    <hyperlink ref="B9" r:id="rId9" xr:uid="{E95A4128-8C91-4DD1-9D47-F64DF82ABC99}"/>
    <hyperlink ref="B20" r:id="rId10" xr:uid="{C1F2E440-2BE2-4814-A993-DE39D2D166F7}"/>
    <hyperlink ref="B16" r:id="rId11" xr:uid="{00265F87-6671-40B8-BAE2-629E09F2838E}"/>
    <hyperlink ref="B24" r:id="rId12" xr:uid="{A945B5BE-F44C-47FC-986C-BC00F0689C4D}"/>
    <hyperlink ref="B26" r:id="rId13" xr:uid="{D895EF4E-931A-4C65-A252-3C22DF85436B}"/>
    <hyperlink ref="B45" r:id="rId14" xr:uid="{CE81D534-0447-4204-844B-CFE79505D89B}"/>
    <hyperlink ref="B46" r:id="rId15" xr:uid="{0C3DB8EE-C6A0-4F15-9F2D-06E6D5EAF242}"/>
    <hyperlink ref="B47" r:id="rId16" xr:uid="{AE50A26C-366B-489F-86AA-235E350768B9}"/>
    <hyperlink ref="B48" r:id="rId17" xr:uid="{C0533899-90DE-4D34-9D0F-DFF154AAC3C9}"/>
    <hyperlink ref="B49" r:id="rId18" xr:uid="{83B0640E-3FDE-4300-844F-919B7AFA2351}"/>
    <hyperlink ref="B50" r:id="rId19" xr:uid="{9C767D2D-6357-4B53-98B0-C91EADECC060}"/>
    <hyperlink ref="B51" r:id="rId20" xr:uid="{343D03FA-C6E5-445D-AFD4-E1A6E0778893}"/>
    <hyperlink ref="B37" r:id="rId21" xr:uid="{19461506-C8AF-406B-8AE7-1C9FB604B572}"/>
    <hyperlink ref="B12" r:id="rId22" xr:uid="{8DA28A74-8216-434A-AB03-444D0C5DBA8A}"/>
    <hyperlink ref="B36" r:id="rId23" xr:uid="{1253BEA2-5E5B-4043-836B-A6E56E8C831F}"/>
    <hyperlink ref="B41" r:id="rId24" xr:uid="{ED922316-BBC9-4630-91CF-1416BE861AB4}"/>
    <hyperlink ref="B35" r:id="rId25" xr:uid="{30925232-6907-486C-A9F1-8B95C9855CD7}"/>
    <hyperlink ref="B33" r:id="rId26" xr:uid="{060A9BA4-1776-412D-A6A5-8703BF7B70A8}"/>
    <hyperlink ref="B34" r:id="rId27" xr:uid="{C169DBA8-192A-48B9-9BD9-EEA11D9408C4}"/>
    <hyperlink ref="B40" r:id="rId28" xr:uid="{F81EEC46-1A40-49BC-BBD3-6F6C07B00136}"/>
    <hyperlink ref="B39" r:id="rId29" xr:uid="{D1D472ED-1A64-4BA3-9E80-B4D1F6E5920D}"/>
    <hyperlink ref="B22" r:id="rId30" xr:uid="{4712B607-76EC-4FED-9DFD-42C8C921BA53}"/>
    <hyperlink ref="B25" r:id="rId31" xr:uid="{969EB53F-9077-47C9-9DD4-807EDD507944}"/>
    <hyperlink ref="B23" r:id="rId32" xr:uid="{ADE19B92-9BF3-4EF8-BE56-48E2BDE2A42B}"/>
    <hyperlink ref="B38" r:id="rId33" xr:uid="{A00A8CB3-94DB-4CD4-97C6-FFC929F22BD0}"/>
    <hyperlink ref="B14" r:id="rId34" xr:uid="{2E0D7DE6-5A7B-4E3A-8C4D-C90634B046D5}"/>
    <hyperlink ref="B15" r:id="rId35" xr:uid="{A455FB1F-87B5-4224-BAA1-14F96D70842A}"/>
    <hyperlink ref="B61" r:id="rId36" xr:uid="{0E481F62-6784-4EBD-98E3-10351DF14BAF}"/>
    <hyperlink ref="B62" r:id="rId37" xr:uid="{FCF18F48-F116-49D4-9A4A-7F2197D195BD}"/>
    <hyperlink ref="B54" r:id="rId38" xr:uid="{F7493D71-703F-45DF-857D-2F7316586125}"/>
    <hyperlink ref="B55" r:id="rId39" xr:uid="{06923250-6CA2-4329-8C80-1550AF9CC532}"/>
    <hyperlink ref="B56" r:id="rId40" xr:uid="{9C238C0B-C9F3-47A1-8AB4-E1EDFF89C3B4}"/>
    <hyperlink ref="B57" r:id="rId41" xr:uid="{47F5F902-A300-4257-AA23-DB7BD07E9A35}"/>
    <hyperlink ref="B58" r:id="rId42" xr:uid="{FC76590A-8BD6-4123-BF2F-F42984D83DEA}"/>
    <hyperlink ref="B59" r:id="rId43" xr:uid="{9E7FCAF3-3B4F-47D8-8D28-3C073753BF77}"/>
    <hyperlink ref="B60" r:id="rId44" xr:uid="{BDC9ED48-2D9B-4451-9998-769155402FA1}"/>
    <hyperlink ref="B27" r:id="rId45" xr:uid="{A34C91D6-7FA2-429C-B8E1-353E43413FF3}"/>
    <hyperlink ref="B42" r:id="rId46" xr:uid="{100AE308-49EF-4DE0-993A-C5188E3B7623}"/>
  </hyperlinks>
  <pageMargins left="0.7" right="0.7" top="0.75" bottom="0.75" header="0.3" footer="0.3"/>
  <pageSetup orientation="portrait" r:id="rId47"/>
  <drawing r:id="rId4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E4A4-D9A6-46A6-B05D-7B03F7FBE411}">
  <sheetPr codeName="Sheet16">
    <tabColor rgb="FF000F7B"/>
  </sheetPr>
  <dimension ref="A2:C179"/>
  <sheetViews>
    <sheetView showGridLines="0" zoomScaleNormal="100" workbookViewId="0"/>
  </sheetViews>
  <sheetFormatPr baseColWidth="10" defaultColWidth="8.7109375" defaultRowHeight="14.25"/>
  <cols>
    <col min="1" max="1" width="65.7109375" style="148" customWidth="1"/>
    <col min="2" max="2" width="29" style="148" customWidth="1"/>
    <col min="3" max="3" width="26.5703125" style="154" customWidth="1"/>
    <col min="4" max="16384" width="8.7109375" style="148"/>
  </cols>
  <sheetData>
    <row r="2" spans="1:3">
      <c r="C2" s="150" t="s">
        <v>87</v>
      </c>
    </row>
    <row r="6" spans="1:3" ht="18">
      <c r="A6" s="598" t="s">
        <v>88</v>
      </c>
      <c r="B6" s="598"/>
      <c r="C6" s="598"/>
    </row>
    <row r="7" spans="1:3" ht="18">
      <c r="A7" s="145"/>
      <c r="B7" s="145"/>
      <c r="C7" s="145"/>
    </row>
    <row r="8" spans="1:3" ht="15.75">
      <c r="A8" s="162" t="s">
        <v>89</v>
      </c>
      <c r="B8" s="162" t="s">
        <v>90</v>
      </c>
      <c r="C8" s="162" t="s">
        <v>91</v>
      </c>
    </row>
    <row r="9" spans="1:3" ht="17.649999999999999" customHeight="1">
      <c r="A9" s="603" t="s">
        <v>20</v>
      </c>
      <c r="B9" s="603"/>
      <c r="C9" s="603"/>
    </row>
    <row r="10" spans="1:3" ht="25.5">
      <c r="A10" s="289" t="s">
        <v>92</v>
      </c>
      <c r="B10" s="294" t="s">
        <v>93</v>
      </c>
      <c r="C10" s="293" t="s">
        <v>94</v>
      </c>
    </row>
    <row r="11" spans="1:3">
      <c r="A11" s="532" t="s">
        <v>95</v>
      </c>
      <c r="B11" s="294" t="s">
        <v>93</v>
      </c>
      <c r="C11" s="293" t="s">
        <v>94</v>
      </c>
    </row>
    <row r="12" spans="1:3">
      <c r="A12" s="293" t="s">
        <v>96</v>
      </c>
      <c r="B12" s="294" t="s">
        <v>93</v>
      </c>
      <c r="C12" s="293" t="s">
        <v>94</v>
      </c>
    </row>
    <row r="13" spans="1:3">
      <c r="A13" s="293" t="s">
        <v>97</v>
      </c>
      <c r="B13" s="294" t="s">
        <v>93</v>
      </c>
      <c r="C13" s="293" t="s">
        <v>94</v>
      </c>
    </row>
    <row r="14" spans="1:3">
      <c r="A14" s="293" t="s">
        <v>98</v>
      </c>
      <c r="B14" s="294" t="s">
        <v>93</v>
      </c>
      <c r="C14" s="293" t="s">
        <v>94</v>
      </c>
    </row>
    <row r="15" spans="1:3">
      <c r="A15" s="293" t="s">
        <v>99</v>
      </c>
      <c r="B15" s="294" t="s">
        <v>93</v>
      </c>
      <c r="C15" s="293"/>
    </row>
    <row r="16" spans="1:3">
      <c r="A16" s="293" t="s">
        <v>100</v>
      </c>
      <c r="B16" s="294" t="s">
        <v>93</v>
      </c>
      <c r="C16" s="293" t="s">
        <v>94</v>
      </c>
    </row>
    <row r="17" spans="1:3" ht="19.899999999999999" customHeight="1">
      <c r="A17" s="290"/>
      <c r="B17" s="290"/>
      <c r="C17" s="290"/>
    </row>
    <row r="18" spans="1:3" ht="18" customHeight="1">
      <c r="A18" s="603" t="s">
        <v>101</v>
      </c>
      <c r="B18" s="603"/>
      <c r="C18" s="603"/>
    </row>
    <row r="19" spans="1:3">
      <c r="A19" s="293" t="s">
        <v>102</v>
      </c>
      <c r="B19" s="294" t="s">
        <v>103</v>
      </c>
      <c r="C19" s="293"/>
    </row>
    <row r="20" spans="1:3">
      <c r="A20" s="293" t="s">
        <v>104</v>
      </c>
      <c r="B20" s="293"/>
      <c r="C20" s="293"/>
    </row>
    <row r="21" spans="1:3" ht="25.5">
      <c r="A21" s="293" t="s">
        <v>105</v>
      </c>
      <c r="B21" s="294" t="s">
        <v>106</v>
      </c>
      <c r="C21" s="293"/>
    </row>
    <row r="22" spans="1:3" ht="25.5">
      <c r="A22" s="293" t="s">
        <v>107</v>
      </c>
      <c r="B22" s="294" t="s">
        <v>108</v>
      </c>
      <c r="C22" s="293"/>
    </row>
    <row r="23" spans="1:3" ht="19.149999999999999" customHeight="1">
      <c r="A23" s="290"/>
      <c r="B23" s="290"/>
      <c r="C23" s="290"/>
    </row>
    <row r="24" spans="1:3" ht="18" customHeight="1">
      <c r="A24" s="602" t="s">
        <v>22</v>
      </c>
      <c r="B24" s="602"/>
      <c r="C24" s="602"/>
    </row>
    <row r="25" spans="1:3">
      <c r="A25" s="289" t="s">
        <v>109</v>
      </c>
      <c r="B25" s="289" t="s">
        <v>110</v>
      </c>
      <c r="C25" s="289" t="s">
        <v>111</v>
      </c>
    </row>
    <row r="26" spans="1:3" ht="25.5">
      <c r="A26" s="289" t="s">
        <v>112</v>
      </c>
      <c r="B26" s="289" t="s">
        <v>113</v>
      </c>
      <c r="C26" s="289" t="s">
        <v>114</v>
      </c>
    </row>
    <row r="27" spans="1:3" ht="25.5">
      <c r="A27" s="533" t="s">
        <v>115</v>
      </c>
      <c r="B27" s="289" t="s">
        <v>113</v>
      </c>
      <c r="C27" s="289" t="s">
        <v>114</v>
      </c>
    </row>
    <row r="28" spans="1:3">
      <c r="A28" s="289" t="s">
        <v>116</v>
      </c>
      <c r="B28" s="289" t="s">
        <v>117</v>
      </c>
      <c r="C28" s="289"/>
    </row>
    <row r="29" spans="1:3">
      <c r="A29" s="289" t="s">
        <v>118</v>
      </c>
      <c r="B29" s="289" t="s">
        <v>119</v>
      </c>
      <c r="C29" s="289"/>
    </row>
    <row r="30" spans="1:3">
      <c r="A30" s="289" t="s">
        <v>120</v>
      </c>
      <c r="B30" s="289" t="s">
        <v>119</v>
      </c>
      <c r="C30" s="289"/>
    </row>
    <row r="31" spans="1:3">
      <c r="A31" s="289" t="s">
        <v>121</v>
      </c>
      <c r="B31" s="289" t="s">
        <v>119</v>
      </c>
      <c r="C31" s="289"/>
    </row>
    <row r="32" spans="1:3" ht="22.9" customHeight="1">
      <c r="A32" s="289" t="s">
        <v>122</v>
      </c>
      <c r="B32" s="289" t="s">
        <v>119</v>
      </c>
      <c r="C32" s="289"/>
    </row>
    <row r="33" spans="1:3" ht="15.75">
      <c r="A33" s="290"/>
      <c r="B33" s="290"/>
      <c r="C33" s="290"/>
    </row>
    <row r="34" spans="1:3" ht="18" customHeight="1">
      <c r="A34" s="602" t="s">
        <v>23</v>
      </c>
      <c r="B34" s="602"/>
      <c r="C34" s="602"/>
    </row>
    <row r="35" spans="1:3" ht="28.9" customHeight="1">
      <c r="A35" s="289" t="s">
        <v>123</v>
      </c>
      <c r="B35" s="289" t="s">
        <v>124</v>
      </c>
      <c r="C35" s="289" t="s">
        <v>125</v>
      </c>
    </row>
    <row r="36" spans="1:3" ht="27" customHeight="1">
      <c r="A36" s="289" t="s">
        <v>123</v>
      </c>
      <c r="B36" s="289" t="s">
        <v>126</v>
      </c>
      <c r="C36" s="289" t="s">
        <v>127</v>
      </c>
    </row>
    <row r="37" spans="1:3" ht="33" customHeight="1">
      <c r="A37" s="289" t="s">
        <v>128</v>
      </c>
      <c r="B37" s="289" t="s">
        <v>129</v>
      </c>
      <c r="C37" s="289" t="s">
        <v>130</v>
      </c>
    </row>
    <row r="38" spans="1:3" ht="16.149999999999999" customHeight="1">
      <c r="A38" s="289" t="s">
        <v>131</v>
      </c>
      <c r="B38" s="289" t="s">
        <v>129</v>
      </c>
      <c r="C38" s="289" t="s">
        <v>132</v>
      </c>
    </row>
    <row r="39" spans="1:3" ht="31.9" customHeight="1">
      <c r="A39" s="289" t="s">
        <v>133</v>
      </c>
      <c r="B39" s="289" t="s">
        <v>129</v>
      </c>
      <c r="C39" s="289" t="s">
        <v>130</v>
      </c>
    </row>
    <row r="40" spans="1:3">
      <c r="A40" s="289" t="s">
        <v>134</v>
      </c>
      <c r="B40" s="289" t="s">
        <v>135</v>
      </c>
      <c r="C40" s="289"/>
    </row>
    <row r="41" spans="1:3">
      <c r="A41" s="289" t="s">
        <v>136</v>
      </c>
      <c r="B41" s="289"/>
      <c r="C41" s="289"/>
    </row>
    <row r="42" spans="1:3" ht="20.65" customHeight="1">
      <c r="A42" s="290"/>
      <c r="B42" s="290"/>
      <c r="C42" s="290"/>
    </row>
    <row r="43" spans="1:3" ht="18" customHeight="1">
      <c r="A43" s="602" t="s">
        <v>24</v>
      </c>
      <c r="B43" s="602"/>
      <c r="C43" s="602"/>
    </row>
    <row r="44" spans="1:3" ht="18" customHeight="1">
      <c r="A44" s="289" t="s">
        <v>137</v>
      </c>
      <c r="B44" s="289"/>
      <c r="C44" s="289" t="s">
        <v>138</v>
      </c>
    </row>
    <row r="45" spans="1:3" ht="20.65" customHeight="1">
      <c r="A45" s="290"/>
      <c r="B45" s="290"/>
      <c r="C45" s="290"/>
    </row>
    <row r="46" spans="1:3" ht="18" customHeight="1">
      <c r="A46" s="602" t="s">
        <v>25</v>
      </c>
      <c r="B46" s="602"/>
      <c r="C46" s="602"/>
    </row>
    <row r="47" spans="1:3">
      <c r="A47" s="289" t="s">
        <v>139</v>
      </c>
      <c r="B47" s="289" t="s">
        <v>140</v>
      </c>
      <c r="C47" s="289"/>
    </row>
    <row r="48" spans="1:3" ht="25.5">
      <c r="A48" s="289" t="s">
        <v>141</v>
      </c>
      <c r="B48" s="289" t="s">
        <v>140</v>
      </c>
      <c r="C48" s="289" t="s">
        <v>142</v>
      </c>
    </row>
    <row r="49" spans="1:3">
      <c r="A49" s="289" t="s">
        <v>143</v>
      </c>
      <c r="B49" s="289" t="s">
        <v>140</v>
      </c>
      <c r="C49" s="289"/>
    </row>
    <row r="50" spans="1:3">
      <c r="A50" s="289" t="s">
        <v>144</v>
      </c>
      <c r="B50" s="289" t="s">
        <v>145</v>
      </c>
      <c r="C50" s="289"/>
    </row>
    <row r="51" spans="1:3">
      <c r="A51" s="289" t="s">
        <v>146</v>
      </c>
      <c r="B51" s="289"/>
      <c r="C51" s="289"/>
    </row>
    <row r="52" spans="1:3">
      <c r="A52" s="289" t="s">
        <v>147</v>
      </c>
      <c r="B52" s="289" t="s">
        <v>148</v>
      </c>
      <c r="C52" s="289"/>
    </row>
    <row r="53" spans="1:3" ht="25.5">
      <c r="A53" s="289" t="s">
        <v>149</v>
      </c>
      <c r="B53" s="289" t="s">
        <v>140</v>
      </c>
      <c r="C53" s="289" t="s">
        <v>142</v>
      </c>
    </row>
    <row r="54" spans="1:3">
      <c r="A54" s="286"/>
      <c r="B54" s="286"/>
      <c r="C54" s="287"/>
    </row>
    <row r="55" spans="1:3">
      <c r="A55" s="151"/>
      <c r="B55" s="151"/>
      <c r="C55" s="152"/>
    </row>
    <row r="56" spans="1:3">
      <c r="A56" s="151"/>
      <c r="B56" s="151"/>
      <c r="C56" s="152"/>
    </row>
    <row r="57" spans="1:3">
      <c r="A57" s="151"/>
      <c r="B57" s="151"/>
      <c r="C57" s="152"/>
    </row>
    <row r="58" spans="1:3">
      <c r="A58" s="151"/>
      <c r="B58" s="151"/>
      <c r="C58" s="152"/>
    </row>
    <row r="59" spans="1:3">
      <c r="A59" s="151"/>
      <c r="B59" s="151"/>
      <c r="C59" s="152"/>
    </row>
    <row r="60" spans="1:3">
      <c r="A60" s="151"/>
      <c r="B60" s="151"/>
      <c r="C60" s="152"/>
    </row>
    <row r="61" spans="1:3">
      <c r="A61" s="151"/>
      <c r="B61" s="151"/>
      <c r="C61" s="152"/>
    </row>
    <row r="62" spans="1:3">
      <c r="A62" s="151"/>
      <c r="B62" s="151"/>
      <c r="C62" s="152"/>
    </row>
    <row r="63" spans="1:3">
      <c r="A63" s="151"/>
      <c r="B63" s="151"/>
      <c r="C63" s="152"/>
    </row>
    <row r="64" spans="1:3">
      <c r="A64" s="151"/>
      <c r="B64" s="151"/>
      <c r="C64" s="152"/>
    </row>
    <row r="65" spans="1:3">
      <c r="A65" s="151"/>
      <c r="B65" s="151"/>
      <c r="C65" s="152"/>
    </row>
    <row r="66" spans="1:3">
      <c r="A66" s="151"/>
      <c r="B66" s="151"/>
      <c r="C66" s="152"/>
    </row>
    <row r="67" spans="1:3">
      <c r="A67" s="151"/>
      <c r="B67" s="151"/>
      <c r="C67" s="152"/>
    </row>
    <row r="68" spans="1:3">
      <c r="A68" s="151"/>
      <c r="B68" s="151"/>
      <c r="C68" s="152"/>
    </row>
    <row r="69" spans="1:3">
      <c r="A69" s="151"/>
      <c r="B69" s="151"/>
      <c r="C69" s="152"/>
    </row>
    <row r="70" spans="1:3">
      <c r="A70" s="151"/>
      <c r="B70" s="151"/>
      <c r="C70" s="152"/>
    </row>
    <row r="71" spans="1:3">
      <c r="A71" s="151"/>
      <c r="B71" s="151"/>
      <c r="C71" s="152"/>
    </row>
    <row r="72" spans="1:3">
      <c r="A72" s="151"/>
      <c r="B72" s="151"/>
      <c r="C72" s="152"/>
    </row>
    <row r="73" spans="1:3">
      <c r="A73" s="151"/>
      <c r="B73" s="151"/>
      <c r="C73" s="152"/>
    </row>
    <row r="74" spans="1:3">
      <c r="A74" s="151"/>
      <c r="B74" s="151"/>
      <c r="C74" s="152"/>
    </row>
    <row r="75" spans="1:3">
      <c r="A75" s="151"/>
      <c r="B75" s="151"/>
      <c r="C75" s="152"/>
    </row>
    <row r="76" spans="1:3">
      <c r="A76" s="151"/>
      <c r="B76" s="151"/>
      <c r="C76" s="152"/>
    </row>
    <row r="77" spans="1:3">
      <c r="A77" s="151"/>
      <c r="B77" s="151"/>
      <c r="C77" s="152"/>
    </row>
    <row r="78" spans="1:3">
      <c r="A78" s="151"/>
      <c r="B78" s="151"/>
      <c r="C78" s="152"/>
    </row>
    <row r="79" spans="1:3">
      <c r="A79" s="151"/>
      <c r="B79" s="151"/>
      <c r="C79" s="152"/>
    </row>
    <row r="80" spans="1:3">
      <c r="A80" s="151"/>
      <c r="B80" s="151"/>
      <c r="C80" s="152"/>
    </row>
    <row r="81" spans="1:3">
      <c r="A81" s="151"/>
      <c r="B81" s="151"/>
      <c r="C81" s="152"/>
    </row>
    <row r="82" spans="1:3">
      <c r="A82" s="151"/>
      <c r="B82" s="151"/>
      <c r="C82" s="152"/>
    </row>
    <row r="83" spans="1:3">
      <c r="A83" s="151"/>
      <c r="B83" s="151"/>
      <c r="C83" s="152"/>
    </row>
    <row r="84" spans="1:3">
      <c r="A84" s="151"/>
      <c r="B84" s="151"/>
      <c r="C84" s="152"/>
    </row>
    <row r="85" spans="1:3">
      <c r="A85" s="151"/>
      <c r="B85" s="151"/>
      <c r="C85" s="152"/>
    </row>
    <row r="86" spans="1:3">
      <c r="A86" s="151"/>
      <c r="B86" s="151"/>
      <c r="C86" s="152"/>
    </row>
    <row r="87" spans="1:3">
      <c r="A87" s="151"/>
      <c r="B87" s="151"/>
      <c r="C87" s="152"/>
    </row>
    <row r="88" spans="1:3">
      <c r="A88" s="151"/>
      <c r="B88" s="151"/>
      <c r="C88" s="152"/>
    </row>
    <row r="89" spans="1:3">
      <c r="A89" s="151"/>
      <c r="B89" s="151"/>
      <c r="C89" s="152"/>
    </row>
    <row r="90" spans="1:3">
      <c r="A90" s="151"/>
      <c r="B90" s="151"/>
      <c r="C90" s="152"/>
    </row>
    <row r="91" spans="1:3">
      <c r="A91" s="151"/>
      <c r="B91" s="151"/>
      <c r="C91" s="152"/>
    </row>
    <row r="92" spans="1:3">
      <c r="A92" s="151"/>
      <c r="B92" s="151"/>
      <c r="C92" s="152"/>
    </row>
    <row r="93" spans="1:3">
      <c r="A93" s="151"/>
      <c r="B93" s="151"/>
      <c r="C93" s="152"/>
    </row>
    <row r="94" spans="1:3">
      <c r="A94" s="151"/>
      <c r="B94" s="151"/>
      <c r="C94" s="152"/>
    </row>
    <row r="95" spans="1:3">
      <c r="A95" s="151"/>
      <c r="B95" s="151"/>
      <c r="C95" s="152"/>
    </row>
    <row r="96" spans="1:3">
      <c r="A96" s="151"/>
      <c r="B96" s="151"/>
      <c r="C96" s="152"/>
    </row>
    <row r="97" spans="1:3">
      <c r="A97" s="151"/>
      <c r="B97" s="151"/>
      <c r="C97" s="152"/>
    </row>
    <row r="98" spans="1:3">
      <c r="A98" s="149"/>
      <c r="B98" s="149"/>
      <c r="C98" s="153"/>
    </row>
    <row r="99" spans="1:3">
      <c r="A99" s="149"/>
      <c r="B99" s="149"/>
      <c r="C99" s="153"/>
    </row>
    <row r="100" spans="1:3">
      <c r="A100" s="149"/>
      <c r="B100" s="149"/>
      <c r="C100" s="153"/>
    </row>
    <row r="101" spans="1:3">
      <c r="A101" s="149"/>
      <c r="B101" s="149"/>
      <c r="C101" s="153"/>
    </row>
    <row r="102" spans="1:3">
      <c r="A102" s="149"/>
      <c r="B102" s="149"/>
      <c r="C102" s="153"/>
    </row>
    <row r="103" spans="1:3">
      <c r="A103" s="149"/>
      <c r="B103" s="149"/>
      <c r="C103" s="153"/>
    </row>
    <row r="104" spans="1:3">
      <c r="A104" s="149"/>
      <c r="B104" s="149"/>
      <c r="C104" s="153"/>
    </row>
    <row r="105" spans="1:3">
      <c r="A105" s="149"/>
      <c r="B105" s="149"/>
      <c r="C105" s="153"/>
    </row>
    <row r="106" spans="1:3">
      <c r="A106" s="149"/>
      <c r="B106" s="149"/>
      <c r="C106" s="153"/>
    </row>
    <row r="107" spans="1:3">
      <c r="A107" s="149"/>
      <c r="B107" s="149"/>
      <c r="C107" s="153"/>
    </row>
    <row r="108" spans="1:3">
      <c r="A108" s="149"/>
      <c r="B108" s="149"/>
      <c r="C108" s="153"/>
    </row>
    <row r="109" spans="1:3">
      <c r="A109" s="149"/>
      <c r="B109" s="149"/>
      <c r="C109" s="153"/>
    </row>
    <row r="110" spans="1:3">
      <c r="A110" s="149"/>
      <c r="B110" s="149"/>
      <c r="C110" s="153"/>
    </row>
    <row r="111" spans="1:3">
      <c r="A111" s="149"/>
      <c r="B111" s="149"/>
      <c r="C111" s="153"/>
    </row>
    <row r="112" spans="1:3">
      <c r="A112" s="149"/>
      <c r="B112" s="149"/>
      <c r="C112" s="153"/>
    </row>
    <row r="113" spans="1:3">
      <c r="A113" s="149"/>
      <c r="B113" s="149"/>
      <c r="C113" s="153"/>
    </row>
    <row r="114" spans="1:3">
      <c r="A114" s="149"/>
      <c r="B114" s="149"/>
      <c r="C114" s="153"/>
    </row>
    <row r="115" spans="1:3">
      <c r="A115" s="149"/>
      <c r="B115" s="149"/>
      <c r="C115" s="153"/>
    </row>
    <row r="116" spans="1:3">
      <c r="A116" s="149"/>
      <c r="B116" s="149"/>
      <c r="C116" s="153"/>
    </row>
    <row r="117" spans="1:3">
      <c r="A117" s="149"/>
      <c r="B117" s="149"/>
      <c r="C117" s="153"/>
    </row>
    <row r="118" spans="1:3">
      <c r="A118" s="149"/>
      <c r="B118" s="149"/>
      <c r="C118" s="153"/>
    </row>
    <row r="119" spans="1:3">
      <c r="A119" s="149"/>
      <c r="B119" s="149"/>
      <c r="C119" s="153"/>
    </row>
    <row r="120" spans="1:3">
      <c r="A120" s="149"/>
      <c r="B120" s="149"/>
      <c r="C120" s="153"/>
    </row>
    <row r="121" spans="1:3">
      <c r="A121" s="149"/>
      <c r="B121" s="149"/>
      <c r="C121" s="153"/>
    </row>
    <row r="122" spans="1:3">
      <c r="A122" s="149"/>
      <c r="B122" s="149"/>
      <c r="C122" s="153"/>
    </row>
    <row r="123" spans="1:3">
      <c r="A123" s="149"/>
      <c r="B123" s="149"/>
      <c r="C123" s="153"/>
    </row>
    <row r="124" spans="1:3">
      <c r="A124" s="149"/>
      <c r="B124" s="149"/>
      <c r="C124" s="153"/>
    </row>
    <row r="125" spans="1:3">
      <c r="A125" s="149"/>
      <c r="B125" s="149"/>
      <c r="C125" s="153"/>
    </row>
    <row r="126" spans="1:3">
      <c r="A126" s="149"/>
      <c r="B126" s="149"/>
      <c r="C126" s="153"/>
    </row>
    <row r="127" spans="1:3">
      <c r="A127" s="149"/>
      <c r="B127" s="149"/>
      <c r="C127" s="153"/>
    </row>
    <row r="128" spans="1:3">
      <c r="A128" s="149"/>
      <c r="B128" s="149"/>
      <c r="C128" s="153"/>
    </row>
    <row r="129" spans="1:3">
      <c r="A129" s="149"/>
      <c r="B129" s="149"/>
      <c r="C129" s="153"/>
    </row>
    <row r="130" spans="1:3">
      <c r="A130" s="149"/>
      <c r="B130" s="149"/>
      <c r="C130" s="153"/>
    </row>
    <row r="131" spans="1:3">
      <c r="A131" s="149"/>
      <c r="B131" s="149"/>
      <c r="C131" s="153"/>
    </row>
    <row r="132" spans="1:3">
      <c r="A132" s="149"/>
      <c r="B132" s="149"/>
      <c r="C132" s="153"/>
    </row>
    <row r="133" spans="1:3">
      <c r="A133" s="149"/>
      <c r="B133" s="149"/>
      <c r="C133" s="153"/>
    </row>
    <row r="134" spans="1:3">
      <c r="A134" s="149"/>
      <c r="B134" s="149"/>
      <c r="C134" s="153"/>
    </row>
    <row r="135" spans="1:3">
      <c r="A135" s="149"/>
      <c r="B135" s="149"/>
      <c r="C135" s="153"/>
    </row>
    <row r="136" spans="1:3">
      <c r="A136" s="149"/>
      <c r="B136" s="149"/>
      <c r="C136" s="153"/>
    </row>
    <row r="137" spans="1:3">
      <c r="A137" s="149"/>
      <c r="B137" s="149"/>
      <c r="C137" s="153"/>
    </row>
    <row r="138" spans="1:3">
      <c r="A138" s="149"/>
      <c r="B138" s="149"/>
      <c r="C138" s="153"/>
    </row>
    <row r="139" spans="1:3">
      <c r="A139" s="149"/>
      <c r="B139" s="149"/>
      <c r="C139" s="153"/>
    </row>
    <row r="140" spans="1:3">
      <c r="A140" s="149"/>
      <c r="B140" s="149"/>
      <c r="C140" s="153"/>
    </row>
    <row r="141" spans="1:3">
      <c r="A141" s="149"/>
      <c r="B141" s="149"/>
      <c r="C141" s="153"/>
    </row>
    <row r="142" spans="1:3">
      <c r="A142" s="149"/>
      <c r="B142" s="149"/>
      <c r="C142" s="153"/>
    </row>
    <row r="143" spans="1:3">
      <c r="A143" s="149"/>
      <c r="B143" s="149"/>
      <c r="C143" s="153"/>
    </row>
    <row r="144" spans="1:3">
      <c r="A144" s="149"/>
      <c r="B144" s="149"/>
      <c r="C144" s="153"/>
    </row>
    <row r="145" spans="1:3">
      <c r="A145" s="149"/>
      <c r="B145" s="149"/>
      <c r="C145" s="153"/>
    </row>
    <row r="146" spans="1:3">
      <c r="A146" s="149"/>
      <c r="B146" s="149"/>
      <c r="C146" s="153"/>
    </row>
    <row r="147" spans="1:3">
      <c r="A147" s="149"/>
      <c r="B147" s="149"/>
      <c r="C147" s="153"/>
    </row>
    <row r="148" spans="1:3">
      <c r="A148" s="149"/>
      <c r="B148" s="149"/>
      <c r="C148" s="153"/>
    </row>
    <row r="149" spans="1:3">
      <c r="A149" s="149"/>
      <c r="B149" s="149"/>
      <c r="C149" s="153"/>
    </row>
    <row r="150" spans="1:3">
      <c r="A150" s="149"/>
      <c r="B150" s="149"/>
      <c r="C150" s="153"/>
    </row>
    <row r="151" spans="1:3">
      <c r="A151" s="149"/>
      <c r="B151" s="149"/>
      <c r="C151" s="153"/>
    </row>
    <row r="152" spans="1:3">
      <c r="A152" s="149"/>
      <c r="B152" s="149"/>
      <c r="C152" s="153"/>
    </row>
    <row r="153" spans="1:3">
      <c r="A153" s="149"/>
      <c r="B153" s="149"/>
      <c r="C153" s="153"/>
    </row>
    <row r="154" spans="1:3">
      <c r="A154" s="149"/>
      <c r="B154" s="149"/>
      <c r="C154" s="153"/>
    </row>
    <row r="155" spans="1:3">
      <c r="A155" s="149"/>
      <c r="B155" s="149"/>
      <c r="C155" s="153"/>
    </row>
    <row r="156" spans="1:3">
      <c r="A156" s="149"/>
      <c r="B156" s="149"/>
      <c r="C156" s="153"/>
    </row>
    <row r="157" spans="1:3">
      <c r="A157" s="149"/>
      <c r="B157" s="149"/>
      <c r="C157" s="153"/>
    </row>
    <row r="158" spans="1:3">
      <c r="A158" s="149"/>
      <c r="B158" s="149"/>
      <c r="C158" s="153"/>
    </row>
    <row r="159" spans="1:3">
      <c r="A159" s="149"/>
      <c r="B159" s="149"/>
      <c r="C159" s="153"/>
    </row>
    <row r="160" spans="1:3">
      <c r="A160" s="149"/>
      <c r="B160" s="149"/>
      <c r="C160" s="153"/>
    </row>
    <row r="161" spans="1:3">
      <c r="A161" s="149"/>
      <c r="B161" s="149"/>
      <c r="C161" s="153"/>
    </row>
    <row r="162" spans="1:3">
      <c r="A162" s="149"/>
      <c r="B162" s="149"/>
      <c r="C162" s="153"/>
    </row>
    <row r="163" spans="1:3">
      <c r="A163" s="149"/>
      <c r="B163" s="149"/>
      <c r="C163" s="153"/>
    </row>
    <row r="164" spans="1:3">
      <c r="A164" s="149"/>
      <c r="B164" s="149"/>
      <c r="C164" s="153"/>
    </row>
    <row r="165" spans="1:3">
      <c r="A165" s="149"/>
      <c r="B165" s="149"/>
      <c r="C165" s="153"/>
    </row>
    <row r="166" spans="1:3">
      <c r="A166" s="149"/>
      <c r="B166" s="149"/>
      <c r="C166" s="153"/>
    </row>
    <row r="167" spans="1:3">
      <c r="A167" s="149"/>
      <c r="B167" s="149"/>
      <c r="C167" s="153"/>
    </row>
    <row r="168" spans="1:3">
      <c r="A168" s="149"/>
      <c r="B168" s="149"/>
      <c r="C168" s="153"/>
    </row>
    <row r="169" spans="1:3">
      <c r="A169" s="149"/>
      <c r="B169" s="149"/>
      <c r="C169" s="153"/>
    </row>
    <row r="170" spans="1:3">
      <c r="A170" s="149"/>
      <c r="B170" s="149"/>
      <c r="C170" s="153"/>
    </row>
    <row r="171" spans="1:3">
      <c r="A171" s="149"/>
      <c r="B171" s="149"/>
      <c r="C171" s="153"/>
    </row>
    <row r="172" spans="1:3">
      <c r="A172" s="149"/>
      <c r="B172" s="149"/>
      <c r="C172" s="153"/>
    </row>
    <row r="173" spans="1:3">
      <c r="A173" s="149"/>
      <c r="B173" s="149"/>
      <c r="C173" s="153"/>
    </row>
    <row r="174" spans="1:3">
      <c r="A174" s="149"/>
      <c r="B174" s="149"/>
      <c r="C174" s="153"/>
    </row>
    <row r="175" spans="1:3">
      <c r="A175" s="149"/>
      <c r="B175" s="149"/>
      <c r="C175" s="153"/>
    </row>
    <row r="176" spans="1:3">
      <c r="A176" s="149"/>
      <c r="B176" s="149"/>
      <c r="C176" s="153"/>
    </row>
    <row r="177" spans="1:3">
      <c r="A177" s="149"/>
      <c r="B177" s="149"/>
      <c r="C177" s="153"/>
    </row>
    <row r="178" spans="1:3">
      <c r="A178" s="149"/>
      <c r="B178" s="149"/>
      <c r="C178" s="153"/>
    </row>
    <row r="179" spans="1:3">
      <c r="A179" s="149"/>
      <c r="B179" s="149"/>
      <c r="C179" s="153"/>
    </row>
  </sheetData>
  <sheetProtection algorithmName="SHA-512" hashValue="F8VIc3wl0ZJHb27wn1ZsNf9mrsYUNdWVmhbzyzqycczcfCLcdaAo1wx9HLUaXOFwpTZhYnKejY2BpOIqZUA8sg==" saltValue="8/vkqs26tq1J30Jnp8mA/Q==" spinCount="100000" sheet="1" objects="1" scenarios="1"/>
  <mergeCells count="7">
    <mergeCell ref="A6:C6"/>
    <mergeCell ref="A46:C46"/>
    <mergeCell ref="A34:C34"/>
    <mergeCell ref="A43:C43"/>
    <mergeCell ref="A24:C24"/>
    <mergeCell ref="A18:C18"/>
    <mergeCell ref="A9:C9"/>
  </mergeCells>
  <phoneticPr fontId="87" type="noConversion"/>
  <hyperlinks>
    <hyperlink ref="A9" location="'Air Quality'!A1" display="Air Quality " xr:uid="{ABE9983C-824C-4D85-ACA3-A3365B7AD450}"/>
    <hyperlink ref="A18" location="'Biodiversity &amp; Reclamation'!A1" display="Biodiversity and Reclamation" xr:uid="{674AA718-5319-4E23-8C11-BF86BE251B8D}"/>
    <hyperlink ref="A24" location="'Climate Change'!A1" display="Climate Change" xr:uid="{DD9DC277-C8E1-4CB1-AEC6-4345A9DCDB47}"/>
    <hyperlink ref="A34" location="'Responsible Production &amp; Waste'!A1" display="Responsible Production &amp; Waste" xr:uid="{9349D281-9A85-4BBC-B586-CF2544627586}"/>
    <hyperlink ref="A43" location="Tailings!A1" display="Tailings  " xr:uid="{ED655DD5-E065-4429-80A1-3182AF5EE649}"/>
    <hyperlink ref="A46" location="'Water Stewardship'!A1" display="Water Stewardship " xr:uid="{7ACABB8F-9F29-4BE7-A12B-4086606BCA85}"/>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04AE-86DD-4B5C-831A-506CBFEBEB95}">
  <sheetPr codeName="Sheet3">
    <tabColor rgb="FF93E3FF"/>
  </sheetPr>
  <dimension ref="A2:V133"/>
  <sheetViews>
    <sheetView showGridLines="0" zoomScaleNormal="100" workbookViewId="0"/>
  </sheetViews>
  <sheetFormatPr baseColWidth="10" defaultColWidth="8.7109375" defaultRowHeight="15"/>
  <cols>
    <col min="1" max="1" width="16.5703125" style="41" customWidth="1"/>
    <col min="2" max="14" width="15.5703125" style="41" customWidth="1"/>
    <col min="15" max="16" width="15.7109375" style="41" customWidth="1"/>
    <col min="17" max="16384" width="8.7109375" style="41"/>
  </cols>
  <sheetData>
    <row r="2" spans="1:8">
      <c r="H2" s="116"/>
    </row>
    <row r="7" spans="1:8" ht="20.25">
      <c r="A7" s="604" t="s">
        <v>0</v>
      </c>
      <c r="B7" s="604"/>
      <c r="C7" s="604"/>
      <c r="D7" s="604"/>
      <c r="E7" s="604"/>
      <c r="F7" s="604"/>
      <c r="G7" s="604"/>
      <c r="H7" s="604"/>
    </row>
    <row r="8" spans="1:8" ht="21" thickBot="1">
      <c r="A8" s="163"/>
      <c r="B8" s="163"/>
      <c r="C8" s="164"/>
      <c r="D8" s="164"/>
      <c r="E8" s="164"/>
      <c r="F8" s="164"/>
      <c r="G8" s="164"/>
      <c r="H8" s="164"/>
    </row>
    <row r="9" spans="1:8" ht="19.5" thickTop="1" thickBot="1">
      <c r="A9" s="610" t="s">
        <v>150</v>
      </c>
      <c r="B9" s="610"/>
      <c r="C9" s="610"/>
      <c r="D9" s="610"/>
      <c r="E9" s="610"/>
      <c r="F9" s="610"/>
      <c r="G9" s="610"/>
      <c r="H9" s="610"/>
    </row>
    <row r="10" spans="1:8" ht="16.899999999999999" customHeight="1" thickTop="1">
      <c r="A10" s="42"/>
      <c r="B10" s="42"/>
    </row>
    <row r="11" spans="1:8" ht="18.75">
      <c r="A11" s="609" t="s">
        <v>151</v>
      </c>
      <c r="B11" s="609"/>
      <c r="C11" s="609"/>
      <c r="D11" s="609"/>
      <c r="E11" s="609"/>
      <c r="F11" s="609"/>
      <c r="G11" s="609"/>
      <c r="H11" s="609"/>
    </row>
    <row r="12" spans="1:8" ht="23.65" customHeight="1">
      <c r="A12" s="616" t="s">
        <v>152</v>
      </c>
      <c r="B12" s="616"/>
      <c r="C12" s="616"/>
      <c r="D12" s="616"/>
      <c r="E12" s="616"/>
      <c r="F12" s="616"/>
      <c r="G12" s="616"/>
      <c r="H12" s="616"/>
    </row>
    <row r="13" spans="1:8">
      <c r="A13" s="616" t="s">
        <v>153</v>
      </c>
      <c r="B13" s="616"/>
      <c r="C13" s="616"/>
      <c r="D13" s="616"/>
      <c r="E13" s="616"/>
      <c r="F13" s="616"/>
      <c r="G13" s="616"/>
      <c r="H13" s="616"/>
    </row>
    <row r="14" spans="1:8" ht="45.6" customHeight="1">
      <c r="A14" s="616" t="s">
        <v>154</v>
      </c>
      <c r="B14" s="616"/>
      <c r="C14" s="616"/>
      <c r="D14" s="616"/>
      <c r="E14" s="616"/>
      <c r="F14" s="616"/>
      <c r="G14" s="616"/>
      <c r="H14" s="616"/>
    </row>
    <row r="15" spans="1:8" ht="19.149999999999999" customHeight="1">
      <c r="A15" s="616" t="s">
        <v>155</v>
      </c>
      <c r="B15" s="616"/>
      <c r="C15" s="616"/>
      <c r="D15" s="616"/>
      <c r="E15" s="616"/>
      <c r="F15" s="616"/>
      <c r="G15" s="616"/>
      <c r="H15" s="616"/>
    </row>
    <row r="16" spans="1:8">
      <c r="A16" s="616" t="s">
        <v>156</v>
      </c>
      <c r="B16" s="616"/>
      <c r="C16" s="616"/>
      <c r="D16" s="616"/>
      <c r="E16" s="616"/>
      <c r="F16" s="616"/>
      <c r="G16" s="616"/>
      <c r="H16" s="616"/>
    </row>
    <row r="17" spans="1:22" ht="19.149999999999999" customHeight="1"/>
    <row r="18" spans="1:22">
      <c r="A18" s="607" t="s">
        <v>157</v>
      </c>
      <c r="B18" s="607"/>
      <c r="C18" s="607"/>
      <c r="D18" s="607"/>
      <c r="E18" s="607"/>
      <c r="F18" s="607"/>
      <c r="G18" s="607"/>
      <c r="H18" s="607"/>
    </row>
    <row r="19" spans="1:22">
      <c r="A19" s="182" t="s">
        <v>158</v>
      </c>
      <c r="B19" s="174">
        <v>2022</v>
      </c>
      <c r="C19" s="182">
        <v>2021</v>
      </c>
      <c r="D19" s="182">
        <v>2020</v>
      </c>
      <c r="E19" s="182">
        <v>2019</v>
      </c>
      <c r="F19" s="182">
        <v>2018</v>
      </c>
      <c r="G19" s="182">
        <v>2017</v>
      </c>
      <c r="H19" s="182">
        <v>2016</v>
      </c>
    </row>
    <row r="20" spans="1:22" ht="14.65" customHeight="1">
      <c r="A20" s="186" t="s">
        <v>159</v>
      </c>
      <c r="B20" s="280" t="s">
        <v>160</v>
      </c>
      <c r="C20" s="188" t="s">
        <v>160</v>
      </c>
      <c r="D20" s="186">
        <v>2.06</v>
      </c>
      <c r="E20" s="186">
        <v>4.4000000000000004</v>
      </c>
      <c r="F20" s="188">
        <v>4.9000000000000004</v>
      </c>
      <c r="G20" s="188">
        <v>3.6</v>
      </c>
      <c r="H20" s="188">
        <v>7.6</v>
      </c>
    </row>
    <row r="21" spans="1:22" ht="26.65" customHeight="1">
      <c r="A21" s="186" t="s">
        <v>161</v>
      </c>
      <c r="B21" s="280">
        <v>0.38</v>
      </c>
      <c r="C21" s="281">
        <v>0.39500000000000002</v>
      </c>
      <c r="D21" s="186">
        <v>1.51</v>
      </c>
      <c r="E21" s="186">
        <v>0.32</v>
      </c>
      <c r="F21" s="188" t="s">
        <v>162</v>
      </c>
      <c r="G21" s="188" t="s">
        <v>162</v>
      </c>
      <c r="H21" s="188" t="s">
        <v>162</v>
      </c>
      <c r="K21" s="612"/>
      <c r="L21" s="612"/>
      <c r="M21" s="612"/>
      <c r="N21" s="612"/>
      <c r="O21" s="612"/>
      <c r="P21" s="612"/>
      <c r="Q21" s="612"/>
      <c r="R21" s="612"/>
      <c r="S21" s="612"/>
      <c r="T21" s="612"/>
      <c r="U21" s="612"/>
      <c r="V21" s="612"/>
    </row>
    <row r="22" spans="1:22" ht="14.65" customHeight="1">
      <c r="A22" s="186" t="s">
        <v>163</v>
      </c>
      <c r="B22" s="188" t="s">
        <v>160</v>
      </c>
      <c r="C22" s="188" t="s">
        <v>160</v>
      </c>
      <c r="D22" s="186">
        <v>0.03</v>
      </c>
      <c r="E22" s="186">
        <v>0.4</v>
      </c>
      <c r="F22" s="188">
        <v>1.1000000000000001</v>
      </c>
      <c r="G22" s="188">
        <v>1.4</v>
      </c>
      <c r="H22" s="188">
        <v>3.5</v>
      </c>
    </row>
    <row r="23" spans="1:22" ht="14.65" customHeight="1">
      <c r="A23" s="186" t="s">
        <v>164</v>
      </c>
      <c r="B23" s="282">
        <v>2</v>
      </c>
      <c r="C23" s="281">
        <v>1.9239999999999999</v>
      </c>
      <c r="D23" s="186">
        <v>2.8</v>
      </c>
      <c r="E23" s="186">
        <v>4.3</v>
      </c>
      <c r="F23" s="188">
        <v>6.2</v>
      </c>
      <c r="G23" s="188">
        <v>6.4</v>
      </c>
      <c r="H23" s="188">
        <v>5.4</v>
      </c>
    </row>
    <row r="24" spans="1:22" ht="14.65" customHeight="1">
      <c r="A24" s="186" t="s">
        <v>165</v>
      </c>
      <c r="B24" s="188">
        <v>4.0599999999999996</v>
      </c>
      <c r="C24" s="281">
        <v>3.6589999999999998</v>
      </c>
      <c r="D24" s="186">
        <v>3.55</v>
      </c>
      <c r="E24" s="186">
        <v>3.5</v>
      </c>
      <c r="F24" s="188">
        <v>15.8</v>
      </c>
      <c r="G24" s="188">
        <v>21.7</v>
      </c>
      <c r="H24" s="188">
        <v>3.6</v>
      </c>
    </row>
    <row r="25" spans="1:22" ht="14.65" customHeight="1">
      <c r="A25" s="186" t="s">
        <v>166</v>
      </c>
      <c r="B25" s="188">
        <v>1.5</v>
      </c>
      <c r="C25" s="281">
        <v>1.3129999999999999</v>
      </c>
      <c r="D25" s="186">
        <v>5.2</v>
      </c>
      <c r="E25" s="186">
        <v>4.5999999999999996</v>
      </c>
      <c r="F25" s="188">
        <v>4.5999999999999996</v>
      </c>
      <c r="G25" s="188">
        <v>4.7</v>
      </c>
      <c r="H25" s="188">
        <v>4.5</v>
      </c>
    </row>
    <row r="26" spans="1:22" ht="28.9" customHeight="1">
      <c r="A26" s="186" t="s">
        <v>167</v>
      </c>
      <c r="B26" s="188">
        <v>1.57</v>
      </c>
      <c r="C26" s="281">
        <v>1.706</v>
      </c>
      <c r="D26" s="186">
        <v>1.29</v>
      </c>
      <c r="E26" s="186">
        <v>1.9</v>
      </c>
      <c r="F26" s="188">
        <v>1.8</v>
      </c>
      <c r="G26" s="188">
        <v>2.1</v>
      </c>
      <c r="H26" s="188">
        <v>1.6</v>
      </c>
    </row>
    <row r="27" spans="1:22" ht="14.65" customHeight="1">
      <c r="A27" s="186" t="s">
        <v>168</v>
      </c>
      <c r="B27" s="188">
        <v>1.04</v>
      </c>
      <c r="C27" s="281">
        <v>1.073</v>
      </c>
      <c r="D27" s="186">
        <v>4.1100000000000003</v>
      </c>
      <c r="E27" s="186">
        <v>1.5</v>
      </c>
      <c r="F27" s="188">
        <v>1.2</v>
      </c>
      <c r="G27" s="188">
        <v>2.1</v>
      </c>
      <c r="H27" s="188">
        <v>1.1000000000000001</v>
      </c>
    </row>
    <row r="28" spans="1:22" ht="14.65" customHeight="1">
      <c r="A28" s="186" t="s">
        <v>169</v>
      </c>
      <c r="B28" s="188" t="s">
        <v>160</v>
      </c>
      <c r="C28" s="188" t="s">
        <v>160</v>
      </c>
      <c r="D28" s="186">
        <v>0.17</v>
      </c>
      <c r="E28" s="186">
        <v>0.2</v>
      </c>
      <c r="F28" s="188">
        <v>6.3</v>
      </c>
      <c r="G28" s="188">
        <v>4.7</v>
      </c>
      <c r="H28" s="188">
        <v>4.4000000000000004</v>
      </c>
    </row>
    <row r="29" spans="1:22" ht="14.65" customHeight="1">
      <c r="A29" s="186" t="s">
        <v>170</v>
      </c>
      <c r="B29" s="188">
        <v>7.86</v>
      </c>
      <c r="C29" s="186">
        <v>3.6349999999999998</v>
      </c>
      <c r="D29" s="186">
        <v>6.45</v>
      </c>
      <c r="E29" s="186">
        <v>18.8</v>
      </c>
      <c r="F29" s="188">
        <v>19.5</v>
      </c>
      <c r="G29" s="188">
        <v>33.700000000000003</v>
      </c>
      <c r="H29" s="188">
        <v>18.8</v>
      </c>
    </row>
    <row r="30" spans="1:22" ht="14.65" customHeight="1">
      <c r="A30" s="186" t="s">
        <v>171</v>
      </c>
      <c r="B30" s="188">
        <v>1.67</v>
      </c>
      <c r="C30" s="186">
        <v>1.968</v>
      </c>
      <c r="D30" s="186">
        <v>1.51</v>
      </c>
      <c r="E30" s="186">
        <v>2.1</v>
      </c>
      <c r="F30" s="188" t="s">
        <v>162</v>
      </c>
      <c r="G30" s="188" t="s">
        <v>162</v>
      </c>
      <c r="H30" s="188" t="s">
        <v>162</v>
      </c>
    </row>
    <row r="31" spans="1:22">
      <c r="A31" s="186" t="s">
        <v>172</v>
      </c>
      <c r="B31" s="283">
        <v>2401.6999999999998</v>
      </c>
      <c r="C31" s="284">
        <v>3078</v>
      </c>
      <c r="D31" s="285">
        <v>3783.5</v>
      </c>
      <c r="E31" s="285">
        <v>3811</v>
      </c>
      <c r="F31" s="221">
        <v>3598</v>
      </c>
      <c r="G31" s="221">
        <v>4814</v>
      </c>
      <c r="H31" s="221">
        <v>4665</v>
      </c>
    </row>
    <row r="32" spans="1:22">
      <c r="A32" s="195" t="s">
        <v>173</v>
      </c>
      <c r="B32" s="395">
        <v>2422</v>
      </c>
      <c r="C32" s="396">
        <v>3094</v>
      </c>
      <c r="D32" s="411">
        <v>3812</v>
      </c>
      <c r="E32" s="411">
        <v>3853</v>
      </c>
      <c r="F32" s="395">
        <v>3659.4</v>
      </c>
      <c r="G32" s="395">
        <v>4894.3999999999996</v>
      </c>
      <c r="H32" s="395">
        <v>4717.8999999999996</v>
      </c>
    </row>
    <row r="33" spans="1:15" ht="15.6" customHeight="1">
      <c r="A33" s="613" t="s">
        <v>174</v>
      </c>
      <c r="B33" s="613"/>
      <c r="C33" s="613"/>
      <c r="D33" s="613"/>
      <c r="E33" s="613"/>
      <c r="F33" s="613"/>
      <c r="G33" s="613"/>
      <c r="H33" s="613"/>
    </row>
    <row r="34" spans="1:15" ht="24" customHeight="1">
      <c r="A34" s="613" t="s">
        <v>175</v>
      </c>
      <c r="B34" s="613"/>
      <c r="C34" s="613"/>
      <c r="D34" s="613"/>
      <c r="E34" s="613"/>
      <c r="F34" s="613"/>
      <c r="G34" s="613"/>
      <c r="H34" s="613"/>
    </row>
    <row r="35" spans="1:15" ht="24.75" customHeight="1">
      <c r="A35" s="613" t="s">
        <v>176</v>
      </c>
      <c r="B35" s="613"/>
      <c r="C35" s="613"/>
      <c r="D35" s="613"/>
      <c r="E35" s="613"/>
      <c r="F35" s="613"/>
      <c r="G35" s="613"/>
      <c r="H35" s="613"/>
    </row>
    <row r="36" spans="1:15" ht="25.5" customHeight="1">
      <c r="A36" s="613" t="s">
        <v>177</v>
      </c>
      <c r="B36" s="613"/>
      <c r="C36" s="613"/>
      <c r="D36" s="613"/>
      <c r="E36" s="613"/>
      <c r="F36" s="613"/>
      <c r="G36" s="613"/>
      <c r="H36" s="613"/>
    </row>
    <row r="37" spans="1:15" ht="33.6" customHeight="1">
      <c r="A37" s="613" t="s">
        <v>178</v>
      </c>
      <c r="B37" s="613"/>
      <c r="C37" s="613"/>
      <c r="D37" s="613"/>
      <c r="E37" s="613"/>
      <c r="F37" s="613"/>
      <c r="G37" s="613"/>
      <c r="H37" s="613"/>
    </row>
    <row r="38" spans="1:15" ht="25.9" customHeight="1">
      <c r="A38" s="612" t="s">
        <v>179</v>
      </c>
      <c r="B38" s="612"/>
      <c r="C38" s="612"/>
      <c r="D38" s="612"/>
      <c r="E38" s="612"/>
      <c r="F38" s="612"/>
      <c r="G38" s="612"/>
      <c r="H38" s="612"/>
      <c r="I38" s="147"/>
      <c r="J38" s="147"/>
      <c r="K38" s="147"/>
      <c r="L38" s="147"/>
    </row>
    <row r="39" spans="1:15" ht="17.649999999999999" customHeight="1">
      <c r="A39" s="612"/>
      <c r="B39" s="612"/>
      <c r="C39" s="612"/>
      <c r="D39" s="612"/>
      <c r="E39" s="612"/>
      <c r="F39" s="612"/>
      <c r="G39" s="612"/>
      <c r="H39" s="612"/>
      <c r="I39" s="612"/>
      <c r="J39" s="612"/>
      <c r="K39" s="612"/>
      <c r="L39" s="612"/>
    </row>
    <row r="40" spans="1:15">
      <c r="A40" s="611" t="s">
        <v>180</v>
      </c>
      <c r="B40" s="611"/>
      <c r="C40" s="611"/>
      <c r="D40" s="611"/>
      <c r="E40" s="611"/>
      <c r="F40" s="611"/>
      <c r="G40" s="611"/>
      <c r="H40" s="611"/>
    </row>
    <row r="41" spans="1:15">
      <c r="A41" s="183" t="s">
        <v>158</v>
      </c>
      <c r="B41" s="182">
        <v>2022</v>
      </c>
      <c r="C41" s="182">
        <v>2021</v>
      </c>
      <c r="D41" s="182">
        <v>2020</v>
      </c>
      <c r="E41" s="182">
        <v>2019</v>
      </c>
      <c r="F41" s="213">
        <v>2018</v>
      </c>
      <c r="G41" s="214">
        <v>2017</v>
      </c>
      <c r="H41" s="214">
        <v>2016</v>
      </c>
      <c r="K41" s="43"/>
      <c r="L41" s="43"/>
      <c r="M41" s="43"/>
      <c r="N41" s="43"/>
      <c r="O41" s="43"/>
    </row>
    <row r="42" spans="1:15" ht="14.85" customHeight="1">
      <c r="A42" s="259" t="s">
        <v>159</v>
      </c>
      <c r="B42" s="188" t="s">
        <v>160</v>
      </c>
      <c r="C42" s="271">
        <v>0</v>
      </c>
      <c r="D42" s="271">
        <v>20.827500000000001</v>
      </c>
      <c r="E42" s="274">
        <v>67</v>
      </c>
      <c r="F42" s="275">
        <v>96</v>
      </c>
      <c r="G42" s="274">
        <v>186</v>
      </c>
      <c r="H42" s="274">
        <v>152.30000000000001</v>
      </c>
      <c r="K42" s="43"/>
      <c r="L42" s="43"/>
      <c r="M42" s="43"/>
      <c r="N42" s="43"/>
      <c r="O42" s="43"/>
    </row>
    <row r="43" spans="1:15" ht="25.5">
      <c r="A43" s="259" t="s">
        <v>161</v>
      </c>
      <c r="B43" s="265" t="s">
        <v>160</v>
      </c>
      <c r="C43" s="265" t="s">
        <v>160</v>
      </c>
      <c r="D43" s="265" t="s">
        <v>160</v>
      </c>
      <c r="E43" s="266" t="s">
        <v>160</v>
      </c>
      <c r="F43" s="266" t="s">
        <v>160</v>
      </c>
      <c r="G43" s="266" t="s">
        <v>160</v>
      </c>
      <c r="H43" s="266" t="s">
        <v>160</v>
      </c>
      <c r="K43" s="43"/>
      <c r="L43" s="43"/>
      <c r="M43" s="43"/>
      <c r="N43" s="43"/>
      <c r="O43" s="43"/>
    </row>
    <row r="44" spans="1:15">
      <c r="A44" s="259" t="s">
        <v>163</v>
      </c>
      <c r="B44" s="188" t="s">
        <v>160</v>
      </c>
      <c r="C44" s="188" t="s">
        <v>160</v>
      </c>
      <c r="D44" s="188" t="s">
        <v>160</v>
      </c>
      <c r="E44" s="276">
        <v>67</v>
      </c>
      <c r="F44" s="277">
        <v>4</v>
      </c>
      <c r="G44" s="266">
        <v>25</v>
      </c>
      <c r="H44" s="266" t="s">
        <v>181</v>
      </c>
      <c r="K44" s="43"/>
      <c r="L44" s="43"/>
      <c r="M44" s="43"/>
      <c r="N44" s="43"/>
      <c r="O44" s="43"/>
    </row>
    <row r="45" spans="1:15">
      <c r="A45" s="259" t="s">
        <v>164</v>
      </c>
      <c r="B45" s="186">
        <v>350.12</v>
      </c>
      <c r="C45" s="271">
        <v>305.4135</v>
      </c>
      <c r="D45" s="271">
        <v>321.72199999999998</v>
      </c>
      <c r="E45" s="278">
        <v>290</v>
      </c>
      <c r="F45" s="279">
        <v>321</v>
      </c>
      <c r="G45" s="269">
        <v>539</v>
      </c>
      <c r="H45" s="269">
        <v>87.5</v>
      </c>
      <c r="K45" s="43"/>
      <c r="L45" s="43"/>
      <c r="M45" s="43"/>
      <c r="N45" s="43"/>
      <c r="O45" s="43"/>
    </row>
    <row r="46" spans="1:15">
      <c r="A46" s="259" t="s">
        <v>165</v>
      </c>
      <c r="B46" s="271">
        <v>202</v>
      </c>
      <c r="C46" s="271">
        <v>452.49360000000001</v>
      </c>
      <c r="D46" s="271">
        <v>368.38499999999999</v>
      </c>
      <c r="E46" s="278">
        <v>421</v>
      </c>
      <c r="F46" s="279">
        <v>433</v>
      </c>
      <c r="G46" s="269">
        <v>823</v>
      </c>
      <c r="H46" s="269">
        <v>88</v>
      </c>
      <c r="K46" s="43"/>
      <c r="L46" s="43"/>
      <c r="M46" s="43"/>
      <c r="N46" s="43"/>
      <c r="O46" s="43"/>
    </row>
    <row r="47" spans="1:15">
      <c r="A47" s="259" t="s">
        <v>166</v>
      </c>
      <c r="B47" s="271">
        <v>271.58</v>
      </c>
      <c r="C47" s="271">
        <v>385.3612</v>
      </c>
      <c r="D47" s="271">
        <v>299.27</v>
      </c>
      <c r="E47" s="278">
        <v>260</v>
      </c>
      <c r="F47" s="279">
        <v>197</v>
      </c>
      <c r="G47" s="269">
        <v>1047</v>
      </c>
      <c r="H47" s="269">
        <v>156</v>
      </c>
      <c r="K47" s="43"/>
      <c r="L47" s="43"/>
      <c r="M47" s="43"/>
      <c r="N47" s="43"/>
      <c r="O47" s="43"/>
    </row>
    <row r="48" spans="1:15" ht="25.5">
      <c r="A48" s="259" t="s">
        <v>182</v>
      </c>
      <c r="B48" s="271">
        <v>225.78</v>
      </c>
      <c r="C48" s="186">
        <v>266.7</v>
      </c>
      <c r="D48" s="186">
        <v>317.89999999999998</v>
      </c>
      <c r="E48" s="278">
        <v>292</v>
      </c>
      <c r="F48" s="279">
        <v>241</v>
      </c>
      <c r="G48" s="269">
        <v>231</v>
      </c>
      <c r="H48" s="269">
        <v>246.5</v>
      </c>
      <c r="K48" s="43"/>
      <c r="L48" s="43"/>
      <c r="M48" s="43"/>
      <c r="N48" s="43"/>
      <c r="O48" s="43"/>
    </row>
    <row r="49" spans="1:15">
      <c r="A49" s="259" t="s">
        <v>168</v>
      </c>
      <c r="B49" s="186">
        <v>199.42</v>
      </c>
      <c r="C49" s="271">
        <v>144.38550000000001</v>
      </c>
      <c r="D49" s="271">
        <v>174.86600000000001</v>
      </c>
      <c r="E49" s="278">
        <v>152</v>
      </c>
      <c r="F49" s="279">
        <v>127</v>
      </c>
      <c r="G49" s="269">
        <v>401</v>
      </c>
      <c r="H49" s="269">
        <v>23.9</v>
      </c>
      <c r="K49" s="43"/>
      <c r="L49" s="43"/>
      <c r="M49" s="43"/>
      <c r="N49" s="43"/>
      <c r="O49" s="43"/>
    </row>
    <row r="50" spans="1:15">
      <c r="A50" s="259" t="s">
        <v>169</v>
      </c>
      <c r="B50" s="264" t="s">
        <v>160</v>
      </c>
      <c r="C50" s="265" t="s">
        <v>160</v>
      </c>
      <c r="D50" s="266" t="s">
        <v>160</v>
      </c>
      <c r="E50" s="266" t="s">
        <v>160</v>
      </c>
      <c r="F50" s="266" t="s">
        <v>160</v>
      </c>
      <c r="G50" s="266" t="s">
        <v>160</v>
      </c>
      <c r="H50" s="266" t="s">
        <v>160</v>
      </c>
      <c r="K50" s="43"/>
      <c r="L50" s="43"/>
      <c r="M50" s="43"/>
      <c r="N50" s="43"/>
      <c r="O50" s="43"/>
    </row>
    <row r="51" spans="1:15">
      <c r="A51" s="259" t="s">
        <v>170</v>
      </c>
      <c r="B51" s="264" t="s">
        <v>160</v>
      </c>
      <c r="C51" s="265" t="s">
        <v>160</v>
      </c>
      <c r="D51" s="266" t="s">
        <v>160</v>
      </c>
      <c r="E51" s="266" t="s">
        <v>160</v>
      </c>
      <c r="F51" s="266" t="s">
        <v>160</v>
      </c>
      <c r="G51" s="266" t="s">
        <v>160</v>
      </c>
      <c r="H51" s="266" t="s">
        <v>160</v>
      </c>
      <c r="K51" s="43"/>
      <c r="L51" s="43"/>
      <c r="M51" s="43"/>
      <c r="N51" s="43"/>
      <c r="O51" s="43"/>
    </row>
    <row r="52" spans="1:15">
      <c r="A52" s="259" t="s">
        <v>183</v>
      </c>
      <c r="B52" s="264" t="s">
        <v>160</v>
      </c>
      <c r="C52" s="265" t="s">
        <v>160</v>
      </c>
      <c r="D52" s="266" t="s">
        <v>160</v>
      </c>
      <c r="E52" s="266" t="s">
        <v>160</v>
      </c>
      <c r="F52" s="266" t="s">
        <v>160</v>
      </c>
      <c r="G52" s="266" t="s">
        <v>160</v>
      </c>
      <c r="H52" s="266" t="s">
        <v>160</v>
      </c>
      <c r="K52" s="43"/>
      <c r="L52" s="43"/>
      <c r="M52" s="43"/>
      <c r="N52" s="43"/>
      <c r="O52" s="43"/>
    </row>
    <row r="53" spans="1:15">
      <c r="A53" s="259" t="s">
        <v>172</v>
      </c>
      <c r="B53" s="271">
        <v>391.19</v>
      </c>
      <c r="C53" s="186">
        <v>498.17</v>
      </c>
      <c r="D53" s="186">
        <v>520.25</v>
      </c>
      <c r="E53" s="278">
        <v>526</v>
      </c>
      <c r="F53" s="279">
        <v>381</v>
      </c>
      <c r="G53" s="269">
        <v>503</v>
      </c>
      <c r="H53" s="269">
        <v>506.9</v>
      </c>
      <c r="K53" s="43"/>
      <c r="L53" s="43"/>
      <c r="M53" s="43"/>
      <c r="N53" s="43"/>
      <c r="O53" s="43"/>
    </row>
    <row r="54" spans="1:15">
      <c r="A54" s="412" t="s">
        <v>173</v>
      </c>
      <c r="B54" s="547">
        <f>SUM(B42:B53)</f>
        <v>1640.0900000000001</v>
      </c>
      <c r="C54" s="413">
        <f>SUM(C42:C53)</f>
        <v>2052.5237999999999</v>
      </c>
      <c r="D54" s="413">
        <f t="shared" ref="D54:H54" si="0">SUM(D42:D53)</f>
        <v>2023.2204999999999</v>
      </c>
      <c r="E54" s="414">
        <f t="shared" si="0"/>
        <v>2075</v>
      </c>
      <c r="F54" s="414">
        <f t="shared" si="0"/>
        <v>1800</v>
      </c>
      <c r="G54" s="414">
        <f t="shared" si="0"/>
        <v>3755</v>
      </c>
      <c r="H54" s="414">
        <f t="shared" si="0"/>
        <v>1261.0999999999999</v>
      </c>
    </row>
    <row r="55" spans="1:15" ht="33.6" customHeight="1">
      <c r="A55" s="608" t="s">
        <v>184</v>
      </c>
      <c r="B55" s="608"/>
      <c r="C55" s="608"/>
      <c r="D55" s="608"/>
      <c r="E55" s="608"/>
      <c r="F55" s="608"/>
      <c r="G55" s="608"/>
      <c r="H55" s="608"/>
    </row>
    <row r="56" spans="1:15" ht="24.6" customHeight="1">
      <c r="A56" s="608" t="s">
        <v>185</v>
      </c>
      <c r="B56" s="608"/>
      <c r="C56" s="608"/>
      <c r="D56" s="608"/>
      <c r="E56" s="608"/>
      <c r="F56" s="608"/>
      <c r="G56" s="608"/>
      <c r="H56" s="608"/>
    </row>
    <row r="57" spans="1:15" ht="24.6" customHeight="1">
      <c r="A57" s="608" t="s">
        <v>186</v>
      </c>
      <c r="B57" s="615"/>
      <c r="C57" s="615"/>
      <c r="D57" s="615"/>
      <c r="E57" s="615"/>
      <c r="F57" s="615"/>
      <c r="G57" s="615"/>
      <c r="H57" s="615"/>
    </row>
    <row r="58" spans="1:15">
      <c r="A58" s="74"/>
      <c r="B58" s="74"/>
      <c r="C58" s="74"/>
      <c r="D58" s="74"/>
      <c r="E58" s="74"/>
      <c r="F58" s="74"/>
      <c r="G58" s="74"/>
    </row>
    <row r="59" spans="1:15">
      <c r="A59" s="605" t="s">
        <v>187</v>
      </c>
      <c r="B59" s="605"/>
      <c r="C59" s="605"/>
      <c r="D59" s="605"/>
      <c r="E59" s="605"/>
      <c r="F59" s="605"/>
      <c r="G59" s="605"/>
      <c r="H59" s="605"/>
    </row>
    <row r="60" spans="1:15">
      <c r="A60" s="183" t="s">
        <v>158</v>
      </c>
      <c r="B60" s="182">
        <v>2022</v>
      </c>
      <c r="C60" s="182">
        <v>2021</v>
      </c>
      <c r="D60" s="182">
        <v>2020</v>
      </c>
      <c r="E60" s="182">
        <v>2019</v>
      </c>
      <c r="F60" s="213">
        <v>2018</v>
      </c>
      <c r="G60" s="213">
        <v>2017</v>
      </c>
      <c r="H60" s="214">
        <v>2016</v>
      </c>
    </row>
    <row r="61" spans="1:15" ht="14.85" customHeight="1">
      <c r="A61" s="259" t="s">
        <v>159</v>
      </c>
      <c r="B61" s="188" t="s">
        <v>160</v>
      </c>
      <c r="C61" s="271">
        <v>0</v>
      </c>
      <c r="D61" s="271">
        <v>36.740200000000002</v>
      </c>
      <c r="E61" s="272">
        <v>118</v>
      </c>
      <c r="F61" s="272">
        <v>170</v>
      </c>
      <c r="G61" s="272">
        <v>275</v>
      </c>
      <c r="H61" s="266" t="s">
        <v>181</v>
      </c>
    </row>
    <row r="62" spans="1:15" ht="25.5">
      <c r="A62" s="259" t="s">
        <v>161</v>
      </c>
      <c r="B62" s="265" t="s">
        <v>160</v>
      </c>
      <c r="C62" s="265" t="s">
        <v>160</v>
      </c>
      <c r="D62" s="265" t="s">
        <v>160</v>
      </c>
      <c r="E62" s="266" t="s">
        <v>160</v>
      </c>
      <c r="F62" s="266" t="s">
        <v>160</v>
      </c>
      <c r="G62" s="266" t="s">
        <v>160</v>
      </c>
      <c r="H62" s="266" t="s">
        <v>160</v>
      </c>
      <c r="I62" s="45"/>
    </row>
    <row r="63" spans="1:15">
      <c r="A63" s="259" t="s">
        <v>163</v>
      </c>
      <c r="B63" s="188" t="s">
        <v>160</v>
      </c>
      <c r="C63" s="188" t="s">
        <v>160</v>
      </c>
      <c r="D63" s="188" t="s">
        <v>160</v>
      </c>
      <c r="E63" s="266">
        <v>118</v>
      </c>
      <c r="F63" s="266">
        <v>56</v>
      </c>
      <c r="G63" s="266">
        <v>46</v>
      </c>
      <c r="H63" s="266" t="s">
        <v>181</v>
      </c>
      <c r="I63" s="46"/>
    </row>
    <row r="64" spans="1:15">
      <c r="A64" s="259" t="s">
        <v>164</v>
      </c>
      <c r="B64" s="545">
        <v>1373.72</v>
      </c>
      <c r="C64" s="271">
        <v>1182.6132</v>
      </c>
      <c r="D64" s="271">
        <v>1389.39</v>
      </c>
      <c r="E64" s="269">
        <v>1073</v>
      </c>
      <c r="F64" s="269">
        <v>1549</v>
      </c>
      <c r="G64" s="269">
        <v>1539</v>
      </c>
      <c r="H64" s="269">
        <v>396.7</v>
      </c>
      <c r="I64" s="46"/>
    </row>
    <row r="65" spans="1:10">
      <c r="A65" s="259" t="s">
        <v>165</v>
      </c>
      <c r="B65" s="271">
        <v>728.98</v>
      </c>
      <c r="C65" s="271">
        <v>1926.2791</v>
      </c>
      <c r="D65" s="271">
        <v>1654.499</v>
      </c>
      <c r="E65" s="269">
        <v>1584</v>
      </c>
      <c r="F65" s="269">
        <v>1585</v>
      </c>
      <c r="G65" s="269">
        <v>1476</v>
      </c>
      <c r="H65" s="269">
        <v>53.8</v>
      </c>
      <c r="I65" s="47"/>
    </row>
    <row r="66" spans="1:10">
      <c r="A66" s="259" t="s">
        <v>166</v>
      </c>
      <c r="B66" s="271">
        <v>564.24</v>
      </c>
      <c r="C66" s="271">
        <v>1164.1745000000001</v>
      </c>
      <c r="D66" s="271">
        <v>943.90959999999995</v>
      </c>
      <c r="E66" s="269">
        <v>652</v>
      </c>
      <c r="F66" s="269">
        <v>1062</v>
      </c>
      <c r="G66" s="269">
        <v>1228</v>
      </c>
      <c r="H66" s="269">
        <v>216.9</v>
      </c>
      <c r="I66" s="47"/>
    </row>
    <row r="67" spans="1:10" ht="25.5">
      <c r="A67" s="259" t="s">
        <v>182</v>
      </c>
      <c r="B67" s="271">
        <v>917.17</v>
      </c>
      <c r="C67" s="186">
        <v>1088.3</v>
      </c>
      <c r="D67" s="186">
        <v>1305.9000000000001</v>
      </c>
      <c r="E67" s="269">
        <v>1194</v>
      </c>
      <c r="F67" s="269">
        <v>978</v>
      </c>
      <c r="G67" s="269">
        <v>931</v>
      </c>
      <c r="H67" s="269">
        <v>1005.4</v>
      </c>
      <c r="I67" s="47"/>
    </row>
    <row r="68" spans="1:10">
      <c r="A68" s="259" t="s">
        <v>168</v>
      </c>
      <c r="B68" s="271">
        <v>602</v>
      </c>
      <c r="C68" s="271">
        <v>579.03330000000005</v>
      </c>
      <c r="D68" s="271">
        <v>693.14769999999999</v>
      </c>
      <c r="E68" s="269">
        <v>653</v>
      </c>
      <c r="F68" s="269">
        <v>483</v>
      </c>
      <c r="G68" s="269">
        <v>759</v>
      </c>
      <c r="H68" s="269">
        <v>20</v>
      </c>
      <c r="I68" s="47"/>
    </row>
    <row r="69" spans="1:10">
      <c r="A69" s="259" t="s">
        <v>169</v>
      </c>
      <c r="B69" s="264" t="s">
        <v>160</v>
      </c>
      <c r="C69" s="265" t="s">
        <v>160</v>
      </c>
      <c r="D69" s="265" t="s">
        <v>160</v>
      </c>
      <c r="E69" s="266" t="s">
        <v>160</v>
      </c>
      <c r="F69" s="266" t="s">
        <v>160</v>
      </c>
      <c r="G69" s="266" t="s">
        <v>160</v>
      </c>
      <c r="H69" s="266" t="s">
        <v>160</v>
      </c>
      <c r="I69" s="47"/>
    </row>
    <row r="70" spans="1:10">
      <c r="A70" s="259" t="s">
        <v>170</v>
      </c>
      <c r="B70" s="264" t="s">
        <v>160</v>
      </c>
      <c r="C70" s="265" t="s">
        <v>160</v>
      </c>
      <c r="D70" s="265" t="s">
        <v>160</v>
      </c>
      <c r="E70" s="266" t="s">
        <v>160</v>
      </c>
      <c r="F70" s="266" t="s">
        <v>160</v>
      </c>
      <c r="G70" s="266" t="s">
        <v>160</v>
      </c>
      <c r="H70" s="266" t="s">
        <v>160</v>
      </c>
      <c r="I70" s="46"/>
    </row>
    <row r="71" spans="1:10">
      <c r="A71" s="259" t="s">
        <v>183</v>
      </c>
      <c r="B71" s="264" t="s">
        <v>160</v>
      </c>
      <c r="C71" s="265" t="s">
        <v>160</v>
      </c>
      <c r="D71" s="265" t="s">
        <v>160</v>
      </c>
      <c r="E71" s="266" t="s">
        <v>160</v>
      </c>
      <c r="F71" s="266" t="s">
        <v>160</v>
      </c>
      <c r="G71" s="266" t="s">
        <v>160</v>
      </c>
      <c r="H71" s="266" t="s">
        <v>160</v>
      </c>
      <c r="I71" s="46"/>
    </row>
    <row r="72" spans="1:10">
      <c r="A72" s="259" t="s">
        <v>172</v>
      </c>
      <c r="B72" s="186">
        <v>73.900000000000006</v>
      </c>
      <c r="C72" s="186">
        <v>81.03</v>
      </c>
      <c r="D72" s="186">
        <v>81.069999999999993</v>
      </c>
      <c r="E72" s="269">
        <v>84</v>
      </c>
      <c r="F72" s="273">
        <v>76</v>
      </c>
      <c r="G72" s="269">
        <v>82</v>
      </c>
      <c r="H72" s="269">
        <v>78.7</v>
      </c>
      <c r="I72" s="46"/>
    </row>
    <row r="73" spans="1:10">
      <c r="A73" s="412" t="s">
        <v>173</v>
      </c>
      <c r="B73" s="547">
        <f>SUM(B61:B72)</f>
        <v>4260.0099999999993</v>
      </c>
      <c r="C73" s="413">
        <f>SUM(C61:C72)</f>
        <v>6021.4301000000005</v>
      </c>
      <c r="D73" s="413">
        <f t="shared" ref="D73:H73" si="1">SUM(D61:D72)</f>
        <v>6104.6564999999991</v>
      </c>
      <c r="E73" s="414">
        <f t="shared" si="1"/>
        <v>5476</v>
      </c>
      <c r="F73" s="414">
        <f t="shared" si="1"/>
        <v>5959</v>
      </c>
      <c r="G73" s="414">
        <f t="shared" si="1"/>
        <v>6336</v>
      </c>
      <c r="H73" s="414">
        <f t="shared" si="1"/>
        <v>1771.5</v>
      </c>
      <c r="I73" s="47"/>
    </row>
    <row r="74" spans="1:10" ht="35.65" customHeight="1">
      <c r="A74" s="608" t="s">
        <v>188</v>
      </c>
      <c r="B74" s="608"/>
      <c r="C74" s="608"/>
      <c r="D74" s="608"/>
      <c r="E74" s="608"/>
      <c r="F74" s="608"/>
      <c r="G74" s="608"/>
      <c r="H74" s="608"/>
    </row>
    <row r="75" spans="1:10" ht="25.9" customHeight="1">
      <c r="A75" s="608" t="s">
        <v>185</v>
      </c>
      <c r="B75" s="608"/>
      <c r="C75" s="608"/>
      <c r="D75" s="608"/>
      <c r="E75" s="608"/>
      <c r="F75" s="608"/>
      <c r="G75" s="608"/>
      <c r="H75" s="608"/>
    </row>
    <row r="76" spans="1:10" ht="25.9" customHeight="1">
      <c r="A76" s="608" t="s">
        <v>186</v>
      </c>
      <c r="B76" s="608"/>
      <c r="C76" s="608"/>
      <c r="D76" s="608"/>
      <c r="E76" s="608"/>
      <c r="F76" s="608"/>
      <c r="G76" s="608"/>
      <c r="H76" s="608"/>
    </row>
    <row r="77" spans="1:10">
      <c r="A77" s="48"/>
      <c r="B77" s="48"/>
    </row>
    <row r="78" spans="1:10">
      <c r="A78" s="605" t="s">
        <v>189</v>
      </c>
      <c r="B78" s="605"/>
      <c r="C78" s="605"/>
      <c r="D78" s="605"/>
      <c r="E78" s="605"/>
      <c r="F78" s="605"/>
      <c r="G78" s="605"/>
      <c r="H78" s="605"/>
    </row>
    <row r="79" spans="1:10" ht="14.85" customHeight="1">
      <c r="A79" s="183" t="s">
        <v>158</v>
      </c>
      <c r="B79" s="182">
        <v>2022</v>
      </c>
      <c r="C79" s="182">
        <v>2021</v>
      </c>
      <c r="D79" s="213">
        <v>2020</v>
      </c>
      <c r="E79" s="213">
        <v>2019</v>
      </c>
      <c r="F79" s="213">
        <v>2018</v>
      </c>
      <c r="G79" s="213">
        <v>2017</v>
      </c>
      <c r="H79" s="214">
        <v>2016</v>
      </c>
      <c r="J79" s="49"/>
    </row>
    <row r="80" spans="1:10" ht="15" customHeight="1">
      <c r="A80" s="259" t="s">
        <v>159</v>
      </c>
      <c r="B80" s="188" t="s">
        <v>160</v>
      </c>
      <c r="C80" s="188" t="s">
        <v>160</v>
      </c>
      <c r="D80" s="188" t="s">
        <v>160</v>
      </c>
      <c r="E80" s="266" t="s">
        <v>160</v>
      </c>
      <c r="F80" s="266" t="s">
        <v>160</v>
      </c>
      <c r="G80" s="266" t="s">
        <v>160</v>
      </c>
      <c r="H80" s="266" t="s">
        <v>181</v>
      </c>
      <c r="J80" s="49"/>
    </row>
    <row r="81" spans="1:10" ht="25.5">
      <c r="A81" s="259" t="s">
        <v>161</v>
      </c>
      <c r="B81" s="188" t="s">
        <v>160</v>
      </c>
      <c r="C81" s="188" t="s">
        <v>160</v>
      </c>
      <c r="D81" s="188" t="s">
        <v>160</v>
      </c>
      <c r="E81" s="266" t="s">
        <v>160</v>
      </c>
      <c r="F81" s="266" t="s">
        <v>160</v>
      </c>
      <c r="G81" s="266" t="s">
        <v>160</v>
      </c>
      <c r="H81" s="266" t="s">
        <v>160</v>
      </c>
      <c r="J81" s="49"/>
    </row>
    <row r="82" spans="1:10">
      <c r="A82" s="259" t="s">
        <v>163</v>
      </c>
      <c r="B82" s="188" t="s">
        <v>160</v>
      </c>
      <c r="C82" s="188" t="s">
        <v>160</v>
      </c>
      <c r="D82" s="188" t="s">
        <v>160</v>
      </c>
      <c r="E82" s="266" t="s">
        <v>160</v>
      </c>
      <c r="F82" s="266" t="s">
        <v>160</v>
      </c>
      <c r="G82" s="266" t="s">
        <v>160</v>
      </c>
      <c r="H82" s="266" t="s">
        <v>181</v>
      </c>
      <c r="J82" s="49"/>
    </row>
    <row r="83" spans="1:10">
      <c r="A83" s="259" t="s">
        <v>164</v>
      </c>
      <c r="B83" s="188" t="s">
        <v>160</v>
      </c>
      <c r="C83" s="188" t="s">
        <v>160</v>
      </c>
      <c r="D83" s="188" t="s">
        <v>160</v>
      </c>
      <c r="E83" s="266" t="s">
        <v>160</v>
      </c>
      <c r="F83" s="266" t="s">
        <v>160</v>
      </c>
      <c r="G83" s="266" t="s">
        <v>160</v>
      </c>
      <c r="H83" s="266" t="s">
        <v>181</v>
      </c>
      <c r="J83" s="49"/>
    </row>
    <row r="84" spans="1:10">
      <c r="A84" s="259" t="s">
        <v>165</v>
      </c>
      <c r="B84" s="188" t="s">
        <v>160</v>
      </c>
      <c r="C84" s="188" t="s">
        <v>160</v>
      </c>
      <c r="D84" s="188" t="s">
        <v>160</v>
      </c>
      <c r="E84" s="266" t="s">
        <v>160</v>
      </c>
      <c r="F84" s="266" t="s">
        <v>160</v>
      </c>
      <c r="G84" s="266" t="s">
        <v>160</v>
      </c>
      <c r="H84" s="266" t="s">
        <v>181</v>
      </c>
      <c r="J84" s="49"/>
    </row>
    <row r="85" spans="1:10">
      <c r="A85" s="259" t="s">
        <v>166</v>
      </c>
      <c r="B85" s="188" t="s">
        <v>160</v>
      </c>
      <c r="C85" s="188" t="s">
        <v>160</v>
      </c>
      <c r="D85" s="188" t="s">
        <v>160</v>
      </c>
      <c r="E85" s="266" t="s">
        <v>160</v>
      </c>
      <c r="F85" s="266" t="s">
        <v>160</v>
      </c>
      <c r="G85" s="266" t="s">
        <v>160</v>
      </c>
      <c r="H85" s="266" t="s">
        <v>181</v>
      </c>
      <c r="J85" s="49"/>
    </row>
    <row r="86" spans="1:10" ht="25.5">
      <c r="A86" s="259" t="s">
        <v>182</v>
      </c>
      <c r="B86" s="186">
        <v>56.4</v>
      </c>
      <c r="C86" s="186">
        <v>67.900000000000006</v>
      </c>
      <c r="D86" s="188">
        <v>75.2</v>
      </c>
      <c r="E86" s="269">
        <v>88</v>
      </c>
      <c r="F86" s="269">
        <v>73</v>
      </c>
      <c r="G86" s="269">
        <v>24</v>
      </c>
      <c r="H86" s="269">
        <v>17</v>
      </c>
      <c r="J86" s="49"/>
    </row>
    <row r="87" spans="1:10">
      <c r="A87" s="259" t="s">
        <v>168</v>
      </c>
      <c r="B87" s="188" t="s">
        <v>160</v>
      </c>
      <c r="C87" s="188" t="s">
        <v>160</v>
      </c>
      <c r="D87" s="188" t="s">
        <v>160</v>
      </c>
      <c r="E87" s="266" t="s">
        <v>160</v>
      </c>
      <c r="F87" s="266" t="s">
        <v>160</v>
      </c>
      <c r="G87" s="266" t="s">
        <v>160</v>
      </c>
      <c r="H87" s="266" t="s">
        <v>181</v>
      </c>
      <c r="J87" s="49"/>
    </row>
    <row r="88" spans="1:10">
      <c r="A88" s="259" t="s">
        <v>169</v>
      </c>
      <c r="B88" s="264" t="s">
        <v>160</v>
      </c>
      <c r="C88" s="265" t="s">
        <v>160</v>
      </c>
      <c r="D88" s="265" t="s">
        <v>160</v>
      </c>
      <c r="E88" s="266" t="s">
        <v>160</v>
      </c>
      <c r="F88" s="266" t="s">
        <v>160</v>
      </c>
      <c r="G88" s="266" t="s">
        <v>160</v>
      </c>
      <c r="H88" s="266" t="s">
        <v>160</v>
      </c>
      <c r="J88" s="49"/>
    </row>
    <row r="89" spans="1:10">
      <c r="A89" s="259" t="s">
        <v>170</v>
      </c>
      <c r="B89" s="264" t="s">
        <v>160</v>
      </c>
      <c r="C89" s="265" t="s">
        <v>160</v>
      </c>
      <c r="D89" s="265" t="s">
        <v>160</v>
      </c>
      <c r="E89" s="266" t="s">
        <v>160</v>
      </c>
      <c r="F89" s="266" t="s">
        <v>160</v>
      </c>
      <c r="G89" s="266" t="s">
        <v>160</v>
      </c>
      <c r="H89" s="266" t="s">
        <v>160</v>
      </c>
      <c r="J89" s="49"/>
    </row>
    <row r="90" spans="1:10">
      <c r="A90" s="259" t="s">
        <v>183</v>
      </c>
      <c r="B90" s="264" t="s">
        <v>160</v>
      </c>
      <c r="C90" s="265" t="s">
        <v>160</v>
      </c>
      <c r="D90" s="265" t="s">
        <v>160</v>
      </c>
      <c r="E90" s="266" t="s">
        <v>160</v>
      </c>
      <c r="F90" s="266" t="s">
        <v>160</v>
      </c>
      <c r="G90" s="266" t="s">
        <v>160</v>
      </c>
      <c r="H90" s="266" t="s">
        <v>160</v>
      </c>
    </row>
    <row r="91" spans="1:10">
      <c r="A91" s="259" t="s">
        <v>172</v>
      </c>
      <c r="B91" s="186">
        <v>14.2</v>
      </c>
      <c r="C91" s="186">
        <v>17.641999999999999</v>
      </c>
      <c r="D91" s="188">
        <v>17.5</v>
      </c>
      <c r="E91" s="269">
        <v>18</v>
      </c>
      <c r="F91" s="269">
        <v>16</v>
      </c>
      <c r="G91" s="269">
        <v>18</v>
      </c>
      <c r="H91" s="269">
        <v>12.7</v>
      </c>
    </row>
    <row r="92" spans="1:10" ht="14.65" customHeight="1">
      <c r="A92" s="415" t="s">
        <v>173</v>
      </c>
      <c r="B92" s="546">
        <f>SUM(B80:B91)</f>
        <v>70.599999999999994</v>
      </c>
      <c r="C92" s="413">
        <f>SUM(C80:C91)</f>
        <v>85.542000000000002</v>
      </c>
      <c r="D92" s="195">
        <f>SUM(D80:D91)</f>
        <v>92.7</v>
      </c>
      <c r="E92" s="414">
        <f>SUM(E80:E91)</f>
        <v>106</v>
      </c>
      <c r="F92" s="414">
        <f>SUM(F80:F91)</f>
        <v>89</v>
      </c>
      <c r="G92" s="416">
        <f>G86+G91</f>
        <v>42</v>
      </c>
      <c r="H92" s="416">
        <f>SUM(H80:H91)</f>
        <v>29.7</v>
      </c>
      <c r="J92" s="123"/>
    </row>
    <row r="93" spans="1:10" ht="31.9" customHeight="1">
      <c r="A93" s="608" t="s">
        <v>190</v>
      </c>
      <c r="B93" s="608"/>
      <c r="C93" s="608"/>
      <c r="D93" s="608"/>
      <c r="E93" s="608"/>
      <c r="F93" s="608"/>
      <c r="G93" s="608"/>
      <c r="H93" s="608"/>
    </row>
    <row r="94" spans="1:10" ht="24" customHeight="1">
      <c r="A94" s="608" t="s">
        <v>185</v>
      </c>
      <c r="B94" s="608"/>
      <c r="C94" s="608"/>
      <c r="D94" s="608"/>
      <c r="E94" s="608"/>
      <c r="F94" s="608"/>
      <c r="G94" s="608"/>
      <c r="H94" s="608"/>
    </row>
    <row r="95" spans="1:10" ht="24" customHeight="1">
      <c r="A95" s="608" t="s">
        <v>186</v>
      </c>
      <c r="B95" s="608"/>
      <c r="C95" s="608"/>
      <c r="D95" s="608"/>
      <c r="E95" s="608"/>
      <c r="F95" s="608"/>
      <c r="G95" s="608"/>
      <c r="H95" s="608"/>
    </row>
    <row r="97" spans="1:11">
      <c r="A97" s="606" t="s">
        <v>191</v>
      </c>
      <c r="B97" s="606"/>
      <c r="C97" s="606"/>
      <c r="D97" s="606"/>
      <c r="E97" s="606"/>
      <c r="F97" s="606"/>
      <c r="G97" s="606"/>
      <c r="H97" s="606"/>
    </row>
    <row r="98" spans="1:11">
      <c r="A98" s="183" t="s">
        <v>158</v>
      </c>
      <c r="B98" s="182">
        <v>2022</v>
      </c>
      <c r="C98" s="174">
        <v>2021</v>
      </c>
      <c r="D98" s="182">
        <v>2020</v>
      </c>
      <c r="E98" s="182">
        <v>2019</v>
      </c>
      <c r="F98" s="213">
        <v>2018</v>
      </c>
      <c r="G98" s="213">
        <v>2017</v>
      </c>
      <c r="H98" s="214">
        <v>2016</v>
      </c>
      <c r="J98" s="51"/>
    </row>
    <row r="99" spans="1:11" ht="15" customHeight="1">
      <c r="A99" s="259" t="s">
        <v>159</v>
      </c>
      <c r="B99" s="188" t="s">
        <v>160</v>
      </c>
      <c r="C99" s="261">
        <v>0</v>
      </c>
      <c r="D99" s="186">
        <v>4.0000000000000002E-4</v>
      </c>
      <c r="E99" s="262">
        <v>2.9999999999999997E-4</v>
      </c>
      <c r="F99" s="262">
        <v>4.0000000000000002E-4</v>
      </c>
      <c r="G99" s="262">
        <v>6.9999999999999999E-4</v>
      </c>
      <c r="H99" s="263">
        <v>4.0000000000000002E-4</v>
      </c>
      <c r="J99" s="50"/>
    </row>
    <row r="100" spans="1:11" ht="25.5">
      <c r="A100" s="259" t="s">
        <v>161</v>
      </c>
      <c r="B100" s="264" t="s">
        <v>160</v>
      </c>
      <c r="C100" s="264" t="s">
        <v>160</v>
      </c>
      <c r="D100" s="265" t="s">
        <v>160</v>
      </c>
      <c r="E100" s="266" t="s">
        <v>160</v>
      </c>
      <c r="F100" s="266" t="s">
        <v>160</v>
      </c>
      <c r="G100" s="266" t="s">
        <v>160</v>
      </c>
      <c r="H100" s="266" t="s">
        <v>160</v>
      </c>
      <c r="J100" s="52"/>
    </row>
    <row r="101" spans="1:11">
      <c r="A101" s="259" t="s">
        <v>163</v>
      </c>
      <c r="B101" s="264" t="s">
        <v>160</v>
      </c>
      <c r="C101" s="264" t="s">
        <v>160</v>
      </c>
      <c r="D101" s="265" t="s">
        <v>160</v>
      </c>
      <c r="E101" s="267">
        <v>2.9999999999999997E-4</v>
      </c>
      <c r="F101" s="262">
        <v>0</v>
      </c>
      <c r="G101" s="267">
        <v>5.8999999999999998E-5</v>
      </c>
      <c r="H101" s="263">
        <v>2.0000000000000001E-4</v>
      </c>
      <c r="J101" s="50"/>
    </row>
    <row r="102" spans="1:11">
      <c r="A102" s="259" t="s">
        <v>164</v>
      </c>
      <c r="B102" s="261">
        <v>2.16E-3</v>
      </c>
      <c r="C102" s="261">
        <v>4.4020000000000002E-4</v>
      </c>
      <c r="D102" s="261">
        <v>5.5999999999999995E-4</v>
      </c>
      <c r="E102" s="267">
        <v>6.7069999999999999E-4</v>
      </c>
      <c r="F102" s="267">
        <v>2.0000000000000001E-4</v>
      </c>
      <c r="G102" s="267">
        <v>3.8500000000000003E-4</v>
      </c>
      <c r="H102" s="263">
        <v>1E-4</v>
      </c>
      <c r="J102" s="50"/>
      <c r="K102" s="53"/>
    </row>
    <row r="103" spans="1:11">
      <c r="A103" s="259" t="s">
        <v>165</v>
      </c>
      <c r="B103" s="261">
        <v>1.1800000000000001E-3</v>
      </c>
      <c r="C103" s="261">
        <v>1.1000000000000001E-3</v>
      </c>
      <c r="D103" s="261">
        <v>8.4999999999999995E-4</v>
      </c>
      <c r="E103" s="267">
        <v>2.0000000000000001E-4</v>
      </c>
      <c r="F103" s="267">
        <v>5.0000000000000001E-4</v>
      </c>
      <c r="G103" s="267">
        <v>1.3900000000000002E-4</v>
      </c>
      <c r="H103" s="263">
        <v>1E-4</v>
      </c>
      <c r="J103" s="50"/>
    </row>
    <row r="104" spans="1:11">
      <c r="A104" s="259" t="s">
        <v>166</v>
      </c>
      <c r="B104" s="261">
        <v>1.102E-2</v>
      </c>
      <c r="C104" s="261">
        <v>5.9999999999999995E-4</v>
      </c>
      <c r="D104" s="261">
        <v>1.1999999999999999E-3</v>
      </c>
      <c r="E104" s="267">
        <v>7.5349200000000003E-4</v>
      </c>
      <c r="F104" s="267">
        <v>4.0000000000000002E-4</v>
      </c>
      <c r="G104" s="267">
        <v>6.9999999999999999E-4</v>
      </c>
      <c r="H104" s="263">
        <v>4.0000000000000002E-4</v>
      </c>
      <c r="J104" s="50"/>
    </row>
    <row r="105" spans="1:11" ht="25.5">
      <c r="A105" s="259" t="s">
        <v>182</v>
      </c>
      <c r="B105" s="267">
        <v>0</v>
      </c>
      <c r="C105" s="264" t="s">
        <v>160</v>
      </c>
      <c r="D105" s="265" t="s">
        <v>160</v>
      </c>
      <c r="E105" s="267">
        <v>0</v>
      </c>
      <c r="F105" s="267">
        <v>0</v>
      </c>
      <c r="G105" s="267">
        <v>0</v>
      </c>
      <c r="H105" s="263">
        <v>0</v>
      </c>
      <c r="J105" s="50"/>
    </row>
    <row r="106" spans="1:11">
      <c r="A106" s="259" t="s">
        <v>168</v>
      </c>
      <c r="B106" s="261">
        <v>0</v>
      </c>
      <c r="C106" s="261">
        <v>0</v>
      </c>
      <c r="D106" s="261">
        <v>1.2E-4</v>
      </c>
      <c r="E106" s="267">
        <v>1.2718000000000001E-5</v>
      </c>
      <c r="F106" s="267">
        <v>1E-4</v>
      </c>
      <c r="G106" s="267">
        <v>2.02E-4</v>
      </c>
      <c r="H106" s="263">
        <v>1E-4</v>
      </c>
      <c r="J106" s="51"/>
    </row>
    <row r="107" spans="1:11">
      <c r="A107" s="259" t="s">
        <v>169</v>
      </c>
      <c r="B107" s="264" t="s">
        <v>160</v>
      </c>
      <c r="C107" s="264" t="s">
        <v>160</v>
      </c>
      <c r="D107" s="265" t="s">
        <v>160</v>
      </c>
      <c r="E107" s="266" t="s">
        <v>160</v>
      </c>
      <c r="F107" s="266" t="s">
        <v>160</v>
      </c>
      <c r="G107" s="267">
        <v>0</v>
      </c>
      <c r="H107" s="263">
        <v>1E-4</v>
      </c>
      <c r="J107" s="50"/>
    </row>
    <row r="108" spans="1:11">
      <c r="A108" s="259" t="s">
        <v>170</v>
      </c>
      <c r="B108" s="264" t="s">
        <v>160</v>
      </c>
      <c r="C108" s="264" t="s">
        <v>160</v>
      </c>
      <c r="D108" s="265" t="s">
        <v>160</v>
      </c>
      <c r="E108" s="266" t="s">
        <v>160</v>
      </c>
      <c r="F108" s="266" t="s">
        <v>160</v>
      </c>
      <c r="G108" s="266" t="s">
        <v>160</v>
      </c>
      <c r="H108" s="266" t="s">
        <v>160</v>
      </c>
      <c r="J108" s="50"/>
    </row>
    <row r="109" spans="1:11">
      <c r="A109" s="259" t="s">
        <v>183</v>
      </c>
      <c r="B109" s="264" t="s">
        <v>160</v>
      </c>
      <c r="C109" s="264" t="s">
        <v>160</v>
      </c>
      <c r="D109" s="265" t="s">
        <v>160</v>
      </c>
      <c r="E109" s="266" t="s">
        <v>160</v>
      </c>
      <c r="F109" s="266" t="s">
        <v>160</v>
      </c>
      <c r="G109" s="266" t="s">
        <v>160</v>
      </c>
      <c r="H109" s="263">
        <v>3.0000000000000001E-3</v>
      </c>
      <c r="J109" s="54"/>
    </row>
    <row r="110" spans="1:11">
      <c r="A110" s="259" t="s">
        <v>172</v>
      </c>
      <c r="B110" s="261">
        <v>4.0660000000000002E-2</v>
      </c>
      <c r="C110" s="261">
        <v>3.1099999999999999E-2</v>
      </c>
      <c r="D110" s="186">
        <v>8.6999999999999994E-3</v>
      </c>
      <c r="E110" s="268">
        <v>1.4999999999999999E-2</v>
      </c>
      <c r="F110" s="267">
        <v>0.01</v>
      </c>
      <c r="G110" s="267">
        <v>7.0000000000000007E-2</v>
      </c>
      <c r="H110" s="263">
        <f>128.652/1000</f>
        <v>0.12865199999999999</v>
      </c>
    </row>
    <row r="111" spans="1:11">
      <c r="A111" s="412" t="s">
        <v>173</v>
      </c>
      <c r="B111" s="548">
        <f>SUM(B99:B110)</f>
        <v>5.5019999999999999E-2</v>
      </c>
      <c r="C111" s="417">
        <f>SUM(C99:C110)</f>
        <v>3.3240199999999998E-2</v>
      </c>
      <c r="D111" s="197">
        <f t="shared" ref="D111:H111" si="2">SUM(D99:D110)</f>
        <v>1.1829999999999999E-2</v>
      </c>
      <c r="E111" s="418">
        <f t="shared" si="2"/>
        <v>1.7236910000000001E-2</v>
      </c>
      <c r="F111" s="418">
        <f t="shared" si="2"/>
        <v>1.1600000000000001E-2</v>
      </c>
      <c r="G111" s="418">
        <f t="shared" si="2"/>
        <v>7.2185000000000013E-2</v>
      </c>
      <c r="H111" s="418">
        <f t="shared" si="2"/>
        <v>0.13305199999999998</v>
      </c>
    </row>
    <row r="112" spans="1:11" ht="34.15" customHeight="1">
      <c r="A112" s="608" t="s">
        <v>190</v>
      </c>
      <c r="B112" s="608"/>
      <c r="C112" s="608"/>
      <c r="D112" s="608"/>
      <c r="E112" s="608"/>
      <c r="F112" s="608"/>
      <c r="G112" s="608"/>
      <c r="H112" s="608"/>
    </row>
    <row r="113" spans="1:16" ht="23.65" customHeight="1">
      <c r="A113" s="608" t="s">
        <v>185</v>
      </c>
      <c r="B113" s="608"/>
      <c r="C113" s="608"/>
      <c r="D113" s="608"/>
      <c r="E113" s="608"/>
      <c r="F113" s="608"/>
      <c r="G113" s="608"/>
      <c r="H113" s="608"/>
    </row>
    <row r="114" spans="1:16" ht="23.65" customHeight="1">
      <c r="A114" s="608" t="s">
        <v>186</v>
      </c>
      <c r="B114" s="608"/>
      <c r="C114" s="608"/>
      <c r="D114" s="608"/>
      <c r="E114" s="608"/>
      <c r="F114" s="608"/>
      <c r="G114" s="608"/>
      <c r="H114" s="608"/>
    </row>
    <row r="116" spans="1:16">
      <c r="A116" s="607" t="s">
        <v>192</v>
      </c>
      <c r="B116" s="607"/>
      <c r="C116" s="607"/>
      <c r="D116" s="607"/>
      <c r="E116" s="607"/>
      <c r="F116" s="607"/>
      <c r="G116" s="607"/>
      <c r="H116" s="607"/>
    </row>
    <row r="117" spans="1:16" ht="18" customHeight="1">
      <c r="A117" s="614" t="s">
        <v>193</v>
      </c>
      <c r="B117" s="614" t="s">
        <v>194</v>
      </c>
      <c r="C117" s="614">
        <v>2022</v>
      </c>
      <c r="D117" s="614"/>
      <c r="E117" s="614">
        <v>2021</v>
      </c>
      <c r="F117" s="614"/>
      <c r="G117" s="614">
        <v>2020</v>
      </c>
      <c r="H117" s="614"/>
      <c r="I117" s="614">
        <v>2019</v>
      </c>
      <c r="J117" s="614"/>
      <c r="K117" s="614">
        <v>2018</v>
      </c>
      <c r="L117" s="614"/>
      <c r="M117" s="614">
        <v>2017</v>
      </c>
      <c r="N117" s="614"/>
      <c r="O117" s="614">
        <v>2016</v>
      </c>
      <c r="P117" s="614"/>
    </row>
    <row r="118" spans="1:16" ht="18" customHeight="1">
      <c r="A118" s="614"/>
      <c r="B118" s="614"/>
      <c r="C118" s="182" t="s">
        <v>195</v>
      </c>
      <c r="D118" s="182" t="s">
        <v>196</v>
      </c>
      <c r="E118" s="182" t="s">
        <v>195</v>
      </c>
      <c r="F118" s="182" t="s">
        <v>196</v>
      </c>
      <c r="G118" s="182" t="s">
        <v>195</v>
      </c>
      <c r="H118" s="182" t="s">
        <v>196</v>
      </c>
      <c r="I118" s="182" t="s">
        <v>195</v>
      </c>
      <c r="J118" s="182" t="s">
        <v>196</v>
      </c>
      <c r="K118" s="182" t="s">
        <v>195</v>
      </c>
      <c r="L118" s="182" t="s">
        <v>196</v>
      </c>
      <c r="M118" s="182" t="s">
        <v>195</v>
      </c>
      <c r="N118" s="182" t="s">
        <v>196</v>
      </c>
      <c r="O118" s="182" t="s">
        <v>195</v>
      </c>
      <c r="P118" s="182" t="s">
        <v>196</v>
      </c>
    </row>
    <row r="119" spans="1:16" ht="28.35" customHeight="1">
      <c r="A119" s="186" t="s">
        <v>197</v>
      </c>
      <c r="B119" s="186" t="s">
        <v>161</v>
      </c>
      <c r="C119" s="186">
        <v>9</v>
      </c>
      <c r="D119" s="186">
        <v>16</v>
      </c>
      <c r="E119" s="187">
        <v>9</v>
      </c>
      <c r="F119" s="187">
        <v>18</v>
      </c>
      <c r="G119" s="188">
        <v>9</v>
      </c>
      <c r="H119" s="188">
        <v>14</v>
      </c>
      <c r="I119" s="188">
        <v>7</v>
      </c>
      <c r="J119" s="188">
        <v>14</v>
      </c>
      <c r="K119" s="188">
        <v>8</v>
      </c>
      <c r="L119" s="188">
        <v>12</v>
      </c>
      <c r="M119" s="188">
        <v>8</v>
      </c>
      <c r="N119" s="188">
        <v>14</v>
      </c>
      <c r="O119" s="188">
        <v>10</v>
      </c>
      <c r="P119" s="188">
        <v>16</v>
      </c>
    </row>
    <row r="120" spans="1:16" ht="25.5">
      <c r="A120" s="186" t="s">
        <v>198</v>
      </c>
      <c r="B120" s="186" t="s">
        <v>164</v>
      </c>
      <c r="C120" s="186">
        <v>7</v>
      </c>
      <c r="D120" s="186">
        <v>27</v>
      </c>
      <c r="E120" s="187">
        <v>9</v>
      </c>
      <c r="F120" s="187">
        <v>46</v>
      </c>
      <c r="G120" s="188">
        <v>6</v>
      </c>
      <c r="H120" s="188">
        <v>15</v>
      </c>
      <c r="I120" s="188">
        <v>7</v>
      </c>
      <c r="J120" s="188">
        <v>14</v>
      </c>
      <c r="K120" s="188">
        <v>8</v>
      </c>
      <c r="L120" s="188" t="s">
        <v>199</v>
      </c>
      <c r="M120" s="188">
        <v>5</v>
      </c>
      <c r="N120" s="188">
        <v>21</v>
      </c>
      <c r="O120" s="188">
        <v>5</v>
      </c>
      <c r="P120" s="188">
        <v>14</v>
      </c>
    </row>
    <row r="121" spans="1:16" ht="27" customHeight="1">
      <c r="A121" s="186" t="s">
        <v>200</v>
      </c>
      <c r="B121" s="186" t="s">
        <v>166</v>
      </c>
      <c r="C121" s="186">
        <v>6</v>
      </c>
      <c r="D121" s="186">
        <v>30</v>
      </c>
      <c r="E121" s="187">
        <v>7</v>
      </c>
      <c r="F121" s="187">
        <v>49</v>
      </c>
      <c r="G121" s="188">
        <v>5</v>
      </c>
      <c r="H121" s="188">
        <v>31</v>
      </c>
      <c r="I121" s="188">
        <v>4</v>
      </c>
      <c r="J121" s="188">
        <v>16</v>
      </c>
      <c r="K121" s="188">
        <v>7</v>
      </c>
      <c r="L121" s="188" t="s">
        <v>199</v>
      </c>
      <c r="M121" s="188">
        <v>7</v>
      </c>
      <c r="N121" s="188">
        <v>49</v>
      </c>
      <c r="O121" s="188">
        <v>4</v>
      </c>
      <c r="P121" s="188">
        <v>8</v>
      </c>
    </row>
    <row r="122" spans="1:16" ht="15" customHeight="1">
      <c r="A122" s="608" t="s">
        <v>201</v>
      </c>
      <c r="B122" s="608"/>
      <c r="C122" s="608"/>
      <c r="D122" s="608"/>
      <c r="E122" s="608"/>
      <c r="F122" s="608"/>
      <c r="G122" s="608"/>
      <c r="H122" s="608"/>
      <c r="I122" s="608"/>
      <c r="J122" s="608"/>
      <c r="K122" s="608"/>
      <c r="L122" s="608"/>
      <c r="M122" s="608"/>
      <c r="N122" s="608"/>
      <c r="O122" s="608"/>
      <c r="P122" s="608"/>
    </row>
    <row r="123" spans="1:16" ht="15" customHeight="1">
      <c r="A123" s="613" t="s">
        <v>202</v>
      </c>
      <c r="B123" s="613"/>
      <c r="C123" s="613"/>
      <c r="D123" s="613"/>
      <c r="E123" s="613"/>
      <c r="F123" s="613"/>
      <c r="G123" s="613"/>
      <c r="H123" s="613"/>
      <c r="I123" s="613"/>
      <c r="J123" s="613"/>
      <c r="K123" s="613"/>
      <c r="L123" s="613"/>
      <c r="M123" s="613"/>
      <c r="N123" s="613"/>
      <c r="O123" s="613"/>
      <c r="P123" s="613"/>
    </row>
    <row r="124" spans="1:16" ht="22.15" customHeight="1">
      <c r="A124" s="613"/>
      <c r="B124" s="613"/>
      <c r="C124" s="613"/>
      <c r="D124" s="613"/>
      <c r="E124" s="613"/>
      <c r="F124" s="613"/>
      <c r="G124" s="613"/>
      <c r="H124" s="613"/>
      <c r="I124" s="613"/>
      <c r="J124" s="613"/>
      <c r="K124" s="613"/>
      <c r="L124" s="613"/>
    </row>
    <row r="125" spans="1:16">
      <c r="A125" s="607" t="s">
        <v>203</v>
      </c>
      <c r="B125" s="607"/>
      <c r="C125" s="607"/>
      <c r="D125" s="607"/>
      <c r="E125" s="607"/>
      <c r="F125" s="607"/>
      <c r="G125" s="607"/>
      <c r="H125" s="607"/>
      <c r="I125" s="607"/>
      <c r="J125" s="607"/>
      <c r="K125" s="607"/>
      <c r="L125" s="607"/>
      <c r="M125" s="607"/>
      <c r="N125" s="607"/>
      <c r="O125" s="607"/>
      <c r="P125" s="607"/>
    </row>
    <row r="126" spans="1:16" ht="16.899999999999999" customHeight="1">
      <c r="A126" s="614" t="s">
        <v>193</v>
      </c>
      <c r="B126" s="614" t="s">
        <v>194</v>
      </c>
      <c r="C126" s="614">
        <v>2022</v>
      </c>
      <c r="D126" s="614"/>
      <c r="E126" s="614">
        <v>2021</v>
      </c>
      <c r="F126" s="614"/>
      <c r="G126" s="614">
        <v>2020</v>
      </c>
      <c r="H126" s="614"/>
      <c r="I126" s="614">
        <v>2019</v>
      </c>
      <c r="J126" s="614"/>
      <c r="K126" s="614">
        <v>2018</v>
      </c>
      <c r="L126" s="614"/>
      <c r="M126" s="614">
        <v>2017</v>
      </c>
      <c r="N126" s="614"/>
      <c r="O126" s="614">
        <v>2016</v>
      </c>
      <c r="P126" s="614"/>
    </row>
    <row r="127" spans="1:16" ht="16.899999999999999" customHeight="1">
      <c r="A127" s="614"/>
      <c r="B127" s="614"/>
      <c r="C127" s="182" t="s">
        <v>195</v>
      </c>
      <c r="D127" s="182" t="s">
        <v>196</v>
      </c>
      <c r="E127" s="182" t="s">
        <v>195</v>
      </c>
      <c r="F127" s="182" t="s">
        <v>196</v>
      </c>
      <c r="G127" s="182" t="s">
        <v>195</v>
      </c>
      <c r="H127" s="182" t="s">
        <v>196</v>
      </c>
      <c r="I127" s="182" t="s">
        <v>195</v>
      </c>
      <c r="J127" s="182" t="s">
        <v>196</v>
      </c>
      <c r="K127" s="182" t="s">
        <v>195</v>
      </c>
      <c r="L127" s="182" t="s">
        <v>196</v>
      </c>
      <c r="M127" s="182" t="s">
        <v>195</v>
      </c>
      <c r="N127" s="182" t="s">
        <v>196</v>
      </c>
      <c r="O127" s="182" t="s">
        <v>195</v>
      </c>
      <c r="P127" s="182" t="s">
        <v>196</v>
      </c>
    </row>
    <row r="128" spans="1:16" ht="25.5">
      <c r="A128" s="186" t="s">
        <v>204</v>
      </c>
      <c r="B128" s="186" t="s">
        <v>161</v>
      </c>
      <c r="C128" s="186">
        <v>31</v>
      </c>
      <c r="D128" s="186">
        <v>51</v>
      </c>
      <c r="E128" s="187">
        <v>36</v>
      </c>
      <c r="F128" s="187">
        <v>65</v>
      </c>
      <c r="G128" s="188">
        <v>35</v>
      </c>
      <c r="H128" s="188">
        <v>57</v>
      </c>
      <c r="I128" s="188">
        <v>34</v>
      </c>
      <c r="J128" s="188">
        <v>59</v>
      </c>
      <c r="K128" s="188">
        <v>33</v>
      </c>
      <c r="L128" s="188">
        <v>51</v>
      </c>
      <c r="M128" s="188">
        <v>29</v>
      </c>
      <c r="N128" s="188">
        <v>51</v>
      </c>
      <c r="O128" s="188">
        <v>37</v>
      </c>
      <c r="P128" s="188">
        <v>70</v>
      </c>
    </row>
    <row r="129" spans="1:16" ht="25.5">
      <c r="A129" s="186" t="s">
        <v>205</v>
      </c>
      <c r="B129" s="186" t="s">
        <v>164</v>
      </c>
      <c r="C129" s="186">
        <v>17</v>
      </c>
      <c r="D129" s="186">
        <v>49</v>
      </c>
      <c r="E129" s="187" t="s">
        <v>206</v>
      </c>
      <c r="F129" s="187">
        <v>55</v>
      </c>
      <c r="G129" s="188">
        <v>11</v>
      </c>
      <c r="H129" s="188" t="s">
        <v>207</v>
      </c>
      <c r="I129" s="188">
        <v>13</v>
      </c>
      <c r="J129" s="188">
        <v>44</v>
      </c>
      <c r="K129" s="188">
        <v>17</v>
      </c>
      <c r="L129" s="188">
        <v>82</v>
      </c>
      <c r="M129" s="188">
        <v>14</v>
      </c>
      <c r="N129" s="188">
        <v>44</v>
      </c>
      <c r="O129" s="188">
        <v>11</v>
      </c>
      <c r="P129" s="188">
        <v>32</v>
      </c>
    </row>
    <row r="130" spans="1:16" ht="28.15" customHeight="1">
      <c r="A130" s="186" t="s">
        <v>208</v>
      </c>
      <c r="B130" s="186" t="s">
        <v>166</v>
      </c>
      <c r="C130" s="186">
        <v>11</v>
      </c>
      <c r="D130" s="186">
        <v>38</v>
      </c>
      <c r="E130" s="187">
        <v>12</v>
      </c>
      <c r="F130" s="187">
        <v>62</v>
      </c>
      <c r="G130" s="188">
        <v>9</v>
      </c>
      <c r="H130" s="188">
        <v>47</v>
      </c>
      <c r="I130" s="188">
        <v>10</v>
      </c>
      <c r="J130" s="188">
        <v>43</v>
      </c>
      <c r="K130" s="188">
        <v>11</v>
      </c>
      <c r="L130" s="188">
        <v>57</v>
      </c>
      <c r="M130" s="188">
        <v>10</v>
      </c>
      <c r="N130" s="188" t="s">
        <v>209</v>
      </c>
      <c r="O130" s="188">
        <v>7</v>
      </c>
      <c r="P130" s="188">
        <v>19</v>
      </c>
    </row>
    <row r="131" spans="1:16">
      <c r="A131" s="186" t="s">
        <v>210</v>
      </c>
      <c r="B131" s="186" t="s">
        <v>172</v>
      </c>
      <c r="C131" s="186">
        <v>9</v>
      </c>
      <c r="D131" s="186">
        <v>23</v>
      </c>
      <c r="E131" s="187">
        <v>17</v>
      </c>
      <c r="F131" s="187">
        <v>95</v>
      </c>
      <c r="G131" s="188">
        <v>15</v>
      </c>
      <c r="H131" s="188">
        <v>63</v>
      </c>
      <c r="I131" s="188">
        <v>14</v>
      </c>
      <c r="J131" s="188">
        <v>28</v>
      </c>
      <c r="K131" s="188">
        <v>26</v>
      </c>
      <c r="L131" s="188">
        <v>165</v>
      </c>
      <c r="M131" s="188">
        <v>18</v>
      </c>
      <c r="N131" s="188">
        <v>54</v>
      </c>
      <c r="O131" s="188">
        <v>18</v>
      </c>
      <c r="P131" s="188">
        <v>38</v>
      </c>
    </row>
    <row r="132" spans="1:16" ht="15" customHeight="1">
      <c r="A132" s="613" t="s">
        <v>211</v>
      </c>
      <c r="B132" s="613"/>
      <c r="C132" s="613"/>
      <c r="D132" s="613"/>
      <c r="E132" s="613"/>
      <c r="F132" s="613"/>
      <c r="G132" s="613"/>
      <c r="H132" s="613"/>
      <c r="I132" s="613"/>
      <c r="J132" s="613"/>
      <c r="K132" s="613"/>
      <c r="L132" s="613"/>
      <c r="M132" s="613"/>
      <c r="N132" s="613"/>
      <c r="O132" s="613"/>
      <c r="P132" s="613"/>
    </row>
    <row r="133" spans="1:16" ht="15" customHeight="1">
      <c r="A133" s="613" t="s">
        <v>202</v>
      </c>
      <c r="B133" s="613"/>
      <c r="C133" s="613"/>
      <c r="D133" s="613"/>
      <c r="E133" s="613"/>
      <c r="F133" s="613"/>
      <c r="G133" s="613"/>
      <c r="H133" s="613"/>
      <c r="I133" s="613"/>
      <c r="J133" s="613"/>
      <c r="K133" s="613"/>
      <c r="L133" s="613"/>
      <c r="M133" s="613"/>
      <c r="N133" s="613"/>
      <c r="O133" s="613"/>
      <c r="P133" s="613"/>
    </row>
  </sheetData>
  <sheetProtection algorithmName="SHA-512" hashValue="P907p0mIOLDXrCMNMU2H6yeefuxC4MqkcItC9dxpLpEs7vhSiy8NT5Eb4h8igZFxLNhoGWK7wtTQ/jQDgqhzjA==" saltValue="3C6EUcdjRKRxUiidOgJd7A==" spinCount="100000" sheet="1" objects="1" scenarios="1"/>
  <mergeCells count="58">
    <mergeCell ref="A33:H33"/>
    <mergeCell ref="A34:H34"/>
    <mergeCell ref="A35:H35"/>
    <mergeCell ref="A36:H36"/>
    <mergeCell ref="A37:H37"/>
    <mergeCell ref="A12:H12"/>
    <mergeCell ref="A13:H13"/>
    <mergeCell ref="A14:H14"/>
    <mergeCell ref="A15:H15"/>
    <mergeCell ref="A16:H16"/>
    <mergeCell ref="A94:H94"/>
    <mergeCell ref="B117:B118"/>
    <mergeCell ref="E117:F117"/>
    <mergeCell ref="G117:H117"/>
    <mergeCell ref="A55:H55"/>
    <mergeCell ref="A74:H74"/>
    <mergeCell ref="A57:H57"/>
    <mergeCell ref="A76:H76"/>
    <mergeCell ref="A95:H95"/>
    <mergeCell ref="A56:H56"/>
    <mergeCell ref="A93:H93"/>
    <mergeCell ref="A112:H112"/>
    <mergeCell ref="I117:J117"/>
    <mergeCell ref="A117:A118"/>
    <mergeCell ref="K117:L117"/>
    <mergeCell ref="A132:P132"/>
    <mergeCell ref="M117:N117"/>
    <mergeCell ref="O117:P117"/>
    <mergeCell ref="C117:D117"/>
    <mergeCell ref="A133:P133"/>
    <mergeCell ref="A123:P123"/>
    <mergeCell ref="A125:P125"/>
    <mergeCell ref="M126:N126"/>
    <mergeCell ref="O126:P126"/>
    <mergeCell ref="G126:H126"/>
    <mergeCell ref="I126:J126"/>
    <mergeCell ref="K126:L126"/>
    <mergeCell ref="A124:L124"/>
    <mergeCell ref="A126:A127"/>
    <mergeCell ref="B126:B127"/>
    <mergeCell ref="E126:F126"/>
    <mergeCell ref="C126:D126"/>
    <mergeCell ref="A7:H7"/>
    <mergeCell ref="A78:H78"/>
    <mergeCell ref="A97:H97"/>
    <mergeCell ref="A116:H116"/>
    <mergeCell ref="A122:P122"/>
    <mergeCell ref="A11:H11"/>
    <mergeCell ref="A9:H9"/>
    <mergeCell ref="A18:H18"/>
    <mergeCell ref="A40:H40"/>
    <mergeCell ref="A59:H59"/>
    <mergeCell ref="K21:V21"/>
    <mergeCell ref="A39:L39"/>
    <mergeCell ref="A38:H38"/>
    <mergeCell ref="A113:H113"/>
    <mergeCell ref="A114:H114"/>
    <mergeCell ref="A75:H7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635E-C1B2-4821-BABE-F9C9689C2199}">
  <sheetPr codeName="Sheet4">
    <tabColor rgb="FF93E3FF"/>
  </sheetPr>
  <dimension ref="A7:M81"/>
  <sheetViews>
    <sheetView showGridLines="0" zoomScaleNormal="100" workbookViewId="0"/>
  </sheetViews>
  <sheetFormatPr baseColWidth="10" defaultColWidth="8.7109375" defaultRowHeight="15"/>
  <cols>
    <col min="1" max="1" width="38.28515625" customWidth="1"/>
    <col min="2" max="2" width="21.28515625" bestFit="1" customWidth="1"/>
    <col min="3" max="3" width="16.28515625" bestFit="1" customWidth="1"/>
    <col min="4" max="7" width="15.5703125" customWidth="1"/>
    <col min="8" max="13" width="16.7109375" customWidth="1"/>
  </cols>
  <sheetData>
    <row r="7" spans="1:8" ht="20.25">
      <c r="A7" s="617" t="s">
        <v>0</v>
      </c>
      <c r="B7" s="617"/>
      <c r="C7" s="617"/>
      <c r="D7" s="617"/>
      <c r="E7" s="617"/>
      <c r="F7" s="617"/>
      <c r="G7" s="617"/>
      <c r="H7" s="617"/>
    </row>
    <row r="8" spans="1:8" ht="15.75" thickBot="1"/>
    <row r="9" spans="1:8" ht="19.5" thickTop="1" thickBot="1">
      <c r="A9" s="618" t="s">
        <v>212</v>
      </c>
      <c r="B9" s="610"/>
      <c r="C9" s="610"/>
      <c r="D9" s="610"/>
      <c r="E9" s="610"/>
      <c r="F9" s="610"/>
      <c r="G9" s="610"/>
      <c r="H9" s="610"/>
    </row>
    <row r="10" spans="1:8" ht="18" customHeight="1" thickTop="1"/>
    <row r="11" spans="1:8" ht="16.5">
      <c r="A11" s="619" t="s">
        <v>213</v>
      </c>
      <c r="B11" s="619"/>
      <c r="C11" s="619"/>
      <c r="D11" s="619"/>
      <c r="E11" s="619"/>
      <c r="F11" s="619"/>
      <c r="G11" s="619"/>
      <c r="H11" s="619"/>
    </row>
    <row r="12" spans="1:8">
      <c r="A12" s="174"/>
      <c r="B12" s="174">
        <v>2022</v>
      </c>
      <c r="C12" s="174" t="s">
        <v>214</v>
      </c>
      <c r="D12" s="174" t="s">
        <v>215</v>
      </c>
      <c r="E12" s="174" t="s">
        <v>216</v>
      </c>
      <c r="F12" s="174" t="s">
        <v>217</v>
      </c>
      <c r="G12" s="174">
        <v>2017</v>
      </c>
      <c r="H12" s="174">
        <v>2016</v>
      </c>
    </row>
    <row r="13" spans="1:8">
      <c r="A13" s="247" t="s">
        <v>218</v>
      </c>
      <c r="B13" s="247">
        <v>202</v>
      </c>
      <c r="C13" s="248">
        <v>129</v>
      </c>
      <c r="D13" s="217">
        <v>212</v>
      </c>
      <c r="E13" s="217">
        <v>18</v>
      </c>
      <c r="F13" s="217">
        <v>31</v>
      </c>
      <c r="G13" s="217">
        <v>30</v>
      </c>
      <c r="H13" s="217">
        <v>147</v>
      </c>
    </row>
    <row r="14" spans="1:8">
      <c r="A14" s="247" t="s">
        <v>219</v>
      </c>
      <c r="B14" s="247">
        <v>502</v>
      </c>
      <c r="C14" s="249">
        <v>506</v>
      </c>
      <c r="D14" s="217">
        <v>1094</v>
      </c>
      <c r="E14" s="217">
        <v>1846</v>
      </c>
      <c r="F14" s="217">
        <v>1018</v>
      </c>
      <c r="G14" s="217">
        <v>388</v>
      </c>
      <c r="H14" s="217">
        <v>421</v>
      </c>
    </row>
    <row r="15" spans="1:8">
      <c r="A15" s="247" t="s">
        <v>220</v>
      </c>
      <c r="B15" s="251">
        <v>28358</v>
      </c>
      <c r="C15" s="250">
        <v>28026</v>
      </c>
      <c r="D15" s="217">
        <v>27648</v>
      </c>
      <c r="E15" s="217">
        <v>26683</v>
      </c>
      <c r="F15" s="217" t="s">
        <v>221</v>
      </c>
      <c r="G15" s="217" t="s">
        <v>222</v>
      </c>
      <c r="H15" s="217" t="s">
        <v>223</v>
      </c>
    </row>
    <row r="16" spans="1:8">
      <c r="A16" s="247" t="s">
        <v>224</v>
      </c>
      <c r="B16" s="251">
        <v>6126</v>
      </c>
      <c r="C16" s="251">
        <v>6126</v>
      </c>
      <c r="D16" s="217">
        <v>5930</v>
      </c>
      <c r="E16" s="217">
        <v>5781</v>
      </c>
      <c r="F16" s="217" t="s">
        <v>225</v>
      </c>
      <c r="G16" s="217" t="s">
        <v>226</v>
      </c>
      <c r="H16" s="217" t="s">
        <v>227</v>
      </c>
    </row>
    <row r="17" spans="1:12">
      <c r="A17" s="196" t="s">
        <v>228</v>
      </c>
      <c r="B17" s="408">
        <v>34483</v>
      </c>
      <c r="C17" s="408">
        <v>34152</v>
      </c>
      <c r="D17" s="396">
        <f>D15+D16</f>
        <v>33578</v>
      </c>
      <c r="E17" s="396">
        <v>32464</v>
      </c>
      <c r="F17" s="396">
        <v>30619</v>
      </c>
      <c r="G17" s="396">
        <v>29800</v>
      </c>
      <c r="H17" s="396" t="s">
        <v>229</v>
      </c>
    </row>
    <row r="18" spans="1:12" ht="28.15" customHeight="1">
      <c r="A18" s="622" t="s">
        <v>230</v>
      </c>
      <c r="B18" s="622"/>
      <c r="C18" s="622"/>
      <c r="D18" s="622"/>
      <c r="E18" s="622"/>
      <c r="F18" s="622"/>
      <c r="G18" s="622"/>
      <c r="H18" s="622"/>
    </row>
    <row r="19" spans="1:12" ht="14.65" customHeight="1">
      <c r="A19" s="620" t="s">
        <v>231</v>
      </c>
      <c r="B19" s="620"/>
      <c r="C19" s="620"/>
      <c r="D19" s="620"/>
      <c r="E19" s="620"/>
      <c r="F19" s="620"/>
      <c r="G19" s="620"/>
      <c r="H19" s="620"/>
    </row>
    <row r="20" spans="1:12" ht="14.65" customHeight="1">
      <c r="A20" s="620" t="s">
        <v>232</v>
      </c>
      <c r="B20" s="620"/>
      <c r="C20" s="620"/>
      <c r="D20" s="620"/>
      <c r="E20" s="620"/>
      <c r="F20" s="620"/>
      <c r="G20" s="620"/>
      <c r="H20" s="620"/>
    </row>
    <row r="21" spans="1:12">
      <c r="A21" s="622" t="s">
        <v>233</v>
      </c>
      <c r="B21" s="622"/>
      <c r="C21" s="622"/>
      <c r="D21" s="622"/>
      <c r="E21" s="622"/>
      <c r="F21" s="622"/>
      <c r="G21" s="622"/>
      <c r="H21" s="622"/>
    </row>
    <row r="22" spans="1:12" ht="14.65" customHeight="1">
      <c r="A22" s="620" t="s">
        <v>234</v>
      </c>
      <c r="B22" s="620"/>
      <c r="C22" s="620"/>
      <c r="D22" s="620"/>
      <c r="E22" s="620"/>
      <c r="F22" s="620"/>
      <c r="G22" s="620"/>
      <c r="H22" s="620"/>
    </row>
    <row r="23" spans="1:12">
      <c r="A23" s="124"/>
      <c r="B23" s="124"/>
      <c r="C23" s="124"/>
      <c r="D23" s="124"/>
      <c r="E23" s="124"/>
      <c r="F23" s="124"/>
      <c r="G23" s="124"/>
    </row>
    <row r="24" spans="1:12" ht="17.25">
      <c r="A24" s="621" t="s">
        <v>235</v>
      </c>
      <c r="B24" s="621"/>
      <c r="C24" s="621"/>
      <c r="D24" s="621"/>
      <c r="E24" s="124"/>
      <c r="F24" s="124"/>
      <c r="G24" s="124"/>
    </row>
    <row r="25" spans="1:12">
      <c r="A25" s="181"/>
      <c r="B25" s="174">
        <v>2022</v>
      </c>
      <c r="C25" s="174">
        <v>2021</v>
      </c>
      <c r="D25" s="174">
        <v>2020</v>
      </c>
      <c r="E25" s="172"/>
      <c r="F25" s="124"/>
      <c r="G25" s="124"/>
    </row>
    <row r="26" spans="1:12" ht="26.25">
      <c r="A26" s="315" t="s">
        <v>236</v>
      </c>
      <c r="B26" s="249" t="s">
        <v>237</v>
      </c>
      <c r="C26" s="249" t="s">
        <v>238</v>
      </c>
      <c r="D26" s="219" t="s">
        <v>239</v>
      </c>
      <c r="E26" s="124"/>
      <c r="F26" s="124"/>
      <c r="G26" s="124"/>
    </row>
    <row r="27" spans="1:12" ht="26.25">
      <c r="A27" s="315" t="s">
        <v>240</v>
      </c>
      <c r="B27" s="504" t="s">
        <v>241</v>
      </c>
      <c r="C27" s="504" t="s">
        <v>242</v>
      </c>
      <c r="D27" s="504" t="s">
        <v>243</v>
      </c>
      <c r="E27" s="124"/>
      <c r="F27" s="124"/>
      <c r="G27" s="124"/>
      <c r="L27" t="s">
        <v>244</v>
      </c>
    </row>
    <row r="28" spans="1:12" ht="22.15" customHeight="1">
      <c r="A28" s="622" t="s">
        <v>245</v>
      </c>
      <c r="B28" s="622"/>
      <c r="C28" s="622"/>
      <c r="D28" s="622"/>
      <c r="E28" s="31"/>
      <c r="F28" s="31"/>
      <c r="G28" s="31"/>
      <c r="H28" s="31"/>
    </row>
    <row r="30" spans="1:12" ht="14.65" customHeight="1">
      <c r="A30" s="619" t="s">
        <v>246</v>
      </c>
      <c r="B30" s="619"/>
      <c r="C30" s="619"/>
      <c r="D30" s="619"/>
      <c r="E30" s="619"/>
      <c r="F30" s="619"/>
      <c r="G30" s="619"/>
      <c r="H30" s="619"/>
    </row>
    <row r="31" spans="1:12" ht="26.65" customHeight="1">
      <c r="A31" s="623" t="s">
        <v>247</v>
      </c>
      <c r="B31" s="624" t="s">
        <v>248</v>
      </c>
      <c r="C31" s="624" t="s">
        <v>249</v>
      </c>
      <c r="D31" s="624" t="s">
        <v>250</v>
      </c>
      <c r="E31" s="624"/>
      <c r="F31" s="624"/>
      <c r="G31" s="624"/>
      <c r="H31" s="624"/>
    </row>
    <row r="32" spans="1:12" ht="26.25">
      <c r="A32" s="623"/>
      <c r="B32" s="624"/>
      <c r="C32" s="624"/>
      <c r="D32" s="175" t="s">
        <v>251</v>
      </c>
      <c r="E32" s="174" t="s">
        <v>252</v>
      </c>
      <c r="F32" s="174" t="s">
        <v>253</v>
      </c>
      <c r="G32" s="174" t="s">
        <v>254</v>
      </c>
      <c r="H32" s="174" t="s">
        <v>255</v>
      </c>
    </row>
    <row r="33" spans="1:10">
      <c r="A33" s="630" t="s">
        <v>256</v>
      </c>
      <c r="B33" s="631"/>
      <c r="C33" s="631"/>
      <c r="D33" s="631"/>
      <c r="E33" s="631"/>
      <c r="F33" s="631"/>
      <c r="G33" s="631"/>
      <c r="H33" s="632"/>
      <c r="J33" s="17"/>
    </row>
    <row r="34" spans="1:10">
      <c r="A34" s="253" t="s">
        <v>257</v>
      </c>
      <c r="B34" s="253" t="s">
        <v>159</v>
      </c>
      <c r="C34" s="253" t="s">
        <v>258</v>
      </c>
      <c r="D34" s="253">
        <v>1</v>
      </c>
      <c r="E34" s="253">
        <v>2</v>
      </c>
      <c r="F34" s="253">
        <v>9</v>
      </c>
      <c r="G34" s="253">
        <v>11</v>
      </c>
      <c r="H34" s="253">
        <v>416</v>
      </c>
    </row>
    <row r="35" spans="1:10">
      <c r="A35" s="253" t="s">
        <v>259</v>
      </c>
      <c r="B35" s="253" t="s">
        <v>163</v>
      </c>
      <c r="C35" s="253" t="s">
        <v>258</v>
      </c>
      <c r="D35" s="253">
        <v>1</v>
      </c>
      <c r="E35" s="253">
        <v>6</v>
      </c>
      <c r="F35" s="253">
        <v>10</v>
      </c>
      <c r="G35" s="253">
        <v>8</v>
      </c>
      <c r="H35" s="253">
        <v>492</v>
      </c>
    </row>
    <row r="36" spans="1:10">
      <c r="A36" s="253" t="s">
        <v>260</v>
      </c>
      <c r="B36" s="253" t="s">
        <v>261</v>
      </c>
      <c r="C36" s="253" t="s">
        <v>262</v>
      </c>
      <c r="D36" s="253">
        <v>0</v>
      </c>
      <c r="E36" s="253">
        <v>3</v>
      </c>
      <c r="F36" s="253">
        <v>7</v>
      </c>
      <c r="G36" s="253">
        <v>5</v>
      </c>
      <c r="H36" s="253">
        <v>201</v>
      </c>
    </row>
    <row r="37" spans="1:10">
      <c r="A37" s="253" t="s">
        <v>259</v>
      </c>
      <c r="B37" s="253" t="s">
        <v>164</v>
      </c>
      <c r="C37" s="253" t="s">
        <v>258</v>
      </c>
      <c r="D37" s="253">
        <v>1</v>
      </c>
      <c r="E37" s="253">
        <v>6</v>
      </c>
      <c r="F37" s="253">
        <v>11</v>
      </c>
      <c r="G37" s="253">
        <v>8</v>
      </c>
      <c r="H37" s="253">
        <v>481</v>
      </c>
    </row>
    <row r="38" spans="1:10">
      <c r="A38" s="253" t="s">
        <v>259</v>
      </c>
      <c r="B38" s="253" t="s">
        <v>165</v>
      </c>
      <c r="C38" s="253" t="s">
        <v>258</v>
      </c>
      <c r="D38" s="253">
        <v>1</v>
      </c>
      <c r="E38" s="253">
        <v>4</v>
      </c>
      <c r="F38" s="253">
        <v>9</v>
      </c>
      <c r="G38" s="253">
        <v>10</v>
      </c>
      <c r="H38" s="253">
        <v>463</v>
      </c>
    </row>
    <row r="39" spans="1:10">
      <c r="A39" s="253" t="s">
        <v>259</v>
      </c>
      <c r="B39" s="253" t="s">
        <v>166</v>
      </c>
      <c r="C39" s="253" t="s">
        <v>258</v>
      </c>
      <c r="D39" s="253">
        <v>1</v>
      </c>
      <c r="E39" s="253">
        <v>5</v>
      </c>
      <c r="F39" s="253">
        <v>9</v>
      </c>
      <c r="G39" s="253">
        <v>9</v>
      </c>
      <c r="H39" s="253">
        <v>473</v>
      </c>
    </row>
    <row r="40" spans="1:10">
      <c r="A40" s="253" t="s">
        <v>259</v>
      </c>
      <c r="B40" s="253" t="s">
        <v>182</v>
      </c>
      <c r="C40" s="253" t="s">
        <v>263</v>
      </c>
      <c r="D40" s="253">
        <v>0</v>
      </c>
      <c r="E40" s="253">
        <v>2</v>
      </c>
      <c r="F40" s="253">
        <v>11</v>
      </c>
      <c r="G40" s="253">
        <v>10</v>
      </c>
      <c r="H40" s="253">
        <v>477</v>
      </c>
    </row>
    <row r="41" spans="1:10">
      <c r="A41" s="253" t="s">
        <v>259</v>
      </c>
      <c r="B41" s="253" t="s">
        <v>168</v>
      </c>
      <c r="C41" s="253" t="s">
        <v>258</v>
      </c>
      <c r="D41" s="253">
        <v>1</v>
      </c>
      <c r="E41" s="253">
        <v>6</v>
      </c>
      <c r="F41" s="253">
        <v>11</v>
      </c>
      <c r="G41" s="253">
        <v>9</v>
      </c>
      <c r="H41" s="253">
        <v>475</v>
      </c>
    </row>
    <row r="42" spans="1:10">
      <c r="A42" s="253" t="s">
        <v>259</v>
      </c>
      <c r="B42" s="253" t="s">
        <v>264</v>
      </c>
      <c r="C42" s="253" t="s">
        <v>258</v>
      </c>
      <c r="D42" s="253">
        <v>0</v>
      </c>
      <c r="E42" s="253">
        <v>1</v>
      </c>
      <c r="F42" s="253">
        <v>9</v>
      </c>
      <c r="G42" s="253">
        <v>9</v>
      </c>
      <c r="H42" s="253">
        <v>357</v>
      </c>
    </row>
    <row r="43" spans="1:10">
      <c r="A43" s="253" t="s">
        <v>259</v>
      </c>
      <c r="B43" s="253" t="s">
        <v>172</v>
      </c>
      <c r="C43" s="253" t="s">
        <v>265</v>
      </c>
      <c r="D43" s="253">
        <v>0</v>
      </c>
      <c r="E43" s="253">
        <v>7</v>
      </c>
      <c r="F43" s="253">
        <v>12</v>
      </c>
      <c r="G43" s="253">
        <v>9</v>
      </c>
      <c r="H43" s="253">
        <v>522</v>
      </c>
    </row>
    <row r="44" spans="1:10">
      <c r="A44" s="630" t="s">
        <v>266</v>
      </c>
      <c r="B44" s="631"/>
      <c r="C44" s="631"/>
      <c r="D44" s="631"/>
      <c r="E44" s="631"/>
      <c r="F44" s="631"/>
      <c r="G44" s="631"/>
      <c r="H44" s="632"/>
    </row>
    <row r="45" spans="1:10">
      <c r="A45" s="253" t="s">
        <v>267</v>
      </c>
      <c r="B45" s="253" t="s">
        <v>169</v>
      </c>
      <c r="C45" s="253" t="s">
        <v>268</v>
      </c>
      <c r="D45" s="253">
        <v>0</v>
      </c>
      <c r="E45" s="253">
        <v>8</v>
      </c>
      <c r="F45" s="253">
        <v>12</v>
      </c>
      <c r="G45" s="253">
        <v>10</v>
      </c>
      <c r="H45" s="253">
        <v>562</v>
      </c>
    </row>
    <row r="46" spans="1:10">
      <c r="A46" s="253" t="s">
        <v>269</v>
      </c>
      <c r="B46" s="253" t="s">
        <v>183</v>
      </c>
      <c r="C46" s="253" t="s">
        <v>270</v>
      </c>
      <c r="D46" s="253">
        <v>0</v>
      </c>
      <c r="E46" s="253">
        <v>0</v>
      </c>
      <c r="F46" s="253">
        <v>9</v>
      </c>
      <c r="G46" s="253">
        <v>13</v>
      </c>
      <c r="H46" s="253">
        <v>209</v>
      </c>
    </row>
    <row r="47" spans="1:10">
      <c r="A47" s="630" t="s">
        <v>271</v>
      </c>
      <c r="B47" s="631"/>
      <c r="C47" s="631"/>
      <c r="D47" s="631"/>
      <c r="E47" s="631"/>
      <c r="F47" s="631"/>
      <c r="G47" s="631"/>
      <c r="H47" s="632"/>
    </row>
    <row r="48" spans="1:10">
      <c r="A48" s="253" t="s">
        <v>272</v>
      </c>
      <c r="B48" s="253" t="s">
        <v>161</v>
      </c>
      <c r="C48" s="253" t="s">
        <v>263</v>
      </c>
      <c r="D48" s="253">
        <v>4</v>
      </c>
      <c r="E48" s="253">
        <v>10</v>
      </c>
      <c r="F48" s="253">
        <v>31</v>
      </c>
      <c r="G48" s="253">
        <v>31</v>
      </c>
      <c r="H48" s="253">
        <v>519</v>
      </c>
    </row>
    <row r="49" spans="1:13">
      <c r="A49" s="253" t="s">
        <v>273</v>
      </c>
      <c r="B49" s="253" t="s">
        <v>170</v>
      </c>
      <c r="C49" s="253" t="s">
        <v>263</v>
      </c>
      <c r="D49" s="253">
        <v>4</v>
      </c>
      <c r="E49" s="253">
        <v>3</v>
      </c>
      <c r="F49" s="253">
        <v>5</v>
      </c>
      <c r="G49" s="253">
        <v>6</v>
      </c>
      <c r="H49" s="253">
        <v>208</v>
      </c>
    </row>
    <row r="50" spans="1:13" ht="15" customHeight="1">
      <c r="A50" s="622" t="s">
        <v>274</v>
      </c>
      <c r="B50" s="622"/>
      <c r="C50" s="622"/>
      <c r="D50" s="622"/>
      <c r="E50" s="622"/>
      <c r="F50" s="622"/>
      <c r="G50" s="622"/>
      <c r="H50" s="622"/>
    </row>
    <row r="51" spans="1:13" ht="14.65" customHeight="1">
      <c r="A51" s="622" t="s">
        <v>275</v>
      </c>
      <c r="B51" s="622"/>
      <c r="C51" s="622"/>
      <c r="D51" s="622"/>
      <c r="E51" s="622"/>
      <c r="F51" s="622"/>
      <c r="G51" s="622"/>
      <c r="H51" s="622"/>
    </row>
    <row r="52" spans="1:13" ht="14.65" customHeight="1">
      <c r="A52" s="622" t="s">
        <v>276</v>
      </c>
      <c r="B52" s="622"/>
      <c r="C52" s="622"/>
      <c r="D52" s="622"/>
      <c r="E52" s="622"/>
      <c r="F52" s="622"/>
      <c r="G52" s="622"/>
      <c r="H52" s="622"/>
    </row>
    <row r="53" spans="1:13" ht="15.6" customHeight="1">
      <c r="A53" s="622" t="s">
        <v>277</v>
      </c>
      <c r="B53" s="622"/>
      <c r="C53" s="622"/>
      <c r="D53" s="622"/>
      <c r="E53" s="622"/>
      <c r="F53" s="622"/>
      <c r="G53" s="622"/>
      <c r="H53" s="622"/>
    </row>
    <row r="54" spans="1:13">
      <c r="A54" s="125"/>
      <c r="B54" s="125"/>
      <c r="C54" s="125"/>
      <c r="D54" s="125"/>
      <c r="E54" s="125"/>
      <c r="F54" s="125"/>
      <c r="G54" s="125"/>
      <c r="H54" s="125"/>
    </row>
    <row r="55" spans="1:13" ht="14.65" customHeight="1">
      <c r="A55" s="619" t="s">
        <v>278</v>
      </c>
      <c r="B55" s="619"/>
      <c r="C55" s="619"/>
      <c r="D55" s="619"/>
      <c r="E55" s="619"/>
      <c r="F55" s="619"/>
      <c r="G55" s="619"/>
      <c r="H55" s="619"/>
      <c r="I55" s="619"/>
      <c r="J55" s="619"/>
      <c r="K55" s="619"/>
      <c r="L55" s="619"/>
      <c r="M55" s="619"/>
    </row>
    <row r="56" spans="1:13" ht="65.25">
      <c r="A56" s="255" t="s">
        <v>279</v>
      </c>
      <c r="B56" s="256" t="s">
        <v>249</v>
      </c>
      <c r="C56" s="256" t="s">
        <v>248</v>
      </c>
      <c r="D56" s="256" t="s">
        <v>280</v>
      </c>
      <c r="E56" s="256" t="s">
        <v>281</v>
      </c>
      <c r="F56" s="256" t="s">
        <v>282</v>
      </c>
      <c r="G56" s="256" t="s">
        <v>283</v>
      </c>
      <c r="H56" s="256" t="s">
        <v>284</v>
      </c>
      <c r="I56" s="256" t="s">
        <v>285</v>
      </c>
      <c r="J56" s="256" t="s">
        <v>286</v>
      </c>
      <c r="K56" s="256" t="s">
        <v>287</v>
      </c>
      <c r="L56" s="256" t="s">
        <v>288</v>
      </c>
      <c r="M56" s="256" t="s">
        <v>289</v>
      </c>
    </row>
    <row r="57" spans="1:13">
      <c r="A57" s="633" t="s">
        <v>256</v>
      </c>
      <c r="B57" s="634"/>
      <c r="C57" s="634"/>
      <c r="D57" s="634"/>
      <c r="E57" s="634"/>
      <c r="F57" s="634"/>
      <c r="G57" s="634"/>
      <c r="H57" s="634"/>
      <c r="I57" s="634"/>
      <c r="J57" s="634"/>
      <c r="K57" s="634"/>
      <c r="L57" s="634"/>
      <c r="M57" s="635"/>
    </row>
    <row r="58" spans="1:13" ht="38.25">
      <c r="A58" s="222" t="s">
        <v>257</v>
      </c>
      <c r="B58" s="222" t="s">
        <v>258</v>
      </c>
      <c r="C58" s="222" t="s">
        <v>159</v>
      </c>
      <c r="D58" s="222">
        <v>136</v>
      </c>
      <c r="E58" s="222" t="s">
        <v>290</v>
      </c>
      <c r="F58" s="222" t="s">
        <v>291</v>
      </c>
      <c r="G58" s="222" t="s">
        <v>292</v>
      </c>
      <c r="H58" s="222" t="s">
        <v>293</v>
      </c>
      <c r="I58" s="222" t="s">
        <v>294</v>
      </c>
      <c r="J58" s="222" t="s">
        <v>295</v>
      </c>
      <c r="K58" s="222" t="s">
        <v>296</v>
      </c>
      <c r="L58" s="222" t="s">
        <v>181</v>
      </c>
      <c r="M58" s="222" t="s">
        <v>297</v>
      </c>
    </row>
    <row r="59" spans="1:13" ht="25.5">
      <c r="A59" s="222" t="s">
        <v>259</v>
      </c>
      <c r="B59" s="222" t="s">
        <v>258</v>
      </c>
      <c r="C59" s="222" t="s">
        <v>168</v>
      </c>
      <c r="D59" s="222">
        <v>44</v>
      </c>
      <c r="E59" s="222" t="s">
        <v>290</v>
      </c>
      <c r="F59" s="222" t="s">
        <v>291</v>
      </c>
      <c r="G59" s="222" t="s">
        <v>298</v>
      </c>
      <c r="H59" s="222" t="s">
        <v>299</v>
      </c>
      <c r="I59" s="222" t="s">
        <v>300</v>
      </c>
      <c r="J59" s="222" t="s">
        <v>301</v>
      </c>
      <c r="K59" s="222" t="s">
        <v>302</v>
      </c>
      <c r="L59" s="222" t="s">
        <v>181</v>
      </c>
      <c r="M59" s="222" t="s">
        <v>297</v>
      </c>
    </row>
    <row r="60" spans="1:13">
      <c r="A60" s="627" t="s">
        <v>266</v>
      </c>
      <c r="B60" s="627"/>
      <c r="C60" s="627"/>
      <c r="D60" s="627"/>
      <c r="E60" s="627"/>
      <c r="F60" s="627"/>
      <c r="G60" s="627"/>
      <c r="H60" s="627"/>
      <c r="I60" s="627"/>
      <c r="J60" s="627"/>
      <c r="K60" s="627"/>
      <c r="L60" s="627"/>
      <c r="M60" s="627"/>
    </row>
    <row r="61" spans="1:13" ht="25.5">
      <c r="A61" s="222" t="s">
        <v>269</v>
      </c>
      <c r="B61" s="222" t="s">
        <v>270</v>
      </c>
      <c r="C61" s="222" t="s">
        <v>183</v>
      </c>
      <c r="D61" s="222">
        <v>47</v>
      </c>
      <c r="E61" s="222" t="s">
        <v>290</v>
      </c>
      <c r="F61" s="222" t="s">
        <v>291</v>
      </c>
      <c r="G61" s="222" t="s">
        <v>303</v>
      </c>
      <c r="H61" s="222" t="s">
        <v>293</v>
      </c>
      <c r="I61" s="222" t="s">
        <v>304</v>
      </c>
      <c r="J61" s="222" t="s">
        <v>295</v>
      </c>
      <c r="K61" s="222" t="s">
        <v>305</v>
      </c>
      <c r="L61" s="222" t="s">
        <v>181</v>
      </c>
      <c r="M61" s="222" t="s">
        <v>297</v>
      </c>
    </row>
    <row r="62" spans="1:13" ht="51">
      <c r="A62" s="222" t="s">
        <v>269</v>
      </c>
      <c r="B62" s="222" t="s">
        <v>270</v>
      </c>
      <c r="C62" s="222" t="s">
        <v>183</v>
      </c>
      <c r="D62" s="222">
        <v>47</v>
      </c>
      <c r="E62" s="222" t="s">
        <v>290</v>
      </c>
      <c r="F62" s="222" t="s">
        <v>306</v>
      </c>
      <c r="G62" s="222" t="s">
        <v>307</v>
      </c>
      <c r="H62" s="222" t="s">
        <v>293</v>
      </c>
      <c r="I62" s="222" t="s">
        <v>308</v>
      </c>
      <c r="J62" s="222" t="s">
        <v>295</v>
      </c>
      <c r="K62" s="222" t="s">
        <v>309</v>
      </c>
      <c r="L62" s="222" t="s">
        <v>181</v>
      </c>
      <c r="M62" s="222" t="s">
        <v>297</v>
      </c>
    </row>
    <row r="63" spans="1:13">
      <c r="A63" s="636" t="s">
        <v>271</v>
      </c>
      <c r="B63" s="637"/>
      <c r="C63" s="637"/>
      <c r="D63" s="637"/>
      <c r="E63" s="637"/>
      <c r="F63" s="637"/>
      <c r="G63" s="637"/>
      <c r="H63" s="637"/>
      <c r="I63" s="637"/>
      <c r="J63" s="637"/>
      <c r="K63" s="637"/>
      <c r="L63" s="637"/>
      <c r="M63" s="638"/>
    </row>
    <row r="64" spans="1:13" ht="25.5">
      <c r="A64" s="257" t="s">
        <v>272</v>
      </c>
      <c r="B64" s="257" t="s">
        <v>263</v>
      </c>
      <c r="C64" s="257" t="s">
        <v>161</v>
      </c>
      <c r="D64" s="258">
        <v>12</v>
      </c>
      <c r="E64" s="257" t="s">
        <v>290</v>
      </c>
      <c r="F64" s="257" t="s">
        <v>291</v>
      </c>
      <c r="G64" s="257" t="s">
        <v>310</v>
      </c>
      <c r="H64" s="257" t="s">
        <v>311</v>
      </c>
      <c r="I64" s="257" t="s">
        <v>181</v>
      </c>
      <c r="J64" s="257" t="s">
        <v>181</v>
      </c>
      <c r="K64" s="257" t="s">
        <v>181</v>
      </c>
      <c r="L64" s="257" t="s">
        <v>312</v>
      </c>
      <c r="M64" s="257" t="s">
        <v>297</v>
      </c>
    </row>
    <row r="65" spans="1:13">
      <c r="A65" s="628" t="s">
        <v>313</v>
      </c>
      <c r="B65" s="629"/>
      <c r="C65" s="629"/>
      <c r="D65" s="629"/>
      <c r="E65" s="629"/>
      <c r="F65" s="629"/>
      <c r="G65" s="629"/>
      <c r="H65" s="629"/>
      <c r="I65" s="629"/>
      <c r="J65" s="629"/>
      <c r="K65" s="629"/>
      <c r="L65" s="629"/>
      <c r="M65" s="629"/>
    </row>
    <row r="66" spans="1:13">
      <c r="A66" s="628" t="s">
        <v>314</v>
      </c>
      <c r="B66" s="629"/>
      <c r="C66" s="629"/>
      <c r="D66" s="629"/>
      <c r="E66" s="629"/>
      <c r="F66" s="629"/>
      <c r="G66" s="629"/>
      <c r="H66" s="629"/>
      <c r="I66" s="629"/>
      <c r="J66" s="629"/>
      <c r="K66" s="629"/>
      <c r="L66" s="629"/>
      <c r="M66" s="629"/>
    </row>
    <row r="67" spans="1:13" ht="11.25" customHeight="1">
      <c r="A67" s="625" t="s">
        <v>315</v>
      </c>
      <c r="B67" s="626"/>
      <c r="C67" s="626"/>
      <c r="D67" s="626"/>
      <c r="E67" s="626"/>
      <c r="F67" s="626"/>
      <c r="G67" s="626"/>
      <c r="H67" s="626"/>
      <c r="I67" s="626"/>
      <c r="J67" s="626"/>
      <c r="K67" s="626"/>
      <c r="L67" s="626"/>
      <c r="M67" s="626"/>
    </row>
    <row r="68" spans="1:13">
      <c r="A68" s="543" t="s">
        <v>316</v>
      </c>
      <c r="B68" s="120"/>
      <c r="C68" s="120"/>
      <c r="D68" s="121"/>
      <c r="E68" s="120"/>
      <c r="F68" s="120"/>
      <c r="G68" s="120"/>
      <c r="H68" s="120"/>
      <c r="I68" s="120"/>
      <c r="J68" s="120"/>
      <c r="K68" s="120"/>
      <c r="L68" s="120"/>
      <c r="M68" s="120"/>
    </row>
    <row r="69" spans="1:13">
      <c r="A69" s="625" t="s">
        <v>317</v>
      </c>
      <c r="B69" s="626"/>
      <c r="C69" s="626"/>
      <c r="D69" s="626"/>
      <c r="E69" s="626"/>
      <c r="F69" s="626"/>
      <c r="G69" s="626"/>
      <c r="H69" s="626"/>
      <c r="I69" s="626"/>
      <c r="J69" s="626"/>
      <c r="K69" s="626"/>
      <c r="L69" s="626"/>
      <c r="M69" s="626"/>
    </row>
    <row r="70" spans="1:13" ht="22.15" customHeight="1">
      <c r="A70" s="625" t="s">
        <v>318</v>
      </c>
      <c r="B70" s="626"/>
      <c r="C70" s="626"/>
      <c r="D70" s="626"/>
      <c r="E70" s="626"/>
      <c r="F70" s="626"/>
      <c r="G70" s="626"/>
      <c r="H70" s="626"/>
      <c r="I70" s="626"/>
      <c r="J70" s="626"/>
      <c r="K70" s="626"/>
      <c r="L70" s="626"/>
      <c r="M70" s="626"/>
    </row>
    <row r="71" spans="1:13">
      <c r="A71" s="625" t="s">
        <v>319</v>
      </c>
      <c r="B71" s="626"/>
      <c r="C71" s="626"/>
      <c r="D71" s="626"/>
      <c r="E71" s="626"/>
      <c r="F71" s="626"/>
      <c r="G71" s="626"/>
      <c r="H71" s="626"/>
      <c r="I71" s="626"/>
      <c r="J71" s="626"/>
      <c r="K71" s="626"/>
      <c r="L71" s="626"/>
      <c r="M71" s="626"/>
    </row>
    <row r="72" spans="1:13">
      <c r="A72" s="544"/>
      <c r="B72" s="176"/>
      <c r="C72" s="176"/>
      <c r="D72" s="176"/>
      <c r="E72" s="176"/>
      <c r="F72" s="176"/>
      <c r="G72" s="176"/>
      <c r="H72" s="176"/>
      <c r="I72" s="176"/>
      <c r="J72" s="176"/>
      <c r="K72" s="176"/>
      <c r="L72" s="176"/>
      <c r="M72" s="176"/>
    </row>
    <row r="73" spans="1:13" ht="22.9" customHeight="1">
      <c r="A73" s="544"/>
      <c r="B73" s="176"/>
      <c r="C73" s="176"/>
      <c r="D73" s="176"/>
      <c r="E73" s="176"/>
      <c r="F73" s="176"/>
      <c r="G73" s="176"/>
      <c r="H73" s="176"/>
      <c r="I73" s="176"/>
      <c r="J73" s="176"/>
      <c r="K73" s="176"/>
      <c r="L73" s="176"/>
      <c r="M73" s="176"/>
    </row>
    <row r="74" spans="1:13" ht="23.65" customHeight="1">
      <c r="A74" s="544"/>
      <c r="B74" s="176"/>
      <c r="C74" s="176"/>
      <c r="D74" s="176"/>
      <c r="E74" s="176"/>
      <c r="F74" s="176"/>
      <c r="G74" s="176"/>
      <c r="H74" s="176"/>
      <c r="I74" s="176"/>
      <c r="J74" s="176"/>
      <c r="K74" s="176"/>
      <c r="L74" s="176"/>
      <c r="M74" s="176"/>
    </row>
    <row r="75" spans="1:13">
      <c r="A75" s="544"/>
      <c r="B75" s="176"/>
      <c r="C75" s="176"/>
      <c r="D75" s="176"/>
      <c r="E75" s="176"/>
      <c r="F75" s="176"/>
      <c r="G75" s="176"/>
      <c r="H75" s="176"/>
      <c r="I75" s="176"/>
      <c r="J75" s="176"/>
      <c r="K75" s="176"/>
      <c r="L75" s="176"/>
      <c r="M75" s="176"/>
    </row>
    <row r="76" spans="1:13">
      <c r="A76" s="544"/>
      <c r="B76" s="176"/>
      <c r="C76" s="176"/>
      <c r="D76" s="176"/>
      <c r="E76" s="176"/>
      <c r="F76" s="176"/>
      <c r="G76" s="176"/>
      <c r="H76" s="176"/>
      <c r="I76" s="176"/>
      <c r="J76" s="176"/>
      <c r="K76" s="176"/>
      <c r="L76" s="176"/>
      <c r="M76" s="176"/>
    </row>
    <row r="77" spans="1:13">
      <c r="A77" s="544"/>
      <c r="B77" s="176"/>
      <c r="C77" s="176"/>
      <c r="D77" s="176"/>
      <c r="E77" s="176"/>
      <c r="F77" s="176"/>
      <c r="G77" s="176"/>
      <c r="H77" s="176"/>
      <c r="I77" s="176"/>
      <c r="J77" s="176"/>
      <c r="K77" s="176"/>
      <c r="L77" s="176"/>
      <c r="M77" s="176"/>
    </row>
    <row r="78" spans="1:13">
      <c r="A78" s="544"/>
      <c r="B78" s="176"/>
      <c r="C78" s="176"/>
      <c r="D78" s="176"/>
      <c r="E78" s="176"/>
      <c r="F78" s="176"/>
      <c r="G78" s="176"/>
      <c r="H78" s="176"/>
      <c r="I78" s="176"/>
      <c r="J78" s="176"/>
      <c r="K78" s="176"/>
      <c r="L78" s="176"/>
      <c r="M78" s="176"/>
    </row>
    <row r="79" spans="1:13">
      <c r="A79" s="544"/>
      <c r="B79" s="176"/>
      <c r="C79" s="176"/>
      <c r="D79" s="176"/>
      <c r="E79" s="176"/>
      <c r="F79" s="176"/>
      <c r="G79" s="176"/>
      <c r="H79" s="176"/>
      <c r="I79" s="176"/>
      <c r="J79" s="176"/>
      <c r="K79" s="176"/>
      <c r="L79" s="176"/>
      <c r="M79" s="176"/>
    </row>
    <row r="80" spans="1:13">
      <c r="A80" s="544"/>
      <c r="B80" s="176"/>
      <c r="C80" s="176"/>
      <c r="D80" s="176"/>
      <c r="E80" s="176"/>
      <c r="F80" s="176"/>
      <c r="G80" s="176"/>
      <c r="H80" s="176"/>
      <c r="I80" s="176"/>
      <c r="J80" s="176"/>
      <c r="K80" s="176"/>
      <c r="L80" s="176"/>
      <c r="M80" s="176"/>
    </row>
    <row r="81" spans="1:13">
      <c r="A81" s="176"/>
      <c r="B81" s="176"/>
      <c r="C81" s="176"/>
      <c r="D81" s="176"/>
      <c r="E81" s="176"/>
      <c r="F81" s="176"/>
      <c r="G81" s="176"/>
      <c r="H81" s="176"/>
      <c r="I81" s="176"/>
      <c r="J81" s="176"/>
      <c r="K81" s="176"/>
      <c r="L81" s="176"/>
      <c r="M81" s="176"/>
    </row>
  </sheetData>
  <sheetProtection algorithmName="SHA-512" hashValue="KUJ78KZo8LU9FDUYbCb+L5JZBmivpd32e3Ds8RWa3s88Z8x/PS/6R5SwWsPpz8iMbklpIf3CXpzpzXtKvgXkWA==" saltValue="iI2kq4JBFMsycdOIxJEGzg==" spinCount="100000" sheet="1" objects="1" scenarios="1"/>
  <mergeCells count="32">
    <mergeCell ref="A44:H44"/>
    <mergeCell ref="A33:H33"/>
    <mergeCell ref="A47:H47"/>
    <mergeCell ref="A57:M57"/>
    <mergeCell ref="A63:M63"/>
    <mergeCell ref="A69:M69"/>
    <mergeCell ref="A70:M70"/>
    <mergeCell ref="A71:M71"/>
    <mergeCell ref="A50:H50"/>
    <mergeCell ref="A51:H51"/>
    <mergeCell ref="A52:H52"/>
    <mergeCell ref="A60:M60"/>
    <mergeCell ref="A65:M65"/>
    <mergeCell ref="A66:M66"/>
    <mergeCell ref="A67:M67"/>
    <mergeCell ref="A55:M55"/>
    <mergeCell ref="A53:H53"/>
    <mergeCell ref="A31:A32"/>
    <mergeCell ref="B31:B32"/>
    <mergeCell ref="C31:C32"/>
    <mergeCell ref="D31:H31"/>
    <mergeCell ref="A19:H19"/>
    <mergeCell ref="A28:D28"/>
    <mergeCell ref="A30:H30"/>
    <mergeCell ref="A7:H7"/>
    <mergeCell ref="A9:H9"/>
    <mergeCell ref="A11:H11"/>
    <mergeCell ref="A22:H22"/>
    <mergeCell ref="A24:D24"/>
    <mergeCell ref="A20:H20"/>
    <mergeCell ref="A18:H18"/>
    <mergeCell ref="A21:H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2ED8-140B-4E69-8FE8-86EF4FC1D145}">
  <sheetPr codeName="Sheet5">
    <tabColor rgb="FF93E3FF"/>
  </sheetPr>
  <dimension ref="A2:K123"/>
  <sheetViews>
    <sheetView showGridLines="0" zoomScaleNormal="100" workbookViewId="0"/>
  </sheetViews>
  <sheetFormatPr baseColWidth="10" defaultColWidth="8.7109375" defaultRowHeight="15"/>
  <cols>
    <col min="1" max="1" width="36.42578125" style="112" customWidth="1"/>
    <col min="2" max="8" width="15.5703125" customWidth="1"/>
    <col min="9" max="9" width="11.5703125" bestFit="1" customWidth="1"/>
    <col min="10" max="10" width="14" customWidth="1"/>
    <col min="11" max="11" width="14.42578125" customWidth="1"/>
    <col min="12" max="12" width="12.7109375" bestFit="1" customWidth="1"/>
  </cols>
  <sheetData>
    <row r="2" spans="1:8">
      <c r="H2" s="116"/>
    </row>
    <row r="7" spans="1:8" ht="20.25">
      <c r="A7" s="617" t="s">
        <v>0</v>
      </c>
      <c r="B7" s="617"/>
      <c r="C7" s="617"/>
      <c r="D7" s="617"/>
      <c r="E7" s="617"/>
      <c r="F7" s="617"/>
      <c r="G7" s="617"/>
      <c r="H7" s="617"/>
    </row>
    <row r="8" spans="1:8" ht="15.75" thickBot="1">
      <c r="A8" s="206"/>
      <c r="B8" s="165"/>
      <c r="C8" s="165"/>
      <c r="D8" s="165"/>
      <c r="E8" s="165"/>
      <c r="F8" s="165"/>
      <c r="G8" s="165"/>
      <c r="H8" s="165"/>
    </row>
    <row r="9" spans="1:8" ht="19.5" thickTop="1" thickBot="1">
      <c r="A9" s="610" t="s">
        <v>320</v>
      </c>
      <c r="B9" s="610"/>
      <c r="C9" s="610"/>
      <c r="D9" s="610"/>
      <c r="E9" s="610"/>
      <c r="F9" s="610"/>
      <c r="G9" s="610"/>
      <c r="H9" s="610"/>
    </row>
    <row r="10" spans="1:8" ht="19.899999999999999" customHeight="1" thickTop="1">
      <c r="A10" s="207"/>
      <c r="B10" s="8"/>
      <c r="C10" s="8"/>
      <c r="D10" s="7"/>
      <c r="E10" s="7"/>
      <c r="F10" s="7"/>
      <c r="G10" s="7"/>
      <c r="H10" s="7"/>
    </row>
    <row r="11" spans="1:8" ht="18.600000000000001" customHeight="1">
      <c r="A11" s="619" t="s">
        <v>321</v>
      </c>
      <c r="B11" s="619"/>
      <c r="C11" s="619"/>
      <c r="D11" s="619"/>
      <c r="E11" s="619"/>
      <c r="F11" s="619"/>
      <c r="G11" s="619"/>
      <c r="H11" s="619"/>
    </row>
    <row r="12" spans="1:8">
      <c r="A12" s="202" t="s">
        <v>322</v>
      </c>
      <c r="B12" s="205">
        <v>2022</v>
      </c>
      <c r="C12" s="205">
        <v>2021</v>
      </c>
      <c r="D12" s="205">
        <v>2020</v>
      </c>
      <c r="E12" s="205">
        <v>2019</v>
      </c>
      <c r="F12" s="174">
        <v>2018</v>
      </c>
      <c r="G12" s="174">
        <v>2017</v>
      </c>
      <c r="H12" s="174">
        <v>2016</v>
      </c>
    </row>
    <row r="13" spans="1:8">
      <c r="A13" s="215" t="s">
        <v>323</v>
      </c>
      <c r="B13" s="217">
        <v>17278</v>
      </c>
      <c r="C13" s="216">
        <v>16332</v>
      </c>
      <c r="D13" s="217">
        <v>14903</v>
      </c>
      <c r="E13" s="217">
        <v>17296</v>
      </c>
      <c r="F13" s="217">
        <v>17572</v>
      </c>
      <c r="G13" s="217">
        <v>16287</v>
      </c>
      <c r="H13" s="217">
        <v>15141</v>
      </c>
    </row>
    <row r="14" spans="1:8">
      <c r="A14" s="215" t="s">
        <v>324</v>
      </c>
      <c r="B14" s="219">
        <v>304</v>
      </c>
      <c r="C14" s="199">
        <v>284</v>
      </c>
      <c r="D14" s="217">
        <v>283</v>
      </c>
      <c r="E14" s="218">
        <v>316</v>
      </c>
      <c r="F14" s="219">
        <v>304</v>
      </c>
      <c r="G14" s="219">
        <v>275</v>
      </c>
      <c r="H14" s="219">
        <v>264</v>
      </c>
    </row>
    <row r="15" spans="1:8">
      <c r="A15" s="215" t="s">
        <v>325</v>
      </c>
      <c r="B15" s="217">
        <v>1980</v>
      </c>
      <c r="C15" s="216">
        <v>2623</v>
      </c>
      <c r="D15" s="217">
        <v>2820</v>
      </c>
      <c r="E15" s="217">
        <v>2972</v>
      </c>
      <c r="F15" s="217">
        <v>2435</v>
      </c>
      <c r="G15" s="217">
        <v>3720</v>
      </c>
      <c r="H15" s="217">
        <v>3420</v>
      </c>
    </row>
    <row r="16" spans="1:8">
      <c r="A16" s="215" t="s">
        <v>326</v>
      </c>
      <c r="B16" s="217">
        <v>7566</v>
      </c>
      <c r="C16" s="216">
        <v>8215</v>
      </c>
      <c r="D16" s="217">
        <v>7475</v>
      </c>
      <c r="E16" s="220">
        <v>8519</v>
      </c>
      <c r="F16" s="221">
        <v>7922</v>
      </c>
      <c r="G16" s="217">
        <v>7851</v>
      </c>
      <c r="H16" s="217">
        <v>7744</v>
      </c>
    </row>
    <row r="17" spans="1:10" ht="15" customHeight="1">
      <c r="A17" s="222" t="s">
        <v>327</v>
      </c>
      <c r="B17" s="219">
        <v>278</v>
      </c>
      <c r="C17" s="223">
        <v>387</v>
      </c>
      <c r="D17" s="217">
        <v>422</v>
      </c>
      <c r="E17" s="217">
        <v>405</v>
      </c>
      <c r="F17" s="188">
        <v>361</v>
      </c>
      <c r="G17" s="219">
        <v>424</v>
      </c>
      <c r="H17" s="219">
        <v>455</v>
      </c>
    </row>
    <row r="18" spans="1:10">
      <c r="A18" s="215" t="s">
        <v>328</v>
      </c>
      <c r="B18" s="219">
        <v>573</v>
      </c>
      <c r="C18" s="199">
        <v>621</v>
      </c>
      <c r="D18" s="217">
        <v>757</v>
      </c>
      <c r="E18" s="217">
        <v>747</v>
      </c>
      <c r="F18" s="188">
        <v>752</v>
      </c>
      <c r="G18" s="219">
        <v>869</v>
      </c>
      <c r="H18" s="224">
        <v>863</v>
      </c>
    </row>
    <row r="19" spans="1:10">
      <c r="A19" s="215" t="s">
        <v>329</v>
      </c>
      <c r="B19" s="217">
        <v>12010</v>
      </c>
      <c r="C19" s="216">
        <v>13917</v>
      </c>
      <c r="D19" s="217">
        <v>14106</v>
      </c>
      <c r="E19" s="217">
        <v>13958</v>
      </c>
      <c r="F19" s="221">
        <v>14523</v>
      </c>
      <c r="G19" s="217">
        <v>14473</v>
      </c>
      <c r="H19" s="217">
        <v>14651</v>
      </c>
    </row>
    <row r="20" spans="1:10">
      <c r="A20" s="189" t="s">
        <v>173</v>
      </c>
      <c r="B20" s="396">
        <v>39989</v>
      </c>
      <c r="C20" s="409">
        <v>42379</v>
      </c>
      <c r="D20" s="409">
        <v>40766</v>
      </c>
      <c r="E20" s="405">
        <v>44213</v>
      </c>
      <c r="F20" s="395">
        <v>43869</v>
      </c>
      <c r="G20" s="396">
        <v>43899</v>
      </c>
      <c r="H20" s="396">
        <v>42538</v>
      </c>
    </row>
    <row r="21" spans="1:10">
      <c r="A21" s="640" t="s">
        <v>330</v>
      </c>
      <c r="B21" s="640"/>
      <c r="C21" s="640"/>
      <c r="D21" s="640"/>
      <c r="E21" s="640"/>
      <c r="F21" s="640"/>
      <c r="G21" s="640"/>
      <c r="H21" s="640"/>
    </row>
    <row r="22" spans="1:10">
      <c r="A22" s="640" t="s">
        <v>331</v>
      </c>
      <c r="B22" s="640"/>
      <c r="C22" s="640"/>
      <c r="D22" s="640"/>
      <c r="E22" s="640"/>
      <c r="F22" s="640"/>
      <c r="G22" s="640"/>
      <c r="H22" s="640"/>
    </row>
    <row r="23" spans="1:10">
      <c r="A23" s="13"/>
      <c r="B23" s="99"/>
      <c r="C23" s="99"/>
      <c r="D23" s="99"/>
      <c r="E23" s="99"/>
      <c r="F23" s="99"/>
      <c r="G23" s="99"/>
      <c r="H23" s="99"/>
    </row>
    <row r="24" spans="1:10" ht="17.25">
      <c r="A24" s="621" t="s">
        <v>332</v>
      </c>
      <c r="B24" s="621"/>
      <c r="C24" s="621"/>
      <c r="D24" s="621"/>
      <c r="E24" s="621"/>
      <c r="F24" s="621"/>
      <c r="G24" s="621"/>
      <c r="H24" s="621"/>
    </row>
    <row r="25" spans="1:10">
      <c r="A25" s="202" t="s">
        <v>333</v>
      </c>
      <c r="B25" s="203">
        <v>2022</v>
      </c>
      <c r="C25" s="203">
        <v>2021</v>
      </c>
      <c r="D25" s="203">
        <v>2020</v>
      </c>
      <c r="E25" s="203">
        <v>2019</v>
      </c>
      <c r="F25" s="179">
        <v>2018</v>
      </c>
      <c r="G25" s="179">
        <v>2017</v>
      </c>
      <c r="H25" s="203">
        <v>2016</v>
      </c>
    </row>
    <row r="26" spans="1:10">
      <c r="A26" s="215" t="s">
        <v>323</v>
      </c>
      <c r="B26" s="225">
        <v>1253</v>
      </c>
      <c r="C26" s="225">
        <v>1185</v>
      </c>
      <c r="D26" s="226">
        <v>1081</v>
      </c>
      <c r="E26" s="225">
        <v>1253</v>
      </c>
      <c r="F26" s="225">
        <v>1272</v>
      </c>
      <c r="G26" s="225">
        <v>1179</v>
      </c>
      <c r="H26" s="225">
        <v>1094</v>
      </c>
      <c r="J26" s="86"/>
    </row>
    <row r="27" spans="1:10">
      <c r="A27" s="227" t="s">
        <v>324</v>
      </c>
      <c r="B27" s="225">
        <v>20</v>
      </c>
      <c r="C27" s="228">
        <v>19</v>
      </c>
      <c r="D27" s="229">
        <v>19</v>
      </c>
      <c r="E27" s="229">
        <v>21</v>
      </c>
      <c r="F27" s="229">
        <v>20</v>
      </c>
      <c r="G27" s="229">
        <v>19</v>
      </c>
      <c r="H27" s="229">
        <v>18</v>
      </c>
      <c r="J27" s="86"/>
    </row>
    <row r="28" spans="1:10">
      <c r="A28" s="227" t="s">
        <v>325</v>
      </c>
      <c r="B28" s="225">
        <v>191</v>
      </c>
      <c r="C28" s="228">
        <v>257</v>
      </c>
      <c r="D28" s="229">
        <v>274</v>
      </c>
      <c r="E28" s="229">
        <v>285</v>
      </c>
      <c r="F28" s="229">
        <v>233</v>
      </c>
      <c r="G28" s="229">
        <v>359</v>
      </c>
      <c r="H28" s="229">
        <v>324</v>
      </c>
    </row>
    <row r="29" spans="1:10">
      <c r="A29" s="227" t="s">
        <v>326</v>
      </c>
      <c r="B29" s="225">
        <v>380</v>
      </c>
      <c r="C29" s="228">
        <v>413</v>
      </c>
      <c r="D29" s="229">
        <v>376</v>
      </c>
      <c r="E29" s="229">
        <v>429</v>
      </c>
      <c r="F29" s="229">
        <v>399</v>
      </c>
      <c r="G29" s="229">
        <v>395</v>
      </c>
      <c r="H29" s="229">
        <v>390</v>
      </c>
    </row>
    <row r="30" spans="1:10">
      <c r="A30" s="227" t="s">
        <v>334</v>
      </c>
      <c r="B30" s="225">
        <v>31</v>
      </c>
      <c r="C30" s="228">
        <v>43</v>
      </c>
      <c r="D30" s="229">
        <v>47</v>
      </c>
      <c r="E30" s="229">
        <v>45</v>
      </c>
      <c r="F30" s="229">
        <v>40</v>
      </c>
      <c r="G30" s="229">
        <v>47</v>
      </c>
      <c r="H30" s="229">
        <v>51</v>
      </c>
    </row>
    <row r="31" spans="1:10">
      <c r="A31" s="227" t="s">
        <v>328</v>
      </c>
      <c r="B31" s="225">
        <v>64</v>
      </c>
      <c r="C31" s="228">
        <v>73</v>
      </c>
      <c r="D31" s="229">
        <v>85</v>
      </c>
      <c r="E31" s="229">
        <v>84</v>
      </c>
      <c r="F31" s="229">
        <v>78</v>
      </c>
      <c r="G31" s="229">
        <v>97</v>
      </c>
      <c r="H31" s="229">
        <v>97</v>
      </c>
    </row>
    <row r="32" spans="1:10">
      <c r="A32" s="227" t="s">
        <v>335</v>
      </c>
      <c r="B32" s="225">
        <v>794</v>
      </c>
      <c r="C32" s="229">
        <v>861</v>
      </c>
      <c r="D32" s="229">
        <v>757</v>
      </c>
      <c r="E32" s="229">
        <v>895</v>
      </c>
      <c r="F32" s="229">
        <v>892</v>
      </c>
      <c r="G32" s="230">
        <v>926</v>
      </c>
      <c r="H32" s="230">
        <v>908</v>
      </c>
    </row>
    <row r="33" spans="1:10">
      <c r="A33" s="227" t="s">
        <v>329</v>
      </c>
      <c r="B33" s="225">
        <v>117</v>
      </c>
      <c r="C33" s="229" t="s">
        <v>336</v>
      </c>
      <c r="D33" s="229" t="s">
        <v>337</v>
      </c>
      <c r="E33" s="229" t="s">
        <v>338</v>
      </c>
      <c r="F33" s="229" t="s">
        <v>339</v>
      </c>
      <c r="G33" s="229" t="s">
        <v>340</v>
      </c>
      <c r="H33" s="229">
        <v>372</v>
      </c>
    </row>
    <row r="34" spans="1:10">
      <c r="A34" s="410" t="s">
        <v>173</v>
      </c>
      <c r="B34" s="392">
        <v>2850</v>
      </c>
      <c r="C34" s="392" t="s">
        <v>341</v>
      </c>
      <c r="D34" s="392" t="s">
        <v>342</v>
      </c>
      <c r="E34" s="392" t="s">
        <v>343</v>
      </c>
      <c r="F34" s="392" t="s">
        <v>344</v>
      </c>
      <c r="G34" s="392" t="s">
        <v>345</v>
      </c>
      <c r="H34" s="392">
        <v>3254</v>
      </c>
    </row>
    <row r="35" spans="1:10" s="92" customFormat="1">
      <c r="A35" s="641" t="s">
        <v>346</v>
      </c>
      <c r="B35" s="641"/>
      <c r="C35" s="641"/>
      <c r="D35" s="641"/>
      <c r="E35" s="641"/>
      <c r="F35" s="641"/>
      <c r="G35" s="641"/>
      <c r="H35" s="641"/>
      <c r="I35" s="641"/>
    </row>
    <row r="36" spans="1:10" s="92" customFormat="1" ht="23.65" customHeight="1">
      <c r="A36" s="622" t="s">
        <v>347</v>
      </c>
      <c r="B36" s="622"/>
      <c r="C36" s="622"/>
      <c r="D36" s="622"/>
      <c r="E36" s="622"/>
      <c r="F36" s="622"/>
      <c r="G36" s="622"/>
      <c r="H36" s="622"/>
      <c r="I36" s="31"/>
      <c r="J36" s="68"/>
    </row>
    <row r="37" spans="1:10" s="92" customFormat="1" ht="14.65" customHeight="1">
      <c r="A37" s="622" t="s">
        <v>348</v>
      </c>
      <c r="B37" s="622"/>
      <c r="C37" s="622"/>
      <c r="D37" s="622"/>
      <c r="E37" s="622"/>
      <c r="F37" s="622"/>
      <c r="G37" s="622"/>
      <c r="H37" s="622"/>
      <c r="I37" s="622"/>
      <c r="J37" s="68"/>
    </row>
    <row r="38" spans="1:10" s="92" customFormat="1" ht="14.65" customHeight="1">
      <c r="A38" s="13" t="s">
        <v>349</v>
      </c>
      <c r="B38" s="68"/>
      <c r="C38" s="68"/>
      <c r="D38" s="68"/>
      <c r="E38" s="68"/>
      <c r="F38" s="68"/>
      <c r="G38" s="68"/>
      <c r="H38" s="68"/>
      <c r="I38" s="68"/>
      <c r="J38" s="68"/>
    </row>
    <row r="39" spans="1:10" s="92" customFormat="1" ht="24" customHeight="1">
      <c r="A39" s="622" t="s">
        <v>350</v>
      </c>
      <c r="B39" s="622"/>
      <c r="C39" s="622"/>
      <c r="D39" s="622"/>
      <c r="E39" s="622"/>
      <c r="F39" s="622"/>
      <c r="G39" s="622"/>
      <c r="H39" s="622"/>
      <c r="I39" s="13"/>
      <c r="J39" s="68"/>
    </row>
    <row r="40" spans="1:10" s="92" customFormat="1">
      <c r="A40" s="640" t="s">
        <v>351</v>
      </c>
      <c r="B40" s="640"/>
      <c r="C40" s="640"/>
      <c r="D40" s="640"/>
      <c r="E40" s="640"/>
      <c r="F40" s="640"/>
      <c r="G40" s="640"/>
      <c r="H40" s="640"/>
      <c r="I40" s="640"/>
      <c r="J40" s="68"/>
    </row>
    <row r="41" spans="1:10">
      <c r="D41" s="35"/>
      <c r="E41" s="36"/>
      <c r="F41" s="36"/>
      <c r="G41" s="36"/>
      <c r="H41" s="36"/>
    </row>
    <row r="42" spans="1:10" ht="18">
      <c r="A42" s="639" t="s">
        <v>352</v>
      </c>
      <c r="B42" s="639"/>
      <c r="C42" s="639"/>
      <c r="D42" s="639"/>
      <c r="E42" s="639"/>
      <c r="F42" s="639"/>
      <c r="G42" s="639"/>
      <c r="H42" s="639"/>
    </row>
    <row r="43" spans="1:10">
      <c r="A43" s="208"/>
      <c r="B43" s="203">
        <v>2022</v>
      </c>
      <c r="C43" s="203">
        <v>2021</v>
      </c>
      <c r="D43" s="177">
        <v>2020</v>
      </c>
      <c r="E43" s="177">
        <v>2019</v>
      </c>
      <c r="F43" s="177">
        <v>2018</v>
      </c>
      <c r="G43" s="177">
        <v>2017</v>
      </c>
      <c r="H43" s="203">
        <v>2016</v>
      </c>
    </row>
    <row r="44" spans="1:10" ht="15" customHeight="1">
      <c r="A44" s="231" t="s">
        <v>353</v>
      </c>
      <c r="B44" s="232">
        <v>2733</v>
      </c>
      <c r="C44" s="233">
        <v>2851</v>
      </c>
      <c r="D44" s="233">
        <v>2639</v>
      </c>
      <c r="E44" s="233" t="s">
        <v>354</v>
      </c>
      <c r="F44" s="226" t="s">
        <v>355</v>
      </c>
      <c r="G44" s="226">
        <v>3022</v>
      </c>
      <c r="H44" s="226">
        <v>2882</v>
      </c>
    </row>
    <row r="45" spans="1:10">
      <c r="A45" s="231" t="s">
        <v>356</v>
      </c>
      <c r="B45" s="234">
        <v>117</v>
      </c>
      <c r="C45" s="235" t="s">
        <v>357</v>
      </c>
      <c r="D45" s="235" t="s">
        <v>358</v>
      </c>
      <c r="E45" s="235" t="s">
        <v>359</v>
      </c>
      <c r="F45" s="226" t="s">
        <v>360</v>
      </c>
      <c r="G45" s="226" t="s">
        <v>361</v>
      </c>
      <c r="H45" s="226">
        <v>372</v>
      </c>
    </row>
    <row r="46" spans="1:10">
      <c r="A46" s="231" t="s">
        <v>362</v>
      </c>
      <c r="B46" s="232">
        <v>2850</v>
      </c>
      <c r="C46" s="233" t="s">
        <v>363</v>
      </c>
      <c r="D46" s="233" t="s">
        <v>364</v>
      </c>
      <c r="E46" s="233">
        <v>3310</v>
      </c>
      <c r="F46" s="233" t="s">
        <v>365</v>
      </c>
      <c r="G46" s="226" t="s">
        <v>366</v>
      </c>
      <c r="H46" s="226">
        <v>3254</v>
      </c>
      <c r="J46" s="29"/>
    </row>
    <row r="47" spans="1:10" ht="29.25" customHeight="1">
      <c r="A47" s="231" t="s">
        <v>367</v>
      </c>
      <c r="B47" s="221">
        <v>65000</v>
      </c>
      <c r="C47" s="221">
        <v>69000</v>
      </c>
      <c r="D47" s="216">
        <v>64000</v>
      </c>
      <c r="E47" s="216">
        <v>73000</v>
      </c>
      <c r="F47" s="226">
        <v>76000</v>
      </c>
      <c r="G47" s="226">
        <v>78438</v>
      </c>
      <c r="H47" s="226">
        <v>79053</v>
      </c>
    </row>
    <row r="48" spans="1:10" ht="14.65" customHeight="1">
      <c r="A48" s="640" t="s">
        <v>368</v>
      </c>
      <c r="B48" s="640"/>
      <c r="C48" s="640"/>
      <c r="D48" s="640"/>
      <c r="E48" s="640"/>
      <c r="F48" s="640"/>
      <c r="G48" s="640"/>
      <c r="H48" s="640"/>
    </row>
    <row r="49" spans="1:9" ht="14.65" customHeight="1">
      <c r="A49" s="622" t="s">
        <v>369</v>
      </c>
      <c r="B49" s="622"/>
      <c r="C49" s="622"/>
      <c r="D49" s="622"/>
      <c r="E49" s="622"/>
      <c r="F49" s="622"/>
      <c r="G49" s="622"/>
      <c r="H49" s="622"/>
      <c r="I49" s="622"/>
    </row>
    <row r="50" spans="1:9" ht="14.65" customHeight="1">
      <c r="A50" s="640" t="s">
        <v>370</v>
      </c>
      <c r="B50" s="640"/>
      <c r="C50" s="640"/>
      <c r="D50" s="640"/>
      <c r="E50" s="640"/>
      <c r="F50" s="640"/>
      <c r="G50" s="640"/>
      <c r="H50" s="640"/>
    </row>
    <row r="51" spans="1:9" ht="23.65" customHeight="1">
      <c r="A51" s="622" t="s">
        <v>371</v>
      </c>
      <c r="B51" s="622"/>
      <c r="C51" s="622"/>
      <c r="D51" s="622"/>
      <c r="E51" s="622"/>
      <c r="F51" s="622"/>
      <c r="G51" s="622"/>
      <c r="H51" s="622"/>
    </row>
    <row r="52" spans="1:9" ht="14.65" customHeight="1">
      <c r="A52" s="640" t="s">
        <v>372</v>
      </c>
      <c r="B52" s="640"/>
      <c r="C52" s="640"/>
      <c r="D52" s="640"/>
      <c r="E52" s="640"/>
      <c r="F52" s="640"/>
      <c r="G52" s="640"/>
      <c r="H52" s="640"/>
    </row>
    <row r="53" spans="1:9">
      <c r="A53" s="13"/>
      <c r="B53" s="13"/>
      <c r="C53" s="13"/>
      <c r="D53" s="94"/>
    </row>
    <row r="54" spans="1:9" ht="17.25">
      <c r="A54" s="621" t="s">
        <v>373</v>
      </c>
      <c r="B54" s="621"/>
      <c r="C54" s="621"/>
      <c r="D54" s="621"/>
      <c r="E54" s="621"/>
      <c r="F54" s="621"/>
      <c r="G54" s="621"/>
      <c r="H54" s="621"/>
    </row>
    <row r="55" spans="1:9">
      <c r="A55" s="208"/>
      <c r="B55" s="203">
        <v>2022</v>
      </c>
      <c r="C55" s="177">
        <v>2021</v>
      </c>
      <c r="D55" s="177">
        <v>2020</v>
      </c>
      <c r="E55" s="177">
        <v>2019</v>
      </c>
      <c r="F55" s="177">
        <v>2018</v>
      </c>
      <c r="G55" s="177">
        <v>2017</v>
      </c>
      <c r="H55" s="203">
        <v>2016</v>
      </c>
    </row>
    <row r="56" spans="1:9" ht="26.25">
      <c r="A56" s="236" t="s">
        <v>374</v>
      </c>
      <c r="B56" s="235" t="s">
        <v>375</v>
      </c>
      <c r="C56" s="199">
        <v>549</v>
      </c>
      <c r="D56" s="199">
        <v>414</v>
      </c>
      <c r="E56" s="199">
        <v>297</v>
      </c>
      <c r="F56" s="199">
        <v>289</v>
      </c>
      <c r="G56" s="199">
        <v>281</v>
      </c>
      <c r="H56" s="237">
        <v>217</v>
      </c>
    </row>
    <row r="57" spans="1:9">
      <c r="A57" s="640" t="s">
        <v>376</v>
      </c>
      <c r="B57" s="640"/>
      <c r="C57" s="640"/>
      <c r="D57" s="640"/>
      <c r="E57" s="640"/>
      <c r="F57" s="640"/>
      <c r="G57" s="640"/>
      <c r="H57" s="640"/>
    </row>
    <row r="58" spans="1:9">
      <c r="A58" s="640" t="s">
        <v>377</v>
      </c>
      <c r="B58" s="640"/>
      <c r="C58" s="640"/>
      <c r="D58" s="640"/>
      <c r="E58" s="640"/>
      <c r="F58" s="640"/>
      <c r="G58" s="640"/>
      <c r="H58" s="640"/>
    </row>
    <row r="59" spans="1:9">
      <c r="D59" s="35"/>
      <c r="E59" s="36"/>
      <c r="F59" s="36"/>
      <c r="G59" s="36"/>
      <c r="H59" s="36"/>
    </row>
    <row r="60" spans="1:9" ht="17.25">
      <c r="A60" s="642" t="s">
        <v>378</v>
      </c>
      <c r="B60" s="642"/>
      <c r="C60" s="642"/>
      <c r="D60" s="642"/>
      <c r="E60" s="642"/>
      <c r="F60" s="642"/>
      <c r="G60" s="642"/>
      <c r="H60" s="642"/>
    </row>
    <row r="61" spans="1:9" ht="15" customHeight="1">
      <c r="A61" s="202" t="s">
        <v>379</v>
      </c>
      <c r="B61" s="203">
        <v>2022</v>
      </c>
      <c r="C61" s="203">
        <v>2021</v>
      </c>
      <c r="D61" s="179">
        <v>2020</v>
      </c>
      <c r="E61" s="179">
        <v>2019</v>
      </c>
      <c r="F61" s="179">
        <v>2018</v>
      </c>
      <c r="G61" s="179">
        <v>2017</v>
      </c>
      <c r="H61" s="203">
        <v>2016</v>
      </c>
    </row>
    <row r="62" spans="1:9" ht="25.5">
      <c r="A62" s="222" t="s">
        <v>380</v>
      </c>
      <c r="B62" s="223">
        <v>0.88</v>
      </c>
      <c r="C62" s="223">
        <v>0.77</v>
      </c>
      <c r="D62" s="219">
        <v>0.82</v>
      </c>
      <c r="E62" s="238">
        <v>0.8</v>
      </c>
      <c r="F62" s="219">
        <v>0.78</v>
      </c>
      <c r="G62" s="219">
        <v>0.73</v>
      </c>
      <c r="H62" s="219">
        <v>0.65</v>
      </c>
    </row>
    <row r="63" spans="1:9" ht="27">
      <c r="A63" s="239" t="s">
        <v>381</v>
      </c>
      <c r="B63" s="186">
        <v>0.09</v>
      </c>
      <c r="C63" s="223">
        <v>0.08</v>
      </c>
      <c r="D63" s="219">
        <v>0.08</v>
      </c>
      <c r="E63" s="219">
        <v>0.08</v>
      </c>
      <c r="F63" s="238">
        <v>7.8E-2</v>
      </c>
      <c r="G63" s="240">
        <v>7.8E-2</v>
      </c>
      <c r="H63" s="240">
        <v>7.0999999999999994E-2</v>
      </c>
    </row>
    <row r="64" spans="1:9">
      <c r="A64" s="641" t="s">
        <v>382</v>
      </c>
      <c r="B64" s="641"/>
      <c r="C64" s="641"/>
      <c r="D64" s="641"/>
      <c r="E64" s="641"/>
      <c r="F64" s="641"/>
      <c r="G64" s="641"/>
      <c r="H64" s="641"/>
    </row>
    <row r="65" spans="1:8">
      <c r="A65" s="641" t="s">
        <v>383</v>
      </c>
      <c r="B65" s="641"/>
      <c r="C65" s="641"/>
      <c r="D65" s="641"/>
      <c r="E65" s="641"/>
      <c r="F65" s="641"/>
      <c r="G65" s="641"/>
      <c r="H65" s="641"/>
    </row>
    <row r="66" spans="1:8">
      <c r="A66" s="641"/>
      <c r="B66" s="641"/>
      <c r="C66" s="641"/>
      <c r="D66" s="641"/>
      <c r="E66" s="641"/>
      <c r="F66" s="641"/>
      <c r="G66" s="641"/>
      <c r="H66" s="641"/>
    </row>
    <row r="67" spans="1:8" ht="17.25">
      <c r="A67" s="642" t="s">
        <v>384</v>
      </c>
      <c r="B67" s="642"/>
      <c r="C67" s="642"/>
      <c r="D67" s="642"/>
      <c r="E67" s="642"/>
      <c r="F67" s="642"/>
      <c r="G67" s="642"/>
      <c r="H67" s="642"/>
    </row>
    <row r="68" spans="1:8">
      <c r="A68" s="202" t="s">
        <v>379</v>
      </c>
      <c r="B68" s="205">
        <v>2022</v>
      </c>
      <c r="C68" s="205">
        <v>2021</v>
      </c>
      <c r="D68" s="174">
        <v>2020</v>
      </c>
      <c r="E68" s="174">
        <v>2019</v>
      </c>
      <c r="F68" s="174">
        <v>2018</v>
      </c>
      <c r="G68" s="174">
        <v>2017</v>
      </c>
      <c r="H68" s="205">
        <v>2016</v>
      </c>
    </row>
    <row r="69" spans="1:8" ht="25.5">
      <c r="A69" s="222" t="s">
        <v>385</v>
      </c>
      <c r="B69" s="241">
        <v>52.9</v>
      </c>
      <c r="C69" s="235">
        <v>48.92</v>
      </c>
      <c r="D69" s="235">
        <v>47.93</v>
      </c>
      <c r="E69" s="235">
        <v>46.47</v>
      </c>
      <c r="F69" s="235">
        <v>48.83</v>
      </c>
      <c r="G69" s="235">
        <v>50.46</v>
      </c>
      <c r="H69" s="235">
        <v>43.72</v>
      </c>
    </row>
    <row r="70" spans="1:8" ht="27">
      <c r="A70" s="222" t="s">
        <v>386</v>
      </c>
      <c r="B70" s="223">
        <v>2.08</v>
      </c>
      <c r="C70" s="235" t="s">
        <v>387</v>
      </c>
      <c r="D70" s="235" t="s">
        <v>388</v>
      </c>
      <c r="E70" s="235">
        <v>2.58</v>
      </c>
      <c r="F70" s="235">
        <v>2.86</v>
      </c>
      <c r="G70" s="242">
        <v>2.71</v>
      </c>
      <c r="H70" s="242">
        <v>2.67</v>
      </c>
    </row>
    <row r="71" spans="1:8">
      <c r="A71" s="640" t="s">
        <v>382</v>
      </c>
      <c r="B71" s="640"/>
      <c r="C71" s="640"/>
      <c r="D71" s="640"/>
      <c r="E71" s="640"/>
      <c r="F71" s="640"/>
      <c r="G71" s="640"/>
      <c r="H71" s="640"/>
    </row>
    <row r="72" spans="1:8">
      <c r="A72" s="640" t="s">
        <v>389</v>
      </c>
      <c r="B72" s="640"/>
      <c r="C72" s="640"/>
      <c r="D72" s="640"/>
      <c r="E72" s="640"/>
      <c r="F72" s="640"/>
      <c r="G72" s="640"/>
      <c r="H72" s="640"/>
    </row>
    <row r="73" spans="1:8">
      <c r="A73" s="640" t="s">
        <v>370</v>
      </c>
      <c r="B73" s="640"/>
      <c r="C73" s="640"/>
      <c r="D73" s="640"/>
      <c r="E73" s="640"/>
      <c r="F73" s="640"/>
      <c r="G73" s="640"/>
      <c r="H73" s="640"/>
    </row>
    <row r="74" spans="1:8" ht="19.899999999999999" customHeight="1">
      <c r="A74" s="209"/>
      <c r="B74" s="38"/>
      <c r="C74" s="38"/>
      <c r="D74" s="39"/>
      <c r="E74" s="14"/>
      <c r="F74" s="14"/>
      <c r="G74" s="14"/>
    </row>
    <row r="75" spans="1:8" ht="17.25">
      <c r="A75" s="642" t="s">
        <v>390</v>
      </c>
      <c r="B75" s="642"/>
      <c r="C75" s="642"/>
      <c r="D75" s="642"/>
      <c r="E75" s="642"/>
      <c r="F75" s="642"/>
      <c r="G75" s="642"/>
      <c r="H75" s="642"/>
    </row>
    <row r="76" spans="1:8">
      <c r="A76" s="202" t="s">
        <v>379</v>
      </c>
      <c r="B76" s="205">
        <v>2022</v>
      </c>
      <c r="C76" s="174">
        <v>2021</v>
      </c>
      <c r="D76" s="174">
        <v>2020</v>
      </c>
      <c r="E76" s="174">
        <v>2019</v>
      </c>
      <c r="F76" s="174">
        <v>2018</v>
      </c>
      <c r="G76" s="174">
        <v>2017</v>
      </c>
      <c r="H76" s="174">
        <v>2016</v>
      </c>
    </row>
    <row r="77" spans="1:8" ht="25.5">
      <c r="A77" s="243" t="s">
        <v>380</v>
      </c>
      <c r="B77" s="244">
        <v>11.8</v>
      </c>
      <c r="C77" s="245">
        <v>13.91</v>
      </c>
      <c r="D77" s="219">
        <v>13.97</v>
      </c>
      <c r="E77" s="219">
        <v>13.25</v>
      </c>
      <c r="F77" s="219">
        <v>11.97</v>
      </c>
      <c r="G77" s="246">
        <v>12.81</v>
      </c>
      <c r="H77" s="246">
        <v>12.05</v>
      </c>
    </row>
    <row r="78" spans="1:8" ht="27">
      <c r="A78" s="243" t="s">
        <v>391</v>
      </c>
      <c r="B78" s="245">
        <v>0.56000000000000005</v>
      </c>
      <c r="C78" s="245">
        <v>0.64</v>
      </c>
      <c r="D78" s="219">
        <v>0.62</v>
      </c>
      <c r="E78" s="238">
        <v>0.6</v>
      </c>
      <c r="F78" s="219">
        <v>0.48</v>
      </c>
      <c r="G78" s="246">
        <v>0.56000000000000005</v>
      </c>
      <c r="H78" s="246">
        <v>0.53</v>
      </c>
    </row>
    <row r="79" spans="1:8">
      <c r="A79" s="641" t="s">
        <v>382</v>
      </c>
      <c r="B79" s="641"/>
      <c r="C79" s="641"/>
      <c r="D79" s="641"/>
      <c r="E79" s="641"/>
      <c r="F79" s="641"/>
      <c r="G79" s="641"/>
      <c r="H79" s="641"/>
    </row>
    <row r="80" spans="1:8">
      <c r="A80" s="640" t="s">
        <v>392</v>
      </c>
      <c r="B80" s="640"/>
      <c r="C80" s="640"/>
      <c r="D80" s="640"/>
      <c r="E80" s="640"/>
      <c r="F80" s="640"/>
      <c r="G80" s="640"/>
      <c r="H80" s="640"/>
    </row>
    <row r="81" spans="1:7" s="35" customFormat="1">
      <c r="A81" s="112"/>
      <c r="B81"/>
      <c r="C81"/>
      <c r="D81"/>
      <c r="E81"/>
      <c r="F81"/>
      <c r="G81"/>
    </row>
    <row r="82" spans="1:7" ht="17.25">
      <c r="A82" s="619" t="s">
        <v>393</v>
      </c>
      <c r="B82" s="619"/>
      <c r="C82" s="619"/>
      <c r="D82" s="619"/>
      <c r="E82" s="619"/>
      <c r="F82" s="619"/>
    </row>
    <row r="83" spans="1:7">
      <c r="A83" s="202" t="s">
        <v>379</v>
      </c>
      <c r="B83" s="205">
        <v>2022</v>
      </c>
      <c r="C83" s="174">
        <v>2021</v>
      </c>
      <c r="D83" s="174">
        <v>2020</v>
      </c>
      <c r="E83" s="174">
        <v>2019</v>
      </c>
      <c r="F83" s="174">
        <v>2018</v>
      </c>
    </row>
    <row r="84" spans="1:7" ht="39.75">
      <c r="A84" s="222" t="s">
        <v>394</v>
      </c>
      <c r="B84" s="223">
        <v>2.6</v>
      </c>
      <c r="C84" s="219">
        <v>2.8</v>
      </c>
      <c r="D84" s="219">
        <v>2.7</v>
      </c>
      <c r="E84" s="219">
        <v>2.5</v>
      </c>
      <c r="F84" s="235">
        <v>2.4</v>
      </c>
    </row>
    <row r="85" spans="1:7" ht="39.75">
      <c r="A85" s="222" t="s">
        <v>395</v>
      </c>
      <c r="B85" s="223">
        <v>2.7</v>
      </c>
      <c r="C85" s="219">
        <v>2.5</v>
      </c>
      <c r="D85" s="219">
        <v>2.7</v>
      </c>
      <c r="E85" s="219">
        <v>2.7</v>
      </c>
      <c r="F85" s="235">
        <v>2.6</v>
      </c>
    </row>
    <row r="86" spans="1:7" ht="24" customHeight="1">
      <c r="A86" s="622" t="s">
        <v>396</v>
      </c>
      <c r="B86" s="622"/>
      <c r="C86" s="622"/>
      <c r="D86" s="622"/>
      <c r="E86" s="622"/>
      <c r="F86" s="622"/>
    </row>
    <row r="87" spans="1:7" ht="15" customHeight="1">
      <c r="A87" s="622" t="s">
        <v>397</v>
      </c>
      <c r="B87" s="622"/>
      <c r="C87" s="622"/>
      <c r="D87" s="622"/>
      <c r="E87" s="622"/>
      <c r="F87" s="622"/>
    </row>
    <row r="88" spans="1:7" ht="63.6" customHeight="1">
      <c r="A88" s="622" t="s">
        <v>398</v>
      </c>
      <c r="B88" s="622"/>
      <c r="C88" s="622"/>
      <c r="D88" s="622"/>
      <c r="E88" s="622"/>
      <c r="F88" s="622"/>
    </row>
    <row r="89" spans="1:7">
      <c r="A89" s="640"/>
      <c r="B89" s="640"/>
      <c r="C89" s="640"/>
      <c r="D89" s="640"/>
      <c r="E89" s="640"/>
      <c r="F89" s="640"/>
    </row>
    <row r="91" spans="1:7">
      <c r="A91" s="210"/>
      <c r="B91" s="12"/>
      <c r="C91" s="12"/>
      <c r="D91" s="40"/>
      <c r="E91" s="40"/>
      <c r="F91" s="40"/>
      <c r="G91" s="40"/>
    </row>
    <row r="92" spans="1:7">
      <c r="A92" s="211"/>
      <c r="B92" s="12"/>
      <c r="C92" s="12"/>
      <c r="D92" s="40"/>
      <c r="E92" s="40"/>
      <c r="F92" s="40"/>
      <c r="G92" s="40"/>
    </row>
    <row r="118" spans="1:11">
      <c r="A118" s="212"/>
      <c r="B118" s="11"/>
      <c r="C118" s="11"/>
      <c r="D118" s="11"/>
      <c r="E118" s="11"/>
      <c r="F118" s="11"/>
      <c r="G118" s="11"/>
    </row>
    <row r="119" spans="1:11">
      <c r="A119" s="212"/>
      <c r="B119" s="11"/>
      <c r="C119" s="11"/>
      <c r="D119" s="11"/>
      <c r="E119" s="11"/>
      <c r="F119" s="11"/>
      <c r="G119" s="11"/>
    </row>
    <row r="120" spans="1:11">
      <c r="A120" s="212"/>
      <c r="B120" s="11"/>
      <c r="C120" s="11"/>
      <c r="D120" s="11"/>
      <c r="E120" s="11"/>
      <c r="F120" s="11"/>
      <c r="G120" s="11"/>
    </row>
    <row r="121" spans="1:11">
      <c r="H121" s="11"/>
      <c r="I121" s="11"/>
      <c r="J121" s="11"/>
      <c r="K121" s="11"/>
    </row>
    <row r="122" spans="1:11">
      <c r="H122" s="11"/>
      <c r="I122" s="11"/>
      <c r="J122" s="11"/>
      <c r="K122" s="11"/>
    </row>
    <row r="123" spans="1:11">
      <c r="H123" s="11"/>
      <c r="I123" s="11"/>
      <c r="J123" s="11"/>
      <c r="K123" s="11"/>
    </row>
  </sheetData>
  <sheetProtection algorithmName="SHA-512" hashValue="QVrT7ONqIaPmGAwxXdD0NiOldFayse73Ka/VISwf403rTNKnIQrA7FuWEGgOfrqhD73nUzRl0kmOjj67OEAnfQ==" saltValue="RgdUak+wKBSGx9+XD/cAkQ==" spinCount="100000" sheet="1" objects="1" scenarios="1"/>
  <mergeCells count="36">
    <mergeCell ref="A66:H66"/>
    <mergeCell ref="A65:H65"/>
    <mergeCell ref="A71:H71"/>
    <mergeCell ref="A51:H51"/>
    <mergeCell ref="A58:H58"/>
    <mergeCell ref="A60:H60"/>
    <mergeCell ref="A64:H64"/>
    <mergeCell ref="A67:H67"/>
    <mergeCell ref="A57:H57"/>
    <mergeCell ref="A89:F89"/>
    <mergeCell ref="A72:H72"/>
    <mergeCell ref="A80:H80"/>
    <mergeCell ref="A86:F86"/>
    <mergeCell ref="A88:F88"/>
    <mergeCell ref="A73:H73"/>
    <mergeCell ref="A75:H75"/>
    <mergeCell ref="A79:H79"/>
    <mergeCell ref="A82:F82"/>
    <mergeCell ref="A87:F87"/>
    <mergeCell ref="A36:H36"/>
    <mergeCell ref="A39:H39"/>
    <mergeCell ref="A40:I40"/>
    <mergeCell ref="A35:I35"/>
    <mergeCell ref="A37:I37"/>
    <mergeCell ref="A11:H11"/>
    <mergeCell ref="A9:H9"/>
    <mergeCell ref="A7:H7"/>
    <mergeCell ref="A21:H21"/>
    <mergeCell ref="A24:H24"/>
    <mergeCell ref="A22:H22"/>
    <mergeCell ref="A42:H42"/>
    <mergeCell ref="A48:H48"/>
    <mergeCell ref="A50:H50"/>
    <mergeCell ref="A52:H52"/>
    <mergeCell ref="A54:H54"/>
    <mergeCell ref="A49:I4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3D13-C773-432A-BF1D-C4466314A4EA}">
  <sheetPr codeName="Sheet6">
    <tabColor rgb="FF93E3FF"/>
  </sheetPr>
  <dimension ref="A2:P144"/>
  <sheetViews>
    <sheetView showGridLines="0" zoomScaleNormal="100" workbookViewId="0"/>
  </sheetViews>
  <sheetFormatPr baseColWidth="10" defaultColWidth="8.7109375" defaultRowHeight="14.25"/>
  <cols>
    <col min="1" max="2" width="25.7109375" style="4" customWidth="1"/>
    <col min="3" max="4" width="20.7109375" style="4" customWidth="1"/>
    <col min="5" max="5" width="16.7109375" style="4" customWidth="1"/>
    <col min="6" max="6" width="17.28515625" style="4" customWidth="1"/>
    <col min="7" max="7" width="16.5703125" style="4" customWidth="1"/>
    <col min="8" max="8" width="16.42578125" style="4" customWidth="1"/>
    <col min="9" max="9" width="12.140625" style="4" bestFit="1" customWidth="1"/>
    <col min="10" max="16384" width="8.7109375" style="4"/>
  </cols>
  <sheetData>
    <row r="2" spans="1:7">
      <c r="G2" s="116"/>
    </row>
    <row r="7" spans="1:7" ht="20.25">
      <c r="A7" s="617" t="s">
        <v>0</v>
      </c>
      <c r="B7" s="617"/>
      <c r="C7" s="617"/>
      <c r="D7" s="617"/>
      <c r="E7" s="617"/>
      <c r="F7" s="617"/>
      <c r="G7" s="617"/>
    </row>
    <row r="8" spans="1:7" ht="15" thickBot="1">
      <c r="A8" s="166"/>
      <c r="B8" s="166"/>
      <c r="C8" s="166"/>
      <c r="D8" s="166"/>
      <c r="E8" s="166"/>
      <c r="F8" s="166"/>
      <c r="G8" s="166"/>
    </row>
    <row r="9" spans="1:7" ht="19.5" thickTop="1" thickBot="1">
      <c r="A9" s="610" t="s">
        <v>23</v>
      </c>
      <c r="B9" s="610"/>
      <c r="C9" s="610"/>
      <c r="D9" s="610"/>
      <c r="E9" s="610"/>
      <c r="F9" s="610"/>
      <c r="G9" s="610"/>
    </row>
    <row r="10" spans="1:7" ht="18.75" thickTop="1">
      <c r="A10" s="8"/>
      <c r="B10" s="8"/>
      <c r="C10" s="8"/>
      <c r="D10" s="126"/>
      <c r="E10" s="126"/>
      <c r="F10" s="126"/>
      <c r="G10" s="126"/>
    </row>
    <row r="11" spans="1:7" ht="17.25">
      <c r="A11" s="619" t="s">
        <v>399</v>
      </c>
      <c r="B11" s="619"/>
      <c r="C11" s="619"/>
      <c r="D11" s="619"/>
      <c r="E11" s="619"/>
      <c r="F11" s="619"/>
      <c r="G11" s="619"/>
    </row>
    <row r="12" spans="1:7" ht="16.899999999999999" customHeight="1">
      <c r="A12" s="181"/>
      <c r="B12" s="181">
        <v>2022</v>
      </c>
      <c r="C12" s="181">
        <v>2021</v>
      </c>
      <c r="D12" s="181">
        <v>2020</v>
      </c>
      <c r="E12" s="181">
        <v>2019</v>
      </c>
      <c r="F12" s="174">
        <v>2018</v>
      </c>
      <c r="G12" s="174">
        <v>2017</v>
      </c>
    </row>
    <row r="13" spans="1:7" ht="41.65" customHeight="1">
      <c r="A13" s="297" t="s">
        <v>400</v>
      </c>
      <c r="B13" s="298">
        <v>62445000</v>
      </c>
      <c r="C13" s="299">
        <v>66585000</v>
      </c>
      <c r="D13" s="300">
        <v>72000000</v>
      </c>
      <c r="E13" s="300">
        <v>74000000</v>
      </c>
      <c r="F13" s="300">
        <v>76000000</v>
      </c>
      <c r="G13" s="300">
        <v>75000000</v>
      </c>
    </row>
    <row r="14" spans="1:7" ht="22.9" customHeight="1">
      <c r="A14" s="297" t="s">
        <v>401</v>
      </c>
      <c r="B14" s="298">
        <v>8952000</v>
      </c>
      <c r="C14" s="299">
        <v>10080000</v>
      </c>
      <c r="D14" s="301">
        <v>10000000</v>
      </c>
      <c r="E14" s="301">
        <v>10000000</v>
      </c>
      <c r="F14" s="301">
        <v>10000000</v>
      </c>
      <c r="G14" s="302">
        <v>12000000</v>
      </c>
    </row>
    <row r="15" spans="1:7">
      <c r="A15" s="297" t="s">
        <v>402</v>
      </c>
      <c r="B15" s="298">
        <v>683931000</v>
      </c>
      <c r="C15" s="299">
        <v>709268000</v>
      </c>
      <c r="D15" s="301">
        <v>716000000</v>
      </c>
      <c r="E15" s="301">
        <v>896000000</v>
      </c>
      <c r="F15" s="226">
        <v>841000000</v>
      </c>
      <c r="G15" s="300">
        <v>830000000</v>
      </c>
    </row>
    <row r="16" spans="1:7">
      <c r="A16" s="403" t="s">
        <v>403</v>
      </c>
      <c r="B16" s="404">
        <v>755302000</v>
      </c>
      <c r="C16" s="404">
        <v>785933000</v>
      </c>
      <c r="D16" s="392">
        <v>798000000</v>
      </c>
      <c r="E16" s="392">
        <v>980000000</v>
      </c>
      <c r="F16" s="392">
        <v>928000000</v>
      </c>
      <c r="G16" s="394">
        <v>917000000</v>
      </c>
    </row>
    <row r="17" spans="1:9" ht="12.6" customHeight="1">
      <c r="A17" s="613" t="s">
        <v>404</v>
      </c>
      <c r="B17" s="613"/>
      <c r="C17" s="613"/>
      <c r="D17" s="613"/>
      <c r="E17" s="613"/>
      <c r="F17" s="613"/>
      <c r="G17" s="613"/>
    </row>
    <row r="18" spans="1:9" ht="12.6" customHeight="1">
      <c r="A18" s="641" t="s">
        <v>231</v>
      </c>
      <c r="B18" s="641"/>
      <c r="C18" s="641"/>
      <c r="D18" s="641"/>
      <c r="E18" s="641"/>
      <c r="F18" s="641"/>
      <c r="G18" s="641"/>
    </row>
    <row r="19" spans="1:9" ht="12.6" customHeight="1">
      <c r="A19" s="641" t="s">
        <v>405</v>
      </c>
      <c r="B19" s="641"/>
      <c r="C19" s="641"/>
      <c r="D19" s="641"/>
      <c r="E19" s="641"/>
      <c r="F19" s="641"/>
      <c r="G19" s="641"/>
    </row>
    <row r="20" spans="1:9" ht="12" customHeight="1">
      <c r="A20" s="96"/>
      <c r="B20" s="73"/>
      <c r="C20" s="73"/>
      <c r="D20" s="73"/>
      <c r="E20" s="73"/>
      <c r="F20" s="73"/>
      <c r="G20" s="73"/>
    </row>
    <row r="21" spans="1:9" ht="16.149999999999999" customHeight="1">
      <c r="A21" s="642" t="s">
        <v>406</v>
      </c>
      <c r="B21" s="642"/>
      <c r="C21" s="642"/>
      <c r="D21" s="642"/>
      <c r="E21" s="73"/>
      <c r="F21" s="73"/>
      <c r="G21" s="73"/>
    </row>
    <row r="22" spans="1:9" ht="37.9" customHeight="1">
      <c r="A22" s="178" t="s">
        <v>407</v>
      </c>
      <c r="B22" s="174" t="s">
        <v>408</v>
      </c>
      <c r="C22" s="174" t="s">
        <v>409</v>
      </c>
      <c r="D22" s="174" t="s">
        <v>410</v>
      </c>
      <c r="E22" s="73"/>
      <c r="F22" s="73"/>
      <c r="G22" s="73"/>
      <c r="I22" s="127"/>
    </row>
    <row r="23" spans="1:9" ht="25.15" customHeight="1">
      <c r="A23" s="223" t="s">
        <v>411</v>
      </c>
      <c r="B23" s="217">
        <v>59547</v>
      </c>
      <c r="C23" s="217">
        <v>38364</v>
      </c>
      <c r="D23" s="217">
        <v>21184</v>
      </c>
      <c r="E23" s="144"/>
      <c r="F23" s="73"/>
      <c r="G23" s="2"/>
      <c r="H23" s="127"/>
    </row>
    <row r="24" spans="1:9" ht="25.15" customHeight="1">
      <c r="A24" s="223" t="s">
        <v>412</v>
      </c>
      <c r="B24" s="217">
        <v>136263</v>
      </c>
      <c r="C24" s="217">
        <v>22563</v>
      </c>
      <c r="D24" s="217">
        <v>113699</v>
      </c>
      <c r="E24" s="144"/>
      <c r="F24" s="73"/>
      <c r="G24" s="144"/>
    </row>
    <row r="25" spans="1:9" ht="24.6" customHeight="1">
      <c r="A25" s="196" t="s">
        <v>413</v>
      </c>
      <c r="B25" s="396">
        <v>195810</v>
      </c>
      <c r="C25" s="396" t="s">
        <v>414</v>
      </c>
      <c r="D25" s="396">
        <v>134883</v>
      </c>
      <c r="E25" s="144"/>
      <c r="F25" s="73"/>
      <c r="G25" s="73"/>
    </row>
    <row r="26" spans="1:9" ht="14.65" customHeight="1">
      <c r="A26" s="640" t="s">
        <v>415</v>
      </c>
      <c r="B26" s="640"/>
      <c r="C26" s="640"/>
      <c r="D26" s="640"/>
      <c r="E26" s="73"/>
      <c r="F26" s="73"/>
      <c r="G26" s="73"/>
    </row>
    <row r="27" spans="1:9" ht="25.9" customHeight="1">
      <c r="A27" s="622" t="s">
        <v>416</v>
      </c>
      <c r="B27" s="622"/>
      <c r="C27" s="622"/>
      <c r="D27" s="622"/>
      <c r="E27" s="73"/>
      <c r="F27" s="73"/>
      <c r="G27" s="73"/>
    </row>
    <row r="28" spans="1:9" ht="14.65" customHeight="1">
      <c r="A28" s="641" t="s">
        <v>417</v>
      </c>
      <c r="B28" s="641"/>
      <c r="C28" s="641"/>
      <c r="D28" s="641"/>
      <c r="E28" s="73"/>
      <c r="F28" s="73"/>
      <c r="G28" s="73"/>
    </row>
    <row r="29" spans="1:9" ht="14.65" customHeight="1">
      <c r="A29" s="641" t="s">
        <v>418</v>
      </c>
      <c r="B29" s="641"/>
      <c r="C29" s="641"/>
      <c r="D29" s="641"/>
      <c r="E29" s="73"/>
      <c r="F29" s="73"/>
      <c r="G29" s="73"/>
    </row>
    <row r="30" spans="1:9" ht="14.65" customHeight="1">
      <c r="A30" s="96"/>
      <c r="B30" s="73"/>
      <c r="C30" s="73"/>
      <c r="D30" s="73"/>
      <c r="E30" s="73"/>
      <c r="F30" s="73"/>
      <c r="G30" s="73"/>
    </row>
    <row r="31" spans="1:9" ht="14.65" customHeight="1">
      <c r="A31" s="621" t="s">
        <v>419</v>
      </c>
      <c r="B31" s="621"/>
      <c r="C31" s="621"/>
      <c r="D31" s="621"/>
      <c r="E31" s="621"/>
      <c r="F31" s="621"/>
      <c r="G31" s="73"/>
    </row>
    <row r="32" spans="1:9" ht="14.65" customHeight="1">
      <c r="A32" s="204" t="s">
        <v>420</v>
      </c>
      <c r="B32" s="645" t="s">
        <v>421</v>
      </c>
      <c r="C32" s="645"/>
      <c r="D32" s="179" t="s">
        <v>422</v>
      </c>
      <c r="E32" s="179" t="s">
        <v>423</v>
      </c>
      <c r="F32" s="179" t="s">
        <v>173</v>
      </c>
      <c r="G32" s="73"/>
    </row>
    <row r="33" spans="1:8" ht="14.65" customHeight="1">
      <c r="A33" s="647" t="s">
        <v>424</v>
      </c>
      <c r="B33" s="646" t="s">
        <v>425</v>
      </c>
      <c r="C33" s="215" t="s">
        <v>426</v>
      </c>
      <c r="D33" s="218">
        <v>0</v>
      </c>
      <c r="E33" s="218">
        <v>64</v>
      </c>
      <c r="F33" s="188">
        <v>64</v>
      </c>
      <c r="G33" s="73"/>
      <c r="H33" s="73"/>
    </row>
    <row r="34" spans="1:8" ht="14.65" customHeight="1">
      <c r="A34" s="647"/>
      <c r="B34" s="646"/>
      <c r="C34" s="215" t="s">
        <v>427</v>
      </c>
      <c r="D34" s="220">
        <v>29092</v>
      </c>
      <c r="E34" s="220">
        <v>9201</v>
      </c>
      <c r="F34" s="221">
        <v>38293</v>
      </c>
    </row>
    <row r="35" spans="1:8" ht="27" customHeight="1">
      <c r="A35" s="647"/>
      <c r="B35" s="646"/>
      <c r="C35" s="222" t="s">
        <v>428</v>
      </c>
      <c r="D35" s="218">
        <v>0</v>
      </c>
      <c r="E35" s="218">
        <v>7</v>
      </c>
      <c r="F35" s="188">
        <v>7</v>
      </c>
    </row>
    <row r="36" spans="1:8" ht="14.65" customHeight="1">
      <c r="A36" s="647"/>
      <c r="B36" s="646"/>
      <c r="C36" s="406" t="s">
        <v>173</v>
      </c>
      <c r="D36" s="405">
        <v>29092</v>
      </c>
      <c r="E36" s="405">
        <v>9271</v>
      </c>
      <c r="F36" s="405">
        <v>38364</v>
      </c>
    </row>
    <row r="37" spans="1:8" ht="30" customHeight="1">
      <c r="A37" s="647"/>
      <c r="B37" s="643" t="s">
        <v>429</v>
      </c>
      <c r="C37" s="222" t="s">
        <v>430</v>
      </c>
      <c r="D37" s="253">
        <v>0</v>
      </c>
      <c r="E37" s="253">
        <v>581</v>
      </c>
      <c r="F37" s="253">
        <v>581</v>
      </c>
    </row>
    <row r="38" spans="1:8" ht="34.15" customHeight="1">
      <c r="A38" s="647"/>
      <c r="B38" s="643"/>
      <c r="C38" s="222" t="s">
        <v>431</v>
      </c>
      <c r="D38" s="253">
        <v>0</v>
      </c>
      <c r="E38" s="253">
        <v>4</v>
      </c>
      <c r="F38" s="253">
        <v>4</v>
      </c>
    </row>
    <row r="39" spans="1:8" ht="14.65" customHeight="1">
      <c r="A39" s="647"/>
      <c r="B39" s="643"/>
      <c r="C39" s="222" t="s">
        <v>432</v>
      </c>
      <c r="D39" s="253">
        <v>2</v>
      </c>
      <c r="E39" s="303">
        <v>6518</v>
      </c>
      <c r="F39" s="303">
        <v>6520</v>
      </c>
    </row>
    <row r="40" spans="1:8" ht="25.9" customHeight="1">
      <c r="A40" s="647"/>
      <c r="B40" s="643"/>
      <c r="C40" s="222" t="s">
        <v>433</v>
      </c>
      <c r="D40" s="253">
        <v>0</v>
      </c>
      <c r="E40" s="303">
        <v>14079</v>
      </c>
      <c r="F40" s="303">
        <v>14079</v>
      </c>
    </row>
    <row r="41" spans="1:8" ht="14.65" customHeight="1">
      <c r="A41" s="647"/>
      <c r="B41" s="643"/>
      <c r="C41" s="406" t="s">
        <v>173</v>
      </c>
      <c r="D41" s="192">
        <v>2</v>
      </c>
      <c r="E41" s="393">
        <v>21182</v>
      </c>
      <c r="F41" s="393">
        <v>21184</v>
      </c>
    </row>
    <row r="42" spans="1:8" ht="14.65" customHeight="1">
      <c r="A42" s="643" t="s">
        <v>434</v>
      </c>
      <c r="B42" s="643" t="s">
        <v>435</v>
      </c>
      <c r="C42" s="215" t="s">
        <v>426</v>
      </c>
      <c r="D42" s="253">
        <v>111</v>
      </c>
      <c r="E42" s="253">
        <v>419</v>
      </c>
      <c r="F42" s="253">
        <v>530</v>
      </c>
    </row>
    <row r="43" spans="1:8" ht="14.65" customHeight="1">
      <c r="A43" s="643"/>
      <c r="B43" s="643"/>
      <c r="C43" s="215" t="s">
        <v>427</v>
      </c>
      <c r="D43" s="303">
        <v>1860</v>
      </c>
      <c r="E43" s="303">
        <v>20173</v>
      </c>
      <c r="F43" s="303">
        <v>22033</v>
      </c>
    </row>
    <row r="44" spans="1:8" ht="25.5">
      <c r="A44" s="643"/>
      <c r="B44" s="643"/>
      <c r="C44" s="222" t="s">
        <v>428</v>
      </c>
      <c r="D44" s="253">
        <v>0</v>
      </c>
      <c r="E44" s="253">
        <v>0</v>
      </c>
      <c r="F44" s="253">
        <v>0</v>
      </c>
    </row>
    <row r="45" spans="1:8" ht="14.65" customHeight="1">
      <c r="A45" s="643"/>
      <c r="B45" s="643"/>
      <c r="C45" s="406" t="s">
        <v>173</v>
      </c>
      <c r="D45" s="393">
        <v>1971</v>
      </c>
      <c r="E45" s="393">
        <v>20592</v>
      </c>
      <c r="F45" s="393">
        <v>22563</v>
      </c>
    </row>
    <row r="46" spans="1:8" ht="25.5">
      <c r="A46" s="643"/>
      <c r="B46" s="643" t="s">
        <v>429</v>
      </c>
      <c r="C46" s="222" t="s">
        <v>430</v>
      </c>
      <c r="D46" s="253">
        <v>28</v>
      </c>
      <c r="E46" s="253">
        <v>0</v>
      </c>
      <c r="F46" s="253">
        <v>28</v>
      </c>
    </row>
    <row r="47" spans="1:8" ht="25.5">
      <c r="A47" s="643"/>
      <c r="B47" s="643"/>
      <c r="C47" s="222" t="s">
        <v>431</v>
      </c>
      <c r="D47" s="303">
        <v>672</v>
      </c>
      <c r="E47" s="253">
        <v>0</v>
      </c>
      <c r="F47" s="303">
        <v>673</v>
      </c>
    </row>
    <row r="48" spans="1:8">
      <c r="A48" s="643"/>
      <c r="B48" s="643"/>
      <c r="C48" s="222" t="s">
        <v>432</v>
      </c>
      <c r="D48" s="303">
        <v>62360</v>
      </c>
      <c r="E48" s="303">
        <v>46841</v>
      </c>
      <c r="F48" s="303">
        <v>109201</v>
      </c>
    </row>
    <row r="49" spans="1:8" ht="25.5">
      <c r="A49" s="643"/>
      <c r="B49" s="643"/>
      <c r="C49" s="222" t="s">
        <v>433</v>
      </c>
      <c r="D49" s="303">
        <v>1308</v>
      </c>
      <c r="E49" s="303">
        <v>2489</v>
      </c>
      <c r="F49" s="303">
        <v>3798</v>
      </c>
    </row>
    <row r="50" spans="1:8">
      <c r="A50" s="643"/>
      <c r="B50" s="643"/>
      <c r="C50" s="406" t="s">
        <v>173</v>
      </c>
      <c r="D50" s="393">
        <v>64369</v>
      </c>
      <c r="E50" s="393">
        <v>49331</v>
      </c>
      <c r="F50" s="393">
        <v>113699</v>
      </c>
    </row>
    <row r="51" spans="1:8" ht="14.65" customHeight="1">
      <c r="A51" s="640" t="s">
        <v>436</v>
      </c>
      <c r="B51" s="640"/>
      <c r="C51" s="640"/>
      <c r="D51" s="640"/>
      <c r="E51" s="640"/>
      <c r="F51" s="640"/>
    </row>
    <row r="52" spans="1:8" ht="25.9" customHeight="1">
      <c r="A52" s="622" t="s">
        <v>437</v>
      </c>
      <c r="B52" s="622"/>
      <c r="C52" s="622"/>
      <c r="D52" s="622"/>
      <c r="E52" s="622"/>
      <c r="F52" s="622"/>
    </row>
    <row r="53" spans="1:8" ht="14.65" customHeight="1">
      <c r="A53" s="641" t="s">
        <v>438</v>
      </c>
      <c r="B53" s="641"/>
      <c r="C53" s="641"/>
      <c r="D53" s="641"/>
      <c r="E53" s="641"/>
      <c r="F53" s="641"/>
      <c r="G53" s="73"/>
    </row>
    <row r="54" spans="1:8" ht="14.65" customHeight="1">
      <c r="A54" s="641" t="s">
        <v>439</v>
      </c>
      <c r="B54" s="641"/>
      <c r="C54" s="641"/>
      <c r="D54" s="641"/>
      <c r="E54" s="641"/>
      <c r="F54" s="641"/>
      <c r="G54" s="73"/>
    </row>
    <row r="55" spans="1:8" ht="14.65" customHeight="1">
      <c r="A55" s="96"/>
      <c r="B55" s="73"/>
      <c r="C55" s="73"/>
      <c r="D55" s="73"/>
      <c r="E55" s="73"/>
      <c r="F55" s="73"/>
      <c r="G55" s="73"/>
    </row>
    <row r="56" spans="1:8" ht="16.149999999999999" customHeight="1">
      <c r="A56" s="642" t="s">
        <v>440</v>
      </c>
      <c r="B56" s="642"/>
      <c r="C56" s="642"/>
      <c r="D56" s="642"/>
      <c r="E56" s="73"/>
      <c r="F56" s="73"/>
      <c r="G56" s="73"/>
      <c r="H56" s="73"/>
    </row>
    <row r="57" spans="1:8" ht="37.9" customHeight="1">
      <c r="A57" s="178" t="s">
        <v>407</v>
      </c>
      <c r="B57" s="179" t="s">
        <v>441</v>
      </c>
      <c r="C57" s="179" t="s">
        <v>409</v>
      </c>
      <c r="D57" s="179" t="s">
        <v>410</v>
      </c>
      <c r="E57" s="73"/>
      <c r="F57" s="73"/>
      <c r="G57" s="73"/>
      <c r="H57" s="73"/>
    </row>
    <row r="58" spans="1:8" ht="25.15" customHeight="1">
      <c r="A58" s="223" t="s">
        <v>411</v>
      </c>
      <c r="B58" s="217">
        <v>58618</v>
      </c>
      <c r="C58" s="217">
        <v>44515</v>
      </c>
      <c r="D58" s="217">
        <v>14103</v>
      </c>
      <c r="E58" s="73"/>
      <c r="F58" s="73"/>
      <c r="G58" s="73"/>
      <c r="H58" s="73"/>
    </row>
    <row r="59" spans="1:8" ht="25.15" customHeight="1">
      <c r="A59" s="223" t="s">
        <v>412</v>
      </c>
      <c r="B59" s="217">
        <v>91763</v>
      </c>
      <c r="C59" s="217">
        <v>20949</v>
      </c>
      <c r="D59" s="217">
        <v>70814</v>
      </c>
      <c r="E59" s="73"/>
      <c r="F59" s="73"/>
      <c r="G59" s="73"/>
      <c r="H59" s="73"/>
    </row>
    <row r="60" spans="1:8" ht="24.6" customHeight="1">
      <c r="A60" s="196" t="s">
        <v>413</v>
      </c>
      <c r="B60" s="396">
        <f>SUM(B58:B59)</f>
        <v>150381</v>
      </c>
      <c r="C60" s="396">
        <f t="shared" ref="C60:D60" si="0">SUM(C58:C59)</f>
        <v>65464</v>
      </c>
      <c r="D60" s="396">
        <f t="shared" si="0"/>
        <v>84917</v>
      </c>
      <c r="E60" s="73"/>
      <c r="F60" s="73"/>
      <c r="G60" s="73"/>
      <c r="H60" s="73"/>
    </row>
    <row r="61" spans="1:8" ht="13.9" customHeight="1">
      <c r="A61" s="640" t="s">
        <v>415</v>
      </c>
      <c r="B61" s="640"/>
      <c r="C61" s="640"/>
      <c r="D61" s="640"/>
      <c r="E61" s="73"/>
      <c r="F61" s="73"/>
      <c r="G61" s="73"/>
      <c r="H61" s="73"/>
    </row>
    <row r="62" spans="1:8" ht="25.9" customHeight="1">
      <c r="A62" s="622" t="s">
        <v>416</v>
      </c>
      <c r="B62" s="622"/>
      <c r="C62" s="622"/>
      <c r="D62" s="622"/>
      <c r="E62" s="73"/>
      <c r="F62" s="73"/>
      <c r="G62" s="73"/>
      <c r="H62" s="73"/>
    </row>
    <row r="63" spans="1:8" ht="14.65" customHeight="1">
      <c r="A63" s="641" t="s">
        <v>438</v>
      </c>
      <c r="B63" s="641"/>
      <c r="C63" s="641"/>
      <c r="D63" s="641"/>
      <c r="E63" s="73"/>
      <c r="F63" s="73"/>
      <c r="G63" s="73"/>
      <c r="H63" s="73"/>
    </row>
    <row r="64" spans="1:8" ht="14.65" customHeight="1">
      <c r="A64" s="641" t="s">
        <v>439</v>
      </c>
      <c r="B64" s="641"/>
      <c r="C64" s="641"/>
      <c r="D64" s="641"/>
      <c r="E64" s="73"/>
      <c r="F64" s="73"/>
      <c r="G64" s="73"/>
      <c r="H64" s="73"/>
    </row>
    <row r="65" spans="1:8" ht="14.65" customHeight="1">
      <c r="A65" s="96"/>
      <c r="B65" s="73"/>
      <c r="C65" s="73"/>
      <c r="D65" s="73"/>
      <c r="E65" s="73"/>
      <c r="F65" s="73"/>
      <c r="G65" s="73"/>
      <c r="H65" s="73"/>
    </row>
    <row r="66" spans="1:8" ht="14.65" customHeight="1">
      <c r="A66" s="619" t="s">
        <v>442</v>
      </c>
      <c r="B66" s="619"/>
      <c r="C66" s="619"/>
      <c r="D66" s="619"/>
      <c r="E66" s="619"/>
      <c r="F66" s="619"/>
      <c r="G66" s="73"/>
    </row>
    <row r="67" spans="1:8" ht="14.65" customHeight="1">
      <c r="A67" s="204" t="s">
        <v>420</v>
      </c>
      <c r="B67" s="645" t="s">
        <v>421</v>
      </c>
      <c r="C67" s="645"/>
      <c r="D67" s="179" t="s">
        <v>422</v>
      </c>
      <c r="E67" s="179" t="s">
        <v>423</v>
      </c>
      <c r="F67" s="179" t="s">
        <v>173</v>
      </c>
      <c r="G67" s="73"/>
    </row>
    <row r="68" spans="1:8" ht="14.65" customHeight="1">
      <c r="A68" s="647" t="s">
        <v>443</v>
      </c>
      <c r="B68" s="646" t="s">
        <v>425</v>
      </c>
      <c r="C68" s="215" t="s">
        <v>426</v>
      </c>
      <c r="D68" s="226">
        <v>0</v>
      </c>
      <c r="E68" s="226">
        <v>24</v>
      </c>
      <c r="F68" s="221">
        <f>E68+D68</f>
        <v>24</v>
      </c>
      <c r="G68" s="73"/>
      <c r="H68" s="73"/>
    </row>
    <row r="69" spans="1:8" ht="14.65" customHeight="1">
      <c r="A69" s="647"/>
      <c r="B69" s="646"/>
      <c r="C69" s="215" t="s">
        <v>427</v>
      </c>
      <c r="D69" s="226">
        <v>35541</v>
      </c>
      <c r="E69" s="226">
        <v>9499</v>
      </c>
      <c r="F69" s="221">
        <v>45040</v>
      </c>
    </row>
    <row r="70" spans="1:8" ht="28.9" customHeight="1">
      <c r="A70" s="647"/>
      <c r="B70" s="646"/>
      <c r="C70" s="222" t="s">
        <v>428</v>
      </c>
      <c r="D70" s="226">
        <v>0</v>
      </c>
      <c r="E70" s="226">
        <v>0</v>
      </c>
      <c r="F70" s="221">
        <v>0</v>
      </c>
    </row>
    <row r="71" spans="1:8" ht="15.6" customHeight="1">
      <c r="A71" s="647"/>
      <c r="B71" s="646"/>
      <c r="C71" s="406" t="s">
        <v>173</v>
      </c>
      <c r="D71" s="392">
        <v>35541</v>
      </c>
      <c r="E71" s="392">
        <v>9499</v>
      </c>
      <c r="F71" s="392">
        <v>45040</v>
      </c>
    </row>
    <row r="72" spans="1:8" ht="25.5">
      <c r="A72" s="647"/>
      <c r="B72" s="643" t="s">
        <v>429</v>
      </c>
      <c r="C72" s="222" t="s">
        <v>430</v>
      </c>
      <c r="D72" s="226">
        <v>0</v>
      </c>
      <c r="E72" s="229">
        <v>518</v>
      </c>
      <c r="F72" s="221">
        <v>518</v>
      </c>
      <c r="H72" s="127"/>
    </row>
    <row r="73" spans="1:8" ht="25.5">
      <c r="A73" s="647"/>
      <c r="B73" s="643"/>
      <c r="C73" s="222" t="s">
        <v>431</v>
      </c>
      <c r="D73" s="226">
        <v>0</v>
      </c>
      <c r="E73" s="226">
        <v>27</v>
      </c>
      <c r="F73" s="221">
        <f>E73+D73</f>
        <v>27</v>
      </c>
    </row>
    <row r="74" spans="1:8">
      <c r="A74" s="647"/>
      <c r="B74" s="643"/>
      <c r="C74" s="222" t="s">
        <v>432</v>
      </c>
      <c r="D74" s="226">
        <v>1</v>
      </c>
      <c r="E74" s="226">
        <v>2831</v>
      </c>
      <c r="F74" s="221">
        <v>2832</v>
      </c>
    </row>
    <row r="75" spans="1:8" ht="25.5">
      <c r="A75" s="647"/>
      <c r="B75" s="643"/>
      <c r="C75" s="222" t="s">
        <v>433</v>
      </c>
      <c r="D75" s="226">
        <v>0</v>
      </c>
      <c r="E75" s="226">
        <v>9593</v>
      </c>
      <c r="F75" s="221">
        <v>9593</v>
      </c>
    </row>
    <row r="76" spans="1:8">
      <c r="A76" s="647"/>
      <c r="B76" s="643"/>
      <c r="C76" s="406" t="s">
        <v>173</v>
      </c>
      <c r="D76" s="392">
        <f>D72+D73+D74+D75</f>
        <v>1</v>
      </c>
      <c r="E76" s="392">
        <v>12969</v>
      </c>
      <c r="F76" s="392">
        <v>12970</v>
      </c>
    </row>
    <row r="77" spans="1:8">
      <c r="A77" s="643" t="s">
        <v>444</v>
      </c>
      <c r="B77" s="643" t="s">
        <v>435</v>
      </c>
      <c r="C77" s="215" t="s">
        <v>426</v>
      </c>
      <c r="D77" s="226">
        <v>129</v>
      </c>
      <c r="E77" s="226">
        <v>422</v>
      </c>
      <c r="F77" s="221">
        <f t="shared" ref="F77:F82" si="1">E77+D77</f>
        <v>551</v>
      </c>
    </row>
    <row r="78" spans="1:8">
      <c r="A78" s="643"/>
      <c r="B78" s="643"/>
      <c r="C78" s="215" t="s">
        <v>427</v>
      </c>
      <c r="D78" s="226">
        <v>1731</v>
      </c>
      <c r="E78" s="226">
        <v>20116</v>
      </c>
      <c r="F78" s="221">
        <v>21847</v>
      </c>
    </row>
    <row r="79" spans="1:8" ht="25.5">
      <c r="A79" s="643"/>
      <c r="B79" s="643"/>
      <c r="C79" s="222" t="s">
        <v>428</v>
      </c>
      <c r="D79" s="226">
        <v>0</v>
      </c>
      <c r="E79" s="226">
        <v>0</v>
      </c>
      <c r="F79" s="221">
        <f t="shared" si="1"/>
        <v>0</v>
      </c>
    </row>
    <row r="80" spans="1:8">
      <c r="A80" s="643"/>
      <c r="B80" s="643"/>
      <c r="C80" s="406" t="s">
        <v>173</v>
      </c>
      <c r="D80" s="392">
        <v>1860</v>
      </c>
      <c r="E80" s="392">
        <v>20538</v>
      </c>
      <c r="F80" s="395">
        <v>22298</v>
      </c>
    </row>
    <row r="81" spans="1:16" ht="25.5">
      <c r="A81" s="643"/>
      <c r="B81" s="643" t="s">
        <v>429</v>
      </c>
      <c r="C81" s="222" t="s">
        <v>430</v>
      </c>
      <c r="D81" s="226">
        <v>43</v>
      </c>
      <c r="E81" s="226">
        <v>48</v>
      </c>
      <c r="F81" s="221">
        <f t="shared" si="1"/>
        <v>91</v>
      </c>
    </row>
    <row r="82" spans="1:16" ht="25.5">
      <c r="A82" s="643"/>
      <c r="B82" s="643"/>
      <c r="C82" s="222" t="s">
        <v>431</v>
      </c>
      <c r="D82" s="226">
        <v>11558</v>
      </c>
      <c r="E82" s="226">
        <v>1</v>
      </c>
      <c r="F82" s="221">
        <f t="shared" si="1"/>
        <v>11559</v>
      </c>
    </row>
    <row r="83" spans="1:16">
      <c r="A83" s="643"/>
      <c r="B83" s="643"/>
      <c r="C83" s="222" t="s">
        <v>432</v>
      </c>
      <c r="D83" s="226">
        <v>45640</v>
      </c>
      <c r="E83" s="226">
        <v>6206</v>
      </c>
      <c r="F83" s="221">
        <v>51846</v>
      </c>
    </row>
    <row r="84" spans="1:16" ht="25.5">
      <c r="A84" s="643"/>
      <c r="B84" s="643"/>
      <c r="C84" s="222" t="s">
        <v>433</v>
      </c>
      <c r="D84" s="226">
        <v>6066</v>
      </c>
      <c r="E84" s="229">
        <v>351</v>
      </c>
      <c r="F84" s="221">
        <v>6417</v>
      </c>
      <c r="K84" s="640"/>
      <c r="L84" s="640"/>
      <c r="M84" s="640"/>
      <c r="N84" s="640"/>
      <c r="O84" s="640"/>
      <c r="P84" s="640"/>
    </row>
    <row r="85" spans="1:16">
      <c r="A85" s="643"/>
      <c r="B85" s="643"/>
      <c r="C85" s="406" t="s">
        <v>173</v>
      </c>
      <c r="D85" s="392">
        <v>63307</v>
      </c>
      <c r="E85" s="392">
        <v>6606</v>
      </c>
      <c r="F85" s="395">
        <v>69913</v>
      </c>
    </row>
    <row r="86" spans="1:16">
      <c r="A86" s="640" t="s">
        <v>445</v>
      </c>
      <c r="B86" s="640"/>
      <c r="C86" s="640"/>
      <c r="D86" s="640"/>
      <c r="E86" s="640"/>
      <c r="F86" s="640"/>
    </row>
    <row r="87" spans="1:16">
      <c r="A87" s="640" t="s">
        <v>446</v>
      </c>
      <c r="B87" s="640"/>
      <c r="C87" s="640"/>
      <c r="D87" s="640"/>
      <c r="E87" s="640"/>
      <c r="F87" s="640"/>
    </row>
    <row r="88" spans="1:16">
      <c r="A88" s="640" t="s">
        <v>447</v>
      </c>
      <c r="B88" s="640"/>
      <c r="C88" s="640"/>
      <c r="D88" s="640"/>
      <c r="E88" s="640"/>
      <c r="F88" s="640"/>
    </row>
    <row r="89" spans="1:16" ht="26.65" customHeight="1">
      <c r="A89" s="622" t="s">
        <v>448</v>
      </c>
      <c r="B89" s="622"/>
      <c r="C89" s="622"/>
      <c r="D89" s="622"/>
      <c r="E89" s="622"/>
      <c r="F89" s="622"/>
    </row>
    <row r="90" spans="1:16" ht="14.65" customHeight="1">
      <c r="A90" s="641" t="s">
        <v>449</v>
      </c>
      <c r="B90" s="641"/>
      <c r="C90" s="641"/>
      <c r="D90" s="641"/>
      <c r="E90" s="641"/>
      <c r="F90" s="641"/>
      <c r="G90" s="73"/>
    </row>
    <row r="91" spans="1:16" ht="14.65" customHeight="1">
      <c r="A91" s="641" t="s">
        <v>450</v>
      </c>
      <c r="B91" s="641"/>
      <c r="C91" s="641"/>
      <c r="D91" s="641"/>
      <c r="E91" s="641"/>
      <c r="F91" s="641"/>
      <c r="G91" s="73"/>
    </row>
    <row r="92" spans="1:16" ht="14.65" customHeight="1">
      <c r="A92" s="124"/>
      <c r="B92" s="124"/>
      <c r="C92" s="124"/>
      <c r="D92" s="124"/>
      <c r="E92" s="124"/>
      <c r="F92" s="124"/>
      <c r="G92" s="124"/>
    </row>
    <row r="93" spans="1:16" ht="17.25">
      <c r="A93" s="619" t="s">
        <v>451</v>
      </c>
      <c r="B93" s="619"/>
      <c r="C93" s="619"/>
      <c r="D93" s="619"/>
      <c r="E93" s="619"/>
      <c r="F93" s="619"/>
      <c r="G93" s="619"/>
    </row>
    <row r="94" spans="1:16">
      <c r="A94" s="204" t="s">
        <v>452</v>
      </c>
      <c r="B94" s="204"/>
      <c r="C94" s="204">
        <v>2020</v>
      </c>
      <c r="D94" s="204">
        <v>2019</v>
      </c>
      <c r="E94" s="203">
        <v>2018</v>
      </c>
      <c r="F94" s="203">
        <v>2017</v>
      </c>
      <c r="G94" s="204">
        <v>2016</v>
      </c>
    </row>
    <row r="95" spans="1:16" ht="15.4" customHeight="1">
      <c r="A95" s="644" t="s">
        <v>453</v>
      </c>
      <c r="B95" s="307" t="s">
        <v>454</v>
      </c>
      <c r="C95" s="284">
        <v>9958</v>
      </c>
      <c r="D95" s="284">
        <v>4487</v>
      </c>
      <c r="E95" s="284">
        <v>3223</v>
      </c>
      <c r="F95" s="217">
        <v>3331</v>
      </c>
      <c r="G95" s="284">
        <v>6248</v>
      </c>
    </row>
    <row r="96" spans="1:16" ht="15.4" customHeight="1">
      <c r="A96" s="644"/>
      <c r="B96" s="307" t="s">
        <v>455</v>
      </c>
      <c r="C96" s="284">
        <v>50034</v>
      </c>
      <c r="D96" s="284">
        <v>31262</v>
      </c>
      <c r="E96" s="284">
        <v>36545</v>
      </c>
      <c r="F96" s="217">
        <v>36419</v>
      </c>
      <c r="G96" s="284">
        <v>39799</v>
      </c>
    </row>
    <row r="97" spans="1:11" ht="15.4" customHeight="1">
      <c r="A97" s="644"/>
      <c r="B97" s="308" t="s">
        <v>456</v>
      </c>
      <c r="C97" s="284">
        <v>16463</v>
      </c>
      <c r="D97" s="284">
        <v>21032</v>
      </c>
      <c r="E97" s="284">
        <v>18696</v>
      </c>
      <c r="F97" s="217">
        <v>18762</v>
      </c>
      <c r="G97" s="284">
        <v>14014</v>
      </c>
    </row>
    <row r="98" spans="1:11">
      <c r="A98" s="644"/>
      <c r="B98" s="407" t="s">
        <v>457</v>
      </c>
      <c r="C98" s="408">
        <v>76454</v>
      </c>
      <c r="D98" s="408">
        <v>56782</v>
      </c>
      <c r="E98" s="408">
        <f>SUM(E95:E97)</f>
        <v>58464</v>
      </c>
      <c r="F98" s="396">
        <v>58513</v>
      </c>
      <c r="G98" s="408">
        <v>60061</v>
      </c>
      <c r="K98" s="67"/>
    </row>
    <row r="99" spans="1:11">
      <c r="A99" s="644" t="s">
        <v>458</v>
      </c>
      <c r="B99" s="307" t="s">
        <v>454</v>
      </c>
      <c r="C99" s="284">
        <v>11721</v>
      </c>
      <c r="D99" s="284">
        <v>14128</v>
      </c>
      <c r="E99" s="284">
        <v>14324</v>
      </c>
      <c r="F99" s="217">
        <v>9596</v>
      </c>
      <c r="G99" s="284">
        <v>5195</v>
      </c>
      <c r="K99" s="67"/>
    </row>
    <row r="100" spans="1:11">
      <c r="A100" s="644"/>
      <c r="B100" s="307" t="s">
        <v>455</v>
      </c>
      <c r="C100" s="284">
        <v>35133</v>
      </c>
      <c r="D100" s="284">
        <v>31262</v>
      </c>
      <c r="E100" s="284">
        <v>36545</v>
      </c>
      <c r="F100" s="217">
        <v>36419</v>
      </c>
      <c r="G100" s="284">
        <v>34409</v>
      </c>
      <c r="K100" s="67"/>
    </row>
    <row r="101" spans="1:11" ht="14.65" customHeight="1">
      <c r="A101" s="644"/>
      <c r="B101" s="308" t="s">
        <v>456</v>
      </c>
      <c r="C101" s="284">
        <v>11120</v>
      </c>
      <c r="D101" s="284">
        <v>12484</v>
      </c>
      <c r="E101" s="284">
        <v>14713</v>
      </c>
      <c r="F101" s="217">
        <v>16065</v>
      </c>
      <c r="G101" s="284">
        <v>14352</v>
      </c>
    </row>
    <row r="102" spans="1:11">
      <c r="A102" s="644"/>
      <c r="B102" s="407" t="s">
        <v>459</v>
      </c>
      <c r="C102" s="408">
        <v>57973</v>
      </c>
      <c r="D102" s="408">
        <v>57873</v>
      </c>
      <c r="E102" s="408">
        <f>SUM(E99:E101)</f>
        <v>65582</v>
      </c>
      <c r="F102" s="396">
        <v>62080</v>
      </c>
      <c r="G102" s="408">
        <v>53956</v>
      </c>
    </row>
    <row r="103" spans="1:11" ht="14.65" customHeight="1">
      <c r="A103" s="648" t="s">
        <v>460</v>
      </c>
      <c r="B103" s="649"/>
      <c r="C103" s="408">
        <v>134428</v>
      </c>
      <c r="D103" s="408">
        <v>114655</v>
      </c>
      <c r="E103" s="408">
        <f>E98+E102</f>
        <v>124046</v>
      </c>
      <c r="F103" s="396">
        <f>F98+F102</f>
        <v>120593</v>
      </c>
      <c r="G103" s="408">
        <v>114017</v>
      </c>
    </row>
    <row r="104" spans="1:11" ht="30" customHeight="1">
      <c r="A104" s="622" t="s">
        <v>461</v>
      </c>
      <c r="B104" s="622"/>
      <c r="C104" s="622"/>
      <c r="D104" s="622"/>
      <c r="E104" s="622"/>
      <c r="F104" s="622"/>
      <c r="G104" s="622"/>
    </row>
    <row r="105" spans="1:11" ht="10.15" customHeight="1">
      <c r="A105" s="622" t="s">
        <v>231</v>
      </c>
      <c r="B105" s="622"/>
      <c r="C105" s="622"/>
      <c r="D105" s="622"/>
      <c r="E105" s="622"/>
      <c r="F105" s="622"/>
      <c r="G105" s="622"/>
    </row>
    <row r="106" spans="1:11">
      <c r="A106" s="640" t="s">
        <v>462</v>
      </c>
      <c r="B106" s="640"/>
      <c r="C106" s="640"/>
      <c r="D106" s="640"/>
      <c r="E106" s="640"/>
      <c r="F106" s="640"/>
      <c r="G106" s="640"/>
    </row>
    <row r="107" spans="1:11">
      <c r="A107" s="640" t="s">
        <v>463</v>
      </c>
      <c r="B107" s="640"/>
      <c r="C107" s="640"/>
      <c r="D107" s="640"/>
      <c r="E107" s="640"/>
      <c r="F107" s="640"/>
      <c r="G107" s="640"/>
    </row>
    <row r="108" spans="1:11">
      <c r="H108" s="33"/>
    </row>
    <row r="109" spans="1:11" ht="17.25">
      <c r="A109" s="619" t="s">
        <v>464</v>
      </c>
      <c r="B109" s="619"/>
      <c r="C109" s="619"/>
      <c r="D109" s="619"/>
      <c r="E109" s="619"/>
      <c r="F109" s="619"/>
      <c r="G109" s="619"/>
      <c r="H109" s="33"/>
    </row>
    <row r="110" spans="1:11" ht="16.149999999999999" customHeight="1">
      <c r="A110" s="316"/>
      <c r="B110" s="178">
        <v>2022</v>
      </c>
      <c r="C110" s="178">
        <v>2021</v>
      </c>
      <c r="D110" s="179">
        <v>2020</v>
      </c>
      <c r="E110" s="179" t="s">
        <v>465</v>
      </c>
      <c r="F110" s="317" t="s">
        <v>466</v>
      </c>
      <c r="G110" s="317">
        <v>2017</v>
      </c>
      <c r="H110" s="31"/>
    </row>
    <row r="111" spans="1:11" ht="25.5">
      <c r="A111" s="186" t="s">
        <v>467</v>
      </c>
      <c r="B111" s="285">
        <v>29032</v>
      </c>
      <c r="C111" s="285">
        <v>35541</v>
      </c>
      <c r="D111" s="285">
        <v>35133</v>
      </c>
      <c r="E111" s="285">
        <v>31262</v>
      </c>
      <c r="F111" s="216">
        <v>36057</v>
      </c>
      <c r="G111" s="233" t="s">
        <v>160</v>
      </c>
    </row>
    <row r="112" spans="1:11" ht="25.5">
      <c r="A112" s="186" t="s">
        <v>468</v>
      </c>
      <c r="B112" s="285">
        <v>3663</v>
      </c>
      <c r="C112" s="285">
        <v>5130</v>
      </c>
      <c r="D112" s="285">
        <v>7995</v>
      </c>
      <c r="E112" s="285">
        <v>8983</v>
      </c>
      <c r="F112" s="216">
        <v>10694</v>
      </c>
      <c r="G112" s="233" t="s">
        <v>160</v>
      </c>
    </row>
    <row r="113" spans="1:7">
      <c r="A113" s="228" t="s">
        <v>469</v>
      </c>
      <c r="B113" s="225">
        <f>ROUND(32695,-2)</f>
        <v>32700</v>
      </c>
      <c r="C113" s="285">
        <f>ROUND(40671,-2)</f>
        <v>40700</v>
      </c>
      <c r="D113" s="285">
        <v>43100</v>
      </c>
      <c r="E113" s="285">
        <v>40200</v>
      </c>
      <c r="F113" s="216">
        <v>46800</v>
      </c>
      <c r="G113" s="216">
        <v>46900</v>
      </c>
    </row>
    <row r="114" spans="1:7" ht="14.65" customHeight="1">
      <c r="A114" s="622" t="s">
        <v>470</v>
      </c>
      <c r="B114" s="622"/>
      <c r="C114" s="622"/>
      <c r="D114" s="622"/>
      <c r="E114" s="622"/>
      <c r="F114" s="622"/>
      <c r="G114" s="622"/>
    </row>
    <row r="115" spans="1:7" ht="14.65" customHeight="1">
      <c r="A115" s="641" t="s">
        <v>471</v>
      </c>
      <c r="B115" s="641"/>
      <c r="C115" s="641"/>
      <c r="D115" s="641"/>
      <c r="E115" s="641"/>
      <c r="F115" s="641"/>
      <c r="G115" s="641"/>
    </row>
    <row r="117" spans="1:7">
      <c r="C117" s="127"/>
    </row>
    <row r="118" spans="1:7">
      <c r="B118" s="127"/>
    </row>
    <row r="124" spans="1:7" ht="15.6" customHeight="1"/>
    <row r="129" ht="15.6" customHeight="1"/>
    <row r="138" ht="15.6" customHeight="1"/>
    <row r="144" ht="15.6" customHeight="1"/>
  </sheetData>
  <sheetProtection algorithmName="SHA-512" hashValue="OXfzdiGzk0iabLYa/ilNQWt79uqCXcse39RHH7VBbEevMXqiI5R1CoHqeWH1THvHSlMSsxiU8aRrWRybFN9o0w==" saltValue="zk+wpW5/RMDp8tFrZF6fRw==" spinCount="100000" sheet="1" objects="1" scenarios="1"/>
  <mergeCells count="54">
    <mergeCell ref="A107:G107"/>
    <mergeCell ref="A103:B103"/>
    <mergeCell ref="A11:G11"/>
    <mergeCell ref="A52:F52"/>
    <mergeCell ref="K84:P84"/>
    <mergeCell ref="A89:F89"/>
    <mergeCell ref="A19:G19"/>
    <mergeCell ref="A18:G18"/>
    <mergeCell ref="A56:D56"/>
    <mergeCell ref="A66:F66"/>
    <mergeCell ref="A21:D21"/>
    <mergeCell ref="B33:B36"/>
    <mergeCell ref="A31:F31"/>
    <mergeCell ref="B32:C32"/>
    <mergeCell ref="A33:A41"/>
    <mergeCell ref="A90:F90"/>
    <mergeCell ref="A91:F91"/>
    <mergeCell ref="B37:B41"/>
    <mergeCell ref="A42:A50"/>
    <mergeCell ref="B42:B45"/>
    <mergeCell ref="B46:B50"/>
    <mergeCell ref="A62:D62"/>
    <mergeCell ref="A115:G115"/>
    <mergeCell ref="A26:D26"/>
    <mergeCell ref="A27:D27"/>
    <mergeCell ref="A28:D28"/>
    <mergeCell ref="A29:D29"/>
    <mergeCell ref="A63:D63"/>
    <mergeCell ref="A64:D64"/>
    <mergeCell ref="A86:F86"/>
    <mergeCell ref="A87:F87"/>
    <mergeCell ref="A88:F88"/>
    <mergeCell ref="A51:F51"/>
    <mergeCell ref="A53:F53"/>
    <mergeCell ref="A54:F54"/>
    <mergeCell ref="A61:D61"/>
    <mergeCell ref="A93:G93"/>
    <mergeCell ref="A109:G109"/>
    <mergeCell ref="A7:G7"/>
    <mergeCell ref="A9:G9"/>
    <mergeCell ref="A114:G114"/>
    <mergeCell ref="A17:G17"/>
    <mergeCell ref="B72:B76"/>
    <mergeCell ref="A77:A85"/>
    <mergeCell ref="B77:B80"/>
    <mergeCell ref="B81:B85"/>
    <mergeCell ref="A95:A98"/>
    <mergeCell ref="A99:A102"/>
    <mergeCell ref="A104:G104"/>
    <mergeCell ref="A105:G105"/>
    <mergeCell ref="A106:G106"/>
    <mergeCell ref="B67:C67"/>
    <mergeCell ref="B68:B71"/>
    <mergeCell ref="A68:A76"/>
  </mergeCells>
  <pageMargins left="0.7" right="0.7" top="0.75" bottom="0.75" header="0.3" footer="0.3"/>
  <pageSetup orientation="portrait" r:id="rId1"/>
  <ignoredErrors>
    <ignoredError sqref="E98"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6A3DC-BE40-48DA-BCEA-E3777EDDE66D}">
  <sheetPr>
    <tabColor rgb="FF93E3FF"/>
  </sheetPr>
  <dimension ref="A1:Q1000"/>
  <sheetViews>
    <sheetView showGridLines="0" workbookViewId="0">
      <pane xSplit="3" ySplit="13" topLeftCell="D14" activePane="bottomRight" state="frozen"/>
      <selection pane="topRight" activeCell="D1" sqref="D1"/>
      <selection pane="bottomLeft" activeCell="A14" sqref="A14"/>
      <selection pane="bottomRight"/>
    </sheetView>
  </sheetViews>
  <sheetFormatPr baseColWidth="10" defaultColWidth="14.42578125" defaultRowHeight="15" customHeight="1"/>
  <cols>
    <col min="1" max="1" width="8.42578125" customWidth="1"/>
    <col min="2" max="2" width="23.5703125" customWidth="1"/>
    <col min="3" max="3" width="25.28515625" customWidth="1"/>
    <col min="4" max="4" width="9.7109375" customWidth="1"/>
    <col min="5" max="5" width="14.7109375" customWidth="1"/>
    <col min="6" max="6" width="12.5703125" customWidth="1"/>
    <col min="7" max="7" width="13.42578125" customWidth="1"/>
    <col min="8" max="8" width="19.7109375" customWidth="1"/>
    <col min="9" max="9" width="17.28515625" customWidth="1"/>
    <col min="10" max="10" width="13" customWidth="1"/>
    <col min="11" max="11" width="15.28515625" customWidth="1"/>
    <col min="12" max="12" width="21.28515625" customWidth="1"/>
    <col min="13" max="13" width="18" customWidth="1"/>
    <col min="14" max="14" width="13.7109375" customWidth="1"/>
    <col min="15" max="15" width="9.140625" customWidth="1"/>
    <col min="16" max="16" width="38.42578125" customWidth="1"/>
    <col min="17" max="26" width="8.7109375" customWidth="1"/>
  </cols>
  <sheetData>
    <row r="1" spans="1:17" ht="14.25" customHeight="1">
      <c r="A1" s="566"/>
      <c r="K1" s="567"/>
    </row>
    <row r="2" spans="1:17" ht="14.25" customHeight="1">
      <c r="A2" s="566"/>
      <c r="H2" s="116"/>
      <c r="K2" s="567"/>
    </row>
    <row r="3" spans="1:17" ht="14.25" customHeight="1">
      <c r="A3" s="566"/>
      <c r="K3" s="567"/>
    </row>
    <row r="4" spans="1:17" ht="14.25" customHeight="1">
      <c r="A4" s="566"/>
      <c r="K4" s="567"/>
    </row>
    <row r="5" spans="1:17" ht="14.25" customHeight="1">
      <c r="A5" s="566"/>
      <c r="K5" s="567"/>
    </row>
    <row r="6" spans="1:17" ht="14.25" customHeight="1">
      <c r="A6" s="566"/>
      <c r="K6" s="567"/>
    </row>
    <row r="7" spans="1:17" ht="20.45" customHeight="1">
      <c r="A7" s="617" t="s">
        <v>0</v>
      </c>
      <c r="B7" s="650"/>
      <c r="C7" s="650"/>
      <c r="D7" s="650"/>
      <c r="E7" s="650"/>
      <c r="F7" s="650"/>
      <c r="G7" s="650"/>
      <c r="H7" s="650"/>
      <c r="I7" s="5"/>
      <c r="J7" s="5"/>
      <c r="K7" s="568"/>
      <c r="L7" s="5"/>
      <c r="M7" s="5"/>
      <c r="N7" s="5"/>
      <c r="O7" s="5"/>
      <c r="P7" s="5"/>
    </row>
    <row r="8" spans="1:17" ht="14.25" customHeight="1" thickBot="1">
      <c r="A8" s="569"/>
      <c r="B8" s="168"/>
      <c r="C8" s="168"/>
      <c r="D8" s="168"/>
      <c r="E8" s="168"/>
      <c r="F8" s="168"/>
      <c r="G8" s="168"/>
      <c r="H8" s="168"/>
      <c r="I8" s="168"/>
      <c r="J8" s="168"/>
      <c r="K8" s="570"/>
      <c r="L8" s="168"/>
      <c r="M8" s="168"/>
      <c r="N8" s="168"/>
      <c r="O8" s="168"/>
      <c r="P8" s="168"/>
    </row>
    <row r="9" spans="1:17" ht="19.149999999999999" customHeight="1" thickTop="1" thickBot="1">
      <c r="A9" s="610" t="s">
        <v>24</v>
      </c>
      <c r="B9" s="651"/>
      <c r="C9" s="651"/>
      <c r="D9" s="651"/>
      <c r="E9" s="651"/>
      <c r="F9" s="651"/>
      <c r="G9" s="651"/>
      <c r="H9" s="651"/>
      <c r="I9" s="651"/>
      <c r="J9" s="651"/>
      <c r="K9" s="651"/>
      <c r="L9" s="651"/>
      <c r="M9" s="651"/>
      <c r="N9" s="651"/>
      <c r="O9" s="651"/>
      <c r="P9" s="651"/>
    </row>
    <row r="10" spans="1:17" ht="18" customHeight="1" thickTop="1">
      <c r="A10" s="571"/>
      <c r="B10" s="572"/>
      <c r="C10" s="572"/>
      <c r="D10" s="573"/>
      <c r="E10" s="573"/>
      <c r="F10" s="573"/>
      <c r="G10" s="573"/>
      <c r="H10" s="573"/>
      <c r="K10" s="567"/>
    </row>
    <row r="11" spans="1:17" ht="14.25" customHeight="1">
      <c r="A11" s="619" t="s">
        <v>1616</v>
      </c>
      <c r="B11" s="650"/>
      <c r="C11" s="650"/>
      <c r="D11" s="650"/>
      <c r="E11" s="650"/>
      <c r="F11" s="650"/>
      <c r="G11" s="650"/>
      <c r="H11" s="650"/>
      <c r="K11" s="567"/>
    </row>
    <row r="12" spans="1:17" ht="25.5" customHeight="1">
      <c r="A12" s="574"/>
      <c r="B12" s="505"/>
      <c r="C12" s="3"/>
      <c r="D12" s="82"/>
      <c r="E12" s="30"/>
      <c r="F12" s="30"/>
      <c r="G12" s="30"/>
      <c r="H12" s="30"/>
      <c r="K12" s="567"/>
    </row>
    <row r="13" spans="1:17" ht="54.75" customHeight="1">
      <c r="A13" s="575" t="s">
        <v>472</v>
      </c>
      <c r="B13" s="575" t="s">
        <v>1617</v>
      </c>
      <c r="C13" s="576" t="s">
        <v>1618</v>
      </c>
      <c r="D13" s="576" t="s">
        <v>247</v>
      </c>
      <c r="E13" s="577" t="s">
        <v>1619</v>
      </c>
      <c r="F13" s="577" t="s">
        <v>1620</v>
      </c>
      <c r="G13" s="577" t="s">
        <v>473</v>
      </c>
      <c r="H13" s="577" t="s">
        <v>1621</v>
      </c>
      <c r="I13" s="577" t="s">
        <v>1622</v>
      </c>
      <c r="J13" s="577" t="s">
        <v>1623</v>
      </c>
      <c r="K13" s="577" t="s">
        <v>1624</v>
      </c>
      <c r="L13" s="577" t="s">
        <v>474</v>
      </c>
      <c r="M13" s="577" t="s">
        <v>1625</v>
      </c>
      <c r="N13" s="577" t="s">
        <v>475</v>
      </c>
      <c r="O13" s="577" t="s">
        <v>476</v>
      </c>
      <c r="P13" s="577" t="s">
        <v>477</v>
      </c>
      <c r="Q13" s="577" t="s">
        <v>478</v>
      </c>
    </row>
    <row r="14" spans="1:17" ht="15" customHeight="1">
      <c r="A14" s="578" t="s">
        <v>1626</v>
      </c>
      <c r="B14" s="579"/>
      <c r="C14" s="579"/>
      <c r="D14" s="579"/>
      <c r="E14" s="579"/>
      <c r="F14" s="579"/>
      <c r="G14" s="579"/>
      <c r="H14" s="579"/>
      <c r="I14" s="579"/>
      <c r="J14" s="579"/>
      <c r="K14" s="579"/>
      <c r="L14" s="579"/>
      <c r="M14" s="579"/>
      <c r="N14" s="579"/>
      <c r="O14" s="579"/>
      <c r="P14" s="579"/>
      <c r="Q14" s="579"/>
    </row>
    <row r="15" spans="1:17" ht="14.25" customHeight="1">
      <c r="A15" s="580">
        <v>1</v>
      </c>
      <c r="B15" s="581" t="s">
        <v>161</v>
      </c>
      <c r="C15" s="581" t="s">
        <v>1627</v>
      </c>
      <c r="D15" s="581" t="s">
        <v>271</v>
      </c>
      <c r="E15" s="581" t="s">
        <v>1628</v>
      </c>
      <c r="F15" s="581" t="s">
        <v>1626</v>
      </c>
      <c r="G15" s="581" t="s">
        <v>1629</v>
      </c>
      <c r="H15" s="581">
        <v>416</v>
      </c>
      <c r="I15" s="581">
        <v>199.4</v>
      </c>
      <c r="J15" s="581">
        <v>109.5</v>
      </c>
      <c r="K15" s="582" t="s">
        <v>1630</v>
      </c>
      <c r="L15" s="581">
        <v>2022</v>
      </c>
      <c r="M15" s="583">
        <v>44948</v>
      </c>
      <c r="N15" s="580">
        <v>2018</v>
      </c>
      <c r="O15" s="581" t="s">
        <v>1631</v>
      </c>
      <c r="P15" s="581" t="s">
        <v>301</v>
      </c>
      <c r="Q15" s="581" t="s">
        <v>1632</v>
      </c>
    </row>
    <row r="16" spans="1:17" ht="14.25" customHeight="1">
      <c r="A16" s="580">
        <v>10</v>
      </c>
      <c r="B16" s="581" t="s">
        <v>1633</v>
      </c>
      <c r="C16" s="581" t="s">
        <v>1634</v>
      </c>
      <c r="D16" s="581" t="s">
        <v>256</v>
      </c>
      <c r="E16" s="581" t="s">
        <v>1628</v>
      </c>
      <c r="F16" s="581" t="s">
        <v>1635</v>
      </c>
      <c r="G16" s="581" t="s">
        <v>1636</v>
      </c>
      <c r="H16" s="581">
        <v>0.31</v>
      </c>
      <c r="I16" s="581">
        <v>0.31</v>
      </c>
      <c r="J16" s="581">
        <v>4</v>
      </c>
      <c r="K16" s="582" t="s">
        <v>1637</v>
      </c>
      <c r="L16" s="581">
        <v>2022</v>
      </c>
      <c r="M16" s="583">
        <v>45130</v>
      </c>
      <c r="N16" s="580">
        <v>2018</v>
      </c>
      <c r="O16" s="581" t="s">
        <v>1631</v>
      </c>
      <c r="P16" s="581" t="s">
        <v>301</v>
      </c>
      <c r="Q16" s="581" t="s">
        <v>1638</v>
      </c>
    </row>
    <row r="17" spans="1:17" ht="14.25" customHeight="1">
      <c r="A17" s="580">
        <v>11</v>
      </c>
      <c r="B17" s="581" t="s">
        <v>1633</v>
      </c>
      <c r="C17" s="581" t="s">
        <v>1639</v>
      </c>
      <c r="D17" s="581" t="s">
        <v>256</v>
      </c>
      <c r="E17" s="581" t="s">
        <v>1628</v>
      </c>
      <c r="F17" s="581" t="s">
        <v>1635</v>
      </c>
      <c r="G17" s="581" t="s">
        <v>1636</v>
      </c>
      <c r="H17" s="581">
        <v>0.49</v>
      </c>
      <c r="I17" s="581">
        <v>0.49</v>
      </c>
      <c r="J17" s="581">
        <v>4</v>
      </c>
      <c r="K17" s="582" t="s">
        <v>1637</v>
      </c>
      <c r="L17" s="581">
        <v>2022</v>
      </c>
      <c r="M17" s="583">
        <v>45130</v>
      </c>
      <c r="N17" s="580">
        <v>2018</v>
      </c>
      <c r="O17" s="581" t="s">
        <v>1638</v>
      </c>
      <c r="P17" s="581" t="s">
        <v>1640</v>
      </c>
      <c r="Q17" s="581" t="s">
        <v>1638</v>
      </c>
    </row>
    <row r="18" spans="1:17" ht="14.25" customHeight="1">
      <c r="A18" s="580">
        <v>12</v>
      </c>
      <c r="B18" s="581" t="s">
        <v>1633</v>
      </c>
      <c r="C18" s="581" t="s">
        <v>1641</v>
      </c>
      <c r="D18" s="581" t="s">
        <v>256</v>
      </c>
      <c r="E18" s="581" t="s">
        <v>1628</v>
      </c>
      <c r="F18" s="581" t="s">
        <v>1635</v>
      </c>
      <c r="G18" s="581" t="s">
        <v>1636</v>
      </c>
      <c r="H18" s="581">
        <v>7.92</v>
      </c>
      <c r="I18" s="581">
        <v>7.92</v>
      </c>
      <c r="J18" s="581">
        <v>19.5</v>
      </c>
      <c r="K18" s="582" t="s">
        <v>1642</v>
      </c>
      <c r="L18" s="581">
        <v>2022</v>
      </c>
      <c r="M18" s="583">
        <v>45130</v>
      </c>
      <c r="N18" s="580">
        <v>2018</v>
      </c>
      <c r="O18" s="581" t="s">
        <v>1638</v>
      </c>
      <c r="P18" s="581" t="s">
        <v>1640</v>
      </c>
      <c r="Q18" s="581" t="s">
        <v>1638</v>
      </c>
    </row>
    <row r="19" spans="1:17" ht="14.25" customHeight="1">
      <c r="A19" s="580">
        <v>13</v>
      </c>
      <c r="B19" s="581" t="s">
        <v>1633</v>
      </c>
      <c r="C19" s="581" t="s">
        <v>1643</v>
      </c>
      <c r="D19" s="581" t="s">
        <v>256</v>
      </c>
      <c r="E19" s="581" t="s">
        <v>1628</v>
      </c>
      <c r="F19" s="581" t="s">
        <v>1626</v>
      </c>
      <c r="G19" s="581" t="s">
        <v>1636</v>
      </c>
      <c r="H19" s="581">
        <v>38.049999999999997</v>
      </c>
      <c r="I19" s="581">
        <v>38.76</v>
      </c>
      <c r="J19" s="581">
        <v>57</v>
      </c>
      <c r="K19" s="582" t="s">
        <v>1644</v>
      </c>
      <c r="L19" s="581">
        <v>2022</v>
      </c>
      <c r="M19" s="583">
        <v>45130</v>
      </c>
      <c r="N19" s="580">
        <v>2018</v>
      </c>
      <c r="O19" s="581" t="s">
        <v>1631</v>
      </c>
      <c r="P19" s="581" t="s">
        <v>301</v>
      </c>
      <c r="Q19" s="581" t="s">
        <v>1638</v>
      </c>
    </row>
    <row r="20" spans="1:17" ht="14.25" customHeight="1">
      <c r="A20" s="580">
        <v>14</v>
      </c>
      <c r="B20" s="581" t="s">
        <v>1633</v>
      </c>
      <c r="C20" s="581" t="s">
        <v>1645</v>
      </c>
      <c r="D20" s="581" t="s">
        <v>256</v>
      </c>
      <c r="E20" s="581" t="s">
        <v>1628</v>
      </c>
      <c r="F20" s="581" t="s">
        <v>1626</v>
      </c>
      <c r="G20" s="581" t="s">
        <v>1636</v>
      </c>
      <c r="H20" s="581">
        <v>13.33</v>
      </c>
      <c r="I20" s="581">
        <v>21.66</v>
      </c>
      <c r="J20" s="581">
        <v>80</v>
      </c>
      <c r="K20" s="582" t="s">
        <v>1637</v>
      </c>
      <c r="L20" s="581">
        <v>2022</v>
      </c>
      <c r="M20" s="583">
        <v>45130</v>
      </c>
      <c r="N20" s="580">
        <v>2018</v>
      </c>
      <c r="O20" s="581" t="s">
        <v>1631</v>
      </c>
      <c r="P20" s="581" t="s">
        <v>301</v>
      </c>
      <c r="Q20" s="581" t="s">
        <v>1638</v>
      </c>
    </row>
    <row r="21" spans="1:17" ht="14.25" customHeight="1">
      <c r="A21" s="580">
        <v>15</v>
      </c>
      <c r="B21" s="581" t="s">
        <v>1646</v>
      </c>
      <c r="C21" s="581" t="s">
        <v>1647</v>
      </c>
      <c r="D21" s="581" t="s">
        <v>256</v>
      </c>
      <c r="E21" s="581" t="s">
        <v>1628</v>
      </c>
      <c r="F21" s="581" t="s">
        <v>1635</v>
      </c>
      <c r="G21" s="581" t="s">
        <v>1648</v>
      </c>
      <c r="H21" s="581">
        <v>3.8</v>
      </c>
      <c r="I21" s="581">
        <v>3.45</v>
      </c>
      <c r="J21" s="581">
        <v>6</v>
      </c>
      <c r="K21" s="582" t="s">
        <v>1637</v>
      </c>
      <c r="L21" s="581">
        <v>2022</v>
      </c>
      <c r="M21" s="583">
        <v>45130</v>
      </c>
      <c r="N21" s="580">
        <v>2019</v>
      </c>
      <c r="O21" s="581" t="s">
        <v>1631</v>
      </c>
      <c r="P21" s="581" t="s">
        <v>301</v>
      </c>
      <c r="Q21" s="581" t="s">
        <v>1638</v>
      </c>
    </row>
    <row r="22" spans="1:17" ht="14.25" customHeight="1">
      <c r="A22" s="580">
        <v>16</v>
      </c>
      <c r="B22" s="581" t="s">
        <v>1646</v>
      </c>
      <c r="C22" s="581" t="s">
        <v>1649</v>
      </c>
      <c r="D22" s="581" t="s">
        <v>256</v>
      </c>
      <c r="E22" s="581" t="s">
        <v>1628</v>
      </c>
      <c r="F22" s="581" t="s">
        <v>1635</v>
      </c>
      <c r="G22" s="581" t="s">
        <v>1629</v>
      </c>
      <c r="H22" s="581">
        <v>3.89</v>
      </c>
      <c r="I22" s="581">
        <v>3.89</v>
      </c>
      <c r="J22" s="581">
        <v>24</v>
      </c>
      <c r="K22" s="582" t="s">
        <v>1644</v>
      </c>
      <c r="L22" s="581">
        <v>2022</v>
      </c>
      <c r="M22" s="583">
        <v>45130</v>
      </c>
      <c r="N22" s="580">
        <v>2019</v>
      </c>
      <c r="O22" s="581" t="s">
        <v>1638</v>
      </c>
      <c r="P22" s="581" t="s">
        <v>1640</v>
      </c>
      <c r="Q22" s="581" t="s">
        <v>1638</v>
      </c>
    </row>
    <row r="23" spans="1:17" ht="14.25" customHeight="1">
      <c r="A23" s="580">
        <v>17</v>
      </c>
      <c r="B23" s="581" t="s">
        <v>1646</v>
      </c>
      <c r="C23" s="581" t="s">
        <v>1650</v>
      </c>
      <c r="D23" s="581" t="s">
        <v>256</v>
      </c>
      <c r="E23" s="581" t="s">
        <v>1628</v>
      </c>
      <c r="F23" s="581" t="s">
        <v>1626</v>
      </c>
      <c r="G23" s="581" t="s">
        <v>1629</v>
      </c>
      <c r="H23" s="581">
        <v>12</v>
      </c>
      <c r="I23" s="581">
        <v>11.2</v>
      </c>
      <c r="J23" s="581">
        <v>35</v>
      </c>
      <c r="K23" s="582" t="s">
        <v>1644</v>
      </c>
      <c r="L23" s="581">
        <v>2022</v>
      </c>
      <c r="M23" s="583">
        <v>45130</v>
      </c>
      <c r="N23" s="580">
        <v>2019</v>
      </c>
      <c r="O23" s="581" t="s">
        <v>1638</v>
      </c>
      <c r="P23" s="581" t="s">
        <v>1640</v>
      </c>
      <c r="Q23" s="581" t="s">
        <v>1638</v>
      </c>
    </row>
    <row r="24" spans="1:17" ht="14.25" customHeight="1">
      <c r="A24" s="580">
        <v>18</v>
      </c>
      <c r="B24" s="581" t="s">
        <v>1646</v>
      </c>
      <c r="C24" s="581" t="s">
        <v>1651</v>
      </c>
      <c r="D24" s="581" t="s">
        <v>256</v>
      </c>
      <c r="E24" s="581" t="s">
        <v>1628</v>
      </c>
      <c r="F24" s="581" t="s">
        <v>1626</v>
      </c>
      <c r="G24" s="581" t="s">
        <v>1652</v>
      </c>
      <c r="H24" s="581">
        <v>5.2</v>
      </c>
      <c r="I24" s="581">
        <v>2.95</v>
      </c>
      <c r="J24" s="581">
        <v>90</v>
      </c>
      <c r="K24" s="582" t="s">
        <v>1637</v>
      </c>
      <c r="L24" s="581">
        <v>2022</v>
      </c>
      <c r="M24" s="583">
        <v>45130</v>
      </c>
      <c r="N24" s="580" t="s">
        <v>1653</v>
      </c>
      <c r="O24" s="581" t="s">
        <v>1631</v>
      </c>
      <c r="P24" s="581" t="s">
        <v>301</v>
      </c>
      <c r="Q24" s="581" t="s">
        <v>1638</v>
      </c>
    </row>
    <row r="25" spans="1:17" ht="14.25" customHeight="1">
      <c r="A25" s="580">
        <v>19</v>
      </c>
      <c r="B25" s="581" t="s">
        <v>1646</v>
      </c>
      <c r="C25" s="581" t="s">
        <v>1654</v>
      </c>
      <c r="D25" s="581" t="s">
        <v>256</v>
      </c>
      <c r="E25" s="581" t="s">
        <v>1628</v>
      </c>
      <c r="F25" s="581" t="s">
        <v>1626</v>
      </c>
      <c r="G25" s="581" t="s">
        <v>1655</v>
      </c>
      <c r="H25" s="581">
        <v>20.2</v>
      </c>
      <c r="I25" s="581">
        <v>10.7</v>
      </c>
      <c r="J25" s="581" t="s">
        <v>301</v>
      </c>
      <c r="K25" s="582" t="s">
        <v>1642</v>
      </c>
      <c r="L25" s="581">
        <v>2022</v>
      </c>
      <c r="M25" s="583">
        <v>45130</v>
      </c>
      <c r="N25" s="580">
        <v>2022</v>
      </c>
      <c r="O25" s="581" t="s">
        <v>1638</v>
      </c>
      <c r="P25" s="581" t="s">
        <v>1640</v>
      </c>
      <c r="Q25" s="581" t="s">
        <v>1638</v>
      </c>
    </row>
    <row r="26" spans="1:17" ht="14.25" customHeight="1">
      <c r="A26" s="580">
        <v>20</v>
      </c>
      <c r="B26" s="581" t="s">
        <v>1656</v>
      </c>
      <c r="C26" s="581" t="s">
        <v>1657</v>
      </c>
      <c r="D26" s="581" t="s">
        <v>256</v>
      </c>
      <c r="E26" s="581" t="s">
        <v>1628</v>
      </c>
      <c r="F26" s="581" t="s">
        <v>1626</v>
      </c>
      <c r="G26" s="581" t="s">
        <v>1629</v>
      </c>
      <c r="H26" s="581">
        <v>28.9</v>
      </c>
      <c r="I26" s="581">
        <v>34.94</v>
      </c>
      <c r="J26" s="581">
        <v>50</v>
      </c>
      <c r="K26" s="582" t="s">
        <v>1642</v>
      </c>
      <c r="L26" s="581">
        <v>2022</v>
      </c>
      <c r="M26" s="583">
        <v>45130</v>
      </c>
      <c r="N26" s="580">
        <v>2022</v>
      </c>
      <c r="O26" s="581" t="s">
        <v>1631</v>
      </c>
      <c r="P26" s="581" t="s">
        <v>301</v>
      </c>
      <c r="Q26" s="581" t="s">
        <v>1638</v>
      </c>
    </row>
    <row r="27" spans="1:17" ht="14.25" customHeight="1">
      <c r="A27" s="580">
        <v>2</v>
      </c>
      <c r="B27" s="581" t="s">
        <v>182</v>
      </c>
      <c r="C27" s="581" t="s">
        <v>1658</v>
      </c>
      <c r="D27" s="581" t="s">
        <v>256</v>
      </c>
      <c r="E27" s="581" t="s">
        <v>1628</v>
      </c>
      <c r="F27" s="581" t="s">
        <v>1626</v>
      </c>
      <c r="G27" s="581" t="s">
        <v>1648</v>
      </c>
      <c r="H27" s="581">
        <v>22</v>
      </c>
      <c r="I27" s="581">
        <v>17</v>
      </c>
      <c r="J27" s="581" t="s">
        <v>301</v>
      </c>
      <c r="K27" s="582" t="s">
        <v>1637</v>
      </c>
      <c r="L27" s="581">
        <v>2022</v>
      </c>
      <c r="M27" s="583">
        <v>45039</v>
      </c>
      <c r="N27" s="580">
        <v>2022</v>
      </c>
      <c r="O27" s="581" t="s">
        <v>1631</v>
      </c>
      <c r="P27" s="581" t="s">
        <v>301</v>
      </c>
      <c r="Q27" s="581" t="s">
        <v>1638</v>
      </c>
    </row>
    <row r="28" spans="1:17" ht="14.25" customHeight="1">
      <c r="A28" s="580">
        <v>3</v>
      </c>
      <c r="B28" s="581" t="s">
        <v>182</v>
      </c>
      <c r="C28" s="581" t="s">
        <v>1659</v>
      </c>
      <c r="D28" s="581" t="s">
        <v>256</v>
      </c>
      <c r="E28" s="581" t="s">
        <v>1628</v>
      </c>
      <c r="F28" s="581" t="s">
        <v>1626</v>
      </c>
      <c r="G28" s="581" t="s">
        <v>1648</v>
      </c>
      <c r="H28" s="581">
        <v>0.06</v>
      </c>
      <c r="I28" s="581">
        <v>0.04</v>
      </c>
      <c r="J28" s="581">
        <v>6</v>
      </c>
      <c r="K28" s="582" t="s">
        <v>1637</v>
      </c>
      <c r="L28" s="581">
        <v>2022</v>
      </c>
      <c r="M28" s="583">
        <v>45039</v>
      </c>
      <c r="N28" s="580">
        <v>2018</v>
      </c>
      <c r="O28" s="581" t="s">
        <v>1631</v>
      </c>
      <c r="P28" s="581" t="s">
        <v>301</v>
      </c>
      <c r="Q28" s="581" t="s">
        <v>1638</v>
      </c>
    </row>
    <row r="29" spans="1:17" ht="14.25" customHeight="1">
      <c r="A29" s="580">
        <v>4</v>
      </c>
      <c r="B29" s="581" t="s">
        <v>182</v>
      </c>
      <c r="C29" s="581" t="s">
        <v>1660</v>
      </c>
      <c r="D29" s="581" t="s">
        <v>256</v>
      </c>
      <c r="E29" s="581" t="s">
        <v>1628</v>
      </c>
      <c r="F29" s="581" t="s">
        <v>1635</v>
      </c>
      <c r="G29" s="581" t="s">
        <v>1661</v>
      </c>
      <c r="H29" s="581">
        <v>116</v>
      </c>
      <c r="I29" s="581">
        <v>116</v>
      </c>
      <c r="J29" s="581">
        <v>91</v>
      </c>
      <c r="K29" s="582" t="s">
        <v>1644</v>
      </c>
      <c r="L29" s="581">
        <v>2022</v>
      </c>
      <c r="M29" s="583">
        <v>45039</v>
      </c>
      <c r="N29" s="580">
        <v>2018</v>
      </c>
      <c r="O29" s="581" t="s">
        <v>1631</v>
      </c>
      <c r="P29" s="581" t="s">
        <v>301</v>
      </c>
      <c r="Q29" s="581" t="s">
        <v>1638</v>
      </c>
    </row>
    <row r="30" spans="1:17" ht="14.25" customHeight="1">
      <c r="A30" s="580">
        <v>5</v>
      </c>
      <c r="B30" s="581" t="s">
        <v>182</v>
      </c>
      <c r="C30" s="581" t="s">
        <v>1662</v>
      </c>
      <c r="D30" s="581" t="s">
        <v>256</v>
      </c>
      <c r="E30" s="581" t="s">
        <v>1628</v>
      </c>
      <c r="F30" s="581" t="s">
        <v>1635</v>
      </c>
      <c r="G30" s="581" t="s">
        <v>1648</v>
      </c>
      <c r="H30" s="581">
        <v>36</v>
      </c>
      <c r="I30" s="581">
        <v>27.6</v>
      </c>
      <c r="J30" s="581">
        <v>47</v>
      </c>
      <c r="K30" s="582" t="s">
        <v>1642</v>
      </c>
      <c r="L30" s="581">
        <v>2022</v>
      </c>
      <c r="M30" s="583">
        <v>45039</v>
      </c>
      <c r="N30" s="580">
        <v>2018</v>
      </c>
      <c r="O30" s="581" t="s">
        <v>1631</v>
      </c>
      <c r="P30" s="581" t="s">
        <v>301</v>
      </c>
      <c r="Q30" s="581" t="s">
        <v>1638</v>
      </c>
    </row>
    <row r="31" spans="1:17" ht="14.25" customHeight="1">
      <c r="A31" s="580">
        <v>6</v>
      </c>
      <c r="B31" s="581" t="s">
        <v>182</v>
      </c>
      <c r="C31" s="581" t="s">
        <v>1663</v>
      </c>
      <c r="D31" s="581" t="s">
        <v>256</v>
      </c>
      <c r="E31" s="581" t="s">
        <v>1628</v>
      </c>
      <c r="F31" s="581" t="s">
        <v>1626</v>
      </c>
      <c r="G31" s="581" t="s">
        <v>1648</v>
      </c>
      <c r="H31" s="581">
        <v>3400</v>
      </c>
      <c r="I31" s="581">
        <v>2890</v>
      </c>
      <c r="J31" s="581">
        <v>167</v>
      </c>
      <c r="K31" s="582" t="s">
        <v>1630</v>
      </c>
      <c r="L31" s="581">
        <v>2022</v>
      </c>
      <c r="M31" s="583">
        <v>45039</v>
      </c>
      <c r="N31" s="580">
        <v>2022</v>
      </c>
      <c r="O31" s="581" t="s">
        <v>1631</v>
      </c>
      <c r="P31" s="581" t="s">
        <v>301</v>
      </c>
      <c r="Q31" s="581" t="s">
        <v>1638</v>
      </c>
    </row>
    <row r="32" spans="1:17" ht="14.25" customHeight="1">
      <c r="A32" s="580">
        <v>7</v>
      </c>
      <c r="B32" s="581" t="s">
        <v>182</v>
      </c>
      <c r="C32" s="581" t="s">
        <v>1664</v>
      </c>
      <c r="D32" s="581" t="s">
        <v>256</v>
      </c>
      <c r="E32" s="581" t="s">
        <v>1628</v>
      </c>
      <c r="F32" s="581" t="s">
        <v>1635</v>
      </c>
      <c r="G32" s="581" t="s">
        <v>1665</v>
      </c>
      <c r="H32" s="581">
        <v>44</v>
      </c>
      <c r="I32" s="581">
        <v>44</v>
      </c>
      <c r="J32" s="581">
        <v>70</v>
      </c>
      <c r="K32" s="582" t="s">
        <v>1644</v>
      </c>
      <c r="L32" s="581">
        <v>2022</v>
      </c>
      <c r="M32" s="583">
        <v>45039</v>
      </c>
      <c r="N32" s="580">
        <v>2018</v>
      </c>
      <c r="O32" s="581" t="s">
        <v>1631</v>
      </c>
      <c r="P32" s="581" t="s">
        <v>301</v>
      </c>
      <c r="Q32" s="581" t="s">
        <v>1638</v>
      </c>
    </row>
    <row r="33" spans="1:17" ht="14.25" customHeight="1">
      <c r="A33" s="580">
        <v>21</v>
      </c>
      <c r="B33" s="581" t="s">
        <v>1666</v>
      </c>
      <c r="C33" s="581" t="s">
        <v>1667</v>
      </c>
      <c r="D33" s="581" t="s">
        <v>256</v>
      </c>
      <c r="E33" s="581" t="s">
        <v>1628</v>
      </c>
      <c r="F33" s="581" t="s">
        <v>1626</v>
      </c>
      <c r="G33" s="581" t="s">
        <v>1652</v>
      </c>
      <c r="H33" s="581">
        <v>0.2</v>
      </c>
      <c r="I33" s="581">
        <v>0.2</v>
      </c>
      <c r="J33" s="581">
        <v>30</v>
      </c>
      <c r="K33" s="582" t="s">
        <v>1668</v>
      </c>
      <c r="L33" s="581">
        <v>2022</v>
      </c>
      <c r="M33" s="583">
        <v>44980</v>
      </c>
      <c r="N33" s="580" t="s">
        <v>1653</v>
      </c>
      <c r="O33" s="581" t="s">
        <v>1669</v>
      </c>
      <c r="P33" s="581" t="s">
        <v>301</v>
      </c>
      <c r="Q33" s="581" t="s">
        <v>1638</v>
      </c>
    </row>
    <row r="34" spans="1:17" ht="14.25" customHeight="1">
      <c r="A34" s="580">
        <v>22</v>
      </c>
      <c r="B34" s="581" t="s">
        <v>1666</v>
      </c>
      <c r="C34" s="581" t="s">
        <v>1670</v>
      </c>
      <c r="D34" s="581" t="s">
        <v>256</v>
      </c>
      <c r="E34" s="581" t="s">
        <v>1628</v>
      </c>
      <c r="F34" s="581" t="s">
        <v>1626</v>
      </c>
      <c r="G34" s="581" t="s">
        <v>1652</v>
      </c>
      <c r="H34" s="581">
        <v>5.2999999999999999E-2</v>
      </c>
      <c r="I34" s="581">
        <v>0.03</v>
      </c>
      <c r="J34" s="581">
        <v>3</v>
      </c>
      <c r="K34" s="582" t="s">
        <v>1637</v>
      </c>
      <c r="L34" s="581">
        <v>2022</v>
      </c>
      <c r="M34" s="583">
        <v>44980</v>
      </c>
      <c r="N34" s="580" t="s">
        <v>1653</v>
      </c>
      <c r="O34" s="581" t="s">
        <v>1631</v>
      </c>
      <c r="P34" s="581" t="s">
        <v>301</v>
      </c>
      <c r="Q34" s="581" t="s">
        <v>1638</v>
      </c>
    </row>
    <row r="35" spans="1:17" ht="14.25" customHeight="1">
      <c r="A35" s="580">
        <v>8</v>
      </c>
      <c r="B35" s="581" t="s">
        <v>170</v>
      </c>
      <c r="C35" s="581" t="s">
        <v>1671</v>
      </c>
      <c r="D35" s="581" t="s">
        <v>271</v>
      </c>
      <c r="E35" s="581" t="s">
        <v>1628</v>
      </c>
      <c r="F35" s="581" t="s">
        <v>1626</v>
      </c>
      <c r="G35" s="581" t="s">
        <v>1648</v>
      </c>
      <c r="H35" s="581">
        <v>1240</v>
      </c>
      <c r="I35" s="581">
        <v>0</v>
      </c>
      <c r="J35" s="581">
        <v>120</v>
      </c>
      <c r="K35" s="582" t="s">
        <v>1630</v>
      </c>
      <c r="L35" s="581">
        <v>2022</v>
      </c>
      <c r="M35" s="583">
        <v>44948</v>
      </c>
      <c r="N35" s="580" t="s">
        <v>1672</v>
      </c>
      <c r="O35" s="581" t="s">
        <v>1631</v>
      </c>
      <c r="P35" s="581" t="s">
        <v>301</v>
      </c>
      <c r="Q35" s="581" t="s">
        <v>1638</v>
      </c>
    </row>
    <row r="36" spans="1:17" ht="14.25" customHeight="1">
      <c r="A36" s="580">
        <v>9</v>
      </c>
      <c r="B36" s="581" t="s">
        <v>1673</v>
      </c>
      <c r="C36" s="581" t="s">
        <v>1674</v>
      </c>
      <c r="D36" s="581" t="s">
        <v>737</v>
      </c>
      <c r="E36" s="581" t="s">
        <v>1628</v>
      </c>
      <c r="F36" s="581" t="s">
        <v>1626</v>
      </c>
      <c r="G36" s="581" t="s">
        <v>1675</v>
      </c>
      <c r="H36" s="581">
        <v>105</v>
      </c>
      <c r="I36" s="581">
        <v>69</v>
      </c>
      <c r="J36" s="581">
        <v>63</v>
      </c>
      <c r="K36" s="582" t="s">
        <v>1630</v>
      </c>
      <c r="L36" s="581">
        <v>2022</v>
      </c>
      <c r="M36" s="581">
        <v>2023</v>
      </c>
      <c r="N36" s="581">
        <v>2023</v>
      </c>
      <c r="O36" s="581" t="s">
        <v>1631</v>
      </c>
      <c r="P36" s="581" t="s">
        <v>301</v>
      </c>
      <c r="Q36" s="581" t="s">
        <v>1638</v>
      </c>
    </row>
    <row r="37" spans="1:17" ht="14.25" customHeight="1">
      <c r="A37" s="578" t="s">
        <v>1635</v>
      </c>
      <c r="B37" s="579"/>
      <c r="C37" s="579"/>
      <c r="D37" s="579"/>
      <c r="E37" s="579"/>
      <c r="F37" s="579"/>
      <c r="G37" s="579"/>
      <c r="H37" s="579"/>
      <c r="I37" s="579"/>
      <c r="J37" s="579"/>
      <c r="K37" s="579"/>
      <c r="L37" s="579"/>
      <c r="M37" s="579"/>
      <c r="N37" s="579"/>
      <c r="O37" s="579"/>
      <c r="P37" s="579"/>
      <c r="Q37" s="579"/>
    </row>
    <row r="38" spans="1:17" ht="14.25" customHeight="1">
      <c r="A38" s="580">
        <v>23</v>
      </c>
      <c r="B38" s="581" t="s">
        <v>1676</v>
      </c>
      <c r="C38" s="581" t="s">
        <v>1677</v>
      </c>
      <c r="D38" s="581" t="s">
        <v>256</v>
      </c>
      <c r="E38" s="581" t="s">
        <v>1628</v>
      </c>
      <c r="F38" s="581" t="s">
        <v>1635</v>
      </c>
      <c r="G38" s="581" t="s">
        <v>1629</v>
      </c>
      <c r="H38" s="580" t="s">
        <v>301</v>
      </c>
      <c r="I38" s="581">
        <v>1.58</v>
      </c>
      <c r="J38" s="581">
        <v>12</v>
      </c>
      <c r="K38" s="582" t="s">
        <v>1668</v>
      </c>
      <c r="L38" s="581">
        <v>2022</v>
      </c>
      <c r="M38" s="583">
        <v>44901</v>
      </c>
      <c r="N38" s="581">
        <v>2021</v>
      </c>
      <c r="O38" s="581" t="s">
        <v>1669</v>
      </c>
      <c r="P38" s="581" t="s">
        <v>301</v>
      </c>
      <c r="Q38" s="581" t="s">
        <v>1638</v>
      </c>
    </row>
    <row r="39" spans="1:17" ht="14.25" customHeight="1">
      <c r="A39" s="580">
        <v>25</v>
      </c>
      <c r="B39" s="581" t="s">
        <v>1678</v>
      </c>
      <c r="C39" s="581" t="s">
        <v>1679</v>
      </c>
      <c r="D39" s="581" t="s">
        <v>256</v>
      </c>
      <c r="E39" s="581" t="s">
        <v>1628</v>
      </c>
      <c r="F39" s="581" t="s">
        <v>1635</v>
      </c>
      <c r="G39" s="581" t="s">
        <v>1629</v>
      </c>
      <c r="H39" s="580" t="s">
        <v>301</v>
      </c>
      <c r="I39" s="581">
        <v>2.9</v>
      </c>
      <c r="J39" s="581">
        <v>38</v>
      </c>
      <c r="K39" s="582" t="s">
        <v>1642</v>
      </c>
      <c r="L39" s="581">
        <v>2022</v>
      </c>
      <c r="M39" s="583">
        <v>44879</v>
      </c>
      <c r="N39" s="581">
        <v>2020</v>
      </c>
      <c r="O39" s="581" t="s">
        <v>1638</v>
      </c>
      <c r="P39" s="581" t="s">
        <v>1640</v>
      </c>
      <c r="Q39" s="581" t="s">
        <v>1638</v>
      </c>
    </row>
    <row r="40" spans="1:17" ht="14.25" customHeight="1">
      <c r="A40" s="580">
        <v>26</v>
      </c>
      <c r="B40" s="581" t="s">
        <v>1680</v>
      </c>
      <c r="C40" s="581" t="s">
        <v>1681</v>
      </c>
      <c r="D40" s="581" t="s">
        <v>737</v>
      </c>
      <c r="E40" s="581" t="s">
        <v>1628</v>
      </c>
      <c r="F40" s="581" t="s">
        <v>1635</v>
      </c>
      <c r="G40" s="581" t="s">
        <v>1629</v>
      </c>
      <c r="H40" s="580" t="s">
        <v>301</v>
      </c>
      <c r="I40" s="581">
        <v>0.18</v>
      </c>
      <c r="J40" s="581">
        <v>15</v>
      </c>
      <c r="K40" s="582" t="s">
        <v>1637</v>
      </c>
      <c r="L40" s="580" t="s">
        <v>1682</v>
      </c>
      <c r="M40" s="583">
        <v>44914</v>
      </c>
      <c r="N40" s="580" t="s">
        <v>301</v>
      </c>
      <c r="O40" s="581" t="s">
        <v>1631</v>
      </c>
      <c r="P40" s="581" t="s">
        <v>301</v>
      </c>
      <c r="Q40" s="581" t="s">
        <v>1638</v>
      </c>
    </row>
    <row r="41" spans="1:17" ht="14.25" customHeight="1">
      <c r="A41" s="580">
        <v>27</v>
      </c>
      <c r="B41" s="581" t="s">
        <v>261</v>
      </c>
      <c r="C41" s="581" t="s">
        <v>1683</v>
      </c>
      <c r="D41" s="581" t="s">
        <v>256</v>
      </c>
      <c r="E41" s="581" t="s">
        <v>1628</v>
      </c>
      <c r="F41" s="581" t="s">
        <v>1635</v>
      </c>
      <c r="G41" s="581" t="s">
        <v>1636</v>
      </c>
      <c r="H41" s="580">
        <v>2.5</v>
      </c>
      <c r="I41" s="581">
        <v>2.7</v>
      </c>
      <c r="J41" s="581">
        <v>10.5</v>
      </c>
      <c r="K41" s="582" t="s">
        <v>1637</v>
      </c>
      <c r="L41" s="581">
        <v>2021</v>
      </c>
      <c r="M41" s="581">
        <v>45104</v>
      </c>
      <c r="N41" s="581">
        <v>2016</v>
      </c>
      <c r="O41" s="581" t="s">
        <v>1631</v>
      </c>
      <c r="P41" s="581" t="s">
        <v>301</v>
      </c>
      <c r="Q41" s="581" t="s">
        <v>1638</v>
      </c>
    </row>
    <row r="42" spans="1:17" ht="14.25" customHeight="1">
      <c r="A42" s="580">
        <v>28</v>
      </c>
      <c r="B42" s="581" t="s">
        <v>1684</v>
      </c>
      <c r="C42" s="581" t="s">
        <v>1685</v>
      </c>
      <c r="D42" s="581" t="s">
        <v>256</v>
      </c>
      <c r="E42" s="581" t="s">
        <v>1628</v>
      </c>
      <c r="F42" s="581" t="s">
        <v>1635</v>
      </c>
      <c r="G42" s="581" t="s">
        <v>301</v>
      </c>
      <c r="H42" s="580" t="s">
        <v>301</v>
      </c>
      <c r="I42" s="581">
        <v>0.15</v>
      </c>
      <c r="J42" s="581">
        <v>2.5</v>
      </c>
      <c r="K42" s="582" t="s">
        <v>1668</v>
      </c>
      <c r="L42" s="581">
        <v>2021</v>
      </c>
      <c r="M42" s="583">
        <v>44858</v>
      </c>
      <c r="N42" s="580" t="s">
        <v>1686</v>
      </c>
      <c r="O42" s="581" t="s">
        <v>1638</v>
      </c>
      <c r="P42" s="581" t="s">
        <v>1640</v>
      </c>
      <c r="Q42" s="581" t="s">
        <v>1638</v>
      </c>
    </row>
    <row r="43" spans="1:17" ht="14.25" customHeight="1">
      <c r="A43" s="580">
        <v>29</v>
      </c>
      <c r="B43" s="581" t="s">
        <v>1071</v>
      </c>
      <c r="C43" s="581" t="s">
        <v>1687</v>
      </c>
      <c r="D43" s="581" t="s">
        <v>794</v>
      </c>
      <c r="E43" s="581" t="s">
        <v>1688</v>
      </c>
      <c r="F43" s="581" t="s">
        <v>1689</v>
      </c>
      <c r="G43" s="581" t="s">
        <v>1652</v>
      </c>
      <c r="H43" s="580">
        <v>11</v>
      </c>
      <c r="I43" s="581">
        <v>11</v>
      </c>
      <c r="J43" s="581">
        <v>12</v>
      </c>
      <c r="K43" s="582" t="s">
        <v>1637</v>
      </c>
      <c r="L43" s="581">
        <v>2021</v>
      </c>
      <c r="M43" s="583" t="s">
        <v>301</v>
      </c>
      <c r="N43" s="581">
        <v>2023</v>
      </c>
      <c r="O43" s="581" t="s">
        <v>1638</v>
      </c>
      <c r="P43" s="581" t="s">
        <v>1640</v>
      </c>
      <c r="Q43" s="581" t="s">
        <v>1638</v>
      </c>
    </row>
    <row r="44" spans="1:17" ht="14.25" customHeight="1">
      <c r="A44" s="580">
        <v>30</v>
      </c>
      <c r="B44" s="581" t="s">
        <v>1690</v>
      </c>
      <c r="C44" s="581" t="s">
        <v>1691</v>
      </c>
      <c r="D44" s="581" t="s">
        <v>256</v>
      </c>
      <c r="E44" s="581" t="s">
        <v>1628</v>
      </c>
      <c r="F44" s="581" t="s">
        <v>1635</v>
      </c>
      <c r="G44" s="581" t="s">
        <v>1636</v>
      </c>
      <c r="H44" s="580" t="s">
        <v>301</v>
      </c>
      <c r="I44" s="581">
        <v>6.5</v>
      </c>
      <c r="J44" s="581">
        <v>13</v>
      </c>
      <c r="K44" s="582" t="s">
        <v>1642</v>
      </c>
      <c r="L44" s="581">
        <v>2023</v>
      </c>
      <c r="M44" s="581">
        <v>45104</v>
      </c>
      <c r="N44" s="581">
        <v>2020</v>
      </c>
      <c r="O44" s="581" t="s">
        <v>1631</v>
      </c>
      <c r="P44" s="581" t="s">
        <v>301</v>
      </c>
      <c r="Q44" s="581" t="s">
        <v>1638</v>
      </c>
    </row>
    <row r="45" spans="1:17" ht="14.25" customHeight="1">
      <c r="A45" s="580">
        <v>31</v>
      </c>
      <c r="B45" s="581" t="s">
        <v>1692</v>
      </c>
      <c r="C45" s="581" t="s">
        <v>1693</v>
      </c>
      <c r="D45" s="581" t="s">
        <v>737</v>
      </c>
      <c r="E45" s="581" t="s">
        <v>1628</v>
      </c>
      <c r="F45" s="581" t="s">
        <v>1689</v>
      </c>
      <c r="G45" s="581" t="s">
        <v>1629</v>
      </c>
      <c r="H45" s="580" t="s">
        <v>301</v>
      </c>
      <c r="I45" s="581">
        <v>23.6</v>
      </c>
      <c r="J45" s="581">
        <v>41.2</v>
      </c>
      <c r="K45" s="582" t="s">
        <v>1642</v>
      </c>
      <c r="L45" s="580" t="s">
        <v>1694</v>
      </c>
      <c r="M45" s="583">
        <v>44831</v>
      </c>
      <c r="N45" s="580" t="s">
        <v>1695</v>
      </c>
      <c r="O45" s="581" t="s">
        <v>1631</v>
      </c>
      <c r="P45" s="581" t="s">
        <v>301</v>
      </c>
      <c r="Q45" s="581" t="s">
        <v>1638</v>
      </c>
    </row>
    <row r="46" spans="1:17" ht="26.25" customHeight="1">
      <c r="A46" s="580">
        <v>32</v>
      </c>
      <c r="B46" s="581" t="s">
        <v>1696</v>
      </c>
      <c r="C46" s="581" t="s">
        <v>1697</v>
      </c>
      <c r="D46" s="581" t="s">
        <v>737</v>
      </c>
      <c r="E46" s="581" t="s">
        <v>1628</v>
      </c>
      <c r="F46" s="581" t="s">
        <v>1689</v>
      </c>
      <c r="G46" s="581" t="s">
        <v>1698</v>
      </c>
      <c r="H46" s="580">
        <v>0.95471499999999998</v>
      </c>
      <c r="I46" s="581">
        <v>1.62</v>
      </c>
      <c r="J46" s="581">
        <v>21</v>
      </c>
      <c r="K46" s="582" t="s">
        <v>301</v>
      </c>
      <c r="L46" s="581">
        <v>2022</v>
      </c>
      <c r="M46" s="583">
        <v>44713</v>
      </c>
      <c r="N46" s="581">
        <v>2019</v>
      </c>
      <c r="O46" s="581" t="s">
        <v>1669</v>
      </c>
      <c r="P46" s="581" t="s">
        <v>301</v>
      </c>
      <c r="Q46" s="581" t="s">
        <v>1638</v>
      </c>
    </row>
    <row r="47" spans="1:17" ht="26.25" customHeight="1">
      <c r="A47" s="580">
        <v>33</v>
      </c>
      <c r="B47" s="581" t="s">
        <v>1696</v>
      </c>
      <c r="C47" s="581" t="s">
        <v>1699</v>
      </c>
      <c r="D47" s="581" t="s">
        <v>737</v>
      </c>
      <c r="E47" s="581" t="s">
        <v>1628</v>
      </c>
      <c r="F47" s="581" t="s">
        <v>1689</v>
      </c>
      <c r="G47" s="581" t="s">
        <v>1698</v>
      </c>
      <c r="H47" s="580">
        <v>0.22533</v>
      </c>
      <c r="I47" s="581">
        <v>0.43</v>
      </c>
      <c r="J47" s="581">
        <v>6</v>
      </c>
      <c r="K47" s="582" t="s">
        <v>301</v>
      </c>
      <c r="L47" s="581">
        <v>2022</v>
      </c>
      <c r="M47" s="581">
        <v>44713</v>
      </c>
      <c r="N47" s="581">
        <v>2019</v>
      </c>
      <c r="O47" s="581" t="s">
        <v>1669</v>
      </c>
      <c r="P47" s="581" t="s">
        <v>301</v>
      </c>
      <c r="Q47" s="581" t="s">
        <v>1638</v>
      </c>
    </row>
    <row r="48" spans="1:17" ht="26.25" customHeight="1">
      <c r="A48" s="580">
        <v>34</v>
      </c>
      <c r="B48" s="581" t="s">
        <v>1696</v>
      </c>
      <c r="C48" s="581" t="s">
        <v>1700</v>
      </c>
      <c r="D48" s="581" t="s">
        <v>737</v>
      </c>
      <c r="E48" s="581" t="s">
        <v>1628</v>
      </c>
      <c r="F48" s="581" t="s">
        <v>1626</v>
      </c>
      <c r="G48" s="581" t="s">
        <v>1629</v>
      </c>
      <c r="H48" s="580" t="s">
        <v>301</v>
      </c>
      <c r="I48" s="581">
        <v>2.67</v>
      </c>
      <c r="J48" s="581">
        <v>24.3</v>
      </c>
      <c r="K48" s="582" t="s">
        <v>1642</v>
      </c>
      <c r="L48" s="581">
        <v>2022</v>
      </c>
      <c r="M48" s="583">
        <v>44713</v>
      </c>
      <c r="N48" s="581">
        <v>2019</v>
      </c>
      <c r="O48" s="581" t="s">
        <v>1631</v>
      </c>
      <c r="P48" s="581" t="s">
        <v>301</v>
      </c>
      <c r="Q48" s="581" t="s">
        <v>1638</v>
      </c>
    </row>
    <row r="49" spans="1:17" ht="14.25" customHeight="1">
      <c r="A49" s="580">
        <v>35</v>
      </c>
      <c r="B49" s="581" t="s">
        <v>1701</v>
      </c>
      <c r="C49" s="581" t="s">
        <v>1702</v>
      </c>
      <c r="D49" s="581" t="s">
        <v>256</v>
      </c>
      <c r="E49" s="581" t="s">
        <v>1628</v>
      </c>
      <c r="F49" s="581" t="s">
        <v>1635</v>
      </c>
      <c r="G49" s="581" t="s">
        <v>1629</v>
      </c>
      <c r="H49" s="580" t="s">
        <v>301</v>
      </c>
      <c r="I49" s="581">
        <v>1.7</v>
      </c>
      <c r="J49" s="581">
        <v>15</v>
      </c>
      <c r="K49" s="582" t="s">
        <v>1668</v>
      </c>
      <c r="L49" s="581">
        <v>2022</v>
      </c>
      <c r="M49" s="583">
        <v>44860</v>
      </c>
      <c r="N49" s="581">
        <v>2018</v>
      </c>
      <c r="O49" s="581" t="s">
        <v>1631</v>
      </c>
      <c r="P49" s="581" t="s">
        <v>301</v>
      </c>
      <c r="Q49" s="581" t="s">
        <v>1638</v>
      </c>
    </row>
    <row r="50" spans="1:17" ht="14.25" customHeight="1">
      <c r="A50" s="580">
        <v>36</v>
      </c>
      <c r="B50" s="581" t="s">
        <v>1703</v>
      </c>
      <c r="C50" s="581" t="s">
        <v>1704</v>
      </c>
      <c r="D50" s="581" t="s">
        <v>256</v>
      </c>
      <c r="E50" s="581" t="s">
        <v>1628</v>
      </c>
      <c r="F50" s="581" t="s">
        <v>1635</v>
      </c>
      <c r="G50" s="581" t="s">
        <v>1629</v>
      </c>
      <c r="H50" s="580" t="s">
        <v>301</v>
      </c>
      <c r="I50" s="581">
        <v>60</v>
      </c>
      <c r="J50" s="581">
        <v>9</v>
      </c>
      <c r="K50" s="582" t="s">
        <v>1668</v>
      </c>
      <c r="L50" s="581">
        <v>2022</v>
      </c>
      <c r="M50" s="583">
        <v>44735</v>
      </c>
      <c r="N50" s="581">
        <v>2014</v>
      </c>
      <c r="O50" s="581" t="s">
        <v>1631</v>
      </c>
      <c r="P50" s="581" t="s">
        <v>301</v>
      </c>
      <c r="Q50" s="581" t="s">
        <v>1638</v>
      </c>
    </row>
    <row r="51" spans="1:17" ht="14.25" customHeight="1">
      <c r="A51" s="580">
        <v>39</v>
      </c>
      <c r="B51" s="581" t="s">
        <v>1705</v>
      </c>
      <c r="C51" s="581" t="s">
        <v>1706</v>
      </c>
      <c r="D51" s="581" t="s">
        <v>256</v>
      </c>
      <c r="E51" s="581" t="s">
        <v>1628</v>
      </c>
      <c r="F51" s="581" t="s">
        <v>1635</v>
      </c>
      <c r="G51" s="581" t="s">
        <v>1636</v>
      </c>
      <c r="H51" s="580" t="s">
        <v>301</v>
      </c>
      <c r="I51" s="581">
        <v>0.7</v>
      </c>
      <c r="J51" s="581">
        <v>15</v>
      </c>
      <c r="K51" s="582" t="s">
        <v>1668</v>
      </c>
      <c r="L51" s="581">
        <v>2022</v>
      </c>
      <c r="M51" s="583">
        <v>45083</v>
      </c>
      <c r="N51" s="581">
        <v>2015</v>
      </c>
      <c r="O51" s="581" t="s">
        <v>1638</v>
      </c>
      <c r="P51" s="581" t="s">
        <v>1640</v>
      </c>
      <c r="Q51" s="581" t="s">
        <v>1638</v>
      </c>
    </row>
    <row r="52" spans="1:17" ht="14.25" customHeight="1">
      <c r="A52" s="580">
        <v>40</v>
      </c>
      <c r="B52" s="581" t="s">
        <v>1707</v>
      </c>
      <c r="C52" s="581" t="s">
        <v>1708</v>
      </c>
      <c r="D52" s="581" t="s">
        <v>256</v>
      </c>
      <c r="E52" s="581" t="s">
        <v>1628</v>
      </c>
      <c r="F52" s="581" t="s">
        <v>1635</v>
      </c>
      <c r="G52" s="581" t="s">
        <v>1698</v>
      </c>
      <c r="H52" s="580" t="s">
        <v>301</v>
      </c>
      <c r="I52" s="581">
        <v>1.39</v>
      </c>
      <c r="J52" s="581">
        <v>4.5999999999999996</v>
      </c>
      <c r="K52" s="582" t="s">
        <v>1637</v>
      </c>
      <c r="L52" s="581">
        <v>2022</v>
      </c>
      <c r="M52" s="583">
        <v>44879</v>
      </c>
      <c r="N52" s="581">
        <v>2018</v>
      </c>
      <c r="O52" s="581" t="s">
        <v>1631</v>
      </c>
      <c r="P52" s="581" t="s">
        <v>301</v>
      </c>
      <c r="Q52" s="581" t="s">
        <v>1638</v>
      </c>
    </row>
    <row r="53" spans="1:17" ht="14.25" customHeight="1">
      <c r="A53" s="580">
        <v>41</v>
      </c>
      <c r="B53" s="581" t="s">
        <v>1707</v>
      </c>
      <c r="C53" s="581" t="s">
        <v>1709</v>
      </c>
      <c r="D53" s="581" t="s">
        <v>256</v>
      </c>
      <c r="E53" s="581" t="s">
        <v>1628</v>
      </c>
      <c r="F53" s="581" t="s">
        <v>1635</v>
      </c>
      <c r="G53" s="581" t="s">
        <v>1710</v>
      </c>
      <c r="H53" s="580" t="s">
        <v>301</v>
      </c>
      <c r="I53" s="581">
        <v>7.78</v>
      </c>
      <c r="J53" s="581">
        <v>22.9</v>
      </c>
      <c r="K53" s="582" t="s">
        <v>1642</v>
      </c>
      <c r="L53" s="581">
        <v>2022</v>
      </c>
      <c r="M53" s="583">
        <v>44879</v>
      </c>
      <c r="N53" s="581">
        <v>2018</v>
      </c>
      <c r="O53" s="581" t="s">
        <v>1631</v>
      </c>
      <c r="P53" s="581" t="s">
        <v>301</v>
      </c>
      <c r="Q53" s="581" t="s">
        <v>1638</v>
      </c>
    </row>
    <row r="54" spans="1:17" ht="14.25" customHeight="1">
      <c r="A54" s="580">
        <v>42</v>
      </c>
      <c r="B54" s="581" t="s">
        <v>1707</v>
      </c>
      <c r="C54" s="581" t="s">
        <v>1711</v>
      </c>
      <c r="D54" s="581" t="s">
        <v>256</v>
      </c>
      <c r="E54" s="581" t="s">
        <v>1628</v>
      </c>
      <c r="F54" s="581" t="s">
        <v>1635</v>
      </c>
      <c r="G54" s="581" t="s">
        <v>1698</v>
      </c>
      <c r="H54" s="580" t="s">
        <v>301</v>
      </c>
      <c r="I54" s="581">
        <v>36.200000000000003</v>
      </c>
      <c r="J54" s="581">
        <v>29</v>
      </c>
      <c r="K54" s="582" t="s">
        <v>1642</v>
      </c>
      <c r="L54" s="581">
        <v>2022</v>
      </c>
      <c r="M54" s="583">
        <v>44879</v>
      </c>
      <c r="N54" s="581">
        <v>2018</v>
      </c>
      <c r="O54" s="581" t="s">
        <v>1631</v>
      </c>
      <c r="P54" s="581" t="s">
        <v>301</v>
      </c>
      <c r="Q54" s="581" t="s">
        <v>1638</v>
      </c>
    </row>
    <row r="55" spans="1:17" ht="14.25" customHeight="1">
      <c r="A55" s="580">
        <v>43</v>
      </c>
      <c r="B55" s="581" t="s">
        <v>1707</v>
      </c>
      <c r="C55" s="581" t="s">
        <v>1712</v>
      </c>
      <c r="D55" s="581" t="s">
        <v>256</v>
      </c>
      <c r="E55" s="581" t="s">
        <v>1628</v>
      </c>
      <c r="F55" s="581" t="s">
        <v>1635</v>
      </c>
      <c r="G55" s="581" t="s">
        <v>1698</v>
      </c>
      <c r="H55" s="580" t="s">
        <v>301</v>
      </c>
      <c r="I55" s="581">
        <v>22.7</v>
      </c>
      <c r="J55" s="581">
        <v>7.6</v>
      </c>
      <c r="K55" s="582" t="s">
        <v>1637</v>
      </c>
      <c r="L55" s="581">
        <v>2022</v>
      </c>
      <c r="M55" s="583">
        <v>44879</v>
      </c>
      <c r="N55" s="581">
        <v>2018</v>
      </c>
      <c r="O55" s="581" t="s">
        <v>1631</v>
      </c>
      <c r="P55" s="581" t="s">
        <v>301</v>
      </c>
      <c r="Q55" s="581" t="s">
        <v>1638</v>
      </c>
    </row>
    <row r="56" spans="1:17" ht="14.25" customHeight="1">
      <c r="A56" s="580">
        <v>44</v>
      </c>
      <c r="B56" s="581" t="s">
        <v>1707</v>
      </c>
      <c r="C56" s="581" t="s">
        <v>1713</v>
      </c>
      <c r="D56" s="581" t="s">
        <v>256</v>
      </c>
      <c r="E56" s="581" t="s">
        <v>1628</v>
      </c>
      <c r="F56" s="581" t="s">
        <v>1635</v>
      </c>
      <c r="G56" s="581" t="s">
        <v>1698</v>
      </c>
      <c r="H56" s="580" t="s">
        <v>301</v>
      </c>
      <c r="I56" s="581">
        <v>37</v>
      </c>
      <c r="J56" s="581">
        <v>12.5</v>
      </c>
      <c r="K56" s="582" t="s">
        <v>1637</v>
      </c>
      <c r="L56" s="581">
        <v>2022</v>
      </c>
      <c r="M56" s="583">
        <v>44879</v>
      </c>
      <c r="N56" s="581">
        <v>2018</v>
      </c>
      <c r="O56" s="581" t="s">
        <v>1631</v>
      </c>
      <c r="P56" s="581" t="s">
        <v>301</v>
      </c>
      <c r="Q56" s="581" t="s">
        <v>1638</v>
      </c>
    </row>
    <row r="57" spans="1:17" ht="14.25" customHeight="1">
      <c r="A57" s="580">
        <v>45</v>
      </c>
      <c r="B57" s="581" t="s">
        <v>264</v>
      </c>
      <c r="C57" s="581" t="s">
        <v>1714</v>
      </c>
      <c r="D57" s="581" t="s">
        <v>256</v>
      </c>
      <c r="E57" s="581" t="s">
        <v>1628</v>
      </c>
      <c r="F57" s="581" t="s">
        <v>1635</v>
      </c>
      <c r="G57" s="581" t="s">
        <v>1629</v>
      </c>
      <c r="H57" s="580" t="s">
        <v>301</v>
      </c>
      <c r="I57" s="581">
        <v>42.5</v>
      </c>
      <c r="J57" s="581">
        <v>52</v>
      </c>
      <c r="K57" s="582" t="s">
        <v>1642</v>
      </c>
      <c r="L57" s="581">
        <v>2021</v>
      </c>
      <c r="M57" s="583">
        <v>44879</v>
      </c>
      <c r="N57" s="581">
        <v>2020</v>
      </c>
      <c r="O57" s="581" t="s">
        <v>301</v>
      </c>
      <c r="P57" s="581" t="s">
        <v>301</v>
      </c>
      <c r="Q57" s="581" t="s">
        <v>301</v>
      </c>
    </row>
    <row r="58" spans="1:17" ht="14.25" customHeight="1">
      <c r="A58" s="580">
        <v>46</v>
      </c>
      <c r="B58" s="581" t="s">
        <v>264</v>
      </c>
      <c r="C58" s="581" t="s">
        <v>1715</v>
      </c>
      <c r="D58" s="581" t="s">
        <v>256</v>
      </c>
      <c r="E58" s="581" t="s">
        <v>1628</v>
      </c>
      <c r="F58" s="581" t="s">
        <v>1635</v>
      </c>
      <c r="G58" s="581" t="s">
        <v>1629</v>
      </c>
      <c r="H58" s="580" t="s">
        <v>301</v>
      </c>
      <c r="I58" s="581">
        <v>2.4500000000000002</v>
      </c>
      <c r="J58" s="581">
        <v>42</v>
      </c>
      <c r="K58" s="582" t="s">
        <v>1668</v>
      </c>
      <c r="L58" s="581">
        <v>2021</v>
      </c>
      <c r="M58" s="583">
        <v>44879</v>
      </c>
      <c r="N58" s="581">
        <v>2020</v>
      </c>
      <c r="O58" s="581" t="s">
        <v>301</v>
      </c>
      <c r="P58" s="581" t="s">
        <v>301</v>
      </c>
      <c r="Q58" s="581" t="s">
        <v>301</v>
      </c>
    </row>
    <row r="59" spans="1:17" ht="62.25" customHeight="1">
      <c r="A59" s="652" t="s">
        <v>1716</v>
      </c>
      <c r="B59" s="653"/>
      <c r="C59" s="653"/>
      <c r="D59" s="584"/>
      <c r="E59" s="584"/>
      <c r="F59" s="584"/>
      <c r="G59" s="584"/>
      <c r="H59" s="584"/>
      <c r="I59" s="584"/>
      <c r="J59" s="584"/>
      <c r="K59" s="584"/>
      <c r="L59" s="584"/>
      <c r="M59" s="584"/>
      <c r="N59" s="584"/>
      <c r="O59" s="584"/>
      <c r="P59" s="584"/>
    </row>
    <row r="60" spans="1:17" ht="14.25" customHeight="1">
      <c r="A60" s="211"/>
      <c r="B60" s="12"/>
      <c r="C60" s="12"/>
      <c r="D60" s="12"/>
      <c r="E60" s="14"/>
      <c r="F60" s="14"/>
      <c r="G60" s="585"/>
      <c r="H60" s="585"/>
      <c r="I60" s="39"/>
      <c r="K60" s="567"/>
    </row>
    <row r="61" spans="1:17" ht="14.25" customHeight="1">
      <c r="A61" s="211"/>
      <c r="B61" s="12"/>
      <c r="C61" s="12"/>
      <c r="D61" s="12"/>
      <c r="E61" s="14"/>
      <c r="F61" s="14"/>
      <c r="G61" s="585"/>
      <c r="H61" s="585"/>
      <c r="I61" s="39"/>
      <c r="K61" s="567"/>
    </row>
    <row r="62" spans="1:17" ht="14.25" customHeight="1">
      <c r="A62" s="211"/>
      <c r="B62" s="12"/>
      <c r="C62" s="12"/>
      <c r="D62" s="12"/>
      <c r="E62" s="14"/>
      <c r="F62" s="14"/>
      <c r="G62" s="585"/>
      <c r="H62" s="585"/>
      <c r="I62" s="39"/>
      <c r="K62" s="567"/>
    </row>
    <row r="63" spans="1:17" ht="14.25" customHeight="1">
      <c r="A63" s="211"/>
      <c r="B63" s="12"/>
      <c r="C63" s="12"/>
      <c r="D63" s="12"/>
      <c r="E63" s="14"/>
      <c r="F63" s="14"/>
      <c r="G63" s="12"/>
      <c r="H63" s="12"/>
      <c r="I63" s="39"/>
      <c r="K63" s="567"/>
    </row>
    <row r="64" spans="1:17" ht="14.25" customHeight="1">
      <c r="A64" s="211"/>
      <c r="B64" s="12"/>
      <c r="C64" s="12"/>
      <c r="D64" s="12"/>
      <c r="E64" s="14"/>
      <c r="F64" s="14"/>
      <c r="G64" s="585"/>
      <c r="H64" s="585"/>
      <c r="I64" s="39"/>
      <c r="K64" s="567"/>
    </row>
    <row r="65" spans="1:11" ht="14.25" customHeight="1">
      <c r="A65" s="211"/>
      <c r="B65" s="12"/>
      <c r="C65" s="12"/>
      <c r="D65" s="12"/>
      <c r="E65" s="14"/>
      <c r="F65" s="14"/>
      <c r="G65" s="585"/>
      <c r="H65" s="585"/>
      <c r="I65" s="39"/>
      <c r="K65" s="567"/>
    </row>
    <row r="66" spans="1:11" ht="14.25" customHeight="1">
      <c r="A66" s="586"/>
      <c r="B66" s="65"/>
      <c r="C66" s="65"/>
      <c r="D66" s="65"/>
      <c r="E66" s="3"/>
      <c r="F66" s="3"/>
      <c r="G66" s="3"/>
      <c r="H66" s="3"/>
      <c r="I66" s="65"/>
      <c r="K66" s="567"/>
    </row>
    <row r="67" spans="1:11" ht="25.5" customHeight="1">
      <c r="A67" s="622"/>
      <c r="B67" s="650"/>
      <c r="C67" s="650"/>
      <c r="D67" s="650"/>
      <c r="E67" s="650"/>
      <c r="F67" s="650"/>
      <c r="G67" s="650"/>
      <c r="H67" s="650"/>
      <c r="I67" s="650"/>
      <c r="K67" s="567"/>
    </row>
    <row r="68" spans="1:11" ht="14.25" customHeight="1">
      <c r="A68" s="566"/>
      <c r="K68" s="567"/>
    </row>
    <row r="69" spans="1:11" ht="14.25" customHeight="1">
      <c r="A69" s="574"/>
      <c r="B69" s="505"/>
      <c r="C69" s="505"/>
      <c r="K69" s="567"/>
    </row>
    <row r="70" spans="1:11" ht="14.25" customHeight="1">
      <c r="A70" s="586"/>
      <c r="B70" s="83"/>
      <c r="C70" s="83"/>
      <c r="D70" s="83"/>
      <c r="E70" s="65"/>
      <c r="F70" s="65"/>
      <c r="G70" s="65"/>
      <c r="H70" s="65"/>
      <c r="I70" s="65"/>
      <c r="K70" s="567"/>
    </row>
    <row r="71" spans="1:11" ht="14.25" customHeight="1">
      <c r="A71" s="292"/>
      <c r="B71" s="76"/>
      <c r="C71" s="76"/>
      <c r="D71" s="76"/>
      <c r="E71" s="39"/>
      <c r="F71" s="39"/>
      <c r="G71" s="39"/>
      <c r="H71" s="39"/>
      <c r="I71" s="39"/>
      <c r="K71" s="567"/>
    </row>
    <row r="72" spans="1:11" ht="14.25" customHeight="1">
      <c r="A72" s="13"/>
      <c r="B72" s="13"/>
      <c r="C72" s="13"/>
      <c r="K72" s="567"/>
    </row>
    <row r="73" spans="1:11" ht="14.25" customHeight="1">
      <c r="A73" s="566"/>
      <c r="K73" s="567"/>
    </row>
    <row r="74" spans="1:11" ht="14.25" customHeight="1">
      <c r="A74" s="566"/>
      <c r="K74" s="567"/>
    </row>
    <row r="75" spans="1:11" ht="14.25" customHeight="1">
      <c r="A75" s="566"/>
      <c r="K75" s="567"/>
    </row>
    <row r="76" spans="1:11" ht="14.25" customHeight="1">
      <c r="A76" s="566"/>
      <c r="K76" s="567"/>
    </row>
    <row r="77" spans="1:11" ht="14.25" customHeight="1">
      <c r="A77" s="566"/>
      <c r="K77" s="567"/>
    </row>
    <row r="78" spans="1:11" ht="14.25" customHeight="1">
      <c r="A78" s="566"/>
      <c r="K78" s="567"/>
    </row>
    <row r="79" spans="1:11" ht="14.25" customHeight="1">
      <c r="A79" s="566"/>
      <c r="K79" s="567"/>
    </row>
    <row r="80" spans="1:11" ht="14.25" customHeight="1">
      <c r="A80" s="566"/>
      <c r="K80" s="567"/>
    </row>
    <row r="81" spans="1:11" ht="14.25" customHeight="1">
      <c r="A81" s="566"/>
      <c r="K81" s="567"/>
    </row>
    <row r="82" spans="1:11" ht="14.25" customHeight="1">
      <c r="A82" s="566"/>
      <c r="K82" s="567"/>
    </row>
    <row r="83" spans="1:11" ht="14.25" customHeight="1">
      <c r="A83" s="566"/>
      <c r="K83" s="567"/>
    </row>
    <row r="84" spans="1:11" ht="14.25" customHeight="1">
      <c r="A84" s="566"/>
      <c r="K84" s="567"/>
    </row>
    <row r="85" spans="1:11" ht="14.25" customHeight="1">
      <c r="A85" s="566"/>
      <c r="K85" s="567"/>
    </row>
    <row r="86" spans="1:11" ht="14.25" customHeight="1">
      <c r="A86" s="566"/>
      <c r="K86" s="567"/>
    </row>
    <row r="87" spans="1:11" ht="14.25" customHeight="1">
      <c r="A87" s="566"/>
      <c r="K87" s="567"/>
    </row>
    <row r="88" spans="1:11" ht="14.25" customHeight="1">
      <c r="A88" s="566"/>
      <c r="K88" s="567"/>
    </row>
    <row r="89" spans="1:11" ht="14.25" customHeight="1">
      <c r="A89" s="566"/>
      <c r="K89" s="567"/>
    </row>
    <row r="90" spans="1:11" ht="14.25" customHeight="1">
      <c r="A90" s="566"/>
      <c r="K90" s="567"/>
    </row>
    <row r="91" spans="1:11" ht="14.25" customHeight="1">
      <c r="A91" s="566"/>
      <c r="K91" s="567"/>
    </row>
    <row r="92" spans="1:11" ht="14.25" customHeight="1">
      <c r="A92" s="566"/>
      <c r="K92" s="567"/>
    </row>
    <row r="93" spans="1:11" ht="14.25" customHeight="1">
      <c r="A93" s="566"/>
      <c r="K93" s="567"/>
    </row>
    <row r="94" spans="1:11" ht="14.25" customHeight="1">
      <c r="A94" s="566"/>
      <c r="K94" s="567"/>
    </row>
    <row r="95" spans="1:11" ht="14.25" customHeight="1">
      <c r="A95" s="566"/>
      <c r="K95" s="567"/>
    </row>
    <row r="96" spans="1:11" ht="14.25" customHeight="1">
      <c r="A96" s="566"/>
      <c r="K96" s="567"/>
    </row>
    <row r="97" spans="1:11" ht="14.25" customHeight="1">
      <c r="A97" s="566"/>
      <c r="K97" s="567"/>
    </row>
    <row r="98" spans="1:11" ht="14.25" customHeight="1">
      <c r="A98" s="566"/>
      <c r="K98" s="567"/>
    </row>
    <row r="99" spans="1:11" ht="14.25" customHeight="1">
      <c r="A99" s="566"/>
      <c r="K99" s="567"/>
    </row>
    <row r="100" spans="1:11" ht="14.25" customHeight="1">
      <c r="A100" s="566"/>
      <c r="K100" s="567"/>
    </row>
    <row r="101" spans="1:11" ht="14.25" customHeight="1">
      <c r="A101" s="566"/>
      <c r="K101" s="567"/>
    </row>
    <row r="102" spans="1:11" ht="14.25" customHeight="1">
      <c r="A102" s="566"/>
      <c r="K102" s="567"/>
    </row>
    <row r="103" spans="1:11" ht="14.25" customHeight="1">
      <c r="A103" s="566"/>
      <c r="K103" s="567"/>
    </row>
    <row r="104" spans="1:11" ht="14.25" customHeight="1">
      <c r="A104" s="566"/>
      <c r="K104" s="567"/>
    </row>
    <row r="105" spans="1:11" ht="14.25" customHeight="1">
      <c r="A105" s="566"/>
      <c r="K105" s="567"/>
    </row>
    <row r="106" spans="1:11" ht="14.25" customHeight="1">
      <c r="A106" s="566"/>
      <c r="K106" s="567"/>
    </row>
    <row r="107" spans="1:11" ht="14.25" customHeight="1">
      <c r="A107" s="566"/>
      <c r="K107" s="567"/>
    </row>
    <row r="108" spans="1:11" ht="14.25" customHeight="1">
      <c r="A108" s="566"/>
      <c r="K108" s="567"/>
    </row>
    <row r="109" spans="1:11" ht="14.25" customHeight="1">
      <c r="A109" s="566"/>
      <c r="K109" s="567"/>
    </row>
    <row r="110" spans="1:11" ht="14.25" customHeight="1">
      <c r="A110" s="566"/>
      <c r="K110" s="567"/>
    </row>
    <row r="111" spans="1:11" ht="14.25" customHeight="1">
      <c r="A111" s="566"/>
      <c r="K111" s="567"/>
    </row>
    <row r="112" spans="1:11" ht="14.25" customHeight="1">
      <c r="A112" s="566"/>
      <c r="K112" s="567"/>
    </row>
    <row r="113" spans="1:11" ht="14.25" customHeight="1">
      <c r="A113" s="566"/>
      <c r="K113" s="567"/>
    </row>
    <row r="114" spans="1:11" ht="14.25" customHeight="1">
      <c r="A114" s="566"/>
      <c r="K114" s="567"/>
    </row>
    <row r="115" spans="1:11" ht="14.25" customHeight="1">
      <c r="A115" s="566"/>
      <c r="K115" s="567"/>
    </row>
    <row r="116" spans="1:11" ht="14.25" customHeight="1">
      <c r="A116" s="566"/>
      <c r="K116" s="567"/>
    </row>
    <row r="117" spans="1:11" ht="14.25" customHeight="1">
      <c r="A117" s="566"/>
      <c r="K117" s="567"/>
    </row>
    <row r="118" spans="1:11" ht="14.25" customHeight="1">
      <c r="A118" s="566"/>
      <c r="K118" s="567"/>
    </row>
    <row r="119" spans="1:11" ht="14.25" customHeight="1">
      <c r="A119" s="566"/>
      <c r="K119" s="567"/>
    </row>
    <row r="120" spans="1:11" ht="14.25" customHeight="1">
      <c r="A120" s="566"/>
      <c r="K120" s="567"/>
    </row>
    <row r="121" spans="1:11" ht="14.25" customHeight="1">
      <c r="A121" s="566"/>
      <c r="K121" s="567"/>
    </row>
    <row r="122" spans="1:11" ht="14.25" customHeight="1">
      <c r="A122" s="566"/>
      <c r="K122" s="567"/>
    </row>
    <row r="123" spans="1:11" ht="14.25" customHeight="1">
      <c r="A123" s="566"/>
      <c r="K123" s="567"/>
    </row>
    <row r="124" spans="1:11" ht="14.25" customHeight="1">
      <c r="A124" s="566"/>
      <c r="K124" s="567"/>
    </row>
    <row r="125" spans="1:11" ht="14.25" customHeight="1">
      <c r="A125" s="566"/>
      <c r="K125" s="567"/>
    </row>
    <row r="126" spans="1:11" ht="14.25" customHeight="1">
      <c r="A126" s="566"/>
      <c r="K126" s="567"/>
    </row>
    <row r="127" spans="1:11" ht="14.25" customHeight="1">
      <c r="A127" s="566"/>
      <c r="K127" s="567"/>
    </row>
    <row r="128" spans="1:11" ht="14.25" customHeight="1">
      <c r="A128" s="566"/>
      <c r="K128" s="567"/>
    </row>
    <row r="129" spans="1:11" ht="14.25" customHeight="1">
      <c r="A129" s="566"/>
      <c r="K129" s="567"/>
    </row>
    <row r="130" spans="1:11" ht="14.25" customHeight="1">
      <c r="A130" s="566"/>
      <c r="K130" s="567"/>
    </row>
    <row r="131" spans="1:11" ht="14.25" customHeight="1">
      <c r="A131" s="566"/>
      <c r="K131" s="567"/>
    </row>
    <row r="132" spans="1:11" ht="14.25" customHeight="1">
      <c r="A132" s="566"/>
      <c r="K132" s="567"/>
    </row>
    <row r="133" spans="1:11" ht="14.25" customHeight="1">
      <c r="A133" s="566"/>
      <c r="K133" s="567"/>
    </row>
    <row r="134" spans="1:11" ht="14.25" customHeight="1">
      <c r="A134" s="566"/>
      <c r="K134" s="567"/>
    </row>
    <row r="135" spans="1:11" ht="14.25" customHeight="1">
      <c r="A135" s="566"/>
      <c r="K135" s="567"/>
    </row>
    <row r="136" spans="1:11" ht="14.25" customHeight="1">
      <c r="A136" s="566"/>
      <c r="K136" s="567"/>
    </row>
    <row r="137" spans="1:11" ht="14.25" customHeight="1">
      <c r="A137" s="566"/>
      <c r="K137" s="567"/>
    </row>
    <row r="138" spans="1:11" ht="14.25" customHeight="1">
      <c r="A138" s="566"/>
      <c r="K138" s="567"/>
    </row>
    <row r="139" spans="1:11" ht="14.25" customHeight="1">
      <c r="A139" s="566"/>
      <c r="K139" s="567"/>
    </row>
    <row r="140" spans="1:11" ht="14.25" customHeight="1">
      <c r="A140" s="566"/>
      <c r="K140" s="567"/>
    </row>
    <row r="141" spans="1:11" ht="14.25" customHeight="1">
      <c r="A141" s="566"/>
      <c r="K141" s="567"/>
    </row>
    <row r="142" spans="1:11" ht="14.25" customHeight="1">
      <c r="A142" s="566"/>
      <c r="K142" s="567"/>
    </row>
    <row r="143" spans="1:11" ht="14.25" customHeight="1">
      <c r="A143" s="566"/>
      <c r="K143" s="567"/>
    </row>
    <row r="144" spans="1:11" ht="14.25" customHeight="1">
      <c r="A144" s="566"/>
      <c r="K144" s="567"/>
    </row>
    <row r="145" spans="1:11" ht="14.25" customHeight="1">
      <c r="A145" s="566"/>
      <c r="K145" s="567"/>
    </row>
    <row r="146" spans="1:11" ht="14.25" customHeight="1">
      <c r="A146" s="566"/>
      <c r="K146" s="567"/>
    </row>
    <row r="147" spans="1:11" ht="14.25" customHeight="1">
      <c r="A147" s="566"/>
      <c r="K147" s="567"/>
    </row>
    <row r="148" spans="1:11" ht="14.25" customHeight="1">
      <c r="A148" s="566"/>
      <c r="K148" s="567"/>
    </row>
    <row r="149" spans="1:11" ht="14.25" customHeight="1">
      <c r="A149" s="566"/>
      <c r="K149" s="567"/>
    </row>
    <row r="150" spans="1:11" ht="14.25" customHeight="1">
      <c r="A150" s="566"/>
      <c r="K150" s="567"/>
    </row>
    <row r="151" spans="1:11" ht="14.25" customHeight="1">
      <c r="A151" s="566"/>
      <c r="K151" s="567"/>
    </row>
    <row r="152" spans="1:11" ht="14.25" customHeight="1">
      <c r="A152" s="566"/>
      <c r="K152" s="567"/>
    </row>
    <row r="153" spans="1:11" ht="14.25" customHeight="1">
      <c r="A153" s="566"/>
      <c r="K153" s="567"/>
    </row>
    <row r="154" spans="1:11" ht="14.25" customHeight="1">
      <c r="A154" s="566"/>
      <c r="K154" s="567"/>
    </row>
    <row r="155" spans="1:11" ht="14.25" customHeight="1">
      <c r="A155" s="566"/>
      <c r="K155" s="567"/>
    </row>
    <row r="156" spans="1:11" ht="14.25" customHeight="1">
      <c r="A156" s="566"/>
      <c r="K156" s="567"/>
    </row>
    <row r="157" spans="1:11" ht="14.25" customHeight="1">
      <c r="A157" s="566"/>
      <c r="K157" s="567"/>
    </row>
    <row r="158" spans="1:11" ht="14.25" customHeight="1">
      <c r="A158" s="566"/>
      <c r="K158" s="567"/>
    </row>
    <row r="159" spans="1:11" ht="14.25" customHeight="1">
      <c r="A159" s="566"/>
      <c r="K159" s="567"/>
    </row>
    <row r="160" spans="1:11" ht="14.25" customHeight="1">
      <c r="A160" s="566"/>
      <c r="K160" s="567"/>
    </row>
    <row r="161" spans="1:11" ht="14.25" customHeight="1">
      <c r="A161" s="566"/>
      <c r="K161" s="567"/>
    </row>
    <row r="162" spans="1:11" ht="14.25" customHeight="1">
      <c r="A162" s="566"/>
      <c r="K162" s="567"/>
    </row>
    <row r="163" spans="1:11" ht="14.25" customHeight="1">
      <c r="A163" s="566"/>
      <c r="K163" s="567"/>
    </row>
    <row r="164" spans="1:11" ht="14.25" customHeight="1">
      <c r="A164" s="566"/>
      <c r="K164" s="567"/>
    </row>
    <row r="165" spans="1:11" ht="14.25" customHeight="1">
      <c r="A165" s="566"/>
      <c r="K165" s="567"/>
    </row>
    <row r="166" spans="1:11" ht="14.25" customHeight="1">
      <c r="A166" s="566"/>
      <c r="K166" s="567"/>
    </row>
    <row r="167" spans="1:11" ht="14.25" customHeight="1">
      <c r="A167" s="566"/>
      <c r="K167" s="567"/>
    </row>
    <row r="168" spans="1:11" ht="14.25" customHeight="1">
      <c r="A168" s="566"/>
      <c r="K168" s="567"/>
    </row>
    <row r="169" spans="1:11" ht="14.25" customHeight="1">
      <c r="A169" s="566"/>
      <c r="K169" s="567"/>
    </row>
    <row r="170" spans="1:11" ht="14.25" customHeight="1">
      <c r="A170" s="566"/>
      <c r="K170" s="567"/>
    </row>
    <row r="171" spans="1:11" ht="14.25" customHeight="1">
      <c r="A171" s="566"/>
      <c r="K171" s="567"/>
    </row>
    <row r="172" spans="1:11" ht="14.25" customHeight="1">
      <c r="A172" s="566"/>
      <c r="K172" s="567"/>
    </row>
    <row r="173" spans="1:11" ht="14.25" customHeight="1">
      <c r="A173" s="566"/>
      <c r="K173" s="567"/>
    </row>
    <row r="174" spans="1:11" ht="14.25" customHeight="1">
      <c r="A174" s="566"/>
      <c r="K174" s="567"/>
    </row>
    <row r="175" spans="1:11" ht="14.25" customHeight="1">
      <c r="A175" s="566"/>
      <c r="K175" s="567"/>
    </row>
    <row r="176" spans="1:11" ht="14.25" customHeight="1">
      <c r="A176" s="566"/>
      <c r="K176" s="567"/>
    </row>
    <row r="177" spans="1:11" ht="14.25" customHeight="1">
      <c r="A177" s="566"/>
      <c r="K177" s="567"/>
    </row>
    <row r="178" spans="1:11" ht="14.25" customHeight="1">
      <c r="A178" s="566"/>
      <c r="K178" s="567"/>
    </row>
    <row r="179" spans="1:11" ht="14.25" customHeight="1">
      <c r="A179" s="566"/>
      <c r="K179" s="567"/>
    </row>
    <row r="180" spans="1:11" ht="14.25" customHeight="1">
      <c r="A180" s="566"/>
      <c r="K180" s="567"/>
    </row>
    <row r="181" spans="1:11" ht="14.25" customHeight="1">
      <c r="A181" s="566"/>
      <c r="K181" s="567"/>
    </row>
    <row r="182" spans="1:11" ht="14.25" customHeight="1">
      <c r="A182" s="566"/>
      <c r="K182" s="567"/>
    </row>
    <row r="183" spans="1:11" ht="14.25" customHeight="1">
      <c r="A183" s="566"/>
      <c r="K183" s="567"/>
    </row>
    <row r="184" spans="1:11" ht="14.25" customHeight="1">
      <c r="A184" s="566"/>
      <c r="K184" s="567"/>
    </row>
    <row r="185" spans="1:11" ht="14.25" customHeight="1">
      <c r="A185" s="566"/>
      <c r="K185" s="567"/>
    </row>
    <row r="186" spans="1:11" ht="14.25" customHeight="1">
      <c r="A186" s="566"/>
      <c r="K186" s="567"/>
    </row>
    <row r="187" spans="1:11" ht="14.25" customHeight="1">
      <c r="A187" s="566"/>
      <c r="K187" s="567"/>
    </row>
    <row r="188" spans="1:11" ht="14.25" customHeight="1">
      <c r="A188" s="566"/>
      <c r="K188" s="567"/>
    </row>
    <row r="189" spans="1:11" ht="14.25" customHeight="1">
      <c r="A189" s="566"/>
      <c r="K189" s="567"/>
    </row>
    <row r="190" spans="1:11" ht="14.25" customHeight="1">
      <c r="A190" s="566"/>
      <c r="K190" s="567"/>
    </row>
    <row r="191" spans="1:11" ht="14.25" customHeight="1">
      <c r="A191" s="566"/>
      <c r="K191" s="567"/>
    </row>
    <row r="192" spans="1:11" ht="14.25" customHeight="1">
      <c r="A192" s="566"/>
      <c r="K192" s="567"/>
    </row>
    <row r="193" spans="1:11" ht="14.25" customHeight="1">
      <c r="A193" s="566"/>
      <c r="K193" s="567"/>
    </row>
    <row r="194" spans="1:11" ht="14.25" customHeight="1">
      <c r="A194" s="566"/>
      <c r="K194" s="567"/>
    </row>
    <row r="195" spans="1:11" ht="14.25" customHeight="1">
      <c r="A195" s="566"/>
      <c r="K195" s="567"/>
    </row>
    <row r="196" spans="1:11" ht="14.25" customHeight="1">
      <c r="A196" s="566"/>
      <c r="K196" s="567"/>
    </row>
    <row r="197" spans="1:11" ht="14.25" customHeight="1">
      <c r="A197" s="566"/>
      <c r="K197" s="567"/>
    </row>
    <row r="198" spans="1:11" ht="14.25" customHeight="1">
      <c r="A198" s="566"/>
      <c r="K198" s="567"/>
    </row>
    <row r="199" spans="1:11" ht="14.25" customHeight="1">
      <c r="A199" s="566"/>
      <c r="K199" s="567"/>
    </row>
    <row r="200" spans="1:11" ht="14.25" customHeight="1">
      <c r="A200" s="566"/>
      <c r="K200" s="567"/>
    </row>
    <row r="201" spans="1:11" ht="14.25" customHeight="1">
      <c r="A201" s="566"/>
      <c r="K201" s="567"/>
    </row>
    <row r="202" spans="1:11" ht="14.25" customHeight="1">
      <c r="A202" s="566"/>
      <c r="K202" s="567"/>
    </row>
    <row r="203" spans="1:11" ht="14.25" customHeight="1">
      <c r="A203" s="566"/>
      <c r="K203" s="567"/>
    </row>
    <row r="204" spans="1:11" ht="14.25" customHeight="1">
      <c r="A204" s="566"/>
      <c r="K204" s="567"/>
    </row>
    <row r="205" spans="1:11" ht="14.25" customHeight="1">
      <c r="A205" s="566"/>
      <c r="K205" s="567"/>
    </row>
    <row r="206" spans="1:11" ht="14.25" customHeight="1">
      <c r="A206" s="566"/>
      <c r="K206" s="567"/>
    </row>
    <row r="207" spans="1:11" ht="14.25" customHeight="1">
      <c r="A207" s="566"/>
      <c r="K207" s="567"/>
    </row>
    <row r="208" spans="1:11" ht="14.25" customHeight="1">
      <c r="A208" s="566"/>
      <c r="K208" s="567"/>
    </row>
    <row r="209" spans="1:11" ht="14.25" customHeight="1">
      <c r="A209" s="566"/>
      <c r="K209" s="567"/>
    </row>
    <row r="210" spans="1:11" ht="14.25" customHeight="1">
      <c r="A210" s="566"/>
      <c r="K210" s="567"/>
    </row>
    <row r="211" spans="1:11" ht="14.25" customHeight="1">
      <c r="A211" s="566"/>
      <c r="K211" s="567"/>
    </row>
    <row r="212" spans="1:11" ht="14.25" customHeight="1">
      <c r="A212" s="566"/>
      <c r="K212" s="567"/>
    </row>
    <row r="213" spans="1:11" ht="14.25" customHeight="1">
      <c r="A213" s="566"/>
      <c r="K213" s="567"/>
    </row>
    <row r="214" spans="1:11" ht="14.25" customHeight="1">
      <c r="A214" s="566"/>
      <c r="K214" s="567"/>
    </row>
    <row r="215" spans="1:11" ht="14.25" customHeight="1">
      <c r="A215" s="566"/>
      <c r="K215" s="567"/>
    </row>
    <row r="216" spans="1:11" ht="14.25" customHeight="1">
      <c r="A216" s="566"/>
      <c r="K216" s="567"/>
    </row>
    <row r="217" spans="1:11" ht="14.25" customHeight="1">
      <c r="A217" s="566"/>
      <c r="K217" s="567"/>
    </row>
    <row r="218" spans="1:11" ht="14.25" customHeight="1">
      <c r="A218" s="566"/>
      <c r="K218" s="567"/>
    </row>
    <row r="219" spans="1:11" ht="14.25" customHeight="1">
      <c r="A219" s="566"/>
      <c r="K219" s="567"/>
    </row>
    <row r="220" spans="1:11" ht="14.25" customHeight="1">
      <c r="A220" s="566"/>
      <c r="K220" s="567"/>
    </row>
    <row r="221" spans="1:11" ht="14.25" customHeight="1">
      <c r="A221" s="566"/>
      <c r="K221" s="567"/>
    </row>
    <row r="222" spans="1:11" ht="14.25" customHeight="1">
      <c r="A222" s="566"/>
      <c r="K222" s="567"/>
    </row>
    <row r="223" spans="1:11" ht="14.25" customHeight="1">
      <c r="A223" s="566"/>
      <c r="K223" s="567"/>
    </row>
    <row r="224" spans="1:11" ht="14.25" customHeight="1">
      <c r="A224" s="566"/>
      <c r="K224" s="567"/>
    </row>
    <row r="225" spans="1:11" ht="14.25" customHeight="1">
      <c r="A225" s="566"/>
      <c r="K225" s="567"/>
    </row>
    <row r="226" spans="1:11" ht="14.25" customHeight="1">
      <c r="A226" s="566"/>
      <c r="K226" s="567"/>
    </row>
    <row r="227" spans="1:11" ht="14.25" customHeight="1">
      <c r="A227" s="566"/>
      <c r="K227" s="567"/>
    </row>
    <row r="228" spans="1:11" ht="14.25" customHeight="1">
      <c r="A228" s="566"/>
      <c r="K228" s="567"/>
    </row>
    <row r="229" spans="1:11" ht="14.25" customHeight="1">
      <c r="A229" s="566"/>
      <c r="K229" s="567"/>
    </row>
    <row r="230" spans="1:11" ht="14.25" customHeight="1">
      <c r="A230" s="566"/>
      <c r="K230" s="567"/>
    </row>
    <row r="231" spans="1:11" ht="14.25" customHeight="1">
      <c r="A231" s="566"/>
      <c r="K231" s="567"/>
    </row>
    <row r="232" spans="1:11" ht="14.25" customHeight="1">
      <c r="A232" s="566"/>
      <c r="K232" s="567"/>
    </row>
    <row r="233" spans="1:11" ht="14.25" customHeight="1">
      <c r="A233" s="566"/>
      <c r="K233" s="567"/>
    </row>
    <row r="234" spans="1:11" ht="14.25" customHeight="1">
      <c r="A234" s="566"/>
      <c r="K234" s="567"/>
    </row>
    <row r="235" spans="1:11" ht="14.25" customHeight="1">
      <c r="A235" s="566"/>
      <c r="K235" s="567"/>
    </row>
    <row r="236" spans="1:11" ht="14.25" customHeight="1">
      <c r="A236" s="566"/>
      <c r="K236" s="567"/>
    </row>
    <row r="237" spans="1:11" ht="14.25" customHeight="1">
      <c r="A237" s="566"/>
      <c r="K237" s="567"/>
    </row>
    <row r="238" spans="1:11" ht="14.25" customHeight="1">
      <c r="A238" s="566"/>
      <c r="K238" s="567"/>
    </row>
    <row r="239" spans="1:11" ht="14.25" customHeight="1">
      <c r="A239" s="566"/>
      <c r="K239" s="567"/>
    </row>
    <row r="240" spans="1:11" ht="14.25" customHeight="1">
      <c r="A240" s="566"/>
      <c r="K240" s="567"/>
    </row>
    <row r="241" spans="1:11" ht="14.25" customHeight="1">
      <c r="A241" s="566"/>
      <c r="K241" s="567"/>
    </row>
    <row r="242" spans="1:11" ht="14.25" customHeight="1">
      <c r="A242" s="566"/>
      <c r="K242" s="567"/>
    </row>
    <row r="243" spans="1:11" ht="14.25" customHeight="1">
      <c r="A243" s="566"/>
      <c r="K243" s="567"/>
    </row>
    <row r="244" spans="1:11" ht="14.25" customHeight="1">
      <c r="A244" s="566"/>
      <c r="K244" s="567"/>
    </row>
    <row r="245" spans="1:11" ht="14.25" customHeight="1">
      <c r="A245" s="566"/>
      <c r="K245" s="567"/>
    </row>
    <row r="246" spans="1:11" ht="14.25" customHeight="1">
      <c r="A246" s="566"/>
      <c r="K246" s="567"/>
    </row>
    <row r="247" spans="1:11" ht="14.25" customHeight="1">
      <c r="A247" s="566"/>
      <c r="K247" s="567"/>
    </row>
    <row r="248" spans="1:11" ht="14.25" customHeight="1">
      <c r="A248" s="566"/>
      <c r="K248" s="567"/>
    </row>
    <row r="249" spans="1:11" ht="14.25" customHeight="1">
      <c r="A249" s="566"/>
      <c r="K249" s="567"/>
    </row>
    <row r="250" spans="1:11" ht="14.25" customHeight="1">
      <c r="A250" s="566"/>
      <c r="K250" s="567"/>
    </row>
    <row r="251" spans="1:11" ht="14.25" customHeight="1">
      <c r="A251" s="566"/>
      <c r="K251" s="567"/>
    </row>
    <row r="252" spans="1:11" ht="14.25" customHeight="1">
      <c r="A252" s="566"/>
      <c r="K252" s="567"/>
    </row>
    <row r="253" spans="1:11" ht="14.25" customHeight="1">
      <c r="A253" s="566"/>
      <c r="K253" s="567"/>
    </row>
    <row r="254" spans="1:11" ht="14.25" customHeight="1">
      <c r="A254" s="566"/>
      <c r="K254" s="567"/>
    </row>
    <row r="255" spans="1:11" ht="14.25" customHeight="1">
      <c r="A255" s="566"/>
      <c r="K255" s="567"/>
    </row>
    <row r="256" spans="1:11" ht="14.25" customHeight="1">
      <c r="A256" s="566"/>
      <c r="K256" s="567"/>
    </row>
    <row r="257" spans="1:11" ht="14.25" customHeight="1">
      <c r="A257" s="566"/>
      <c r="K257" s="567"/>
    </row>
    <row r="258" spans="1:11" ht="14.25" customHeight="1">
      <c r="A258" s="566"/>
      <c r="K258" s="567"/>
    </row>
    <row r="259" spans="1:11" ht="14.25" customHeight="1">
      <c r="A259" s="566"/>
      <c r="K259" s="567"/>
    </row>
    <row r="260" spans="1:11" ht="14.25" customHeight="1">
      <c r="A260" s="566"/>
      <c r="K260" s="567"/>
    </row>
    <row r="261" spans="1:11" ht="14.25" customHeight="1">
      <c r="A261" s="566"/>
      <c r="K261" s="567"/>
    </row>
    <row r="262" spans="1:11" ht="14.25" customHeight="1">
      <c r="A262" s="566"/>
      <c r="K262" s="567"/>
    </row>
    <row r="263" spans="1:11" ht="14.25" customHeight="1">
      <c r="A263" s="566"/>
      <c r="K263" s="567"/>
    </row>
    <row r="264" spans="1:11" ht="14.25" customHeight="1">
      <c r="A264" s="566"/>
      <c r="K264" s="567"/>
    </row>
    <row r="265" spans="1:11" ht="14.25" customHeight="1">
      <c r="A265" s="566"/>
      <c r="K265" s="567"/>
    </row>
    <row r="266" spans="1:11" ht="14.25" customHeight="1">
      <c r="A266" s="566"/>
      <c r="K266" s="567"/>
    </row>
    <row r="267" spans="1:11" ht="14.25" customHeight="1">
      <c r="A267" s="566"/>
      <c r="K267" s="567"/>
    </row>
    <row r="268" spans="1:11" ht="14.25" customHeight="1">
      <c r="A268" s="566"/>
      <c r="K268" s="567"/>
    </row>
    <row r="269" spans="1:11" ht="14.25" customHeight="1">
      <c r="A269" s="566"/>
      <c r="K269" s="567"/>
    </row>
    <row r="270" spans="1:11" ht="14.25" customHeight="1">
      <c r="A270" s="566"/>
      <c r="K270" s="567"/>
    </row>
    <row r="271" spans="1:11" ht="14.25" customHeight="1">
      <c r="A271" s="566"/>
      <c r="K271" s="567"/>
    </row>
    <row r="272" spans="1:11" ht="14.25" customHeight="1">
      <c r="A272" s="566"/>
      <c r="K272" s="567"/>
    </row>
    <row r="273" spans="1:11" ht="14.25" customHeight="1">
      <c r="A273" s="566"/>
      <c r="K273" s="567"/>
    </row>
    <row r="274" spans="1:11" ht="14.25" customHeight="1">
      <c r="A274" s="566"/>
      <c r="K274" s="567"/>
    </row>
    <row r="275" spans="1:11" ht="14.25" customHeight="1">
      <c r="A275" s="566"/>
      <c r="K275" s="567"/>
    </row>
    <row r="276" spans="1:11" ht="14.25" customHeight="1">
      <c r="A276" s="566"/>
      <c r="K276" s="567"/>
    </row>
    <row r="277" spans="1:11" ht="14.25" customHeight="1">
      <c r="A277" s="566"/>
      <c r="K277" s="567"/>
    </row>
    <row r="278" spans="1:11" ht="14.25" customHeight="1">
      <c r="A278" s="566"/>
      <c r="K278" s="567"/>
    </row>
    <row r="279" spans="1:11" ht="14.25" customHeight="1">
      <c r="A279" s="566"/>
      <c r="K279" s="567"/>
    </row>
    <row r="280" spans="1:11" ht="14.25" customHeight="1">
      <c r="A280" s="566"/>
      <c r="K280" s="567"/>
    </row>
    <row r="281" spans="1:11" ht="14.25" customHeight="1">
      <c r="A281" s="566"/>
      <c r="K281" s="567"/>
    </row>
    <row r="282" spans="1:11" ht="14.25" customHeight="1">
      <c r="A282" s="566"/>
      <c r="K282" s="567"/>
    </row>
    <row r="283" spans="1:11" ht="14.25" customHeight="1">
      <c r="A283" s="566"/>
      <c r="K283" s="567"/>
    </row>
    <row r="284" spans="1:11" ht="14.25" customHeight="1">
      <c r="A284" s="566"/>
      <c r="K284" s="567"/>
    </row>
    <row r="285" spans="1:11" ht="14.25" customHeight="1">
      <c r="A285" s="566"/>
      <c r="K285" s="567"/>
    </row>
    <row r="286" spans="1:11" ht="14.25" customHeight="1">
      <c r="A286" s="566"/>
      <c r="K286" s="567"/>
    </row>
    <row r="287" spans="1:11" ht="14.25" customHeight="1">
      <c r="A287" s="566"/>
      <c r="K287" s="567"/>
    </row>
    <row r="288" spans="1:11" ht="14.25" customHeight="1">
      <c r="A288" s="566"/>
      <c r="K288" s="567"/>
    </row>
    <row r="289" spans="1:11" ht="14.25" customHeight="1">
      <c r="A289" s="566"/>
      <c r="K289" s="567"/>
    </row>
    <row r="290" spans="1:11" ht="14.25" customHeight="1">
      <c r="A290" s="566"/>
      <c r="K290" s="567"/>
    </row>
    <row r="291" spans="1:11" ht="14.25" customHeight="1">
      <c r="A291" s="566"/>
      <c r="K291" s="567"/>
    </row>
    <row r="292" spans="1:11" ht="14.25" customHeight="1">
      <c r="A292" s="566"/>
      <c r="K292" s="567"/>
    </row>
    <row r="293" spans="1:11" ht="14.25" customHeight="1">
      <c r="A293" s="566"/>
      <c r="K293" s="567"/>
    </row>
    <row r="294" spans="1:11" ht="14.25" customHeight="1">
      <c r="A294" s="566"/>
      <c r="K294" s="567"/>
    </row>
    <row r="295" spans="1:11" ht="14.25" customHeight="1">
      <c r="A295" s="566"/>
      <c r="K295" s="567"/>
    </row>
    <row r="296" spans="1:11" ht="14.25" customHeight="1">
      <c r="A296" s="566"/>
      <c r="K296" s="567"/>
    </row>
    <row r="297" spans="1:11" ht="14.25" customHeight="1">
      <c r="A297" s="566"/>
      <c r="K297" s="567"/>
    </row>
    <row r="298" spans="1:11" ht="14.25" customHeight="1">
      <c r="A298" s="566"/>
      <c r="K298" s="567"/>
    </row>
    <row r="299" spans="1:11" ht="14.25" customHeight="1">
      <c r="A299" s="566"/>
      <c r="K299" s="567"/>
    </row>
    <row r="300" spans="1:11" ht="14.25" customHeight="1">
      <c r="A300" s="566"/>
      <c r="K300" s="567"/>
    </row>
    <row r="301" spans="1:11" ht="14.25" customHeight="1">
      <c r="A301" s="566"/>
      <c r="K301" s="567"/>
    </row>
    <row r="302" spans="1:11" ht="14.25" customHeight="1">
      <c r="A302" s="566"/>
      <c r="K302" s="567"/>
    </row>
    <row r="303" spans="1:11" ht="14.25" customHeight="1">
      <c r="A303" s="566"/>
      <c r="K303" s="567"/>
    </row>
    <row r="304" spans="1:11" ht="14.25" customHeight="1">
      <c r="A304" s="566"/>
      <c r="K304" s="567"/>
    </row>
    <row r="305" spans="1:11" ht="14.25" customHeight="1">
      <c r="A305" s="566"/>
      <c r="K305" s="567"/>
    </row>
    <row r="306" spans="1:11" ht="14.25" customHeight="1">
      <c r="A306" s="566"/>
      <c r="K306" s="567"/>
    </row>
    <row r="307" spans="1:11" ht="14.25" customHeight="1">
      <c r="A307" s="566"/>
      <c r="K307" s="567"/>
    </row>
    <row r="308" spans="1:11" ht="14.25" customHeight="1">
      <c r="A308" s="566"/>
      <c r="K308" s="567"/>
    </row>
    <row r="309" spans="1:11" ht="14.25" customHeight="1">
      <c r="A309" s="566"/>
      <c r="K309" s="567"/>
    </row>
    <row r="310" spans="1:11" ht="14.25" customHeight="1">
      <c r="A310" s="566"/>
      <c r="K310" s="567"/>
    </row>
    <row r="311" spans="1:11" ht="14.25" customHeight="1">
      <c r="A311" s="566"/>
      <c r="K311" s="567"/>
    </row>
    <row r="312" spans="1:11" ht="14.25" customHeight="1">
      <c r="A312" s="566"/>
      <c r="K312" s="567"/>
    </row>
    <row r="313" spans="1:11" ht="14.25" customHeight="1">
      <c r="A313" s="566"/>
      <c r="K313" s="567"/>
    </row>
    <row r="314" spans="1:11" ht="14.25" customHeight="1">
      <c r="A314" s="566"/>
      <c r="K314" s="567"/>
    </row>
    <row r="315" spans="1:11" ht="14.25" customHeight="1">
      <c r="A315" s="566"/>
      <c r="K315" s="567"/>
    </row>
    <row r="316" spans="1:11" ht="14.25" customHeight="1">
      <c r="A316" s="566"/>
      <c r="K316" s="567"/>
    </row>
    <row r="317" spans="1:11" ht="14.25" customHeight="1">
      <c r="A317" s="566"/>
      <c r="K317" s="567"/>
    </row>
    <row r="318" spans="1:11" ht="14.25" customHeight="1">
      <c r="A318" s="566"/>
      <c r="K318" s="567"/>
    </row>
    <row r="319" spans="1:11" ht="14.25" customHeight="1">
      <c r="A319" s="566"/>
      <c r="K319" s="567"/>
    </row>
    <row r="320" spans="1:11" ht="14.25" customHeight="1">
      <c r="A320" s="566"/>
      <c r="K320" s="567"/>
    </row>
    <row r="321" spans="1:11" ht="14.25" customHeight="1">
      <c r="A321" s="566"/>
      <c r="K321" s="567"/>
    </row>
    <row r="322" spans="1:11" ht="14.25" customHeight="1">
      <c r="A322" s="566"/>
      <c r="K322" s="567"/>
    </row>
    <row r="323" spans="1:11" ht="14.25" customHeight="1">
      <c r="A323" s="566"/>
      <c r="K323" s="567"/>
    </row>
    <row r="324" spans="1:11" ht="14.25" customHeight="1">
      <c r="A324" s="566"/>
      <c r="K324" s="567"/>
    </row>
    <row r="325" spans="1:11" ht="14.25" customHeight="1">
      <c r="A325" s="566"/>
      <c r="K325" s="567"/>
    </row>
    <row r="326" spans="1:11" ht="14.25" customHeight="1">
      <c r="A326" s="566"/>
      <c r="K326" s="567"/>
    </row>
    <row r="327" spans="1:11" ht="14.25" customHeight="1">
      <c r="A327" s="566"/>
      <c r="K327" s="567"/>
    </row>
    <row r="328" spans="1:11" ht="14.25" customHeight="1">
      <c r="A328" s="566"/>
      <c r="K328" s="567"/>
    </row>
    <row r="329" spans="1:11" ht="14.25" customHeight="1">
      <c r="A329" s="566"/>
      <c r="K329" s="567"/>
    </row>
    <row r="330" spans="1:11" ht="14.25" customHeight="1">
      <c r="A330" s="566"/>
      <c r="K330" s="567"/>
    </row>
    <row r="331" spans="1:11" ht="14.25" customHeight="1">
      <c r="A331" s="566"/>
      <c r="K331" s="567"/>
    </row>
    <row r="332" spans="1:11" ht="14.25" customHeight="1">
      <c r="A332" s="566"/>
      <c r="K332" s="567"/>
    </row>
    <row r="333" spans="1:11" ht="14.25" customHeight="1">
      <c r="A333" s="566"/>
      <c r="K333" s="567"/>
    </row>
    <row r="334" spans="1:11" ht="14.25" customHeight="1">
      <c r="A334" s="566"/>
      <c r="K334" s="567"/>
    </row>
    <row r="335" spans="1:11" ht="14.25" customHeight="1">
      <c r="A335" s="566"/>
      <c r="K335" s="567"/>
    </row>
    <row r="336" spans="1:11" ht="14.25" customHeight="1">
      <c r="A336" s="566"/>
      <c r="K336" s="567"/>
    </row>
    <row r="337" spans="1:11" ht="14.25" customHeight="1">
      <c r="A337" s="566"/>
      <c r="K337" s="567"/>
    </row>
    <row r="338" spans="1:11" ht="14.25" customHeight="1">
      <c r="A338" s="566"/>
      <c r="K338" s="567"/>
    </row>
    <row r="339" spans="1:11" ht="14.25" customHeight="1">
      <c r="A339" s="566"/>
      <c r="K339" s="567"/>
    </row>
    <row r="340" spans="1:11" ht="14.25" customHeight="1">
      <c r="A340" s="566"/>
      <c r="K340" s="567"/>
    </row>
    <row r="341" spans="1:11" ht="14.25" customHeight="1">
      <c r="A341" s="566"/>
      <c r="K341" s="567"/>
    </row>
    <row r="342" spans="1:11" ht="14.25" customHeight="1">
      <c r="A342" s="566"/>
      <c r="K342" s="567"/>
    </row>
    <row r="343" spans="1:11" ht="14.25" customHeight="1">
      <c r="A343" s="566"/>
      <c r="K343" s="567"/>
    </row>
    <row r="344" spans="1:11" ht="14.25" customHeight="1">
      <c r="A344" s="566"/>
      <c r="K344" s="567"/>
    </row>
    <row r="345" spans="1:11" ht="14.25" customHeight="1">
      <c r="A345" s="566"/>
      <c r="K345" s="567"/>
    </row>
    <row r="346" spans="1:11" ht="14.25" customHeight="1">
      <c r="A346" s="566"/>
      <c r="K346" s="567"/>
    </row>
    <row r="347" spans="1:11" ht="14.25" customHeight="1">
      <c r="A347" s="566"/>
      <c r="K347" s="567"/>
    </row>
    <row r="348" spans="1:11" ht="14.25" customHeight="1">
      <c r="A348" s="566"/>
      <c r="K348" s="567"/>
    </row>
    <row r="349" spans="1:11" ht="14.25" customHeight="1">
      <c r="A349" s="566"/>
      <c r="K349" s="567"/>
    </row>
    <row r="350" spans="1:11" ht="14.25" customHeight="1">
      <c r="A350" s="566"/>
      <c r="K350" s="567"/>
    </row>
    <row r="351" spans="1:11" ht="14.25" customHeight="1">
      <c r="A351" s="566"/>
      <c r="K351" s="567"/>
    </row>
    <row r="352" spans="1:11" ht="14.25" customHeight="1">
      <c r="A352" s="566"/>
      <c r="K352" s="567"/>
    </row>
    <row r="353" spans="1:11" ht="14.25" customHeight="1">
      <c r="A353" s="566"/>
      <c r="K353" s="567"/>
    </row>
    <row r="354" spans="1:11" ht="14.25" customHeight="1">
      <c r="A354" s="566"/>
      <c r="K354" s="567"/>
    </row>
    <row r="355" spans="1:11" ht="14.25" customHeight="1">
      <c r="A355" s="566"/>
      <c r="K355" s="567"/>
    </row>
    <row r="356" spans="1:11" ht="14.25" customHeight="1">
      <c r="A356" s="566"/>
      <c r="K356" s="567"/>
    </row>
    <row r="357" spans="1:11" ht="14.25" customHeight="1">
      <c r="A357" s="566"/>
      <c r="K357" s="567"/>
    </row>
    <row r="358" spans="1:11" ht="14.25" customHeight="1">
      <c r="A358" s="566"/>
      <c r="K358" s="567"/>
    </row>
    <row r="359" spans="1:11" ht="14.25" customHeight="1">
      <c r="A359" s="566"/>
      <c r="K359" s="567"/>
    </row>
    <row r="360" spans="1:11" ht="14.25" customHeight="1">
      <c r="A360" s="566"/>
      <c r="K360" s="567"/>
    </row>
    <row r="361" spans="1:11" ht="14.25" customHeight="1">
      <c r="A361" s="566"/>
      <c r="K361" s="567"/>
    </row>
    <row r="362" spans="1:11" ht="14.25" customHeight="1">
      <c r="A362" s="566"/>
      <c r="K362" s="567"/>
    </row>
    <row r="363" spans="1:11" ht="14.25" customHeight="1">
      <c r="A363" s="566"/>
      <c r="K363" s="567"/>
    </row>
    <row r="364" spans="1:11" ht="14.25" customHeight="1">
      <c r="A364" s="566"/>
      <c r="K364" s="567"/>
    </row>
    <row r="365" spans="1:11" ht="14.25" customHeight="1">
      <c r="A365" s="566"/>
      <c r="K365" s="567"/>
    </row>
    <row r="366" spans="1:11" ht="14.25" customHeight="1">
      <c r="A366" s="566"/>
      <c r="K366" s="567"/>
    </row>
    <row r="367" spans="1:11" ht="14.25" customHeight="1">
      <c r="A367" s="566"/>
      <c r="K367" s="567"/>
    </row>
    <row r="368" spans="1:11" ht="14.25" customHeight="1">
      <c r="A368" s="566"/>
      <c r="K368" s="567"/>
    </row>
    <row r="369" spans="1:11" ht="14.25" customHeight="1">
      <c r="A369" s="566"/>
      <c r="K369" s="567"/>
    </row>
    <row r="370" spans="1:11" ht="14.25" customHeight="1">
      <c r="A370" s="566"/>
      <c r="K370" s="567"/>
    </row>
    <row r="371" spans="1:11" ht="14.25" customHeight="1">
      <c r="A371" s="566"/>
      <c r="K371" s="567"/>
    </row>
    <row r="372" spans="1:11" ht="14.25" customHeight="1">
      <c r="A372" s="566"/>
      <c r="K372" s="567"/>
    </row>
    <row r="373" spans="1:11" ht="14.25" customHeight="1">
      <c r="A373" s="566"/>
      <c r="K373" s="567"/>
    </row>
    <row r="374" spans="1:11" ht="14.25" customHeight="1">
      <c r="A374" s="566"/>
      <c r="K374" s="567"/>
    </row>
    <row r="375" spans="1:11" ht="14.25" customHeight="1">
      <c r="A375" s="566"/>
      <c r="K375" s="567"/>
    </row>
    <row r="376" spans="1:11" ht="14.25" customHeight="1">
      <c r="A376" s="566"/>
      <c r="K376" s="567"/>
    </row>
    <row r="377" spans="1:11" ht="14.25" customHeight="1">
      <c r="A377" s="566"/>
      <c r="K377" s="567"/>
    </row>
    <row r="378" spans="1:11" ht="14.25" customHeight="1">
      <c r="A378" s="566"/>
      <c r="K378" s="567"/>
    </row>
    <row r="379" spans="1:11" ht="14.25" customHeight="1">
      <c r="A379" s="566"/>
      <c r="K379" s="567"/>
    </row>
    <row r="380" spans="1:11" ht="14.25" customHeight="1">
      <c r="A380" s="566"/>
      <c r="K380" s="567"/>
    </row>
    <row r="381" spans="1:11" ht="14.25" customHeight="1">
      <c r="A381" s="566"/>
      <c r="K381" s="567"/>
    </row>
    <row r="382" spans="1:11" ht="14.25" customHeight="1">
      <c r="A382" s="566"/>
      <c r="K382" s="567"/>
    </row>
    <row r="383" spans="1:11" ht="14.25" customHeight="1">
      <c r="A383" s="566"/>
      <c r="K383" s="567"/>
    </row>
    <row r="384" spans="1:11" ht="14.25" customHeight="1">
      <c r="A384" s="566"/>
      <c r="K384" s="567"/>
    </row>
    <row r="385" spans="1:11" ht="14.25" customHeight="1">
      <c r="A385" s="566"/>
      <c r="K385" s="567"/>
    </row>
    <row r="386" spans="1:11" ht="14.25" customHeight="1">
      <c r="A386" s="566"/>
      <c r="K386" s="567"/>
    </row>
    <row r="387" spans="1:11" ht="14.25" customHeight="1">
      <c r="A387" s="566"/>
      <c r="K387" s="567"/>
    </row>
    <row r="388" spans="1:11" ht="14.25" customHeight="1">
      <c r="A388" s="566"/>
      <c r="K388" s="567"/>
    </row>
    <row r="389" spans="1:11" ht="14.25" customHeight="1">
      <c r="A389" s="566"/>
      <c r="K389" s="567"/>
    </row>
    <row r="390" spans="1:11" ht="14.25" customHeight="1">
      <c r="A390" s="566"/>
      <c r="K390" s="567"/>
    </row>
    <row r="391" spans="1:11" ht="14.25" customHeight="1">
      <c r="A391" s="566"/>
      <c r="K391" s="567"/>
    </row>
    <row r="392" spans="1:11" ht="14.25" customHeight="1">
      <c r="A392" s="566"/>
      <c r="K392" s="567"/>
    </row>
    <row r="393" spans="1:11" ht="14.25" customHeight="1">
      <c r="A393" s="566"/>
      <c r="K393" s="567"/>
    </row>
    <row r="394" spans="1:11" ht="14.25" customHeight="1">
      <c r="A394" s="566"/>
      <c r="K394" s="567"/>
    </row>
    <row r="395" spans="1:11" ht="14.25" customHeight="1">
      <c r="A395" s="566"/>
      <c r="K395" s="567"/>
    </row>
    <row r="396" spans="1:11" ht="14.25" customHeight="1">
      <c r="A396" s="566"/>
      <c r="K396" s="567"/>
    </row>
    <row r="397" spans="1:11" ht="14.25" customHeight="1">
      <c r="A397" s="566"/>
      <c r="K397" s="567"/>
    </row>
    <row r="398" spans="1:11" ht="14.25" customHeight="1">
      <c r="A398" s="566"/>
      <c r="K398" s="567"/>
    </row>
    <row r="399" spans="1:11" ht="14.25" customHeight="1">
      <c r="A399" s="566"/>
      <c r="K399" s="567"/>
    </row>
    <row r="400" spans="1:11" ht="14.25" customHeight="1">
      <c r="A400" s="566"/>
      <c r="K400" s="567"/>
    </row>
    <row r="401" spans="1:11" ht="14.25" customHeight="1">
      <c r="A401" s="566"/>
      <c r="K401" s="567"/>
    </row>
    <row r="402" spans="1:11" ht="14.25" customHeight="1">
      <c r="A402" s="566"/>
      <c r="K402" s="567"/>
    </row>
    <row r="403" spans="1:11" ht="14.25" customHeight="1">
      <c r="A403" s="566"/>
      <c r="K403" s="567"/>
    </row>
    <row r="404" spans="1:11" ht="14.25" customHeight="1">
      <c r="A404" s="566"/>
      <c r="K404" s="567"/>
    </row>
    <row r="405" spans="1:11" ht="14.25" customHeight="1">
      <c r="A405" s="566"/>
      <c r="K405" s="567"/>
    </row>
    <row r="406" spans="1:11" ht="14.25" customHeight="1">
      <c r="A406" s="566"/>
      <c r="K406" s="567"/>
    </row>
    <row r="407" spans="1:11" ht="14.25" customHeight="1">
      <c r="A407" s="566"/>
      <c r="K407" s="567"/>
    </row>
    <row r="408" spans="1:11" ht="14.25" customHeight="1">
      <c r="A408" s="566"/>
      <c r="K408" s="567"/>
    </row>
    <row r="409" spans="1:11" ht="14.25" customHeight="1">
      <c r="A409" s="566"/>
      <c r="K409" s="567"/>
    </row>
    <row r="410" spans="1:11" ht="14.25" customHeight="1">
      <c r="A410" s="566"/>
      <c r="K410" s="567"/>
    </row>
    <row r="411" spans="1:11" ht="14.25" customHeight="1">
      <c r="A411" s="566"/>
      <c r="K411" s="567"/>
    </row>
    <row r="412" spans="1:11" ht="14.25" customHeight="1">
      <c r="A412" s="566"/>
      <c r="K412" s="567"/>
    </row>
    <row r="413" spans="1:11" ht="14.25" customHeight="1">
      <c r="A413" s="566"/>
      <c r="K413" s="567"/>
    </row>
    <row r="414" spans="1:11" ht="14.25" customHeight="1">
      <c r="A414" s="566"/>
      <c r="K414" s="567"/>
    </row>
    <row r="415" spans="1:11" ht="14.25" customHeight="1">
      <c r="A415" s="566"/>
      <c r="K415" s="567"/>
    </row>
    <row r="416" spans="1:11" ht="14.25" customHeight="1">
      <c r="A416" s="566"/>
      <c r="K416" s="567"/>
    </row>
    <row r="417" spans="1:11" ht="14.25" customHeight="1">
      <c r="A417" s="566"/>
      <c r="K417" s="567"/>
    </row>
    <row r="418" spans="1:11" ht="14.25" customHeight="1">
      <c r="A418" s="566"/>
      <c r="K418" s="567"/>
    </row>
    <row r="419" spans="1:11" ht="14.25" customHeight="1">
      <c r="A419" s="566"/>
      <c r="K419" s="567"/>
    </row>
    <row r="420" spans="1:11" ht="14.25" customHeight="1">
      <c r="A420" s="566"/>
      <c r="K420" s="567"/>
    </row>
    <row r="421" spans="1:11" ht="14.25" customHeight="1">
      <c r="A421" s="566"/>
      <c r="K421" s="567"/>
    </row>
    <row r="422" spans="1:11" ht="14.25" customHeight="1">
      <c r="A422" s="566"/>
      <c r="K422" s="567"/>
    </row>
    <row r="423" spans="1:11" ht="14.25" customHeight="1">
      <c r="A423" s="566"/>
      <c r="K423" s="567"/>
    </row>
    <row r="424" spans="1:11" ht="14.25" customHeight="1">
      <c r="A424" s="566"/>
      <c r="K424" s="567"/>
    </row>
    <row r="425" spans="1:11" ht="14.25" customHeight="1">
      <c r="A425" s="566"/>
      <c r="K425" s="567"/>
    </row>
    <row r="426" spans="1:11" ht="14.25" customHeight="1">
      <c r="A426" s="566"/>
      <c r="K426" s="567"/>
    </row>
    <row r="427" spans="1:11" ht="14.25" customHeight="1">
      <c r="A427" s="566"/>
      <c r="K427" s="567"/>
    </row>
    <row r="428" spans="1:11" ht="14.25" customHeight="1">
      <c r="A428" s="566"/>
      <c r="K428" s="567"/>
    </row>
    <row r="429" spans="1:11" ht="14.25" customHeight="1">
      <c r="A429" s="566"/>
      <c r="K429" s="567"/>
    </row>
    <row r="430" spans="1:11" ht="14.25" customHeight="1">
      <c r="A430" s="566"/>
      <c r="K430" s="567"/>
    </row>
    <row r="431" spans="1:11" ht="14.25" customHeight="1">
      <c r="A431" s="566"/>
      <c r="K431" s="567"/>
    </row>
    <row r="432" spans="1:11" ht="14.25" customHeight="1">
      <c r="A432" s="566"/>
      <c r="K432" s="567"/>
    </row>
    <row r="433" spans="1:11" ht="14.25" customHeight="1">
      <c r="A433" s="566"/>
      <c r="K433" s="567"/>
    </row>
    <row r="434" spans="1:11" ht="14.25" customHeight="1">
      <c r="A434" s="566"/>
      <c r="K434" s="567"/>
    </row>
    <row r="435" spans="1:11" ht="14.25" customHeight="1">
      <c r="A435" s="566"/>
      <c r="K435" s="567"/>
    </row>
    <row r="436" spans="1:11" ht="14.25" customHeight="1">
      <c r="A436" s="566"/>
      <c r="K436" s="567"/>
    </row>
    <row r="437" spans="1:11" ht="14.25" customHeight="1">
      <c r="A437" s="566"/>
      <c r="K437" s="567"/>
    </row>
    <row r="438" spans="1:11" ht="14.25" customHeight="1">
      <c r="A438" s="566"/>
      <c r="K438" s="567"/>
    </row>
    <row r="439" spans="1:11" ht="14.25" customHeight="1">
      <c r="A439" s="566"/>
      <c r="K439" s="567"/>
    </row>
    <row r="440" spans="1:11" ht="14.25" customHeight="1">
      <c r="A440" s="566"/>
      <c r="K440" s="567"/>
    </row>
    <row r="441" spans="1:11" ht="14.25" customHeight="1">
      <c r="A441" s="566"/>
      <c r="K441" s="567"/>
    </row>
    <row r="442" spans="1:11" ht="14.25" customHeight="1">
      <c r="A442" s="566"/>
      <c r="K442" s="567"/>
    </row>
    <row r="443" spans="1:11" ht="14.25" customHeight="1">
      <c r="A443" s="566"/>
      <c r="K443" s="567"/>
    </row>
    <row r="444" spans="1:11" ht="14.25" customHeight="1">
      <c r="A444" s="566"/>
      <c r="K444" s="567"/>
    </row>
    <row r="445" spans="1:11" ht="14.25" customHeight="1">
      <c r="A445" s="566"/>
      <c r="K445" s="567"/>
    </row>
    <row r="446" spans="1:11" ht="14.25" customHeight="1">
      <c r="A446" s="566"/>
      <c r="K446" s="567"/>
    </row>
    <row r="447" spans="1:11" ht="14.25" customHeight="1">
      <c r="A447" s="566"/>
      <c r="K447" s="567"/>
    </row>
    <row r="448" spans="1:11" ht="14.25" customHeight="1">
      <c r="A448" s="566"/>
      <c r="K448" s="567"/>
    </row>
    <row r="449" spans="1:11" ht="14.25" customHeight="1">
      <c r="A449" s="566"/>
      <c r="K449" s="567"/>
    </row>
    <row r="450" spans="1:11" ht="14.25" customHeight="1">
      <c r="A450" s="566"/>
      <c r="K450" s="567"/>
    </row>
    <row r="451" spans="1:11" ht="14.25" customHeight="1">
      <c r="A451" s="566"/>
      <c r="K451" s="567"/>
    </row>
    <row r="452" spans="1:11" ht="14.25" customHeight="1">
      <c r="A452" s="566"/>
      <c r="K452" s="567"/>
    </row>
    <row r="453" spans="1:11" ht="14.25" customHeight="1">
      <c r="A453" s="566"/>
      <c r="K453" s="567"/>
    </row>
    <row r="454" spans="1:11" ht="14.25" customHeight="1">
      <c r="A454" s="566"/>
      <c r="K454" s="567"/>
    </row>
    <row r="455" spans="1:11" ht="14.25" customHeight="1">
      <c r="A455" s="566"/>
      <c r="K455" s="567"/>
    </row>
    <row r="456" spans="1:11" ht="14.25" customHeight="1">
      <c r="A456" s="566"/>
      <c r="K456" s="567"/>
    </row>
    <row r="457" spans="1:11" ht="14.25" customHeight="1">
      <c r="A457" s="566"/>
      <c r="K457" s="567"/>
    </row>
    <row r="458" spans="1:11" ht="14.25" customHeight="1">
      <c r="A458" s="566"/>
      <c r="K458" s="567"/>
    </row>
    <row r="459" spans="1:11" ht="14.25" customHeight="1">
      <c r="A459" s="566"/>
      <c r="K459" s="567"/>
    </row>
    <row r="460" spans="1:11" ht="14.25" customHeight="1">
      <c r="A460" s="566"/>
      <c r="K460" s="567"/>
    </row>
    <row r="461" spans="1:11" ht="14.25" customHeight="1">
      <c r="A461" s="566"/>
      <c r="K461" s="567"/>
    </row>
    <row r="462" spans="1:11" ht="14.25" customHeight="1">
      <c r="A462" s="566"/>
      <c r="K462" s="567"/>
    </row>
    <row r="463" spans="1:11" ht="14.25" customHeight="1">
      <c r="A463" s="566"/>
      <c r="K463" s="567"/>
    </row>
    <row r="464" spans="1:11" ht="14.25" customHeight="1">
      <c r="A464" s="566"/>
      <c r="K464" s="567"/>
    </row>
    <row r="465" spans="1:11" ht="14.25" customHeight="1">
      <c r="A465" s="566"/>
      <c r="K465" s="567"/>
    </row>
    <row r="466" spans="1:11" ht="14.25" customHeight="1">
      <c r="A466" s="566"/>
      <c r="K466" s="567"/>
    </row>
    <row r="467" spans="1:11" ht="14.25" customHeight="1">
      <c r="A467" s="566"/>
      <c r="K467" s="567"/>
    </row>
    <row r="468" spans="1:11" ht="14.25" customHeight="1">
      <c r="A468" s="566"/>
      <c r="K468" s="567"/>
    </row>
    <row r="469" spans="1:11" ht="14.25" customHeight="1">
      <c r="A469" s="566"/>
      <c r="K469" s="567"/>
    </row>
    <row r="470" spans="1:11" ht="14.25" customHeight="1">
      <c r="A470" s="566"/>
      <c r="K470" s="567"/>
    </row>
    <row r="471" spans="1:11" ht="14.25" customHeight="1">
      <c r="A471" s="566"/>
      <c r="K471" s="567"/>
    </row>
    <row r="472" spans="1:11" ht="14.25" customHeight="1">
      <c r="A472" s="566"/>
      <c r="K472" s="567"/>
    </row>
    <row r="473" spans="1:11" ht="14.25" customHeight="1">
      <c r="A473" s="566"/>
      <c r="K473" s="567"/>
    </row>
    <row r="474" spans="1:11" ht="14.25" customHeight="1">
      <c r="A474" s="566"/>
      <c r="K474" s="567"/>
    </row>
    <row r="475" spans="1:11" ht="14.25" customHeight="1">
      <c r="A475" s="566"/>
      <c r="K475" s="567"/>
    </row>
    <row r="476" spans="1:11" ht="14.25" customHeight="1">
      <c r="A476" s="566"/>
      <c r="K476" s="567"/>
    </row>
    <row r="477" spans="1:11" ht="14.25" customHeight="1">
      <c r="A477" s="566"/>
      <c r="K477" s="567"/>
    </row>
    <row r="478" spans="1:11" ht="14.25" customHeight="1">
      <c r="A478" s="566"/>
      <c r="K478" s="567"/>
    </row>
    <row r="479" spans="1:11" ht="14.25" customHeight="1">
      <c r="A479" s="566"/>
      <c r="K479" s="567"/>
    </row>
    <row r="480" spans="1:11" ht="14.25" customHeight="1">
      <c r="A480" s="566"/>
      <c r="K480" s="567"/>
    </row>
    <row r="481" spans="1:11" ht="14.25" customHeight="1">
      <c r="A481" s="566"/>
      <c r="K481" s="567"/>
    </row>
    <row r="482" spans="1:11" ht="14.25" customHeight="1">
      <c r="A482" s="566"/>
      <c r="K482" s="567"/>
    </row>
    <row r="483" spans="1:11" ht="14.25" customHeight="1">
      <c r="A483" s="566"/>
      <c r="K483" s="567"/>
    </row>
    <row r="484" spans="1:11" ht="14.25" customHeight="1">
      <c r="A484" s="566"/>
      <c r="K484" s="567"/>
    </row>
    <row r="485" spans="1:11" ht="14.25" customHeight="1">
      <c r="A485" s="566"/>
      <c r="K485" s="567"/>
    </row>
    <row r="486" spans="1:11" ht="14.25" customHeight="1">
      <c r="A486" s="566"/>
      <c r="K486" s="567"/>
    </row>
    <row r="487" spans="1:11" ht="14.25" customHeight="1">
      <c r="A487" s="566"/>
      <c r="K487" s="567"/>
    </row>
    <row r="488" spans="1:11" ht="14.25" customHeight="1">
      <c r="A488" s="566"/>
      <c r="K488" s="567"/>
    </row>
    <row r="489" spans="1:11" ht="14.25" customHeight="1">
      <c r="A489" s="566"/>
      <c r="K489" s="567"/>
    </row>
    <row r="490" spans="1:11" ht="14.25" customHeight="1">
      <c r="A490" s="566"/>
      <c r="K490" s="567"/>
    </row>
    <row r="491" spans="1:11" ht="14.25" customHeight="1">
      <c r="A491" s="566"/>
      <c r="K491" s="567"/>
    </row>
    <row r="492" spans="1:11" ht="14.25" customHeight="1">
      <c r="A492" s="566"/>
      <c r="K492" s="567"/>
    </row>
    <row r="493" spans="1:11" ht="14.25" customHeight="1">
      <c r="A493" s="566"/>
      <c r="K493" s="567"/>
    </row>
    <row r="494" spans="1:11" ht="14.25" customHeight="1">
      <c r="A494" s="566"/>
      <c r="K494" s="567"/>
    </row>
    <row r="495" spans="1:11" ht="14.25" customHeight="1">
      <c r="A495" s="566"/>
      <c r="K495" s="567"/>
    </row>
    <row r="496" spans="1:11" ht="14.25" customHeight="1">
      <c r="A496" s="566"/>
      <c r="K496" s="567"/>
    </row>
    <row r="497" spans="1:11" ht="14.25" customHeight="1">
      <c r="A497" s="566"/>
      <c r="K497" s="567"/>
    </row>
    <row r="498" spans="1:11" ht="14.25" customHeight="1">
      <c r="A498" s="566"/>
      <c r="K498" s="567"/>
    </row>
    <row r="499" spans="1:11" ht="14.25" customHeight="1">
      <c r="A499" s="566"/>
      <c r="K499" s="567"/>
    </row>
    <row r="500" spans="1:11" ht="14.25" customHeight="1">
      <c r="A500" s="566"/>
      <c r="K500" s="567"/>
    </row>
    <row r="501" spans="1:11" ht="14.25" customHeight="1">
      <c r="A501" s="566"/>
      <c r="K501" s="567"/>
    </row>
    <row r="502" spans="1:11" ht="14.25" customHeight="1">
      <c r="A502" s="566"/>
      <c r="K502" s="567"/>
    </row>
    <row r="503" spans="1:11" ht="14.25" customHeight="1">
      <c r="A503" s="566"/>
      <c r="K503" s="567"/>
    </row>
    <row r="504" spans="1:11" ht="14.25" customHeight="1">
      <c r="A504" s="566"/>
      <c r="K504" s="567"/>
    </row>
    <row r="505" spans="1:11" ht="14.25" customHeight="1">
      <c r="A505" s="566"/>
      <c r="K505" s="567"/>
    </row>
    <row r="506" spans="1:11" ht="14.25" customHeight="1">
      <c r="A506" s="566"/>
      <c r="K506" s="567"/>
    </row>
    <row r="507" spans="1:11" ht="14.25" customHeight="1">
      <c r="A507" s="566"/>
      <c r="K507" s="567"/>
    </row>
    <row r="508" spans="1:11" ht="14.25" customHeight="1">
      <c r="A508" s="566"/>
      <c r="K508" s="567"/>
    </row>
    <row r="509" spans="1:11" ht="14.25" customHeight="1">
      <c r="A509" s="566"/>
      <c r="K509" s="567"/>
    </row>
    <row r="510" spans="1:11" ht="14.25" customHeight="1">
      <c r="A510" s="566"/>
      <c r="K510" s="567"/>
    </row>
    <row r="511" spans="1:11" ht="14.25" customHeight="1">
      <c r="A511" s="566"/>
      <c r="K511" s="567"/>
    </row>
    <row r="512" spans="1:11" ht="14.25" customHeight="1">
      <c r="A512" s="566"/>
      <c r="K512" s="567"/>
    </row>
    <row r="513" spans="1:11" ht="14.25" customHeight="1">
      <c r="A513" s="566"/>
      <c r="K513" s="567"/>
    </row>
    <row r="514" spans="1:11" ht="14.25" customHeight="1">
      <c r="A514" s="566"/>
      <c r="K514" s="567"/>
    </row>
    <row r="515" spans="1:11" ht="14.25" customHeight="1">
      <c r="A515" s="566"/>
      <c r="K515" s="567"/>
    </row>
    <row r="516" spans="1:11" ht="14.25" customHeight="1">
      <c r="A516" s="566"/>
      <c r="K516" s="567"/>
    </row>
    <row r="517" spans="1:11" ht="14.25" customHeight="1">
      <c r="A517" s="566"/>
      <c r="K517" s="567"/>
    </row>
    <row r="518" spans="1:11" ht="14.25" customHeight="1">
      <c r="A518" s="566"/>
      <c r="K518" s="567"/>
    </row>
    <row r="519" spans="1:11" ht="14.25" customHeight="1">
      <c r="A519" s="566"/>
      <c r="K519" s="567"/>
    </row>
    <row r="520" spans="1:11" ht="14.25" customHeight="1">
      <c r="A520" s="566"/>
      <c r="K520" s="567"/>
    </row>
    <row r="521" spans="1:11" ht="14.25" customHeight="1">
      <c r="A521" s="566"/>
      <c r="K521" s="567"/>
    </row>
    <row r="522" spans="1:11" ht="14.25" customHeight="1">
      <c r="A522" s="566"/>
      <c r="K522" s="567"/>
    </row>
    <row r="523" spans="1:11" ht="14.25" customHeight="1">
      <c r="A523" s="566"/>
      <c r="K523" s="567"/>
    </row>
    <row r="524" spans="1:11" ht="14.25" customHeight="1">
      <c r="A524" s="566"/>
      <c r="K524" s="567"/>
    </row>
    <row r="525" spans="1:11" ht="14.25" customHeight="1">
      <c r="A525" s="566"/>
      <c r="K525" s="567"/>
    </row>
    <row r="526" spans="1:11" ht="14.25" customHeight="1">
      <c r="A526" s="566"/>
      <c r="K526" s="567"/>
    </row>
    <row r="527" spans="1:11" ht="14.25" customHeight="1">
      <c r="A527" s="566"/>
      <c r="K527" s="567"/>
    </row>
    <row r="528" spans="1:11" ht="14.25" customHeight="1">
      <c r="A528" s="566"/>
      <c r="K528" s="567"/>
    </row>
    <row r="529" spans="1:11" ht="14.25" customHeight="1">
      <c r="A529" s="566"/>
      <c r="K529" s="567"/>
    </row>
    <row r="530" spans="1:11" ht="14.25" customHeight="1">
      <c r="A530" s="566"/>
      <c r="K530" s="567"/>
    </row>
    <row r="531" spans="1:11" ht="14.25" customHeight="1">
      <c r="A531" s="566"/>
      <c r="K531" s="567"/>
    </row>
    <row r="532" spans="1:11" ht="14.25" customHeight="1">
      <c r="A532" s="566"/>
      <c r="K532" s="567"/>
    </row>
    <row r="533" spans="1:11" ht="14.25" customHeight="1">
      <c r="A533" s="566"/>
      <c r="K533" s="567"/>
    </row>
    <row r="534" spans="1:11" ht="14.25" customHeight="1">
      <c r="A534" s="566"/>
      <c r="K534" s="567"/>
    </row>
    <row r="535" spans="1:11" ht="14.25" customHeight="1">
      <c r="A535" s="566"/>
      <c r="K535" s="567"/>
    </row>
    <row r="536" spans="1:11" ht="14.25" customHeight="1">
      <c r="A536" s="566"/>
      <c r="K536" s="567"/>
    </row>
    <row r="537" spans="1:11" ht="14.25" customHeight="1">
      <c r="A537" s="566"/>
      <c r="K537" s="567"/>
    </row>
    <row r="538" spans="1:11" ht="14.25" customHeight="1">
      <c r="A538" s="566"/>
      <c r="K538" s="567"/>
    </row>
    <row r="539" spans="1:11" ht="14.25" customHeight="1">
      <c r="A539" s="566"/>
      <c r="K539" s="567"/>
    </row>
    <row r="540" spans="1:11" ht="14.25" customHeight="1">
      <c r="A540" s="566"/>
      <c r="K540" s="567"/>
    </row>
    <row r="541" spans="1:11" ht="14.25" customHeight="1">
      <c r="A541" s="566"/>
      <c r="K541" s="567"/>
    </row>
    <row r="542" spans="1:11" ht="14.25" customHeight="1">
      <c r="A542" s="566"/>
      <c r="K542" s="567"/>
    </row>
    <row r="543" spans="1:11" ht="14.25" customHeight="1">
      <c r="A543" s="566"/>
      <c r="K543" s="567"/>
    </row>
    <row r="544" spans="1:11" ht="14.25" customHeight="1">
      <c r="A544" s="566"/>
      <c r="K544" s="567"/>
    </row>
    <row r="545" spans="1:11" ht="14.25" customHeight="1">
      <c r="A545" s="566"/>
      <c r="K545" s="567"/>
    </row>
    <row r="546" spans="1:11" ht="14.25" customHeight="1">
      <c r="A546" s="566"/>
      <c r="K546" s="567"/>
    </row>
    <row r="547" spans="1:11" ht="14.25" customHeight="1">
      <c r="A547" s="566"/>
      <c r="K547" s="567"/>
    </row>
    <row r="548" spans="1:11" ht="14.25" customHeight="1">
      <c r="A548" s="566"/>
      <c r="K548" s="567"/>
    </row>
    <row r="549" spans="1:11" ht="14.25" customHeight="1">
      <c r="A549" s="566"/>
      <c r="K549" s="567"/>
    </row>
    <row r="550" spans="1:11" ht="14.25" customHeight="1">
      <c r="A550" s="566"/>
      <c r="K550" s="567"/>
    </row>
    <row r="551" spans="1:11" ht="14.25" customHeight="1">
      <c r="A551" s="566"/>
      <c r="K551" s="567"/>
    </row>
    <row r="552" spans="1:11" ht="14.25" customHeight="1">
      <c r="A552" s="566"/>
      <c r="K552" s="567"/>
    </row>
    <row r="553" spans="1:11" ht="14.25" customHeight="1">
      <c r="A553" s="566"/>
      <c r="K553" s="567"/>
    </row>
    <row r="554" spans="1:11" ht="14.25" customHeight="1">
      <c r="A554" s="566"/>
      <c r="K554" s="567"/>
    </row>
    <row r="555" spans="1:11" ht="14.25" customHeight="1">
      <c r="A555" s="566"/>
      <c r="K555" s="567"/>
    </row>
    <row r="556" spans="1:11" ht="14.25" customHeight="1">
      <c r="A556" s="566"/>
      <c r="K556" s="567"/>
    </row>
    <row r="557" spans="1:11" ht="14.25" customHeight="1">
      <c r="A557" s="566"/>
      <c r="K557" s="567"/>
    </row>
    <row r="558" spans="1:11" ht="14.25" customHeight="1">
      <c r="A558" s="566"/>
      <c r="K558" s="567"/>
    </row>
    <row r="559" spans="1:11" ht="14.25" customHeight="1">
      <c r="A559" s="566"/>
      <c r="K559" s="567"/>
    </row>
    <row r="560" spans="1:11" ht="14.25" customHeight="1">
      <c r="A560" s="566"/>
      <c r="K560" s="567"/>
    </row>
    <row r="561" spans="1:11" ht="14.25" customHeight="1">
      <c r="A561" s="566"/>
      <c r="K561" s="567"/>
    </row>
    <row r="562" spans="1:11" ht="14.25" customHeight="1">
      <c r="A562" s="566"/>
      <c r="K562" s="567"/>
    </row>
    <row r="563" spans="1:11" ht="14.25" customHeight="1">
      <c r="A563" s="566"/>
      <c r="K563" s="567"/>
    </row>
    <row r="564" spans="1:11" ht="14.25" customHeight="1">
      <c r="A564" s="566"/>
      <c r="K564" s="567"/>
    </row>
    <row r="565" spans="1:11" ht="14.25" customHeight="1">
      <c r="A565" s="566"/>
      <c r="K565" s="567"/>
    </row>
    <row r="566" spans="1:11" ht="14.25" customHeight="1">
      <c r="A566" s="566"/>
      <c r="K566" s="567"/>
    </row>
    <row r="567" spans="1:11" ht="14.25" customHeight="1">
      <c r="A567" s="566"/>
      <c r="K567" s="567"/>
    </row>
    <row r="568" spans="1:11" ht="14.25" customHeight="1">
      <c r="A568" s="566"/>
      <c r="K568" s="567"/>
    </row>
    <row r="569" spans="1:11" ht="14.25" customHeight="1">
      <c r="A569" s="566"/>
      <c r="K569" s="567"/>
    </row>
    <row r="570" spans="1:11" ht="14.25" customHeight="1">
      <c r="A570" s="566"/>
      <c r="K570" s="567"/>
    </row>
    <row r="571" spans="1:11" ht="14.25" customHeight="1">
      <c r="A571" s="566"/>
      <c r="K571" s="567"/>
    </row>
    <row r="572" spans="1:11" ht="14.25" customHeight="1">
      <c r="A572" s="566"/>
      <c r="K572" s="567"/>
    </row>
    <row r="573" spans="1:11" ht="14.25" customHeight="1">
      <c r="A573" s="566"/>
      <c r="K573" s="567"/>
    </row>
    <row r="574" spans="1:11" ht="14.25" customHeight="1">
      <c r="A574" s="566"/>
      <c r="K574" s="567"/>
    </row>
    <row r="575" spans="1:11" ht="14.25" customHeight="1">
      <c r="A575" s="566"/>
      <c r="K575" s="567"/>
    </row>
    <row r="576" spans="1:11" ht="14.25" customHeight="1">
      <c r="A576" s="566"/>
      <c r="K576" s="567"/>
    </row>
    <row r="577" spans="1:11" ht="14.25" customHeight="1">
      <c r="A577" s="566"/>
      <c r="K577" s="567"/>
    </row>
    <row r="578" spans="1:11" ht="14.25" customHeight="1">
      <c r="A578" s="566"/>
      <c r="K578" s="567"/>
    </row>
    <row r="579" spans="1:11" ht="14.25" customHeight="1">
      <c r="A579" s="566"/>
      <c r="K579" s="567"/>
    </row>
    <row r="580" spans="1:11" ht="14.25" customHeight="1">
      <c r="A580" s="566"/>
      <c r="K580" s="567"/>
    </row>
    <row r="581" spans="1:11" ht="14.25" customHeight="1">
      <c r="A581" s="566"/>
      <c r="K581" s="567"/>
    </row>
    <row r="582" spans="1:11" ht="14.25" customHeight="1">
      <c r="A582" s="566"/>
      <c r="K582" s="567"/>
    </row>
    <row r="583" spans="1:11" ht="14.25" customHeight="1">
      <c r="A583" s="566"/>
      <c r="K583" s="567"/>
    </row>
    <row r="584" spans="1:11" ht="14.25" customHeight="1">
      <c r="A584" s="566"/>
      <c r="K584" s="567"/>
    </row>
    <row r="585" spans="1:11" ht="14.25" customHeight="1">
      <c r="A585" s="566"/>
      <c r="K585" s="567"/>
    </row>
    <row r="586" spans="1:11" ht="14.25" customHeight="1">
      <c r="A586" s="566"/>
      <c r="K586" s="567"/>
    </row>
    <row r="587" spans="1:11" ht="14.25" customHeight="1">
      <c r="A587" s="566"/>
      <c r="K587" s="567"/>
    </row>
    <row r="588" spans="1:11" ht="14.25" customHeight="1">
      <c r="A588" s="566"/>
      <c r="K588" s="567"/>
    </row>
    <row r="589" spans="1:11" ht="14.25" customHeight="1">
      <c r="A589" s="566"/>
      <c r="K589" s="567"/>
    </row>
    <row r="590" spans="1:11" ht="14.25" customHeight="1">
      <c r="A590" s="566"/>
      <c r="K590" s="567"/>
    </row>
    <row r="591" spans="1:11" ht="14.25" customHeight="1">
      <c r="A591" s="566"/>
      <c r="K591" s="567"/>
    </row>
    <row r="592" spans="1:11" ht="14.25" customHeight="1">
      <c r="A592" s="566"/>
      <c r="K592" s="567"/>
    </row>
    <row r="593" spans="1:11" ht="14.25" customHeight="1">
      <c r="A593" s="566"/>
      <c r="K593" s="567"/>
    </row>
    <row r="594" spans="1:11" ht="14.25" customHeight="1">
      <c r="A594" s="566"/>
      <c r="K594" s="567"/>
    </row>
    <row r="595" spans="1:11" ht="14.25" customHeight="1">
      <c r="A595" s="566"/>
      <c r="K595" s="567"/>
    </row>
    <row r="596" spans="1:11" ht="14.25" customHeight="1">
      <c r="A596" s="566"/>
      <c r="K596" s="567"/>
    </row>
    <row r="597" spans="1:11" ht="14.25" customHeight="1">
      <c r="A597" s="566"/>
      <c r="K597" s="567"/>
    </row>
    <row r="598" spans="1:11" ht="14.25" customHeight="1">
      <c r="A598" s="566"/>
      <c r="K598" s="567"/>
    </row>
    <row r="599" spans="1:11" ht="14.25" customHeight="1">
      <c r="A599" s="566"/>
      <c r="K599" s="567"/>
    </row>
    <row r="600" spans="1:11" ht="14.25" customHeight="1">
      <c r="A600" s="566"/>
      <c r="K600" s="567"/>
    </row>
    <row r="601" spans="1:11" ht="14.25" customHeight="1">
      <c r="A601" s="566"/>
      <c r="K601" s="567"/>
    </row>
    <row r="602" spans="1:11" ht="14.25" customHeight="1">
      <c r="A602" s="566"/>
      <c r="K602" s="567"/>
    </row>
    <row r="603" spans="1:11" ht="14.25" customHeight="1">
      <c r="A603" s="566"/>
      <c r="K603" s="567"/>
    </row>
    <row r="604" spans="1:11" ht="14.25" customHeight="1">
      <c r="A604" s="566"/>
      <c r="K604" s="567"/>
    </row>
    <row r="605" spans="1:11" ht="14.25" customHeight="1">
      <c r="A605" s="566"/>
      <c r="K605" s="567"/>
    </row>
    <row r="606" spans="1:11" ht="14.25" customHeight="1">
      <c r="A606" s="566"/>
      <c r="K606" s="567"/>
    </row>
    <row r="607" spans="1:11" ht="14.25" customHeight="1">
      <c r="A607" s="566"/>
      <c r="K607" s="567"/>
    </row>
    <row r="608" spans="1:11" ht="14.25" customHeight="1">
      <c r="A608" s="566"/>
      <c r="K608" s="567"/>
    </row>
    <row r="609" spans="1:11" ht="14.25" customHeight="1">
      <c r="A609" s="566"/>
      <c r="K609" s="567"/>
    </row>
    <row r="610" spans="1:11" ht="14.25" customHeight="1">
      <c r="A610" s="566"/>
      <c r="K610" s="567"/>
    </row>
    <row r="611" spans="1:11" ht="14.25" customHeight="1">
      <c r="A611" s="566"/>
      <c r="K611" s="567"/>
    </row>
    <row r="612" spans="1:11" ht="14.25" customHeight="1">
      <c r="A612" s="566"/>
      <c r="K612" s="567"/>
    </row>
    <row r="613" spans="1:11" ht="14.25" customHeight="1">
      <c r="A613" s="566"/>
      <c r="K613" s="567"/>
    </row>
    <row r="614" spans="1:11" ht="14.25" customHeight="1">
      <c r="A614" s="566"/>
      <c r="K614" s="567"/>
    </row>
    <row r="615" spans="1:11" ht="14.25" customHeight="1">
      <c r="A615" s="566"/>
      <c r="K615" s="567"/>
    </row>
    <row r="616" spans="1:11" ht="14.25" customHeight="1">
      <c r="A616" s="566"/>
      <c r="K616" s="567"/>
    </row>
    <row r="617" spans="1:11" ht="14.25" customHeight="1">
      <c r="A617" s="566"/>
      <c r="K617" s="567"/>
    </row>
    <row r="618" spans="1:11" ht="14.25" customHeight="1">
      <c r="A618" s="566"/>
      <c r="K618" s="567"/>
    </row>
    <row r="619" spans="1:11" ht="14.25" customHeight="1">
      <c r="A619" s="566"/>
      <c r="K619" s="567"/>
    </row>
    <row r="620" spans="1:11" ht="14.25" customHeight="1">
      <c r="A620" s="566"/>
      <c r="K620" s="567"/>
    </row>
    <row r="621" spans="1:11" ht="14.25" customHeight="1">
      <c r="A621" s="566"/>
      <c r="K621" s="567"/>
    </row>
    <row r="622" spans="1:11" ht="14.25" customHeight="1">
      <c r="A622" s="566"/>
      <c r="K622" s="567"/>
    </row>
    <row r="623" spans="1:11" ht="14.25" customHeight="1">
      <c r="A623" s="566"/>
      <c r="K623" s="567"/>
    </row>
    <row r="624" spans="1:11" ht="14.25" customHeight="1">
      <c r="A624" s="566"/>
      <c r="K624" s="567"/>
    </row>
    <row r="625" spans="1:11" ht="14.25" customHeight="1">
      <c r="A625" s="566"/>
      <c r="K625" s="567"/>
    </row>
    <row r="626" spans="1:11" ht="14.25" customHeight="1">
      <c r="A626" s="566"/>
      <c r="K626" s="567"/>
    </row>
    <row r="627" spans="1:11" ht="14.25" customHeight="1">
      <c r="A627" s="566"/>
      <c r="K627" s="567"/>
    </row>
    <row r="628" spans="1:11" ht="14.25" customHeight="1">
      <c r="A628" s="566"/>
      <c r="K628" s="567"/>
    </row>
    <row r="629" spans="1:11" ht="14.25" customHeight="1">
      <c r="A629" s="566"/>
      <c r="K629" s="567"/>
    </row>
    <row r="630" spans="1:11" ht="14.25" customHeight="1">
      <c r="A630" s="566"/>
      <c r="K630" s="567"/>
    </row>
    <row r="631" spans="1:11" ht="14.25" customHeight="1">
      <c r="A631" s="566"/>
      <c r="K631" s="567"/>
    </row>
    <row r="632" spans="1:11" ht="14.25" customHeight="1">
      <c r="A632" s="566"/>
      <c r="K632" s="567"/>
    </row>
    <row r="633" spans="1:11" ht="14.25" customHeight="1">
      <c r="A633" s="566"/>
      <c r="K633" s="567"/>
    </row>
    <row r="634" spans="1:11" ht="14.25" customHeight="1">
      <c r="A634" s="566"/>
      <c r="K634" s="567"/>
    </row>
    <row r="635" spans="1:11" ht="14.25" customHeight="1">
      <c r="A635" s="566"/>
      <c r="K635" s="567"/>
    </row>
    <row r="636" spans="1:11" ht="14.25" customHeight="1">
      <c r="A636" s="566"/>
      <c r="K636" s="567"/>
    </row>
    <row r="637" spans="1:11" ht="14.25" customHeight="1">
      <c r="A637" s="566"/>
      <c r="K637" s="567"/>
    </row>
    <row r="638" spans="1:11" ht="14.25" customHeight="1">
      <c r="A638" s="566"/>
      <c r="K638" s="567"/>
    </row>
    <row r="639" spans="1:11" ht="14.25" customHeight="1">
      <c r="A639" s="566"/>
      <c r="K639" s="567"/>
    </row>
    <row r="640" spans="1:11" ht="14.25" customHeight="1">
      <c r="A640" s="566"/>
      <c r="K640" s="567"/>
    </row>
    <row r="641" spans="1:11" ht="14.25" customHeight="1">
      <c r="A641" s="566"/>
      <c r="K641" s="567"/>
    </row>
    <row r="642" spans="1:11" ht="14.25" customHeight="1">
      <c r="A642" s="566"/>
      <c r="K642" s="567"/>
    </row>
    <row r="643" spans="1:11" ht="14.25" customHeight="1">
      <c r="A643" s="566"/>
      <c r="K643" s="567"/>
    </row>
    <row r="644" spans="1:11" ht="14.25" customHeight="1">
      <c r="A644" s="566"/>
      <c r="K644" s="567"/>
    </row>
    <row r="645" spans="1:11" ht="14.25" customHeight="1">
      <c r="A645" s="566"/>
      <c r="K645" s="567"/>
    </row>
    <row r="646" spans="1:11" ht="14.25" customHeight="1">
      <c r="A646" s="566"/>
      <c r="K646" s="567"/>
    </row>
    <row r="647" spans="1:11" ht="14.25" customHeight="1">
      <c r="A647" s="566"/>
      <c r="K647" s="567"/>
    </row>
    <row r="648" spans="1:11" ht="14.25" customHeight="1">
      <c r="A648" s="566"/>
      <c r="K648" s="567"/>
    </row>
    <row r="649" spans="1:11" ht="14.25" customHeight="1">
      <c r="A649" s="566"/>
      <c r="K649" s="567"/>
    </row>
    <row r="650" spans="1:11" ht="14.25" customHeight="1">
      <c r="A650" s="566"/>
      <c r="K650" s="567"/>
    </row>
    <row r="651" spans="1:11" ht="14.25" customHeight="1">
      <c r="A651" s="566"/>
      <c r="K651" s="567"/>
    </row>
    <row r="652" spans="1:11" ht="14.25" customHeight="1">
      <c r="A652" s="566"/>
      <c r="K652" s="567"/>
    </row>
    <row r="653" spans="1:11" ht="14.25" customHeight="1">
      <c r="A653" s="566"/>
      <c r="K653" s="567"/>
    </row>
    <row r="654" spans="1:11" ht="14.25" customHeight="1">
      <c r="A654" s="566"/>
      <c r="K654" s="567"/>
    </row>
    <row r="655" spans="1:11" ht="14.25" customHeight="1">
      <c r="A655" s="566"/>
      <c r="K655" s="567"/>
    </row>
    <row r="656" spans="1:11" ht="14.25" customHeight="1">
      <c r="A656" s="566"/>
      <c r="K656" s="567"/>
    </row>
    <row r="657" spans="1:11" ht="14.25" customHeight="1">
      <c r="A657" s="566"/>
      <c r="K657" s="567"/>
    </row>
    <row r="658" spans="1:11" ht="14.25" customHeight="1">
      <c r="A658" s="566"/>
      <c r="K658" s="567"/>
    </row>
    <row r="659" spans="1:11" ht="14.25" customHeight="1">
      <c r="A659" s="566"/>
      <c r="K659" s="567"/>
    </row>
    <row r="660" spans="1:11" ht="14.25" customHeight="1">
      <c r="A660" s="566"/>
      <c r="K660" s="567"/>
    </row>
    <row r="661" spans="1:11" ht="14.25" customHeight="1">
      <c r="A661" s="566"/>
      <c r="K661" s="567"/>
    </row>
    <row r="662" spans="1:11" ht="14.25" customHeight="1">
      <c r="A662" s="566"/>
      <c r="K662" s="567"/>
    </row>
    <row r="663" spans="1:11" ht="14.25" customHeight="1">
      <c r="A663" s="566"/>
      <c r="K663" s="567"/>
    </row>
    <row r="664" spans="1:11" ht="14.25" customHeight="1">
      <c r="A664" s="566"/>
      <c r="K664" s="567"/>
    </row>
    <row r="665" spans="1:11" ht="14.25" customHeight="1">
      <c r="A665" s="566"/>
      <c r="K665" s="567"/>
    </row>
    <row r="666" spans="1:11" ht="14.25" customHeight="1">
      <c r="A666" s="566"/>
      <c r="K666" s="567"/>
    </row>
    <row r="667" spans="1:11" ht="14.25" customHeight="1">
      <c r="A667" s="566"/>
      <c r="K667" s="567"/>
    </row>
    <row r="668" spans="1:11" ht="14.25" customHeight="1">
      <c r="A668" s="566"/>
      <c r="K668" s="567"/>
    </row>
    <row r="669" spans="1:11" ht="14.25" customHeight="1">
      <c r="A669" s="566"/>
      <c r="K669" s="567"/>
    </row>
    <row r="670" spans="1:11" ht="14.25" customHeight="1">
      <c r="A670" s="566"/>
      <c r="K670" s="567"/>
    </row>
    <row r="671" spans="1:11" ht="14.25" customHeight="1">
      <c r="A671" s="566"/>
      <c r="K671" s="567"/>
    </row>
    <row r="672" spans="1:11" ht="14.25" customHeight="1">
      <c r="A672" s="566"/>
      <c r="K672" s="567"/>
    </row>
    <row r="673" spans="1:11" ht="14.25" customHeight="1">
      <c r="A673" s="566"/>
      <c r="K673" s="567"/>
    </row>
    <row r="674" spans="1:11" ht="14.25" customHeight="1">
      <c r="A674" s="566"/>
      <c r="K674" s="567"/>
    </row>
    <row r="675" spans="1:11" ht="14.25" customHeight="1">
      <c r="A675" s="566"/>
      <c r="K675" s="567"/>
    </row>
    <row r="676" spans="1:11" ht="14.25" customHeight="1">
      <c r="A676" s="566"/>
      <c r="K676" s="567"/>
    </row>
    <row r="677" spans="1:11" ht="14.25" customHeight="1">
      <c r="A677" s="566"/>
      <c r="K677" s="567"/>
    </row>
    <row r="678" spans="1:11" ht="14.25" customHeight="1">
      <c r="A678" s="566"/>
      <c r="K678" s="567"/>
    </row>
    <row r="679" spans="1:11" ht="14.25" customHeight="1">
      <c r="A679" s="566"/>
      <c r="K679" s="567"/>
    </row>
    <row r="680" spans="1:11" ht="14.25" customHeight="1">
      <c r="A680" s="566"/>
      <c r="K680" s="567"/>
    </row>
    <row r="681" spans="1:11" ht="14.25" customHeight="1">
      <c r="A681" s="566"/>
      <c r="K681" s="567"/>
    </row>
    <row r="682" spans="1:11" ht="14.25" customHeight="1">
      <c r="A682" s="566"/>
      <c r="K682" s="567"/>
    </row>
    <row r="683" spans="1:11" ht="14.25" customHeight="1">
      <c r="A683" s="566"/>
      <c r="K683" s="567"/>
    </row>
    <row r="684" spans="1:11" ht="14.25" customHeight="1">
      <c r="A684" s="566"/>
      <c r="K684" s="567"/>
    </row>
    <row r="685" spans="1:11" ht="14.25" customHeight="1">
      <c r="A685" s="566"/>
      <c r="K685" s="567"/>
    </row>
    <row r="686" spans="1:11" ht="14.25" customHeight="1">
      <c r="A686" s="566"/>
      <c r="K686" s="567"/>
    </row>
    <row r="687" spans="1:11" ht="14.25" customHeight="1">
      <c r="A687" s="566"/>
      <c r="K687" s="567"/>
    </row>
    <row r="688" spans="1:11" ht="14.25" customHeight="1">
      <c r="A688" s="566"/>
      <c r="K688" s="567"/>
    </row>
    <row r="689" spans="1:11" ht="14.25" customHeight="1">
      <c r="A689" s="566"/>
      <c r="K689" s="567"/>
    </row>
    <row r="690" spans="1:11" ht="14.25" customHeight="1">
      <c r="A690" s="566"/>
      <c r="K690" s="567"/>
    </row>
    <row r="691" spans="1:11" ht="14.25" customHeight="1">
      <c r="A691" s="566"/>
      <c r="K691" s="567"/>
    </row>
    <row r="692" spans="1:11" ht="14.25" customHeight="1">
      <c r="A692" s="566"/>
      <c r="K692" s="567"/>
    </row>
    <row r="693" spans="1:11" ht="14.25" customHeight="1">
      <c r="A693" s="566"/>
      <c r="K693" s="567"/>
    </row>
    <row r="694" spans="1:11" ht="14.25" customHeight="1">
      <c r="A694" s="566"/>
      <c r="K694" s="567"/>
    </row>
    <row r="695" spans="1:11" ht="14.25" customHeight="1">
      <c r="A695" s="566"/>
      <c r="K695" s="567"/>
    </row>
    <row r="696" spans="1:11" ht="14.25" customHeight="1">
      <c r="A696" s="566"/>
      <c r="K696" s="567"/>
    </row>
    <row r="697" spans="1:11" ht="14.25" customHeight="1">
      <c r="A697" s="566"/>
      <c r="K697" s="567"/>
    </row>
    <row r="698" spans="1:11" ht="14.25" customHeight="1">
      <c r="A698" s="566"/>
      <c r="K698" s="567"/>
    </row>
    <row r="699" spans="1:11" ht="14.25" customHeight="1">
      <c r="A699" s="566"/>
      <c r="K699" s="567"/>
    </row>
    <row r="700" spans="1:11" ht="14.25" customHeight="1">
      <c r="A700" s="566"/>
      <c r="K700" s="567"/>
    </row>
    <row r="701" spans="1:11" ht="14.25" customHeight="1">
      <c r="A701" s="566"/>
      <c r="K701" s="567"/>
    </row>
    <row r="702" spans="1:11" ht="14.25" customHeight="1">
      <c r="A702" s="566"/>
      <c r="K702" s="567"/>
    </row>
    <row r="703" spans="1:11" ht="14.25" customHeight="1">
      <c r="A703" s="566"/>
      <c r="K703" s="567"/>
    </row>
    <row r="704" spans="1:11" ht="14.25" customHeight="1">
      <c r="A704" s="566"/>
      <c r="K704" s="567"/>
    </row>
    <row r="705" spans="1:11" ht="14.25" customHeight="1">
      <c r="A705" s="566"/>
      <c r="K705" s="567"/>
    </row>
    <row r="706" spans="1:11" ht="14.25" customHeight="1">
      <c r="A706" s="566"/>
      <c r="K706" s="567"/>
    </row>
    <row r="707" spans="1:11" ht="14.25" customHeight="1">
      <c r="A707" s="566"/>
      <c r="K707" s="567"/>
    </row>
    <row r="708" spans="1:11" ht="14.25" customHeight="1">
      <c r="A708" s="566"/>
      <c r="K708" s="567"/>
    </row>
    <row r="709" spans="1:11" ht="14.25" customHeight="1">
      <c r="A709" s="566"/>
      <c r="K709" s="567"/>
    </row>
    <row r="710" spans="1:11" ht="14.25" customHeight="1">
      <c r="A710" s="566"/>
      <c r="K710" s="567"/>
    </row>
    <row r="711" spans="1:11" ht="14.25" customHeight="1">
      <c r="A711" s="566"/>
      <c r="K711" s="567"/>
    </row>
    <row r="712" spans="1:11" ht="14.25" customHeight="1">
      <c r="A712" s="566"/>
      <c r="K712" s="567"/>
    </row>
    <row r="713" spans="1:11" ht="14.25" customHeight="1">
      <c r="A713" s="566"/>
      <c r="K713" s="567"/>
    </row>
    <row r="714" spans="1:11" ht="14.25" customHeight="1">
      <c r="A714" s="566"/>
      <c r="K714" s="567"/>
    </row>
    <row r="715" spans="1:11" ht="14.25" customHeight="1">
      <c r="A715" s="566"/>
      <c r="K715" s="567"/>
    </row>
    <row r="716" spans="1:11" ht="14.25" customHeight="1">
      <c r="A716" s="566"/>
      <c r="K716" s="567"/>
    </row>
    <row r="717" spans="1:11" ht="14.25" customHeight="1">
      <c r="A717" s="566"/>
      <c r="K717" s="567"/>
    </row>
    <row r="718" spans="1:11" ht="14.25" customHeight="1">
      <c r="A718" s="566"/>
      <c r="K718" s="567"/>
    </row>
    <row r="719" spans="1:11" ht="14.25" customHeight="1">
      <c r="A719" s="566"/>
      <c r="K719" s="567"/>
    </row>
    <row r="720" spans="1:11" ht="14.25" customHeight="1">
      <c r="A720" s="566"/>
      <c r="K720" s="567"/>
    </row>
    <row r="721" spans="1:11" ht="14.25" customHeight="1">
      <c r="A721" s="566"/>
      <c r="K721" s="567"/>
    </row>
    <row r="722" spans="1:11" ht="14.25" customHeight="1">
      <c r="A722" s="566"/>
      <c r="K722" s="567"/>
    </row>
    <row r="723" spans="1:11" ht="14.25" customHeight="1">
      <c r="A723" s="566"/>
      <c r="K723" s="567"/>
    </row>
    <row r="724" spans="1:11" ht="14.25" customHeight="1">
      <c r="A724" s="566"/>
      <c r="K724" s="567"/>
    </row>
    <row r="725" spans="1:11" ht="14.25" customHeight="1">
      <c r="A725" s="566"/>
      <c r="K725" s="567"/>
    </row>
    <row r="726" spans="1:11" ht="14.25" customHeight="1">
      <c r="A726" s="566"/>
      <c r="K726" s="567"/>
    </row>
    <row r="727" spans="1:11" ht="14.25" customHeight="1">
      <c r="A727" s="566"/>
      <c r="K727" s="567"/>
    </row>
    <row r="728" spans="1:11" ht="14.25" customHeight="1">
      <c r="A728" s="566"/>
      <c r="K728" s="567"/>
    </row>
    <row r="729" spans="1:11" ht="14.25" customHeight="1">
      <c r="A729" s="566"/>
      <c r="K729" s="567"/>
    </row>
    <row r="730" spans="1:11" ht="14.25" customHeight="1">
      <c r="A730" s="566"/>
      <c r="K730" s="567"/>
    </row>
    <row r="731" spans="1:11" ht="14.25" customHeight="1">
      <c r="A731" s="566"/>
      <c r="K731" s="567"/>
    </row>
    <row r="732" spans="1:11" ht="14.25" customHeight="1">
      <c r="A732" s="566"/>
      <c r="K732" s="567"/>
    </row>
    <row r="733" spans="1:11" ht="14.25" customHeight="1">
      <c r="A733" s="566"/>
      <c r="K733" s="567"/>
    </row>
    <row r="734" spans="1:11" ht="14.25" customHeight="1">
      <c r="A734" s="566"/>
      <c r="K734" s="567"/>
    </row>
    <row r="735" spans="1:11" ht="14.25" customHeight="1">
      <c r="A735" s="566"/>
      <c r="K735" s="567"/>
    </row>
    <row r="736" spans="1:11" ht="14.25" customHeight="1">
      <c r="A736" s="566"/>
      <c r="K736" s="567"/>
    </row>
    <row r="737" spans="1:11" ht="14.25" customHeight="1">
      <c r="A737" s="566"/>
      <c r="K737" s="567"/>
    </row>
    <row r="738" spans="1:11" ht="14.25" customHeight="1">
      <c r="A738" s="566"/>
      <c r="K738" s="567"/>
    </row>
    <row r="739" spans="1:11" ht="14.25" customHeight="1">
      <c r="A739" s="566"/>
      <c r="K739" s="567"/>
    </row>
    <row r="740" spans="1:11" ht="14.25" customHeight="1">
      <c r="A740" s="566"/>
      <c r="K740" s="567"/>
    </row>
    <row r="741" spans="1:11" ht="14.25" customHeight="1">
      <c r="A741" s="566"/>
      <c r="K741" s="567"/>
    </row>
    <row r="742" spans="1:11" ht="14.25" customHeight="1">
      <c r="A742" s="566"/>
      <c r="K742" s="567"/>
    </row>
    <row r="743" spans="1:11" ht="14.25" customHeight="1">
      <c r="A743" s="566"/>
      <c r="K743" s="567"/>
    </row>
    <row r="744" spans="1:11" ht="14.25" customHeight="1">
      <c r="A744" s="566"/>
      <c r="K744" s="567"/>
    </row>
    <row r="745" spans="1:11" ht="14.25" customHeight="1">
      <c r="A745" s="566"/>
      <c r="K745" s="567"/>
    </row>
    <row r="746" spans="1:11" ht="14.25" customHeight="1">
      <c r="A746" s="566"/>
      <c r="K746" s="567"/>
    </row>
    <row r="747" spans="1:11" ht="14.25" customHeight="1">
      <c r="A747" s="566"/>
      <c r="K747" s="567"/>
    </row>
    <row r="748" spans="1:11" ht="14.25" customHeight="1">
      <c r="A748" s="566"/>
      <c r="K748" s="567"/>
    </row>
    <row r="749" spans="1:11" ht="14.25" customHeight="1">
      <c r="A749" s="566"/>
      <c r="K749" s="567"/>
    </row>
    <row r="750" spans="1:11" ht="14.25" customHeight="1">
      <c r="A750" s="566"/>
      <c r="K750" s="567"/>
    </row>
    <row r="751" spans="1:11" ht="14.25" customHeight="1">
      <c r="A751" s="566"/>
      <c r="K751" s="567"/>
    </row>
    <row r="752" spans="1:11" ht="14.25" customHeight="1">
      <c r="A752" s="566"/>
      <c r="K752" s="567"/>
    </row>
    <row r="753" spans="1:11" ht="14.25" customHeight="1">
      <c r="A753" s="566"/>
      <c r="K753" s="567"/>
    </row>
    <row r="754" spans="1:11" ht="14.25" customHeight="1">
      <c r="A754" s="566"/>
      <c r="K754" s="567"/>
    </row>
    <row r="755" spans="1:11" ht="14.25" customHeight="1">
      <c r="A755" s="566"/>
      <c r="K755" s="567"/>
    </row>
    <row r="756" spans="1:11" ht="14.25" customHeight="1">
      <c r="A756" s="566"/>
      <c r="K756" s="567"/>
    </row>
    <row r="757" spans="1:11" ht="14.25" customHeight="1">
      <c r="A757" s="566"/>
      <c r="K757" s="567"/>
    </row>
    <row r="758" spans="1:11" ht="14.25" customHeight="1">
      <c r="A758" s="566"/>
      <c r="K758" s="567"/>
    </row>
    <row r="759" spans="1:11" ht="14.25" customHeight="1">
      <c r="A759" s="566"/>
      <c r="K759" s="567"/>
    </row>
    <row r="760" spans="1:11" ht="14.25" customHeight="1">
      <c r="A760" s="566"/>
      <c r="K760" s="567"/>
    </row>
    <row r="761" spans="1:11" ht="14.25" customHeight="1">
      <c r="A761" s="566"/>
      <c r="K761" s="567"/>
    </row>
    <row r="762" spans="1:11" ht="14.25" customHeight="1">
      <c r="A762" s="566"/>
      <c r="K762" s="567"/>
    </row>
    <row r="763" spans="1:11" ht="14.25" customHeight="1">
      <c r="A763" s="566"/>
      <c r="K763" s="567"/>
    </row>
    <row r="764" spans="1:11" ht="14.25" customHeight="1">
      <c r="A764" s="566"/>
      <c r="K764" s="567"/>
    </row>
    <row r="765" spans="1:11" ht="14.25" customHeight="1">
      <c r="A765" s="566"/>
      <c r="K765" s="567"/>
    </row>
    <row r="766" spans="1:11" ht="14.25" customHeight="1">
      <c r="A766" s="566"/>
      <c r="K766" s="567"/>
    </row>
    <row r="767" spans="1:11" ht="14.25" customHeight="1">
      <c r="A767" s="566"/>
      <c r="K767" s="567"/>
    </row>
    <row r="768" spans="1:11" ht="14.25" customHeight="1">
      <c r="A768" s="566"/>
      <c r="K768" s="567"/>
    </row>
    <row r="769" spans="1:11" ht="14.25" customHeight="1">
      <c r="A769" s="566"/>
      <c r="K769" s="567"/>
    </row>
    <row r="770" spans="1:11" ht="14.25" customHeight="1">
      <c r="A770" s="566"/>
      <c r="K770" s="567"/>
    </row>
    <row r="771" spans="1:11" ht="14.25" customHeight="1">
      <c r="A771" s="566"/>
      <c r="K771" s="567"/>
    </row>
    <row r="772" spans="1:11" ht="14.25" customHeight="1">
      <c r="A772" s="566"/>
      <c r="K772" s="567"/>
    </row>
    <row r="773" spans="1:11" ht="14.25" customHeight="1">
      <c r="A773" s="566"/>
      <c r="K773" s="567"/>
    </row>
    <row r="774" spans="1:11" ht="14.25" customHeight="1">
      <c r="A774" s="566"/>
      <c r="K774" s="567"/>
    </row>
    <row r="775" spans="1:11" ht="14.25" customHeight="1">
      <c r="A775" s="566"/>
      <c r="K775" s="567"/>
    </row>
    <row r="776" spans="1:11" ht="14.25" customHeight="1">
      <c r="A776" s="566"/>
      <c r="K776" s="567"/>
    </row>
    <row r="777" spans="1:11" ht="14.25" customHeight="1">
      <c r="A777" s="566"/>
      <c r="K777" s="567"/>
    </row>
    <row r="778" spans="1:11" ht="14.25" customHeight="1">
      <c r="A778" s="566"/>
      <c r="K778" s="567"/>
    </row>
    <row r="779" spans="1:11" ht="14.25" customHeight="1">
      <c r="A779" s="566"/>
      <c r="K779" s="567"/>
    </row>
    <row r="780" spans="1:11" ht="14.25" customHeight="1">
      <c r="A780" s="566"/>
      <c r="K780" s="567"/>
    </row>
    <row r="781" spans="1:11" ht="14.25" customHeight="1">
      <c r="A781" s="566"/>
      <c r="K781" s="567"/>
    </row>
    <row r="782" spans="1:11" ht="14.25" customHeight="1">
      <c r="A782" s="566"/>
      <c r="K782" s="567"/>
    </row>
    <row r="783" spans="1:11" ht="14.25" customHeight="1">
      <c r="A783" s="566"/>
      <c r="K783" s="567"/>
    </row>
    <row r="784" spans="1:11" ht="14.25" customHeight="1">
      <c r="A784" s="566"/>
      <c r="K784" s="567"/>
    </row>
    <row r="785" spans="1:11" ht="14.25" customHeight="1">
      <c r="A785" s="566"/>
      <c r="K785" s="567"/>
    </row>
    <row r="786" spans="1:11" ht="14.25" customHeight="1">
      <c r="A786" s="566"/>
      <c r="K786" s="567"/>
    </row>
    <row r="787" spans="1:11" ht="14.25" customHeight="1">
      <c r="A787" s="566"/>
      <c r="K787" s="567"/>
    </row>
    <row r="788" spans="1:11" ht="14.25" customHeight="1">
      <c r="A788" s="566"/>
      <c r="K788" s="567"/>
    </row>
    <row r="789" spans="1:11" ht="14.25" customHeight="1">
      <c r="A789" s="566"/>
      <c r="K789" s="567"/>
    </row>
    <row r="790" spans="1:11" ht="14.25" customHeight="1">
      <c r="A790" s="566"/>
      <c r="K790" s="567"/>
    </row>
    <row r="791" spans="1:11" ht="14.25" customHeight="1">
      <c r="A791" s="566"/>
      <c r="K791" s="567"/>
    </row>
    <row r="792" spans="1:11" ht="14.25" customHeight="1">
      <c r="A792" s="566"/>
      <c r="K792" s="567"/>
    </row>
    <row r="793" spans="1:11" ht="14.25" customHeight="1">
      <c r="A793" s="566"/>
      <c r="K793" s="567"/>
    </row>
    <row r="794" spans="1:11" ht="14.25" customHeight="1">
      <c r="A794" s="566"/>
      <c r="K794" s="567"/>
    </row>
    <row r="795" spans="1:11" ht="14.25" customHeight="1">
      <c r="A795" s="566"/>
      <c r="K795" s="567"/>
    </row>
    <row r="796" spans="1:11" ht="14.25" customHeight="1">
      <c r="A796" s="566"/>
      <c r="K796" s="567"/>
    </row>
    <row r="797" spans="1:11" ht="14.25" customHeight="1">
      <c r="A797" s="566"/>
      <c r="K797" s="567"/>
    </row>
    <row r="798" spans="1:11" ht="14.25" customHeight="1">
      <c r="A798" s="566"/>
      <c r="K798" s="567"/>
    </row>
    <row r="799" spans="1:11" ht="14.25" customHeight="1">
      <c r="A799" s="566"/>
      <c r="K799" s="567"/>
    </row>
    <row r="800" spans="1:11" ht="14.25" customHeight="1">
      <c r="A800" s="566"/>
      <c r="K800" s="567"/>
    </row>
    <row r="801" spans="1:11" ht="14.25" customHeight="1">
      <c r="A801" s="566"/>
      <c r="K801" s="567"/>
    </row>
    <row r="802" spans="1:11" ht="14.25" customHeight="1">
      <c r="A802" s="566"/>
      <c r="K802" s="567"/>
    </row>
    <row r="803" spans="1:11" ht="14.25" customHeight="1">
      <c r="A803" s="566"/>
      <c r="K803" s="567"/>
    </row>
    <row r="804" spans="1:11" ht="14.25" customHeight="1">
      <c r="A804" s="566"/>
      <c r="K804" s="567"/>
    </row>
    <row r="805" spans="1:11" ht="14.25" customHeight="1">
      <c r="A805" s="566"/>
      <c r="K805" s="567"/>
    </row>
    <row r="806" spans="1:11" ht="14.25" customHeight="1">
      <c r="A806" s="566"/>
      <c r="K806" s="567"/>
    </row>
    <row r="807" spans="1:11" ht="14.25" customHeight="1">
      <c r="A807" s="566"/>
      <c r="K807" s="567"/>
    </row>
    <row r="808" spans="1:11" ht="14.25" customHeight="1">
      <c r="A808" s="566"/>
      <c r="K808" s="567"/>
    </row>
    <row r="809" spans="1:11" ht="14.25" customHeight="1">
      <c r="A809" s="566"/>
      <c r="K809" s="567"/>
    </row>
    <row r="810" spans="1:11" ht="14.25" customHeight="1">
      <c r="A810" s="566"/>
      <c r="K810" s="567"/>
    </row>
    <row r="811" spans="1:11" ht="14.25" customHeight="1">
      <c r="A811" s="566"/>
      <c r="K811" s="567"/>
    </row>
    <row r="812" spans="1:11" ht="14.25" customHeight="1">
      <c r="A812" s="566"/>
      <c r="K812" s="567"/>
    </row>
    <row r="813" spans="1:11" ht="14.25" customHeight="1">
      <c r="A813" s="566"/>
      <c r="K813" s="567"/>
    </row>
    <row r="814" spans="1:11" ht="14.25" customHeight="1">
      <c r="A814" s="566"/>
      <c r="K814" s="567"/>
    </row>
    <row r="815" spans="1:11" ht="14.25" customHeight="1">
      <c r="A815" s="566"/>
      <c r="K815" s="567"/>
    </row>
    <row r="816" spans="1:11" ht="14.25" customHeight="1">
      <c r="A816" s="566"/>
      <c r="K816" s="567"/>
    </row>
    <row r="817" spans="1:11" ht="14.25" customHeight="1">
      <c r="A817" s="566"/>
      <c r="K817" s="567"/>
    </row>
    <row r="818" spans="1:11" ht="14.25" customHeight="1">
      <c r="A818" s="566"/>
      <c r="K818" s="567"/>
    </row>
    <row r="819" spans="1:11" ht="14.25" customHeight="1">
      <c r="A819" s="566"/>
      <c r="K819" s="567"/>
    </row>
    <row r="820" spans="1:11" ht="14.25" customHeight="1">
      <c r="A820" s="566"/>
      <c r="K820" s="567"/>
    </row>
    <row r="821" spans="1:11" ht="14.25" customHeight="1">
      <c r="A821" s="566"/>
      <c r="K821" s="567"/>
    </row>
    <row r="822" spans="1:11" ht="14.25" customHeight="1">
      <c r="A822" s="566"/>
      <c r="K822" s="567"/>
    </row>
    <row r="823" spans="1:11" ht="14.25" customHeight="1">
      <c r="A823" s="566"/>
      <c r="K823" s="567"/>
    </row>
    <row r="824" spans="1:11" ht="14.25" customHeight="1">
      <c r="A824" s="566"/>
      <c r="K824" s="567"/>
    </row>
    <row r="825" spans="1:11" ht="14.25" customHeight="1">
      <c r="A825" s="566"/>
      <c r="K825" s="567"/>
    </row>
    <row r="826" spans="1:11" ht="14.25" customHeight="1">
      <c r="A826" s="566"/>
      <c r="K826" s="567"/>
    </row>
    <row r="827" spans="1:11" ht="14.25" customHeight="1">
      <c r="A827" s="566"/>
      <c r="K827" s="567"/>
    </row>
    <row r="828" spans="1:11" ht="14.25" customHeight="1">
      <c r="A828" s="566"/>
      <c r="K828" s="567"/>
    </row>
    <row r="829" spans="1:11" ht="14.25" customHeight="1">
      <c r="A829" s="566"/>
      <c r="K829" s="567"/>
    </row>
    <row r="830" spans="1:11" ht="14.25" customHeight="1">
      <c r="A830" s="566"/>
      <c r="K830" s="567"/>
    </row>
    <row r="831" spans="1:11" ht="14.25" customHeight="1">
      <c r="A831" s="566"/>
      <c r="K831" s="567"/>
    </row>
    <row r="832" spans="1:11" ht="14.25" customHeight="1">
      <c r="A832" s="566"/>
      <c r="K832" s="567"/>
    </row>
    <row r="833" spans="1:11" ht="14.25" customHeight="1">
      <c r="A833" s="566"/>
      <c r="K833" s="567"/>
    </row>
    <row r="834" spans="1:11" ht="14.25" customHeight="1">
      <c r="A834" s="566"/>
      <c r="K834" s="567"/>
    </row>
    <row r="835" spans="1:11" ht="14.25" customHeight="1">
      <c r="A835" s="566"/>
      <c r="K835" s="567"/>
    </row>
    <row r="836" spans="1:11" ht="14.25" customHeight="1">
      <c r="A836" s="566"/>
      <c r="K836" s="567"/>
    </row>
    <row r="837" spans="1:11" ht="14.25" customHeight="1">
      <c r="A837" s="566"/>
      <c r="K837" s="567"/>
    </row>
    <row r="838" spans="1:11" ht="14.25" customHeight="1">
      <c r="A838" s="566"/>
      <c r="K838" s="567"/>
    </row>
    <row r="839" spans="1:11" ht="14.25" customHeight="1">
      <c r="A839" s="566"/>
      <c r="K839" s="567"/>
    </row>
    <row r="840" spans="1:11" ht="14.25" customHeight="1">
      <c r="A840" s="566"/>
      <c r="K840" s="567"/>
    </row>
    <row r="841" spans="1:11" ht="14.25" customHeight="1">
      <c r="A841" s="566"/>
      <c r="K841" s="567"/>
    </row>
    <row r="842" spans="1:11" ht="14.25" customHeight="1">
      <c r="A842" s="566"/>
      <c r="K842" s="567"/>
    </row>
    <row r="843" spans="1:11" ht="14.25" customHeight="1">
      <c r="A843" s="566"/>
      <c r="K843" s="567"/>
    </row>
    <row r="844" spans="1:11" ht="14.25" customHeight="1">
      <c r="A844" s="566"/>
      <c r="K844" s="567"/>
    </row>
    <row r="845" spans="1:11" ht="14.25" customHeight="1">
      <c r="A845" s="566"/>
      <c r="K845" s="567"/>
    </row>
    <row r="846" spans="1:11" ht="14.25" customHeight="1">
      <c r="A846" s="566"/>
      <c r="K846" s="567"/>
    </row>
    <row r="847" spans="1:11" ht="14.25" customHeight="1">
      <c r="A847" s="566"/>
      <c r="K847" s="567"/>
    </row>
    <row r="848" spans="1:11" ht="14.25" customHeight="1">
      <c r="A848" s="566"/>
      <c r="K848" s="567"/>
    </row>
    <row r="849" spans="1:11" ht="14.25" customHeight="1">
      <c r="A849" s="566"/>
      <c r="K849" s="567"/>
    </row>
    <row r="850" spans="1:11" ht="14.25" customHeight="1">
      <c r="A850" s="566"/>
      <c r="K850" s="567"/>
    </row>
    <row r="851" spans="1:11" ht="14.25" customHeight="1">
      <c r="A851" s="566"/>
      <c r="K851" s="567"/>
    </row>
    <row r="852" spans="1:11" ht="14.25" customHeight="1">
      <c r="A852" s="566"/>
      <c r="K852" s="567"/>
    </row>
    <row r="853" spans="1:11" ht="14.25" customHeight="1">
      <c r="A853" s="566"/>
      <c r="K853" s="567"/>
    </row>
    <row r="854" spans="1:11" ht="14.25" customHeight="1">
      <c r="A854" s="566"/>
      <c r="K854" s="567"/>
    </row>
    <row r="855" spans="1:11" ht="14.25" customHeight="1">
      <c r="A855" s="566"/>
      <c r="K855" s="567"/>
    </row>
    <row r="856" spans="1:11" ht="14.25" customHeight="1">
      <c r="A856" s="566"/>
      <c r="K856" s="567"/>
    </row>
    <row r="857" spans="1:11" ht="14.25" customHeight="1">
      <c r="A857" s="566"/>
      <c r="K857" s="567"/>
    </row>
    <row r="858" spans="1:11" ht="14.25" customHeight="1">
      <c r="A858" s="566"/>
      <c r="K858" s="567"/>
    </row>
    <row r="859" spans="1:11" ht="14.25" customHeight="1">
      <c r="A859" s="566"/>
      <c r="K859" s="567"/>
    </row>
    <row r="860" spans="1:11" ht="14.25" customHeight="1">
      <c r="A860" s="566"/>
      <c r="K860" s="567"/>
    </row>
    <row r="861" spans="1:11" ht="14.25" customHeight="1">
      <c r="A861" s="566"/>
      <c r="K861" s="567"/>
    </row>
    <row r="862" spans="1:11" ht="14.25" customHeight="1">
      <c r="A862" s="566"/>
      <c r="K862" s="567"/>
    </row>
    <row r="863" spans="1:11" ht="14.25" customHeight="1">
      <c r="A863" s="566"/>
      <c r="K863" s="567"/>
    </row>
    <row r="864" spans="1:11" ht="14.25" customHeight="1">
      <c r="A864" s="566"/>
      <c r="K864" s="567"/>
    </row>
    <row r="865" spans="1:11" ht="14.25" customHeight="1">
      <c r="A865" s="566"/>
      <c r="K865" s="567"/>
    </row>
    <row r="866" spans="1:11" ht="14.25" customHeight="1">
      <c r="A866" s="566"/>
      <c r="K866" s="567"/>
    </row>
    <row r="867" spans="1:11" ht="14.25" customHeight="1">
      <c r="A867" s="566"/>
      <c r="K867" s="567"/>
    </row>
    <row r="868" spans="1:11" ht="14.25" customHeight="1">
      <c r="A868" s="566"/>
      <c r="K868" s="567"/>
    </row>
    <row r="869" spans="1:11" ht="14.25" customHeight="1">
      <c r="A869" s="566"/>
      <c r="K869" s="567"/>
    </row>
    <row r="870" spans="1:11" ht="14.25" customHeight="1">
      <c r="A870" s="566"/>
      <c r="K870" s="567"/>
    </row>
    <row r="871" spans="1:11" ht="14.25" customHeight="1">
      <c r="A871" s="566"/>
      <c r="K871" s="567"/>
    </row>
    <row r="872" spans="1:11" ht="14.25" customHeight="1">
      <c r="A872" s="566"/>
      <c r="K872" s="567"/>
    </row>
    <row r="873" spans="1:11" ht="14.25" customHeight="1">
      <c r="A873" s="566"/>
      <c r="K873" s="567"/>
    </row>
    <row r="874" spans="1:11" ht="14.25" customHeight="1">
      <c r="A874" s="566"/>
      <c r="K874" s="567"/>
    </row>
    <row r="875" spans="1:11" ht="14.25" customHeight="1">
      <c r="A875" s="566"/>
      <c r="K875" s="567"/>
    </row>
    <row r="876" spans="1:11" ht="14.25" customHeight="1">
      <c r="A876" s="566"/>
      <c r="K876" s="567"/>
    </row>
    <row r="877" spans="1:11" ht="14.25" customHeight="1">
      <c r="A877" s="566"/>
      <c r="K877" s="567"/>
    </row>
    <row r="878" spans="1:11" ht="14.25" customHeight="1">
      <c r="A878" s="566"/>
      <c r="K878" s="567"/>
    </row>
    <row r="879" spans="1:11" ht="14.25" customHeight="1">
      <c r="A879" s="566"/>
      <c r="K879" s="567"/>
    </row>
    <row r="880" spans="1:11" ht="14.25" customHeight="1">
      <c r="A880" s="566"/>
      <c r="K880" s="567"/>
    </row>
    <row r="881" spans="1:11" ht="14.25" customHeight="1">
      <c r="A881" s="566"/>
      <c r="K881" s="567"/>
    </row>
    <row r="882" spans="1:11" ht="14.25" customHeight="1">
      <c r="A882" s="566"/>
      <c r="K882" s="567"/>
    </row>
    <row r="883" spans="1:11" ht="14.25" customHeight="1">
      <c r="A883" s="566"/>
      <c r="K883" s="567"/>
    </row>
    <row r="884" spans="1:11" ht="14.25" customHeight="1">
      <c r="A884" s="566"/>
      <c r="K884" s="567"/>
    </row>
    <row r="885" spans="1:11" ht="14.25" customHeight="1">
      <c r="A885" s="566"/>
      <c r="K885" s="567"/>
    </row>
    <row r="886" spans="1:11" ht="14.25" customHeight="1">
      <c r="A886" s="566"/>
      <c r="K886" s="567"/>
    </row>
    <row r="887" spans="1:11" ht="14.25" customHeight="1">
      <c r="A887" s="566"/>
      <c r="K887" s="567"/>
    </row>
    <row r="888" spans="1:11" ht="14.25" customHeight="1">
      <c r="A888" s="566"/>
      <c r="K888" s="567"/>
    </row>
    <row r="889" spans="1:11" ht="14.25" customHeight="1">
      <c r="A889" s="566"/>
      <c r="K889" s="567"/>
    </row>
    <row r="890" spans="1:11" ht="14.25" customHeight="1">
      <c r="A890" s="566"/>
      <c r="K890" s="567"/>
    </row>
    <row r="891" spans="1:11" ht="14.25" customHeight="1">
      <c r="A891" s="566"/>
      <c r="K891" s="567"/>
    </row>
    <row r="892" spans="1:11" ht="14.25" customHeight="1">
      <c r="A892" s="566"/>
      <c r="K892" s="567"/>
    </row>
    <row r="893" spans="1:11" ht="14.25" customHeight="1">
      <c r="A893" s="566"/>
      <c r="K893" s="567"/>
    </row>
    <row r="894" spans="1:11" ht="14.25" customHeight="1">
      <c r="A894" s="566"/>
      <c r="K894" s="567"/>
    </row>
    <row r="895" spans="1:11" ht="14.25" customHeight="1">
      <c r="A895" s="566"/>
      <c r="K895" s="567"/>
    </row>
    <row r="896" spans="1:11" ht="14.25" customHeight="1">
      <c r="A896" s="566"/>
      <c r="K896" s="567"/>
    </row>
    <row r="897" spans="1:11" ht="14.25" customHeight="1">
      <c r="A897" s="566"/>
      <c r="K897" s="567"/>
    </row>
    <row r="898" spans="1:11" ht="14.25" customHeight="1">
      <c r="A898" s="566"/>
      <c r="K898" s="567"/>
    </row>
    <row r="899" spans="1:11" ht="14.25" customHeight="1">
      <c r="A899" s="566"/>
      <c r="K899" s="567"/>
    </row>
    <row r="900" spans="1:11" ht="14.25" customHeight="1">
      <c r="A900" s="566"/>
      <c r="K900" s="567"/>
    </row>
    <row r="901" spans="1:11" ht="14.25" customHeight="1">
      <c r="A901" s="566"/>
      <c r="K901" s="567"/>
    </row>
    <row r="902" spans="1:11" ht="14.25" customHeight="1">
      <c r="A902" s="566"/>
      <c r="K902" s="567"/>
    </row>
    <row r="903" spans="1:11" ht="14.25" customHeight="1">
      <c r="A903" s="566"/>
      <c r="K903" s="567"/>
    </row>
    <row r="904" spans="1:11" ht="14.25" customHeight="1">
      <c r="A904" s="566"/>
      <c r="K904" s="567"/>
    </row>
    <row r="905" spans="1:11" ht="14.25" customHeight="1">
      <c r="A905" s="566"/>
      <c r="K905" s="567"/>
    </row>
    <row r="906" spans="1:11" ht="14.25" customHeight="1">
      <c r="A906" s="566"/>
      <c r="K906" s="567"/>
    </row>
    <row r="907" spans="1:11" ht="14.25" customHeight="1">
      <c r="A907" s="566"/>
      <c r="K907" s="567"/>
    </row>
    <row r="908" spans="1:11" ht="14.25" customHeight="1">
      <c r="A908" s="566"/>
      <c r="K908" s="567"/>
    </row>
    <row r="909" spans="1:11" ht="14.25" customHeight="1">
      <c r="A909" s="566"/>
      <c r="K909" s="567"/>
    </row>
    <row r="910" spans="1:11" ht="14.25" customHeight="1">
      <c r="A910" s="566"/>
      <c r="K910" s="567"/>
    </row>
    <row r="911" spans="1:11" ht="14.25" customHeight="1">
      <c r="A911" s="566"/>
      <c r="K911" s="567"/>
    </row>
    <row r="912" spans="1:11" ht="14.25" customHeight="1">
      <c r="A912" s="566"/>
      <c r="K912" s="567"/>
    </row>
    <row r="913" spans="1:11" ht="14.25" customHeight="1">
      <c r="A913" s="566"/>
      <c r="K913" s="567"/>
    </row>
    <row r="914" spans="1:11" ht="14.25" customHeight="1">
      <c r="A914" s="566"/>
      <c r="K914" s="567"/>
    </row>
    <row r="915" spans="1:11" ht="14.25" customHeight="1">
      <c r="A915" s="566"/>
      <c r="K915" s="567"/>
    </row>
    <row r="916" spans="1:11" ht="14.25" customHeight="1">
      <c r="A916" s="566"/>
      <c r="K916" s="567"/>
    </row>
    <row r="917" spans="1:11" ht="14.25" customHeight="1">
      <c r="A917" s="566"/>
      <c r="K917" s="567"/>
    </row>
    <row r="918" spans="1:11" ht="14.25" customHeight="1">
      <c r="A918" s="566"/>
      <c r="K918" s="567"/>
    </row>
    <row r="919" spans="1:11" ht="14.25" customHeight="1">
      <c r="A919" s="566"/>
      <c r="K919" s="567"/>
    </row>
    <row r="920" spans="1:11" ht="14.25" customHeight="1">
      <c r="A920" s="566"/>
      <c r="K920" s="567"/>
    </row>
    <row r="921" spans="1:11" ht="14.25" customHeight="1">
      <c r="A921" s="566"/>
      <c r="K921" s="567"/>
    </row>
    <row r="922" spans="1:11" ht="14.25" customHeight="1">
      <c r="A922" s="566"/>
      <c r="K922" s="567"/>
    </row>
    <row r="923" spans="1:11" ht="14.25" customHeight="1">
      <c r="A923" s="566"/>
      <c r="K923" s="567"/>
    </row>
    <row r="924" spans="1:11" ht="14.25" customHeight="1">
      <c r="A924" s="566"/>
      <c r="K924" s="567"/>
    </row>
    <row r="925" spans="1:11" ht="14.25" customHeight="1">
      <c r="A925" s="566"/>
      <c r="K925" s="567"/>
    </row>
    <row r="926" spans="1:11" ht="14.25" customHeight="1">
      <c r="A926" s="566"/>
      <c r="K926" s="567"/>
    </row>
    <row r="927" spans="1:11" ht="14.25" customHeight="1">
      <c r="A927" s="566"/>
      <c r="K927" s="567"/>
    </row>
    <row r="928" spans="1:11" ht="14.25" customHeight="1">
      <c r="A928" s="566"/>
      <c r="K928" s="567"/>
    </row>
    <row r="929" spans="1:11" ht="14.25" customHeight="1">
      <c r="A929" s="566"/>
      <c r="K929" s="567"/>
    </row>
    <row r="930" spans="1:11" ht="14.25" customHeight="1">
      <c r="A930" s="566"/>
      <c r="K930" s="567"/>
    </row>
    <row r="931" spans="1:11" ht="14.25" customHeight="1">
      <c r="A931" s="566"/>
      <c r="K931" s="567"/>
    </row>
    <row r="932" spans="1:11" ht="14.25" customHeight="1">
      <c r="A932" s="566"/>
      <c r="K932" s="567"/>
    </row>
    <row r="933" spans="1:11" ht="14.25" customHeight="1">
      <c r="A933" s="566"/>
      <c r="K933" s="567"/>
    </row>
    <row r="934" spans="1:11" ht="14.25" customHeight="1">
      <c r="A934" s="566"/>
      <c r="K934" s="567"/>
    </row>
    <row r="935" spans="1:11" ht="14.25" customHeight="1">
      <c r="A935" s="566"/>
      <c r="K935" s="567"/>
    </row>
    <row r="936" spans="1:11" ht="14.25" customHeight="1">
      <c r="A936" s="566"/>
      <c r="K936" s="567"/>
    </row>
    <row r="937" spans="1:11" ht="14.25" customHeight="1">
      <c r="A937" s="566"/>
      <c r="K937" s="567"/>
    </row>
    <row r="938" spans="1:11" ht="14.25" customHeight="1">
      <c r="A938" s="566"/>
      <c r="K938" s="567"/>
    </row>
    <row r="939" spans="1:11" ht="14.25" customHeight="1">
      <c r="A939" s="566"/>
      <c r="K939" s="567"/>
    </row>
    <row r="940" spans="1:11" ht="14.25" customHeight="1">
      <c r="A940" s="566"/>
      <c r="K940" s="567"/>
    </row>
    <row r="941" spans="1:11" ht="14.25" customHeight="1">
      <c r="A941" s="566"/>
      <c r="K941" s="567"/>
    </row>
    <row r="942" spans="1:11" ht="14.25" customHeight="1">
      <c r="A942" s="566"/>
      <c r="K942" s="567"/>
    </row>
    <row r="943" spans="1:11" ht="14.25" customHeight="1">
      <c r="A943" s="566"/>
      <c r="K943" s="567"/>
    </row>
    <row r="944" spans="1:11" ht="14.25" customHeight="1">
      <c r="A944" s="566"/>
      <c r="K944" s="567"/>
    </row>
    <row r="945" spans="1:11" ht="14.25" customHeight="1">
      <c r="A945" s="566"/>
      <c r="K945" s="567"/>
    </row>
    <row r="946" spans="1:11" ht="14.25" customHeight="1">
      <c r="A946" s="566"/>
      <c r="K946" s="567"/>
    </row>
    <row r="947" spans="1:11" ht="14.25" customHeight="1">
      <c r="A947" s="566"/>
      <c r="K947" s="567"/>
    </row>
    <row r="948" spans="1:11" ht="14.25" customHeight="1">
      <c r="A948" s="566"/>
      <c r="K948" s="567"/>
    </row>
    <row r="949" spans="1:11" ht="14.25" customHeight="1">
      <c r="A949" s="566"/>
      <c r="K949" s="567"/>
    </row>
    <row r="950" spans="1:11" ht="14.25" customHeight="1">
      <c r="A950" s="566"/>
      <c r="K950" s="567"/>
    </row>
    <row r="951" spans="1:11" ht="14.25" customHeight="1">
      <c r="A951" s="566"/>
      <c r="K951" s="567"/>
    </row>
    <row r="952" spans="1:11" ht="14.25" customHeight="1">
      <c r="A952" s="566"/>
      <c r="K952" s="567"/>
    </row>
    <row r="953" spans="1:11" ht="14.25" customHeight="1">
      <c r="A953" s="566"/>
      <c r="K953" s="567"/>
    </row>
    <row r="954" spans="1:11" ht="14.25" customHeight="1">
      <c r="A954" s="566"/>
      <c r="K954" s="567"/>
    </row>
    <row r="955" spans="1:11" ht="14.25" customHeight="1">
      <c r="A955" s="566"/>
      <c r="K955" s="567"/>
    </row>
    <row r="956" spans="1:11" ht="14.25" customHeight="1">
      <c r="A956" s="566"/>
      <c r="K956" s="567"/>
    </row>
    <row r="957" spans="1:11" ht="14.25" customHeight="1">
      <c r="A957" s="566"/>
      <c r="K957" s="567"/>
    </row>
    <row r="958" spans="1:11" ht="14.25" customHeight="1">
      <c r="A958" s="566"/>
      <c r="K958" s="567"/>
    </row>
    <row r="959" spans="1:11" ht="14.25" customHeight="1">
      <c r="A959" s="566"/>
      <c r="K959" s="567"/>
    </row>
    <row r="960" spans="1:11" ht="14.25" customHeight="1">
      <c r="A960" s="566"/>
      <c r="K960" s="567"/>
    </row>
    <row r="961" spans="1:11" ht="14.25" customHeight="1">
      <c r="A961" s="566"/>
      <c r="K961" s="567"/>
    </row>
    <row r="962" spans="1:11" ht="14.25" customHeight="1">
      <c r="A962" s="566"/>
      <c r="K962" s="567"/>
    </row>
    <row r="963" spans="1:11" ht="14.25" customHeight="1">
      <c r="A963" s="566"/>
      <c r="K963" s="567"/>
    </row>
    <row r="964" spans="1:11" ht="14.25" customHeight="1">
      <c r="A964" s="566"/>
      <c r="K964" s="567"/>
    </row>
    <row r="965" spans="1:11" ht="14.25" customHeight="1">
      <c r="A965" s="566"/>
      <c r="K965" s="567"/>
    </row>
    <row r="966" spans="1:11" ht="14.25" customHeight="1">
      <c r="A966" s="566"/>
      <c r="K966" s="567"/>
    </row>
    <row r="967" spans="1:11" ht="14.25" customHeight="1">
      <c r="A967" s="566"/>
      <c r="K967" s="567"/>
    </row>
    <row r="968" spans="1:11" ht="14.25" customHeight="1">
      <c r="A968" s="566"/>
      <c r="K968" s="567"/>
    </row>
    <row r="969" spans="1:11" ht="14.25" customHeight="1">
      <c r="A969" s="566"/>
      <c r="K969" s="567"/>
    </row>
    <row r="970" spans="1:11" ht="14.25" customHeight="1">
      <c r="A970" s="566"/>
      <c r="K970" s="567"/>
    </row>
    <row r="971" spans="1:11" ht="14.25" customHeight="1">
      <c r="A971" s="566"/>
      <c r="K971" s="567"/>
    </row>
    <row r="972" spans="1:11" ht="14.25" customHeight="1">
      <c r="A972" s="566"/>
      <c r="K972" s="567"/>
    </row>
    <row r="973" spans="1:11" ht="14.25" customHeight="1">
      <c r="A973" s="566"/>
      <c r="K973" s="567"/>
    </row>
    <row r="974" spans="1:11" ht="14.25" customHeight="1">
      <c r="A974" s="566"/>
      <c r="K974" s="567"/>
    </row>
    <row r="975" spans="1:11" ht="14.25" customHeight="1">
      <c r="A975" s="566"/>
      <c r="K975" s="567"/>
    </row>
    <row r="976" spans="1:11" ht="14.25" customHeight="1">
      <c r="A976" s="566"/>
      <c r="K976" s="567"/>
    </row>
    <row r="977" spans="1:11" ht="14.25" customHeight="1">
      <c r="A977" s="566"/>
      <c r="K977" s="567"/>
    </row>
    <row r="978" spans="1:11" ht="14.25" customHeight="1">
      <c r="A978" s="566"/>
      <c r="K978" s="567"/>
    </row>
    <row r="979" spans="1:11" ht="14.25" customHeight="1">
      <c r="A979" s="566"/>
      <c r="K979" s="567"/>
    </row>
    <row r="980" spans="1:11" ht="14.25" customHeight="1">
      <c r="A980" s="566"/>
      <c r="K980" s="567"/>
    </row>
    <row r="981" spans="1:11" ht="14.25" customHeight="1">
      <c r="A981" s="566"/>
      <c r="K981" s="567"/>
    </row>
    <row r="982" spans="1:11" ht="14.25" customHeight="1">
      <c r="A982" s="566"/>
      <c r="K982" s="567"/>
    </row>
    <row r="983" spans="1:11" ht="14.25" customHeight="1">
      <c r="A983" s="566"/>
      <c r="K983" s="567"/>
    </row>
    <row r="984" spans="1:11" ht="14.25" customHeight="1">
      <c r="A984" s="566"/>
      <c r="K984" s="567"/>
    </row>
    <row r="985" spans="1:11" ht="14.25" customHeight="1">
      <c r="A985" s="566"/>
      <c r="K985" s="567"/>
    </row>
    <row r="986" spans="1:11" ht="14.25" customHeight="1">
      <c r="A986" s="566"/>
      <c r="K986" s="567"/>
    </row>
    <row r="987" spans="1:11" ht="14.25" customHeight="1">
      <c r="A987" s="566"/>
      <c r="K987" s="567"/>
    </row>
    <row r="988" spans="1:11" ht="14.25" customHeight="1">
      <c r="A988" s="566"/>
      <c r="K988" s="567"/>
    </row>
    <row r="989" spans="1:11" ht="14.25" customHeight="1">
      <c r="A989" s="566"/>
      <c r="K989" s="567"/>
    </row>
    <row r="990" spans="1:11" ht="14.25" customHeight="1">
      <c r="A990" s="566"/>
      <c r="K990" s="567"/>
    </row>
    <row r="991" spans="1:11" ht="14.25" customHeight="1">
      <c r="A991" s="566"/>
      <c r="K991" s="567"/>
    </row>
    <row r="992" spans="1:11" ht="14.25" customHeight="1">
      <c r="A992" s="566"/>
      <c r="K992" s="567"/>
    </row>
    <row r="993" spans="1:11" ht="14.25" customHeight="1">
      <c r="A993" s="566"/>
      <c r="K993" s="567"/>
    </row>
    <row r="994" spans="1:11" ht="14.25" customHeight="1">
      <c r="A994" s="566"/>
      <c r="K994" s="567"/>
    </row>
    <row r="995" spans="1:11" ht="14.25" customHeight="1">
      <c r="A995" s="566"/>
      <c r="K995" s="567"/>
    </row>
    <row r="996" spans="1:11" ht="14.25" customHeight="1">
      <c r="A996" s="566"/>
      <c r="K996" s="567"/>
    </row>
    <row r="997" spans="1:11" ht="14.25" customHeight="1">
      <c r="A997" s="566"/>
      <c r="K997" s="567"/>
    </row>
    <row r="998" spans="1:11" ht="14.25" customHeight="1">
      <c r="A998" s="566"/>
      <c r="K998" s="567"/>
    </row>
    <row r="999" spans="1:11" ht="14.25" customHeight="1">
      <c r="A999" s="566"/>
      <c r="K999" s="567"/>
    </row>
    <row r="1000" spans="1:11" ht="14.25" customHeight="1">
      <c r="A1000" s="566"/>
      <c r="K1000" s="567"/>
    </row>
  </sheetData>
  <sheetProtection algorithmName="SHA-512" hashValue="/+8E1VW/iHWNhmXPdIqTgoMOrlNsfvIdQkJMTSgl/doJzUzSucS9boEmtvxBYmSWhk6PzrpnGc3sitc8eo2SqQ==" saltValue="PHN4Ms2DN1s23H08lwCKuA==" spinCount="100000" sheet="1" objects="1" scenarios="1"/>
  <mergeCells count="5">
    <mergeCell ref="A7:H7"/>
    <mergeCell ref="A9:P9"/>
    <mergeCell ref="A11:H11"/>
    <mergeCell ref="A59:C59"/>
    <mergeCell ref="A67:I67"/>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F3B3-5F18-4B7A-8D05-4BB13E723FAF}">
  <sheetPr codeName="Sheet8">
    <tabColor rgb="FF93E3FF"/>
    <pageSetUpPr autoPageBreaks="0"/>
  </sheetPr>
  <dimension ref="A2:V183"/>
  <sheetViews>
    <sheetView showGridLines="0" tabSelected="1" topLeftCell="A48" zoomScaleNormal="100" workbookViewId="0">
      <selection activeCell="K70" sqref="K70"/>
    </sheetView>
  </sheetViews>
  <sheetFormatPr baseColWidth="10" defaultColWidth="8.7109375" defaultRowHeight="15"/>
  <cols>
    <col min="1" max="1" width="43" customWidth="1"/>
    <col min="2" max="11" width="17.5703125" customWidth="1"/>
    <col min="12" max="12" width="15.42578125" customWidth="1"/>
    <col min="13" max="13" width="15.5703125" customWidth="1"/>
    <col min="14" max="14" width="15.42578125" customWidth="1"/>
    <col min="15" max="15" width="13" customWidth="1"/>
    <col min="16" max="16" width="12.7109375" bestFit="1" customWidth="1"/>
    <col min="17" max="17" width="12.28515625" bestFit="1" customWidth="1"/>
    <col min="18" max="18" width="12.7109375" bestFit="1" customWidth="1"/>
    <col min="19" max="19" width="12.28515625" bestFit="1" customWidth="1"/>
    <col min="20" max="20" width="12.7109375" bestFit="1" customWidth="1"/>
    <col min="21" max="21" width="12.28515625" bestFit="1" customWidth="1"/>
  </cols>
  <sheetData>
    <row r="2" spans="1:8">
      <c r="H2" s="116"/>
    </row>
    <row r="7" spans="1:8" ht="20.25">
      <c r="A7" s="617" t="s">
        <v>0</v>
      </c>
      <c r="B7" s="617"/>
      <c r="C7" s="617"/>
      <c r="D7" s="617"/>
      <c r="E7" s="617"/>
      <c r="F7" s="617"/>
      <c r="G7" s="617"/>
      <c r="H7" s="617"/>
    </row>
    <row r="8" spans="1:8" ht="21" thickBot="1">
      <c r="A8" s="167"/>
      <c r="B8" s="165"/>
      <c r="C8" s="165"/>
      <c r="D8" s="165"/>
      <c r="E8" s="165"/>
      <c r="F8" s="165"/>
      <c r="G8" s="165"/>
      <c r="H8" s="165"/>
    </row>
    <row r="9" spans="1:8" ht="19.5" thickTop="1" thickBot="1">
      <c r="A9" s="670" t="s">
        <v>25</v>
      </c>
      <c r="B9" s="610"/>
      <c r="C9" s="610"/>
      <c r="D9" s="610"/>
      <c r="E9" s="610"/>
      <c r="F9" s="610"/>
      <c r="G9" s="610"/>
      <c r="H9" s="610"/>
    </row>
    <row r="10" spans="1:8" ht="18.75" thickTop="1">
      <c r="A10" s="8"/>
      <c r="B10" s="7"/>
      <c r="C10" s="7"/>
      <c r="D10" s="7"/>
      <c r="E10" s="7"/>
      <c r="F10" s="7"/>
    </row>
    <row r="11" spans="1:8" ht="17.25">
      <c r="A11" s="619" t="s">
        <v>479</v>
      </c>
      <c r="B11" s="619"/>
      <c r="C11" s="619"/>
      <c r="D11" s="619"/>
      <c r="E11" s="619"/>
      <c r="F11" s="619"/>
      <c r="G11" s="619"/>
      <c r="H11" s="619"/>
    </row>
    <row r="12" spans="1:8">
      <c r="A12" s="205"/>
      <c r="B12" s="205">
        <v>2022</v>
      </c>
      <c r="C12" s="205">
        <v>2021</v>
      </c>
      <c r="D12" s="175">
        <v>2020</v>
      </c>
      <c r="E12" s="175">
        <v>2019</v>
      </c>
      <c r="F12" s="175">
        <v>2018</v>
      </c>
      <c r="G12" s="175">
        <v>2017</v>
      </c>
      <c r="H12" s="181">
        <v>2016</v>
      </c>
    </row>
    <row r="13" spans="1:8">
      <c r="A13" s="672" t="s">
        <v>480</v>
      </c>
      <c r="B13" s="672"/>
      <c r="C13" s="672"/>
      <c r="D13" s="672"/>
      <c r="E13" s="672"/>
      <c r="F13" s="672"/>
      <c r="G13" s="672"/>
      <c r="H13" s="672"/>
    </row>
    <row r="14" spans="1:8">
      <c r="A14" s="309" t="s">
        <v>481</v>
      </c>
      <c r="B14" s="226">
        <v>117327</v>
      </c>
      <c r="C14" s="226">
        <v>117262.45477</v>
      </c>
      <c r="D14" s="226">
        <v>118283.767125</v>
      </c>
      <c r="E14" s="226">
        <v>127017.74543</v>
      </c>
      <c r="F14" s="226">
        <v>128146.34096000005</v>
      </c>
      <c r="G14" s="226">
        <v>115367.98570999998</v>
      </c>
      <c r="H14" s="226">
        <v>117930.73119999999</v>
      </c>
    </row>
    <row r="15" spans="1:8">
      <c r="A15" s="309" t="s">
        <v>482</v>
      </c>
      <c r="B15" s="226">
        <v>184327</v>
      </c>
      <c r="C15" s="226">
        <v>164977.49219000005</v>
      </c>
      <c r="D15" s="226">
        <v>199558.033945</v>
      </c>
      <c r="E15" s="226">
        <v>210944.65785999995</v>
      </c>
      <c r="F15" s="226">
        <v>217401.14603999996</v>
      </c>
      <c r="G15" s="226">
        <v>254911.26161000002</v>
      </c>
      <c r="H15" s="226">
        <v>228531.74680000002</v>
      </c>
    </row>
    <row r="16" spans="1:8">
      <c r="A16" s="309" t="s">
        <v>483</v>
      </c>
      <c r="B16" s="226">
        <v>235671</v>
      </c>
      <c r="C16" s="226">
        <v>219002.99399999995</v>
      </c>
      <c r="D16" s="226">
        <v>256133.92199999999</v>
      </c>
      <c r="E16" s="226">
        <v>263599.85566</v>
      </c>
      <c r="F16" s="226">
        <v>293170.52599999995</v>
      </c>
      <c r="G16" s="226">
        <v>315547.31800000003</v>
      </c>
      <c r="H16" s="226">
        <v>291550.25829999999</v>
      </c>
    </row>
    <row r="17" spans="1:11">
      <c r="A17" s="309" t="s">
        <v>484</v>
      </c>
      <c r="B17" s="226">
        <v>52904</v>
      </c>
      <c r="C17" s="226">
        <v>54129.280920000005</v>
      </c>
      <c r="D17" s="226">
        <v>58412.136870000002</v>
      </c>
      <c r="E17" s="226">
        <v>58551.973579999998</v>
      </c>
      <c r="F17" s="226">
        <v>62033.189990400002</v>
      </c>
      <c r="G17" s="226">
        <v>54394.637920000001</v>
      </c>
      <c r="H17" s="226">
        <v>61863.686999999998</v>
      </c>
    </row>
    <row r="18" spans="1:11">
      <c r="A18" s="309" t="s">
        <v>485</v>
      </c>
      <c r="B18" s="226">
        <v>134131</v>
      </c>
      <c r="C18" s="226">
        <v>138811.77423000001</v>
      </c>
      <c r="D18" s="226">
        <v>157641.361</v>
      </c>
      <c r="E18" s="226">
        <v>148913.70376000003</v>
      </c>
      <c r="F18" s="226">
        <v>174688.177</v>
      </c>
      <c r="G18" s="226">
        <v>176562.85800000001</v>
      </c>
      <c r="H18" s="226">
        <v>167337.73080000002</v>
      </c>
    </row>
    <row r="19" spans="1:11">
      <c r="A19" s="309" t="s">
        <v>486</v>
      </c>
      <c r="B19" s="226">
        <v>250449</v>
      </c>
      <c r="C19" s="226">
        <v>256074.22899999999</v>
      </c>
      <c r="D19" s="226">
        <v>275925.12812499999</v>
      </c>
      <c r="E19" s="226">
        <v>275931.44919000001</v>
      </c>
      <c r="F19" s="226">
        <v>302834.51796000003</v>
      </c>
      <c r="G19" s="226">
        <v>291930.84370999999</v>
      </c>
      <c r="H19" s="226">
        <v>285268.462</v>
      </c>
    </row>
    <row r="20" spans="1:11">
      <c r="A20" s="673" t="s">
        <v>487</v>
      </c>
      <c r="B20" s="673"/>
      <c r="C20" s="673"/>
      <c r="D20" s="673"/>
      <c r="E20" s="673"/>
      <c r="F20" s="673"/>
      <c r="G20" s="673"/>
      <c r="H20" s="673"/>
    </row>
    <row r="21" spans="1:11">
      <c r="A21" s="309" t="s">
        <v>481</v>
      </c>
      <c r="B21" s="226">
        <v>47701</v>
      </c>
      <c r="C21" s="226">
        <v>45222.218769999978</v>
      </c>
      <c r="D21" s="226">
        <v>47739.281125000001</v>
      </c>
      <c r="E21" s="226">
        <v>51953.730429999981</v>
      </c>
      <c r="F21" s="226">
        <v>60002.564960000011</v>
      </c>
      <c r="G21" s="226">
        <v>44225.159709999985</v>
      </c>
      <c r="H21" s="226">
        <v>45150.881199999989</v>
      </c>
      <c r="J21" s="32"/>
    </row>
    <row r="22" spans="1:11">
      <c r="A22" s="309" t="s">
        <v>482</v>
      </c>
      <c r="B22" s="226">
        <v>184327</v>
      </c>
      <c r="C22" s="226">
        <v>164977.49219000005</v>
      </c>
      <c r="D22" s="226">
        <v>199558.033945</v>
      </c>
      <c r="E22" s="226">
        <v>210944.65785999995</v>
      </c>
      <c r="F22" s="226">
        <v>217401.14603999996</v>
      </c>
      <c r="G22" s="226">
        <v>254911.26161000002</v>
      </c>
      <c r="H22" s="226">
        <v>228531.74680000002</v>
      </c>
    </row>
    <row r="23" spans="1:11">
      <c r="A23" s="309" t="s">
        <v>483</v>
      </c>
      <c r="B23" s="226">
        <v>173158</v>
      </c>
      <c r="C23" s="226">
        <v>153700.31400000001</v>
      </c>
      <c r="D23" s="226">
        <v>190658.43900000001</v>
      </c>
      <c r="E23" s="226">
        <v>195969.69766000003</v>
      </c>
      <c r="F23" s="226">
        <v>231152.12899999993</v>
      </c>
      <c r="G23" s="226">
        <v>249657.049</v>
      </c>
      <c r="H23" s="226">
        <v>226178.99930000002</v>
      </c>
    </row>
    <row r="24" spans="1:11">
      <c r="A24" s="309" t="s">
        <v>484</v>
      </c>
      <c r="B24" s="226">
        <v>45791</v>
      </c>
      <c r="C24" s="226">
        <v>47391.723920000004</v>
      </c>
      <c r="D24" s="226">
        <v>53343.133870000005</v>
      </c>
      <c r="E24" s="226">
        <v>51118.116580000002</v>
      </c>
      <c r="F24" s="226">
        <v>55907.810990400001</v>
      </c>
      <c r="G24" s="226">
        <v>49142.08092</v>
      </c>
      <c r="H24" s="226">
        <v>54455.095000000001</v>
      </c>
    </row>
    <row r="25" spans="1:11">
      <c r="A25" s="309" t="s">
        <v>485</v>
      </c>
      <c r="B25" s="226">
        <v>134131</v>
      </c>
      <c r="C25" s="226">
        <v>138811.77423000001</v>
      </c>
      <c r="D25" s="226">
        <v>157641.361</v>
      </c>
      <c r="E25" s="226">
        <v>148913.70376000003</v>
      </c>
      <c r="F25" s="226">
        <v>174688.177</v>
      </c>
      <c r="G25" s="226">
        <v>176562.85800000001</v>
      </c>
      <c r="H25" s="226">
        <v>167337.73080000002</v>
      </c>
    </row>
    <row r="26" spans="1:11">
      <c r="A26" s="309" t="s">
        <v>486</v>
      </c>
      <c r="B26" s="226">
        <v>180823</v>
      </c>
      <c r="C26" s="226">
        <v>184033.99299999999</v>
      </c>
      <c r="D26" s="226">
        <v>205380.64212500001</v>
      </c>
      <c r="E26" s="226">
        <v>200867.43419</v>
      </c>
      <c r="F26" s="226">
        <v>234690.74196000001</v>
      </c>
      <c r="G26" s="226">
        <v>220788.01770999999</v>
      </c>
      <c r="H26" s="226">
        <v>212488.61199999999</v>
      </c>
    </row>
    <row r="27" spans="1:11">
      <c r="A27" s="309" t="s">
        <v>488</v>
      </c>
      <c r="B27" s="310">
        <v>0.74</v>
      </c>
      <c r="C27" s="310">
        <v>0.75</v>
      </c>
      <c r="D27" s="310">
        <v>0.77</v>
      </c>
      <c r="E27" s="310">
        <v>0.74</v>
      </c>
      <c r="F27" s="310">
        <v>0.74</v>
      </c>
      <c r="G27" s="310">
        <v>0.8</v>
      </c>
      <c r="H27" s="310">
        <v>0.79</v>
      </c>
    </row>
    <row r="28" spans="1:11" ht="14.65" customHeight="1">
      <c r="A28" s="674" t="s">
        <v>1589</v>
      </c>
      <c r="B28" s="674"/>
      <c r="C28" s="674"/>
      <c r="D28" s="674"/>
      <c r="E28" s="674"/>
      <c r="F28" s="674"/>
      <c r="G28" s="674"/>
      <c r="H28" s="674"/>
      <c r="I28" s="155"/>
      <c r="J28" s="155"/>
      <c r="K28" s="155"/>
    </row>
    <row r="29" spans="1:11">
      <c r="A29" s="663" t="s">
        <v>490</v>
      </c>
      <c r="B29" s="663"/>
      <c r="C29" s="663"/>
      <c r="D29" s="663"/>
      <c r="E29" s="663"/>
      <c r="F29" s="663"/>
      <c r="G29" s="663"/>
      <c r="H29" s="663"/>
    </row>
    <row r="30" spans="1:11">
      <c r="A30" s="663" t="s">
        <v>1587</v>
      </c>
      <c r="B30" s="663"/>
      <c r="C30" s="663"/>
      <c r="D30" s="663"/>
      <c r="E30" s="663"/>
      <c r="F30" s="663"/>
      <c r="G30" s="663"/>
      <c r="H30" s="663"/>
    </row>
    <row r="31" spans="1:11">
      <c r="A31" s="663" t="s">
        <v>1586</v>
      </c>
      <c r="B31" s="663"/>
      <c r="C31" s="663"/>
      <c r="D31" s="663"/>
      <c r="E31" s="663"/>
      <c r="F31" s="663"/>
      <c r="G31" s="663"/>
      <c r="H31" s="663"/>
    </row>
    <row r="32" spans="1:11">
      <c r="A32" s="663" t="s">
        <v>1588</v>
      </c>
      <c r="B32" s="663"/>
      <c r="C32" s="663"/>
      <c r="D32" s="663"/>
      <c r="E32" s="663"/>
      <c r="F32" s="663"/>
      <c r="G32" s="663"/>
      <c r="H32" s="663"/>
    </row>
    <row r="33" spans="1:11">
      <c r="A33" s="13"/>
      <c r="B33" s="95"/>
      <c r="C33" s="95"/>
      <c r="D33" s="95"/>
      <c r="E33" s="95"/>
      <c r="F33" s="95"/>
      <c r="G33" s="87"/>
    </row>
    <row r="34" spans="1:11" ht="17.25">
      <c r="A34" s="619" t="s">
        <v>491</v>
      </c>
      <c r="B34" s="619"/>
      <c r="C34" s="619"/>
      <c r="D34" s="619"/>
      <c r="E34" s="619"/>
      <c r="F34" s="619"/>
      <c r="G34" s="619"/>
      <c r="H34" s="619"/>
      <c r="I34" s="619"/>
      <c r="J34" s="619"/>
      <c r="K34" s="619"/>
    </row>
    <row r="35" spans="1:11" ht="30" customHeight="1">
      <c r="A35" s="691"/>
      <c r="B35" s="688" t="s">
        <v>492</v>
      </c>
      <c r="C35" s="658" t="s">
        <v>480</v>
      </c>
      <c r="D35" s="658"/>
      <c r="E35" s="658"/>
      <c r="F35" s="658" t="s">
        <v>487</v>
      </c>
      <c r="G35" s="658"/>
      <c r="H35" s="658"/>
      <c r="I35" s="624" t="s">
        <v>493</v>
      </c>
      <c r="J35" s="624"/>
      <c r="K35" s="624"/>
    </row>
    <row r="36" spans="1:11">
      <c r="A36" s="692"/>
      <c r="B36" s="689"/>
      <c r="C36" s="659" t="s">
        <v>494</v>
      </c>
      <c r="D36" s="659"/>
      <c r="E36" s="659"/>
      <c r="F36" s="659" t="s">
        <v>494</v>
      </c>
      <c r="G36" s="659"/>
      <c r="H36" s="659"/>
      <c r="I36" s="659" t="s">
        <v>494</v>
      </c>
      <c r="J36" s="659"/>
      <c r="K36" s="659"/>
    </row>
    <row r="37" spans="1:11">
      <c r="A37" s="693"/>
      <c r="B37" s="690"/>
      <c r="C37" s="205" t="s">
        <v>495</v>
      </c>
      <c r="D37" s="205" t="s">
        <v>496</v>
      </c>
      <c r="E37" s="205" t="s">
        <v>173</v>
      </c>
      <c r="F37" s="205" t="s">
        <v>495</v>
      </c>
      <c r="G37" s="205" t="s">
        <v>496</v>
      </c>
      <c r="H37" s="205" t="s">
        <v>173</v>
      </c>
      <c r="I37" s="205" t="s">
        <v>495</v>
      </c>
      <c r="J37" s="205" t="s">
        <v>496</v>
      </c>
      <c r="K37" s="205" t="s">
        <v>173</v>
      </c>
    </row>
    <row r="38" spans="1:11">
      <c r="A38" s="660" t="s">
        <v>497</v>
      </c>
      <c r="B38" s="199" t="s">
        <v>498</v>
      </c>
      <c r="C38" s="311">
        <v>80881</v>
      </c>
      <c r="D38" s="311">
        <v>11290</v>
      </c>
      <c r="E38" s="311">
        <v>92171</v>
      </c>
      <c r="F38" s="311">
        <v>12650</v>
      </c>
      <c r="G38" s="311">
        <v>11290</v>
      </c>
      <c r="H38" s="311">
        <v>23939</v>
      </c>
      <c r="I38" s="311">
        <v>2340</v>
      </c>
      <c r="J38" s="246">
        <v>0</v>
      </c>
      <c r="K38" s="311">
        <v>2340</v>
      </c>
    </row>
    <row r="39" spans="1:11">
      <c r="A39" s="660"/>
      <c r="B39" s="199" t="s">
        <v>499</v>
      </c>
      <c r="C39" s="311">
        <v>21636</v>
      </c>
      <c r="D39" s="311">
        <v>3508</v>
      </c>
      <c r="E39" s="311">
        <v>25145</v>
      </c>
      <c r="F39" s="311">
        <v>21636</v>
      </c>
      <c r="G39" s="311">
        <v>2114</v>
      </c>
      <c r="H39" s="311">
        <v>23750</v>
      </c>
      <c r="I39" s="311">
        <v>10215</v>
      </c>
      <c r="J39" s="246">
        <v>84</v>
      </c>
      <c r="K39" s="311">
        <v>10299</v>
      </c>
    </row>
    <row r="40" spans="1:11">
      <c r="A40" s="660"/>
      <c r="B40" s="199" t="s">
        <v>500</v>
      </c>
      <c r="C40" s="246">
        <v>0</v>
      </c>
      <c r="D40" s="246">
        <v>7</v>
      </c>
      <c r="E40" s="246">
        <v>7</v>
      </c>
      <c r="F40" s="246">
        <v>0</v>
      </c>
      <c r="G40" s="246">
        <v>7</v>
      </c>
      <c r="H40" s="246">
        <v>7</v>
      </c>
      <c r="I40" s="246">
        <v>0</v>
      </c>
      <c r="J40" s="246">
        <v>0</v>
      </c>
      <c r="K40" s="246">
        <v>0</v>
      </c>
    </row>
    <row r="41" spans="1:11">
      <c r="A41" s="660"/>
      <c r="B41" s="199" t="s">
        <v>501</v>
      </c>
      <c r="C41" s="246">
        <v>4</v>
      </c>
      <c r="D41" s="246">
        <v>0</v>
      </c>
      <c r="E41" s="246">
        <v>4</v>
      </c>
      <c r="F41" s="246">
        <v>4</v>
      </c>
      <c r="G41" s="246">
        <v>0</v>
      </c>
      <c r="H41" s="246">
        <v>4</v>
      </c>
      <c r="I41" s="246">
        <v>0</v>
      </c>
      <c r="J41" s="246">
        <v>0</v>
      </c>
      <c r="K41" s="246">
        <v>0</v>
      </c>
    </row>
    <row r="42" spans="1:11">
      <c r="A42" s="660"/>
      <c r="B42" s="190" t="s">
        <v>173</v>
      </c>
      <c r="C42" s="356">
        <v>102522</v>
      </c>
      <c r="D42" s="356">
        <v>14805</v>
      </c>
      <c r="E42" s="356">
        <v>117327</v>
      </c>
      <c r="F42" s="356">
        <v>34290</v>
      </c>
      <c r="G42" s="356">
        <v>13411</v>
      </c>
      <c r="H42" s="356">
        <v>47701</v>
      </c>
      <c r="I42" s="356">
        <v>12555</v>
      </c>
      <c r="J42" s="359">
        <v>84</v>
      </c>
      <c r="K42" s="356">
        <v>12639</v>
      </c>
    </row>
    <row r="43" spans="1:11">
      <c r="A43" s="660" t="s">
        <v>502</v>
      </c>
      <c r="B43" s="199" t="s">
        <v>498</v>
      </c>
      <c r="C43" s="311">
        <v>140311</v>
      </c>
      <c r="D43" s="311">
        <v>34838</v>
      </c>
      <c r="E43" s="311">
        <v>175149</v>
      </c>
      <c r="F43" s="311">
        <v>140311</v>
      </c>
      <c r="G43" s="311">
        <v>34838</v>
      </c>
      <c r="H43" s="311">
        <v>175149</v>
      </c>
      <c r="I43" s="246">
        <v>0</v>
      </c>
      <c r="J43" s="246">
        <v>0</v>
      </c>
      <c r="K43" s="246">
        <v>0</v>
      </c>
    </row>
    <row r="44" spans="1:11">
      <c r="A44" s="660"/>
      <c r="B44" s="199" t="s">
        <v>499</v>
      </c>
      <c r="C44" s="311">
        <v>6938</v>
      </c>
      <c r="D44" s="311">
        <v>2207</v>
      </c>
      <c r="E44" s="311">
        <v>9145</v>
      </c>
      <c r="F44" s="311">
        <v>6938</v>
      </c>
      <c r="G44" s="311">
        <v>2207</v>
      </c>
      <c r="H44" s="311">
        <v>9145</v>
      </c>
      <c r="I44" s="311">
        <v>2144</v>
      </c>
      <c r="J44" s="246">
        <v>84</v>
      </c>
      <c r="K44" s="311">
        <v>2228</v>
      </c>
    </row>
    <row r="45" spans="1:11">
      <c r="A45" s="660"/>
      <c r="B45" s="199" t="s">
        <v>500</v>
      </c>
      <c r="C45" s="246">
        <v>0</v>
      </c>
      <c r="D45" s="246">
        <v>32</v>
      </c>
      <c r="E45" s="246">
        <v>32</v>
      </c>
      <c r="F45" s="246">
        <v>0</v>
      </c>
      <c r="G45" s="246">
        <v>32</v>
      </c>
      <c r="H45" s="246">
        <v>32</v>
      </c>
      <c r="I45" s="246">
        <v>0</v>
      </c>
      <c r="J45" s="246">
        <v>0</v>
      </c>
      <c r="K45" s="246">
        <v>0</v>
      </c>
    </row>
    <row r="46" spans="1:11">
      <c r="A46" s="660"/>
      <c r="B46" s="199" t="s">
        <v>501</v>
      </c>
      <c r="C46" s="246">
        <v>0</v>
      </c>
      <c r="D46" s="246">
        <v>0</v>
      </c>
      <c r="E46" s="246">
        <v>0</v>
      </c>
      <c r="F46" s="246">
        <v>0</v>
      </c>
      <c r="G46" s="246">
        <v>0</v>
      </c>
      <c r="H46" s="246">
        <v>0</v>
      </c>
      <c r="I46" s="246">
        <v>0</v>
      </c>
      <c r="J46" s="246">
        <v>0</v>
      </c>
      <c r="K46" s="246">
        <v>0</v>
      </c>
    </row>
    <row r="47" spans="1:11">
      <c r="A47" s="660"/>
      <c r="B47" s="190" t="s">
        <v>173</v>
      </c>
      <c r="C47" s="356">
        <v>147249</v>
      </c>
      <c r="D47" s="356">
        <v>37077</v>
      </c>
      <c r="E47" s="356">
        <v>184327</v>
      </c>
      <c r="F47" s="356">
        <v>147249</v>
      </c>
      <c r="G47" s="356">
        <v>37077</v>
      </c>
      <c r="H47" s="356">
        <v>184327</v>
      </c>
      <c r="I47" s="356">
        <v>2144</v>
      </c>
      <c r="J47" s="359">
        <v>84</v>
      </c>
      <c r="K47" s="356">
        <v>2228</v>
      </c>
    </row>
    <row r="48" spans="1:11">
      <c r="A48" s="660" t="s">
        <v>483</v>
      </c>
      <c r="B48" s="199" t="s">
        <v>498</v>
      </c>
      <c r="C48" s="311">
        <v>142564</v>
      </c>
      <c r="D48" s="311">
        <v>75529</v>
      </c>
      <c r="E48" s="311">
        <v>218093</v>
      </c>
      <c r="F48" s="311">
        <v>80947</v>
      </c>
      <c r="G48" s="311">
        <v>75529</v>
      </c>
      <c r="H48" s="311">
        <v>156476</v>
      </c>
      <c r="I48" s="246">
        <v>0</v>
      </c>
      <c r="J48" s="246">
        <v>0</v>
      </c>
      <c r="K48" s="246">
        <v>0</v>
      </c>
    </row>
    <row r="49" spans="1:11">
      <c r="A49" s="660"/>
      <c r="B49" s="199" t="s">
        <v>499</v>
      </c>
      <c r="C49" s="311">
        <v>3405</v>
      </c>
      <c r="D49" s="311">
        <v>11882</v>
      </c>
      <c r="E49" s="311">
        <v>15287</v>
      </c>
      <c r="F49" s="311">
        <v>3405</v>
      </c>
      <c r="G49" s="311">
        <v>11882</v>
      </c>
      <c r="H49" s="311">
        <v>15287</v>
      </c>
      <c r="I49" s="311">
        <v>1208</v>
      </c>
      <c r="J49" s="246">
        <v>0</v>
      </c>
      <c r="K49" s="311">
        <v>1208</v>
      </c>
    </row>
    <row r="50" spans="1:11">
      <c r="A50" s="660"/>
      <c r="B50" s="199" t="s">
        <v>500</v>
      </c>
      <c r="C50" s="246">
        <v>47</v>
      </c>
      <c r="D50" s="246">
        <v>33</v>
      </c>
      <c r="E50" s="246">
        <v>80</v>
      </c>
      <c r="F50" s="246">
        <v>47</v>
      </c>
      <c r="G50" s="246">
        <v>33</v>
      </c>
      <c r="H50" s="246">
        <v>80</v>
      </c>
      <c r="I50" s="246">
        <v>0</v>
      </c>
      <c r="J50" s="246">
        <v>0</v>
      </c>
      <c r="K50" s="246">
        <v>0</v>
      </c>
    </row>
    <row r="51" spans="1:11">
      <c r="A51" s="660"/>
      <c r="B51" s="199" t="s">
        <v>501</v>
      </c>
      <c r="C51" s="311">
        <v>1788</v>
      </c>
      <c r="D51" s="246">
        <v>424</v>
      </c>
      <c r="E51" s="311">
        <v>2212</v>
      </c>
      <c r="F51" s="311">
        <v>1316</v>
      </c>
      <c r="G51" s="246">
        <v>0</v>
      </c>
      <c r="H51" s="311">
        <v>1316</v>
      </c>
      <c r="I51" s="311">
        <v>1316</v>
      </c>
      <c r="J51" s="246">
        <v>0</v>
      </c>
      <c r="K51" s="311">
        <v>1316</v>
      </c>
    </row>
    <row r="52" spans="1:11">
      <c r="A52" s="660"/>
      <c r="B52" s="190" t="s">
        <v>173</v>
      </c>
      <c r="C52" s="356">
        <v>147804</v>
      </c>
      <c r="D52" s="356">
        <v>87867</v>
      </c>
      <c r="E52" s="356">
        <v>235671</v>
      </c>
      <c r="F52" s="356">
        <v>85715</v>
      </c>
      <c r="G52" s="356">
        <v>87443</v>
      </c>
      <c r="H52" s="356">
        <v>173158</v>
      </c>
      <c r="I52" s="356">
        <v>2524</v>
      </c>
      <c r="J52" s="359">
        <v>0</v>
      </c>
      <c r="K52" s="356">
        <v>2524</v>
      </c>
    </row>
    <row r="53" spans="1:11">
      <c r="A53" s="660" t="s">
        <v>484</v>
      </c>
      <c r="B53" s="199" t="s">
        <v>503</v>
      </c>
      <c r="C53" s="311">
        <v>14728</v>
      </c>
      <c r="D53" s="311">
        <v>11596</v>
      </c>
      <c r="E53" s="311">
        <v>26324</v>
      </c>
      <c r="F53" s="311">
        <v>7615</v>
      </c>
      <c r="G53" s="311">
        <v>11596</v>
      </c>
      <c r="H53" s="311">
        <v>19211</v>
      </c>
      <c r="I53" s="311">
        <v>3240</v>
      </c>
      <c r="J53" s="311">
        <v>1626</v>
      </c>
      <c r="K53" s="311">
        <v>4866</v>
      </c>
    </row>
    <row r="54" spans="1:11">
      <c r="A54" s="660"/>
      <c r="B54" s="199" t="s">
        <v>504</v>
      </c>
      <c r="C54" s="311">
        <v>8262</v>
      </c>
      <c r="D54" s="311">
        <v>18318</v>
      </c>
      <c r="E54" s="311">
        <v>26580</v>
      </c>
      <c r="F54" s="311">
        <v>8262</v>
      </c>
      <c r="G54" s="311">
        <v>18318</v>
      </c>
      <c r="H54" s="311">
        <v>26580</v>
      </c>
      <c r="I54" s="311">
        <v>6159</v>
      </c>
      <c r="J54" s="246">
        <v>14</v>
      </c>
      <c r="K54" s="311">
        <v>6173</v>
      </c>
    </row>
    <row r="55" spans="1:11">
      <c r="A55" s="660"/>
      <c r="B55" s="190" t="s">
        <v>173</v>
      </c>
      <c r="C55" s="356">
        <v>22990</v>
      </c>
      <c r="D55" s="356">
        <v>29914</v>
      </c>
      <c r="E55" s="356">
        <v>52904</v>
      </c>
      <c r="F55" s="356">
        <v>15877</v>
      </c>
      <c r="G55" s="356">
        <v>29914</v>
      </c>
      <c r="H55" s="356">
        <v>45791</v>
      </c>
      <c r="I55" s="356">
        <v>9399</v>
      </c>
      <c r="J55" s="356">
        <v>1640</v>
      </c>
      <c r="K55" s="356">
        <v>11040</v>
      </c>
    </row>
    <row r="56" spans="1:11">
      <c r="A56" s="665" t="s">
        <v>505</v>
      </c>
      <c r="B56" s="665"/>
      <c r="C56" s="696">
        <v>13079</v>
      </c>
      <c r="D56" s="697"/>
      <c r="E56" s="698"/>
      <c r="F56" s="696">
        <v>13079</v>
      </c>
      <c r="G56" s="697"/>
      <c r="H56" s="698"/>
      <c r="I56" s="696">
        <v>1304</v>
      </c>
      <c r="J56" s="697"/>
      <c r="K56" s="698"/>
    </row>
    <row r="57" spans="1:11" ht="14.65" customHeight="1">
      <c r="A57" s="671" t="s">
        <v>506</v>
      </c>
      <c r="B57" s="671"/>
      <c r="C57" s="671"/>
      <c r="D57" s="671"/>
      <c r="E57" s="671"/>
      <c r="F57" s="671"/>
      <c r="G57" s="671"/>
      <c r="H57" s="671"/>
      <c r="I57" s="671"/>
      <c r="J57" s="671"/>
      <c r="K57" s="671"/>
    </row>
    <row r="58" spans="1:11">
      <c r="A58" s="663" t="s">
        <v>507</v>
      </c>
      <c r="B58" s="663"/>
      <c r="C58" s="663"/>
      <c r="D58" s="663"/>
      <c r="E58" s="663"/>
      <c r="F58" s="663"/>
      <c r="G58" s="663"/>
      <c r="H58" s="663"/>
      <c r="I58" s="663"/>
      <c r="J58" s="663"/>
      <c r="K58" s="663"/>
    </row>
    <row r="59" spans="1:11">
      <c r="A59" s="663" t="s">
        <v>508</v>
      </c>
      <c r="B59" s="663"/>
      <c r="C59" s="663"/>
      <c r="D59" s="663"/>
      <c r="E59" s="663"/>
      <c r="F59" s="663"/>
      <c r="G59" s="663"/>
      <c r="H59" s="663"/>
      <c r="I59" s="663"/>
      <c r="J59" s="663"/>
      <c r="K59" s="663"/>
    </row>
    <row r="60" spans="1:11">
      <c r="A60" s="663" t="s">
        <v>509</v>
      </c>
      <c r="B60" s="663"/>
      <c r="C60" s="663"/>
      <c r="D60" s="663"/>
      <c r="E60" s="663"/>
      <c r="F60" s="663"/>
      <c r="G60" s="663"/>
      <c r="H60" s="663"/>
      <c r="I60" s="663"/>
      <c r="J60" s="663"/>
      <c r="K60" s="663"/>
    </row>
    <row r="61" spans="1:11">
      <c r="A61" s="662" t="s">
        <v>510</v>
      </c>
      <c r="B61" s="662"/>
      <c r="C61" s="662"/>
      <c r="D61" s="662"/>
      <c r="E61" s="662"/>
      <c r="F61" s="662"/>
      <c r="G61" s="662"/>
      <c r="H61" s="662"/>
      <c r="I61" s="662"/>
      <c r="J61" s="662"/>
      <c r="K61" s="662"/>
    </row>
    <row r="62" spans="1:11">
      <c r="A62" s="662" t="s">
        <v>511</v>
      </c>
      <c r="B62" s="662"/>
      <c r="C62" s="662"/>
      <c r="D62" s="662"/>
      <c r="E62" s="662"/>
      <c r="F62" s="662"/>
      <c r="G62" s="662"/>
      <c r="H62" s="662"/>
      <c r="I62" s="662"/>
      <c r="J62" s="662"/>
      <c r="K62" s="662"/>
    </row>
    <row r="63" spans="1:11">
      <c r="A63" s="662" t="s">
        <v>512</v>
      </c>
      <c r="B63" s="662"/>
      <c r="C63" s="662"/>
      <c r="D63" s="662"/>
      <c r="E63" s="662"/>
      <c r="F63" s="662"/>
      <c r="G63" s="662"/>
      <c r="H63" s="662"/>
      <c r="I63" s="662"/>
      <c r="J63" s="662"/>
      <c r="K63" s="662"/>
    </row>
    <row r="64" spans="1:11">
      <c r="A64" s="662" t="s">
        <v>513</v>
      </c>
      <c r="B64" s="662"/>
      <c r="C64" s="662"/>
      <c r="D64" s="662"/>
      <c r="E64" s="662"/>
      <c r="F64" s="662"/>
      <c r="G64" s="662"/>
      <c r="H64" s="662"/>
      <c r="I64" s="662"/>
      <c r="J64" s="662"/>
      <c r="K64" s="662"/>
    </row>
    <row r="65" spans="1:13">
      <c r="A65" s="662" t="s">
        <v>514</v>
      </c>
      <c r="B65" s="662"/>
      <c r="C65" s="662"/>
      <c r="D65" s="662"/>
      <c r="E65" s="662"/>
      <c r="F65" s="662"/>
      <c r="G65" s="662"/>
      <c r="H65" s="662"/>
      <c r="I65" s="662"/>
      <c r="J65" s="662"/>
      <c r="K65" s="662"/>
    </row>
    <row r="67" spans="1:13" s="4" customFormat="1" ht="17.25">
      <c r="A67" s="619" t="s">
        <v>515</v>
      </c>
      <c r="B67" s="619"/>
      <c r="C67" s="619"/>
      <c r="D67" s="619"/>
      <c r="E67" s="619"/>
      <c r="F67" s="619"/>
      <c r="G67" s="619"/>
      <c r="H67" s="619"/>
      <c r="I67" s="619"/>
      <c r="J67" s="619"/>
      <c r="K67" s="619"/>
    </row>
    <row r="68" spans="1:13" s="4" customFormat="1" ht="15" customHeight="1">
      <c r="A68" s="658"/>
      <c r="B68" s="658" t="s">
        <v>516</v>
      </c>
      <c r="C68" s="658" t="s">
        <v>325</v>
      </c>
      <c r="D68" s="658"/>
      <c r="E68" s="658"/>
      <c r="F68" s="658"/>
      <c r="G68" s="645" t="s">
        <v>517</v>
      </c>
      <c r="H68" s="645"/>
      <c r="I68" s="645"/>
      <c r="J68" s="181" t="s">
        <v>518</v>
      </c>
      <c r="K68" s="181"/>
      <c r="L68" s="181" t="s">
        <v>519</v>
      </c>
    </row>
    <row r="69" spans="1:13" s="4" customFormat="1" ht="14.25">
      <c r="A69" s="658"/>
      <c r="B69" s="658"/>
      <c r="C69" s="658"/>
      <c r="D69" s="658"/>
      <c r="E69" s="658"/>
      <c r="F69" s="658"/>
      <c r="G69" s="645"/>
      <c r="H69" s="645"/>
      <c r="I69" s="645" t="s">
        <v>520</v>
      </c>
      <c r="J69" s="645"/>
      <c r="K69" s="645"/>
      <c r="L69" s="181"/>
    </row>
    <row r="70" spans="1:13" s="4" customFormat="1" ht="38.25">
      <c r="A70" s="658"/>
      <c r="B70" s="658"/>
      <c r="C70" s="175" t="s">
        <v>521</v>
      </c>
      <c r="D70" s="175" t="s">
        <v>522</v>
      </c>
      <c r="E70" s="175" t="s">
        <v>523</v>
      </c>
      <c r="F70" s="175" t="s">
        <v>524</v>
      </c>
      <c r="G70" s="175" t="s">
        <v>525</v>
      </c>
      <c r="H70" s="175" t="s">
        <v>526</v>
      </c>
      <c r="I70" s="175" t="s">
        <v>527</v>
      </c>
      <c r="J70" s="175" t="s">
        <v>528</v>
      </c>
      <c r="K70" s="175" t="s">
        <v>529</v>
      </c>
      <c r="L70" s="175" t="s">
        <v>530</v>
      </c>
      <c r="M70" s="135"/>
    </row>
    <row r="71" spans="1:13" s="4" customFormat="1" ht="14.25">
      <c r="A71" s="309" t="s">
        <v>531</v>
      </c>
      <c r="B71" s="311">
        <v>117327</v>
      </c>
      <c r="C71" s="311">
        <v>3556</v>
      </c>
      <c r="D71" s="311">
        <v>6091</v>
      </c>
      <c r="E71" s="246">
        <v>956</v>
      </c>
      <c r="F71" s="311">
        <v>2266</v>
      </c>
      <c r="G71" s="311">
        <v>17180</v>
      </c>
      <c r="H71" s="311">
        <v>5013</v>
      </c>
      <c r="I71" s="311">
        <v>10500</v>
      </c>
      <c r="J71" s="311">
        <v>2139</v>
      </c>
      <c r="K71" s="564">
        <v>12639</v>
      </c>
      <c r="L71" s="311">
        <v>69626</v>
      </c>
      <c r="M71" s="135"/>
    </row>
    <row r="72" spans="1:13" s="4" customFormat="1" ht="14.25">
      <c r="A72" s="309" t="s">
        <v>532</v>
      </c>
      <c r="B72" s="311">
        <v>184327</v>
      </c>
      <c r="C72" s="311">
        <v>44262</v>
      </c>
      <c r="D72" s="311">
        <v>82808</v>
      </c>
      <c r="E72" s="311">
        <v>28645</v>
      </c>
      <c r="F72" s="311">
        <v>7010</v>
      </c>
      <c r="G72" s="311">
        <v>11232</v>
      </c>
      <c r="H72" s="311">
        <v>8143</v>
      </c>
      <c r="I72" s="311">
        <v>1316</v>
      </c>
      <c r="J72" s="246">
        <v>912</v>
      </c>
      <c r="K72" s="564">
        <v>2228</v>
      </c>
      <c r="L72" s="246">
        <v>0</v>
      </c>
    </row>
    <row r="73" spans="1:13" s="4" customFormat="1" ht="14.25">
      <c r="A73" s="309" t="s">
        <v>483</v>
      </c>
      <c r="B73" s="311">
        <v>235671</v>
      </c>
      <c r="C73" s="311">
        <v>40164</v>
      </c>
      <c r="D73" s="311">
        <v>75840</v>
      </c>
      <c r="E73" s="311">
        <v>29099</v>
      </c>
      <c r="F73" s="311">
        <v>10455</v>
      </c>
      <c r="G73" s="311">
        <v>1863</v>
      </c>
      <c r="H73" s="311">
        <v>13213</v>
      </c>
      <c r="I73" s="311">
        <v>2212</v>
      </c>
      <c r="J73" s="246">
        <v>312</v>
      </c>
      <c r="K73" s="564">
        <v>2524</v>
      </c>
      <c r="L73" s="311">
        <v>62513</v>
      </c>
    </row>
    <row r="74" spans="1:13" s="4" customFormat="1" ht="14.25">
      <c r="A74" s="309" t="s">
        <v>484</v>
      </c>
      <c r="B74" s="311">
        <v>52904</v>
      </c>
      <c r="C74" s="311">
        <v>2342</v>
      </c>
      <c r="D74" s="311">
        <v>3515</v>
      </c>
      <c r="E74" s="311">
        <v>1638</v>
      </c>
      <c r="F74" s="311">
        <v>1464</v>
      </c>
      <c r="G74" s="311">
        <v>24212</v>
      </c>
      <c r="H74" s="311">
        <v>1580</v>
      </c>
      <c r="I74" s="311">
        <v>8734</v>
      </c>
      <c r="J74" s="311">
        <v>2305</v>
      </c>
      <c r="K74" s="564">
        <v>11039</v>
      </c>
      <c r="L74" s="311">
        <v>7113</v>
      </c>
    </row>
    <row r="75" spans="1:13" s="4" customFormat="1" ht="14.25">
      <c r="A75" s="309" t="s">
        <v>485</v>
      </c>
      <c r="B75" s="311">
        <v>134131</v>
      </c>
      <c r="C75" s="246">
        <v>0</v>
      </c>
      <c r="D75" s="311">
        <v>18792</v>
      </c>
      <c r="E75" s="246">
        <v>523</v>
      </c>
      <c r="F75" s="311">
        <v>3110</v>
      </c>
      <c r="G75" s="311">
        <v>53205</v>
      </c>
      <c r="H75" s="311">
        <v>6805</v>
      </c>
      <c r="I75" s="311">
        <v>31117</v>
      </c>
      <c r="J75" s="311">
        <v>20580</v>
      </c>
      <c r="K75" s="564">
        <v>51697</v>
      </c>
      <c r="L75" s="246">
        <v>0</v>
      </c>
    </row>
    <row r="76" spans="1:13" s="4" customFormat="1" ht="14.25">
      <c r="A76" s="309" t="s">
        <v>533</v>
      </c>
      <c r="B76" s="311">
        <v>250449</v>
      </c>
      <c r="C76" s="311">
        <v>3556</v>
      </c>
      <c r="D76" s="311">
        <v>24882</v>
      </c>
      <c r="E76" s="311">
        <v>1479</v>
      </c>
      <c r="F76" s="311">
        <v>5376</v>
      </c>
      <c r="G76" s="311">
        <v>70385</v>
      </c>
      <c r="H76" s="311">
        <v>11818</v>
      </c>
      <c r="I76" s="311">
        <v>40577</v>
      </c>
      <c r="J76" s="311">
        <v>22750</v>
      </c>
      <c r="K76" s="564">
        <v>63327</v>
      </c>
      <c r="L76" s="311">
        <v>69626</v>
      </c>
    </row>
    <row r="77" spans="1:13" s="4" customFormat="1" ht="14.25">
      <c r="A77" s="309" t="s">
        <v>534</v>
      </c>
      <c r="B77" s="312">
        <v>0.74</v>
      </c>
      <c r="C77" s="313">
        <v>0</v>
      </c>
      <c r="D77" s="313">
        <v>0.76</v>
      </c>
      <c r="E77" s="313">
        <v>0.35</v>
      </c>
      <c r="F77" s="313">
        <v>0.57999999999999996</v>
      </c>
      <c r="G77" s="313">
        <v>0.76</v>
      </c>
      <c r="H77" s="313">
        <v>0.57999999999999996</v>
      </c>
      <c r="I77" s="313">
        <v>0.77</v>
      </c>
      <c r="J77" s="313">
        <v>0.9</v>
      </c>
      <c r="K77" s="313">
        <v>0.82</v>
      </c>
      <c r="L77" s="313">
        <v>0</v>
      </c>
    </row>
    <row r="78" spans="1:13" s="4" customFormat="1" ht="14.25">
      <c r="A78" s="314" t="s">
        <v>535</v>
      </c>
      <c r="B78" s="246">
        <v>1.53</v>
      </c>
      <c r="C78" s="246">
        <v>0.46</v>
      </c>
      <c r="D78" s="246">
        <v>2</v>
      </c>
      <c r="E78" s="246">
        <v>0.24</v>
      </c>
      <c r="F78" s="246">
        <v>0.66</v>
      </c>
      <c r="G78" s="246">
        <v>1.9</v>
      </c>
      <c r="H78" s="246">
        <v>3</v>
      </c>
      <c r="I78" s="246">
        <v>2.4</v>
      </c>
      <c r="J78" s="246" t="s">
        <v>301</v>
      </c>
      <c r="K78" s="337">
        <v>2.4</v>
      </c>
      <c r="L78" s="246" t="s">
        <v>301</v>
      </c>
    </row>
    <row r="79" spans="1:13" s="4" customFormat="1" ht="14.25">
      <c r="A79" s="314" t="s">
        <v>536</v>
      </c>
      <c r="B79" s="246">
        <v>0.52</v>
      </c>
      <c r="C79" s="246">
        <v>0.45</v>
      </c>
      <c r="D79" s="246">
        <v>0.49</v>
      </c>
      <c r="E79" s="246">
        <v>0.18</v>
      </c>
      <c r="F79" s="246">
        <v>0.26</v>
      </c>
      <c r="G79" s="246">
        <v>0.44</v>
      </c>
      <c r="H79" s="246">
        <v>1.2</v>
      </c>
      <c r="I79" s="246">
        <v>0.57999999999999996</v>
      </c>
      <c r="J79" s="246" t="s">
        <v>301</v>
      </c>
      <c r="K79" s="337">
        <v>0.57999999999999996</v>
      </c>
      <c r="L79" s="246" t="s">
        <v>301</v>
      </c>
    </row>
    <row r="80" spans="1:13" s="4" customFormat="1" ht="14.25">
      <c r="A80" s="674" t="s">
        <v>489</v>
      </c>
      <c r="B80" s="674"/>
      <c r="C80" s="674"/>
      <c r="D80" s="674"/>
      <c r="E80" s="674"/>
      <c r="F80" s="674"/>
      <c r="G80" s="674"/>
      <c r="H80" s="674"/>
      <c r="I80" s="674"/>
      <c r="J80" s="674"/>
      <c r="K80" s="674"/>
    </row>
    <row r="81" spans="1:21" s="4" customFormat="1" ht="14.25">
      <c r="A81" s="655" t="s">
        <v>537</v>
      </c>
      <c r="B81" s="655"/>
      <c r="C81" s="655"/>
      <c r="D81" s="655"/>
      <c r="E81" s="655"/>
      <c r="F81" s="655"/>
      <c r="G81" s="655"/>
      <c r="H81" s="655"/>
      <c r="I81" s="655"/>
      <c r="J81" s="655"/>
      <c r="K81" s="655"/>
    </row>
    <row r="82" spans="1:21" s="4" customFormat="1" ht="14.25">
      <c r="A82" s="655" t="s">
        <v>538</v>
      </c>
      <c r="B82" s="655"/>
      <c r="C82" s="655"/>
      <c r="D82" s="655"/>
      <c r="E82" s="655"/>
      <c r="F82" s="655"/>
      <c r="G82" s="655"/>
      <c r="H82" s="655"/>
      <c r="I82" s="655"/>
      <c r="J82" s="655"/>
      <c r="K82" s="655"/>
    </row>
    <row r="83" spans="1:21" s="4" customFormat="1" ht="14.25">
      <c r="A83" s="655" t="s">
        <v>539</v>
      </c>
      <c r="B83" s="655"/>
      <c r="C83" s="655"/>
      <c r="D83" s="655"/>
      <c r="E83" s="655"/>
      <c r="F83" s="655"/>
      <c r="G83" s="655"/>
      <c r="H83" s="655"/>
      <c r="I83" s="655"/>
      <c r="J83" s="655"/>
      <c r="K83" s="655"/>
    </row>
    <row r="84" spans="1:21" s="4" customFormat="1" ht="14.25">
      <c r="A84" s="655" t="s">
        <v>540</v>
      </c>
      <c r="B84" s="655"/>
      <c r="C84" s="655"/>
      <c r="D84" s="655"/>
      <c r="E84" s="655"/>
      <c r="F84" s="655"/>
      <c r="G84" s="655"/>
      <c r="H84" s="655"/>
      <c r="I84" s="655"/>
      <c r="J84" s="655"/>
      <c r="K84" s="655"/>
    </row>
    <row r="85" spans="1:21" s="4" customFormat="1" ht="14.25">
      <c r="A85" s="655" t="s">
        <v>541</v>
      </c>
      <c r="B85" s="655"/>
      <c r="C85" s="655"/>
      <c r="D85" s="655"/>
      <c r="E85" s="655"/>
      <c r="F85" s="655"/>
      <c r="G85" s="655"/>
      <c r="H85" s="655"/>
      <c r="I85" s="655"/>
      <c r="J85" s="655"/>
      <c r="K85" s="655"/>
    </row>
    <row r="86" spans="1:21" s="4" customFormat="1" ht="14.25">
      <c r="A86" s="655" t="s">
        <v>542</v>
      </c>
      <c r="B86" s="655"/>
      <c r="C86" s="655"/>
      <c r="D86" s="655"/>
      <c r="E86" s="655"/>
      <c r="F86" s="655"/>
      <c r="G86" s="655"/>
      <c r="H86" s="655"/>
      <c r="I86" s="655"/>
      <c r="J86" s="655"/>
      <c r="K86" s="655"/>
    </row>
    <row r="87" spans="1:21" s="4" customFormat="1" ht="14.25">
      <c r="A87" s="655" t="s">
        <v>543</v>
      </c>
      <c r="B87" s="655"/>
      <c r="C87" s="655"/>
      <c r="D87" s="655"/>
      <c r="E87" s="655"/>
      <c r="F87" s="655"/>
      <c r="G87" s="655"/>
      <c r="H87" s="655"/>
      <c r="I87" s="655"/>
      <c r="J87" s="655"/>
      <c r="K87" s="655"/>
    </row>
    <row r="88" spans="1:21" s="4" customFormat="1" ht="14.25">
      <c r="A88" s="655" t="s">
        <v>544</v>
      </c>
      <c r="B88" s="655"/>
      <c r="C88" s="655"/>
      <c r="D88" s="655"/>
      <c r="E88" s="655"/>
      <c r="F88" s="655"/>
      <c r="G88" s="655"/>
      <c r="H88" s="655"/>
      <c r="I88" s="655"/>
      <c r="J88" s="655"/>
      <c r="K88" s="655"/>
    </row>
    <row r="89" spans="1:21" s="4" customFormat="1" ht="14.25">
      <c r="A89" s="13"/>
      <c r="B89" s="95"/>
      <c r="C89" s="95"/>
      <c r="D89" s="95"/>
      <c r="E89" s="95"/>
      <c r="F89" s="95"/>
      <c r="G89" s="95"/>
      <c r="H89" s="133"/>
    </row>
    <row r="90" spans="1:21" s="4" customFormat="1" ht="17.25">
      <c r="A90" s="675" t="s">
        <v>545</v>
      </c>
      <c r="B90" s="619"/>
      <c r="C90" s="619"/>
      <c r="D90" s="619"/>
      <c r="E90" s="619"/>
      <c r="F90" s="619"/>
      <c r="G90" s="619"/>
      <c r="H90" s="619"/>
      <c r="I90" s="619"/>
      <c r="J90" s="619"/>
      <c r="K90" s="619"/>
    </row>
    <row r="91" spans="1:21" s="4" customFormat="1" ht="14.25">
      <c r="A91" s="676"/>
      <c r="B91" s="658" t="s">
        <v>546</v>
      </c>
      <c r="C91" s="658"/>
      <c r="D91" s="658" t="s">
        <v>325</v>
      </c>
      <c r="E91" s="658"/>
      <c r="F91" s="658"/>
      <c r="G91" s="658"/>
      <c r="H91" s="658"/>
      <c r="I91" s="658"/>
      <c r="J91" s="658"/>
      <c r="K91" s="658"/>
      <c r="L91" s="645" t="s">
        <v>517</v>
      </c>
      <c r="M91" s="645"/>
      <c r="N91" s="645"/>
      <c r="O91" s="645"/>
      <c r="P91" s="645"/>
      <c r="Q91" s="645"/>
      <c r="R91" s="645" t="s">
        <v>518</v>
      </c>
      <c r="S91" s="645"/>
      <c r="T91" s="645" t="s">
        <v>519</v>
      </c>
      <c r="U91" s="645"/>
    </row>
    <row r="92" spans="1:21" s="4" customFormat="1" ht="14.25">
      <c r="A92" s="677"/>
      <c r="B92" s="658"/>
      <c r="C92" s="658"/>
      <c r="D92" s="658"/>
      <c r="E92" s="658"/>
      <c r="F92" s="658"/>
      <c r="G92" s="658"/>
      <c r="H92" s="658"/>
      <c r="I92" s="658"/>
      <c r="J92" s="658"/>
      <c r="K92" s="658"/>
      <c r="L92" s="679"/>
      <c r="M92" s="680"/>
      <c r="N92" s="680"/>
      <c r="O92" s="681"/>
      <c r="P92" s="645" t="s">
        <v>547</v>
      </c>
      <c r="Q92" s="645"/>
      <c r="R92" s="645"/>
      <c r="S92" s="645"/>
      <c r="T92" s="679"/>
      <c r="U92" s="681"/>
    </row>
    <row r="93" spans="1:21" s="4" customFormat="1" ht="14.25">
      <c r="A93" s="677"/>
      <c r="B93" s="658"/>
      <c r="C93" s="658"/>
      <c r="D93" s="645" t="s">
        <v>548</v>
      </c>
      <c r="E93" s="645"/>
      <c r="F93" s="645" t="s">
        <v>549</v>
      </c>
      <c r="G93" s="645"/>
      <c r="H93" s="645" t="s">
        <v>550</v>
      </c>
      <c r="I93" s="645"/>
      <c r="J93" s="645" t="s">
        <v>551</v>
      </c>
      <c r="K93" s="645"/>
      <c r="L93" s="645" t="s">
        <v>552</v>
      </c>
      <c r="M93" s="645"/>
      <c r="N93" s="645" t="s">
        <v>553</v>
      </c>
      <c r="O93" s="645"/>
      <c r="P93" s="645" t="s">
        <v>554</v>
      </c>
      <c r="Q93" s="645"/>
      <c r="R93" s="645" t="s">
        <v>555</v>
      </c>
      <c r="S93" s="645"/>
      <c r="T93" s="645" t="s">
        <v>172</v>
      </c>
      <c r="U93" s="645"/>
    </row>
    <row r="94" spans="1:21" s="4" customFormat="1" ht="14.25">
      <c r="A94" s="678"/>
      <c r="B94" s="181" t="s">
        <v>556</v>
      </c>
      <c r="C94" s="181" t="s">
        <v>557</v>
      </c>
      <c r="D94" s="181" t="s">
        <v>556</v>
      </c>
      <c r="E94" s="181" t="s">
        <v>557</v>
      </c>
      <c r="F94" s="181" t="s">
        <v>556</v>
      </c>
      <c r="G94" s="181" t="s">
        <v>557</v>
      </c>
      <c r="H94" s="181" t="s">
        <v>556</v>
      </c>
      <c r="I94" s="181" t="s">
        <v>557</v>
      </c>
      <c r="J94" s="181" t="s">
        <v>556</v>
      </c>
      <c r="K94" s="181" t="s">
        <v>557</v>
      </c>
      <c r="L94" s="181" t="s">
        <v>556</v>
      </c>
      <c r="M94" s="181" t="s">
        <v>557</v>
      </c>
      <c r="N94" s="181" t="s">
        <v>556</v>
      </c>
      <c r="O94" s="181" t="s">
        <v>557</v>
      </c>
      <c r="P94" s="181" t="s">
        <v>556</v>
      </c>
      <c r="Q94" s="181" t="s">
        <v>557</v>
      </c>
      <c r="R94" s="181" t="s">
        <v>556</v>
      </c>
      <c r="S94" s="181" t="s">
        <v>557</v>
      </c>
      <c r="T94" s="181" t="s">
        <v>556</v>
      </c>
      <c r="U94" s="181" t="s">
        <v>557</v>
      </c>
    </row>
    <row r="95" spans="1:21" s="4" customFormat="1" ht="14.25" hidden="1">
      <c r="A95" s="10"/>
      <c r="B95" s="128">
        <v>2021</v>
      </c>
      <c r="C95" s="128"/>
      <c r="E95" s="128">
        <v>2020</v>
      </c>
      <c r="G95" s="128">
        <v>2019</v>
      </c>
      <c r="I95" s="128">
        <v>2018</v>
      </c>
      <c r="K95" s="128">
        <v>2017</v>
      </c>
      <c r="M95" s="129">
        <v>2016</v>
      </c>
      <c r="O95" s="130">
        <v>2015</v>
      </c>
    </row>
    <row r="96" spans="1:21" s="4" customFormat="1" ht="14.25" hidden="1">
      <c r="A96" s="201"/>
      <c r="B96" s="131"/>
      <c r="C96" s="131"/>
      <c r="E96" s="131"/>
      <c r="G96" s="131"/>
      <c r="I96" s="131"/>
      <c r="K96" s="131"/>
      <c r="M96" s="132"/>
    </row>
    <row r="97" spans="1:21" s="4" customFormat="1" ht="14.25">
      <c r="A97" s="309" t="s">
        <v>558</v>
      </c>
      <c r="B97" s="311">
        <v>80881</v>
      </c>
      <c r="C97" s="311">
        <v>11290</v>
      </c>
      <c r="D97" s="311">
        <v>2892</v>
      </c>
      <c r="E97" s="246">
        <v>641</v>
      </c>
      <c r="F97" s="246">
        <v>0</v>
      </c>
      <c r="G97" s="311">
        <v>4606</v>
      </c>
      <c r="H97" s="246">
        <v>9</v>
      </c>
      <c r="I97" s="246">
        <v>0</v>
      </c>
      <c r="J97" s="246">
        <v>504</v>
      </c>
      <c r="K97" s="246">
        <v>843</v>
      </c>
      <c r="L97" s="311">
        <v>6473</v>
      </c>
      <c r="M97" s="246">
        <v>626</v>
      </c>
      <c r="N97" s="246">
        <v>433</v>
      </c>
      <c r="O97" s="311">
        <v>4573</v>
      </c>
      <c r="P97" s="311">
        <v>1325</v>
      </c>
      <c r="Q97" s="246">
        <v>0</v>
      </c>
      <c r="R97" s="311">
        <v>1015</v>
      </c>
      <c r="S97" s="246">
        <v>0</v>
      </c>
      <c r="T97" s="311">
        <v>68232</v>
      </c>
      <c r="U97" s="246">
        <v>0</v>
      </c>
    </row>
    <row r="98" spans="1:21" s="4" customFormat="1" ht="14.25">
      <c r="A98" s="309" t="s">
        <v>559</v>
      </c>
      <c r="B98" s="311">
        <v>21636</v>
      </c>
      <c r="C98" s="311">
        <v>3508</v>
      </c>
      <c r="D98" s="246">
        <v>0</v>
      </c>
      <c r="E98" s="246">
        <v>19</v>
      </c>
      <c r="F98" s="311">
        <v>1109</v>
      </c>
      <c r="G98" s="246">
        <v>377</v>
      </c>
      <c r="H98" s="246">
        <v>635</v>
      </c>
      <c r="I98" s="246">
        <v>312</v>
      </c>
      <c r="J98" s="246">
        <v>918</v>
      </c>
      <c r="K98" s="246">
        <v>0</v>
      </c>
      <c r="L98" s="311">
        <v>8759</v>
      </c>
      <c r="M98" s="311">
        <v>1322</v>
      </c>
      <c r="N98" s="246">
        <v>0</v>
      </c>
      <c r="O98" s="246">
        <v>0</v>
      </c>
      <c r="P98" s="311">
        <v>9175</v>
      </c>
      <c r="Q98" s="246">
        <v>0</v>
      </c>
      <c r="R98" s="311">
        <v>1040</v>
      </c>
      <c r="S98" s="246">
        <v>84</v>
      </c>
      <c r="T98" s="246">
        <v>0</v>
      </c>
      <c r="U98" s="311">
        <v>1395</v>
      </c>
    </row>
    <row r="99" spans="1:21" s="4" customFormat="1" ht="14.25">
      <c r="A99" s="309" t="s">
        <v>560</v>
      </c>
      <c r="B99" s="246">
        <v>0</v>
      </c>
      <c r="C99" s="246">
        <v>7</v>
      </c>
      <c r="D99" s="246">
        <v>0</v>
      </c>
      <c r="E99" s="246">
        <v>0</v>
      </c>
      <c r="F99" s="246">
        <v>0</v>
      </c>
      <c r="G99" s="246">
        <v>0</v>
      </c>
      <c r="H99" s="246">
        <v>0</v>
      </c>
      <c r="I99" s="246">
        <v>0</v>
      </c>
      <c r="J99" s="246">
        <v>0</v>
      </c>
      <c r="K99" s="246">
        <v>0</v>
      </c>
      <c r="L99" s="246">
        <v>0</v>
      </c>
      <c r="M99" s="246">
        <v>0</v>
      </c>
      <c r="N99" s="246">
        <v>0</v>
      </c>
      <c r="O99" s="246">
        <v>7</v>
      </c>
      <c r="P99" s="246">
        <v>0</v>
      </c>
      <c r="Q99" s="246">
        <v>0</v>
      </c>
      <c r="R99" s="246">
        <v>0</v>
      </c>
      <c r="S99" s="246">
        <v>0</v>
      </c>
      <c r="T99" s="246">
        <v>0</v>
      </c>
      <c r="U99" s="246">
        <v>0</v>
      </c>
    </row>
    <row r="100" spans="1:21" s="4" customFormat="1" ht="14.25">
      <c r="A100" s="309" t="s">
        <v>561</v>
      </c>
      <c r="B100" s="246">
        <v>4</v>
      </c>
      <c r="C100" s="246">
        <v>0</v>
      </c>
      <c r="D100" s="246">
        <v>4</v>
      </c>
      <c r="E100" s="246">
        <v>0</v>
      </c>
      <c r="F100" s="246">
        <v>0</v>
      </c>
      <c r="G100" s="246">
        <v>0</v>
      </c>
      <c r="H100" s="246">
        <v>0</v>
      </c>
      <c r="I100" s="246">
        <v>0</v>
      </c>
      <c r="J100" s="246">
        <v>0</v>
      </c>
      <c r="K100" s="246">
        <v>0</v>
      </c>
      <c r="L100" s="246">
        <v>0</v>
      </c>
      <c r="M100" s="246">
        <v>0</v>
      </c>
      <c r="N100" s="246">
        <v>0</v>
      </c>
      <c r="O100" s="246">
        <v>0</v>
      </c>
      <c r="P100" s="246">
        <v>0</v>
      </c>
      <c r="Q100" s="246">
        <v>0</v>
      </c>
      <c r="R100" s="246">
        <v>0</v>
      </c>
      <c r="S100" s="246">
        <v>0</v>
      </c>
      <c r="T100" s="246">
        <v>0</v>
      </c>
      <c r="U100" s="246">
        <v>0</v>
      </c>
    </row>
    <row r="101" spans="1:21" s="4" customFormat="1" ht="14.25">
      <c r="A101" s="664" t="s">
        <v>562</v>
      </c>
      <c r="B101" s="664"/>
      <c r="C101" s="664"/>
      <c r="D101" s="664"/>
      <c r="E101" s="664"/>
      <c r="F101" s="664"/>
      <c r="G101" s="664"/>
      <c r="H101" s="664"/>
      <c r="I101" s="664"/>
      <c r="J101" s="664"/>
      <c r="K101" s="664"/>
      <c r="L101" s="66"/>
      <c r="M101" s="66"/>
      <c r="N101" s="66"/>
      <c r="O101" s="66"/>
      <c r="P101" s="66"/>
      <c r="Q101" s="66"/>
      <c r="R101" s="66"/>
      <c r="S101" s="66"/>
      <c r="T101" s="66"/>
      <c r="U101" s="66"/>
    </row>
    <row r="102" spans="1:21" s="4" customFormat="1" ht="14.25">
      <c r="A102" s="664" t="s">
        <v>490</v>
      </c>
      <c r="B102" s="664"/>
      <c r="C102" s="664"/>
      <c r="D102" s="664"/>
      <c r="E102" s="664"/>
      <c r="F102" s="664"/>
      <c r="G102" s="664"/>
      <c r="H102" s="664"/>
      <c r="I102" s="664"/>
      <c r="J102" s="664"/>
      <c r="K102" s="664"/>
    </row>
    <row r="103" spans="1:21" s="4" customFormat="1" ht="14.25">
      <c r="A103" s="661" t="s">
        <v>563</v>
      </c>
      <c r="B103" s="661"/>
      <c r="C103" s="661"/>
      <c r="D103" s="661"/>
      <c r="E103" s="661"/>
      <c r="F103" s="661"/>
      <c r="G103" s="661"/>
      <c r="H103" s="661"/>
      <c r="I103" s="661"/>
      <c r="J103" s="661"/>
      <c r="K103" s="661"/>
    </row>
    <row r="104" spans="1:21" s="4" customFormat="1" ht="14.25">
      <c r="A104" s="661" t="s">
        <v>564</v>
      </c>
      <c r="B104" s="661"/>
      <c r="C104" s="661"/>
      <c r="D104" s="661"/>
      <c r="E104" s="661"/>
      <c r="F104" s="661"/>
      <c r="G104" s="661"/>
      <c r="H104" s="661"/>
      <c r="I104" s="661"/>
      <c r="J104" s="661"/>
      <c r="K104" s="661"/>
    </row>
    <row r="105" spans="1:21" s="4" customFormat="1" ht="14.25">
      <c r="A105" s="661" t="s">
        <v>565</v>
      </c>
      <c r="B105" s="661"/>
      <c r="C105" s="661"/>
      <c r="D105" s="661"/>
      <c r="E105" s="661"/>
      <c r="F105" s="661"/>
      <c r="G105" s="661"/>
      <c r="H105" s="661"/>
      <c r="I105" s="661"/>
      <c r="J105" s="661"/>
      <c r="K105" s="661"/>
    </row>
    <row r="106" spans="1:21" s="4" customFormat="1" ht="14.25">
      <c r="A106" s="661" t="s">
        <v>566</v>
      </c>
      <c r="B106" s="661"/>
      <c r="C106" s="661"/>
      <c r="D106" s="661"/>
      <c r="E106" s="661"/>
      <c r="F106" s="661"/>
      <c r="G106" s="661"/>
      <c r="H106" s="661"/>
      <c r="I106" s="661"/>
      <c r="J106" s="661"/>
      <c r="K106" s="661"/>
    </row>
    <row r="107" spans="1:21" s="4" customFormat="1" ht="14.25">
      <c r="A107" s="655" t="s">
        <v>567</v>
      </c>
      <c r="B107" s="655"/>
      <c r="C107" s="655"/>
      <c r="D107" s="655"/>
      <c r="E107" s="655"/>
      <c r="F107" s="655"/>
      <c r="G107" s="655"/>
      <c r="H107" s="655"/>
      <c r="I107" s="655"/>
      <c r="J107" s="655"/>
      <c r="K107" s="655"/>
    </row>
    <row r="108" spans="1:21" s="4" customFormat="1" ht="14.25">
      <c r="A108" s="655" t="s">
        <v>568</v>
      </c>
      <c r="B108" s="655"/>
      <c r="C108" s="655"/>
      <c r="D108" s="655"/>
      <c r="E108" s="655"/>
      <c r="F108" s="655"/>
      <c r="G108" s="655"/>
      <c r="H108" s="655"/>
      <c r="I108" s="655"/>
      <c r="J108" s="655"/>
      <c r="K108" s="655"/>
    </row>
    <row r="109" spans="1:21" s="4" customFormat="1" ht="14.25">
      <c r="A109" s="655" t="s">
        <v>569</v>
      </c>
      <c r="B109" s="655"/>
      <c r="C109" s="655"/>
      <c r="D109" s="655"/>
      <c r="E109" s="655"/>
      <c r="F109" s="655"/>
      <c r="G109" s="655"/>
      <c r="H109" s="655"/>
      <c r="I109" s="655"/>
      <c r="J109" s="655"/>
      <c r="K109" s="655"/>
    </row>
    <row r="111" spans="1:21" s="4" customFormat="1">
      <c r="A111" s="675" t="s">
        <v>570</v>
      </c>
      <c r="B111" s="619"/>
      <c r="C111" s="619"/>
      <c r="D111" s="619"/>
      <c r="E111" s="619"/>
      <c r="F111" s="619"/>
      <c r="G111" s="619"/>
      <c r="H111" s="619"/>
      <c r="I111" s="619"/>
      <c r="J111" s="619"/>
      <c r="K111" s="619"/>
    </row>
    <row r="112" spans="1:21" s="4" customFormat="1" ht="15" customHeight="1">
      <c r="A112" s="682"/>
      <c r="B112" s="658" t="s">
        <v>546</v>
      </c>
      <c r="C112" s="658" t="s">
        <v>325</v>
      </c>
      <c r="D112" s="658"/>
      <c r="E112" s="658"/>
      <c r="F112" s="658"/>
      <c r="G112" s="645" t="s">
        <v>517</v>
      </c>
      <c r="H112" s="645"/>
      <c r="I112" s="645"/>
      <c r="J112" s="181" t="s">
        <v>518</v>
      </c>
      <c r="K112" s="181" t="s">
        <v>519</v>
      </c>
    </row>
    <row r="113" spans="1:12" s="4" customFormat="1" ht="14.25">
      <c r="A113" s="683"/>
      <c r="B113" s="658"/>
      <c r="C113" s="658"/>
      <c r="D113" s="658"/>
      <c r="E113" s="658"/>
      <c r="F113" s="658"/>
      <c r="G113" s="679"/>
      <c r="H113" s="681"/>
      <c r="I113" s="645" t="s">
        <v>571</v>
      </c>
      <c r="J113" s="645"/>
      <c r="K113" s="181"/>
    </row>
    <row r="114" spans="1:12" s="4" customFormat="1" ht="14.25">
      <c r="A114" s="684"/>
      <c r="B114" s="658"/>
      <c r="C114" s="181" t="s">
        <v>548</v>
      </c>
      <c r="D114" s="181" t="s">
        <v>549</v>
      </c>
      <c r="E114" s="181" t="s">
        <v>550</v>
      </c>
      <c r="F114" s="181" t="s">
        <v>551</v>
      </c>
      <c r="G114" s="181" t="s">
        <v>552</v>
      </c>
      <c r="H114" s="181" t="s">
        <v>553</v>
      </c>
      <c r="I114" s="181" t="s">
        <v>554</v>
      </c>
      <c r="J114" s="181" t="s">
        <v>555</v>
      </c>
      <c r="K114" s="181" t="s">
        <v>172</v>
      </c>
    </row>
    <row r="115" spans="1:12" s="4" customFormat="1" ht="14.25" hidden="1">
      <c r="A115" s="10"/>
      <c r="B115" s="128">
        <v>2021</v>
      </c>
      <c r="C115" s="128"/>
      <c r="D115" s="128">
        <v>2020</v>
      </c>
      <c r="E115" s="128">
        <v>2019</v>
      </c>
      <c r="F115" s="128">
        <v>2018</v>
      </c>
      <c r="G115" s="128">
        <v>2017</v>
      </c>
      <c r="H115" s="129">
        <v>2016</v>
      </c>
      <c r="I115" s="130">
        <v>2015</v>
      </c>
      <c r="J115" s="12"/>
      <c r="K115" s="12"/>
    </row>
    <row r="116" spans="1:12" s="4" customFormat="1" ht="14.25" hidden="1">
      <c r="A116" s="201"/>
      <c r="B116" s="131"/>
      <c r="C116" s="131"/>
      <c r="D116" s="131"/>
      <c r="E116" s="131"/>
      <c r="F116" s="131"/>
      <c r="G116" s="131"/>
      <c r="H116" s="132"/>
      <c r="I116" s="12"/>
      <c r="J116" s="12"/>
      <c r="K116" s="12"/>
    </row>
    <row r="117" spans="1:12" s="4" customFormat="1" ht="27">
      <c r="A117" s="314" t="s">
        <v>572</v>
      </c>
      <c r="B117" s="311">
        <v>10791</v>
      </c>
      <c r="C117" s="311">
        <v>3064</v>
      </c>
      <c r="D117" s="246">
        <v>0</v>
      </c>
      <c r="E117" s="246">
        <v>205</v>
      </c>
      <c r="F117" s="246">
        <v>0</v>
      </c>
      <c r="G117" s="246">
        <v>39</v>
      </c>
      <c r="H117" s="311">
        <v>6587</v>
      </c>
      <c r="I117" s="246">
        <v>896</v>
      </c>
      <c r="J117" s="229">
        <v>0</v>
      </c>
      <c r="K117" s="246">
        <v>0</v>
      </c>
    </row>
    <row r="118" spans="1:12" s="4" customFormat="1" ht="14.25">
      <c r="A118" s="309" t="s">
        <v>573</v>
      </c>
      <c r="B118" s="311">
        <v>1740</v>
      </c>
      <c r="C118" s="246">
        <v>0</v>
      </c>
      <c r="D118" s="246">
        <v>0</v>
      </c>
      <c r="E118" s="246">
        <v>0</v>
      </c>
      <c r="F118" s="246">
        <v>0</v>
      </c>
      <c r="G118" s="246">
        <v>0</v>
      </c>
      <c r="H118" s="246">
        <v>0</v>
      </c>
      <c r="I118" s="311">
        <v>1316</v>
      </c>
      <c r="J118" s="229">
        <v>0</v>
      </c>
      <c r="K118" s="246">
        <v>424</v>
      </c>
    </row>
    <row r="119" spans="1:12" s="4" customFormat="1" ht="14.25">
      <c r="A119" s="309" t="s">
        <v>574</v>
      </c>
      <c r="B119" s="311">
        <v>146667</v>
      </c>
      <c r="C119" s="311">
        <v>35130</v>
      </c>
      <c r="D119" s="311">
        <v>72836</v>
      </c>
      <c r="E119" s="311">
        <v>26422</v>
      </c>
      <c r="F119" s="311">
        <v>10455</v>
      </c>
      <c r="G119" s="311">
        <v>1824</v>
      </c>
      <c r="H119" s="246">
        <v>0</v>
      </c>
      <c r="I119" s="246">
        <v>0</v>
      </c>
      <c r="J119" s="229">
        <v>0</v>
      </c>
      <c r="K119" s="246">
        <v>0</v>
      </c>
    </row>
    <row r="120" spans="1:12" s="4" customFormat="1" ht="14.25">
      <c r="A120" s="309" t="s">
        <v>575</v>
      </c>
      <c r="B120" s="246">
        <v>60</v>
      </c>
      <c r="C120" s="246">
        <v>0</v>
      </c>
      <c r="D120" s="246">
        <v>60</v>
      </c>
      <c r="E120" s="246">
        <v>0</v>
      </c>
      <c r="F120" s="246">
        <v>0</v>
      </c>
      <c r="G120" s="229">
        <v>0</v>
      </c>
      <c r="H120" s="246">
        <v>0</v>
      </c>
      <c r="I120" s="246">
        <v>0</v>
      </c>
      <c r="J120" s="229">
        <v>0</v>
      </c>
      <c r="K120" s="246">
        <v>0</v>
      </c>
    </row>
    <row r="121" spans="1:12" s="4" customFormat="1" ht="14.25">
      <c r="A121" s="309" t="s">
        <v>576</v>
      </c>
      <c r="B121" s="311">
        <v>76413</v>
      </c>
      <c r="C121" s="311">
        <v>1970</v>
      </c>
      <c r="D121" s="311">
        <v>2944</v>
      </c>
      <c r="E121" s="311">
        <v>2472</v>
      </c>
      <c r="F121" s="246">
        <v>0</v>
      </c>
      <c r="G121" s="229">
        <v>0</v>
      </c>
      <c r="H121" s="311">
        <v>6625</v>
      </c>
      <c r="I121" s="246">
        <v>0</v>
      </c>
      <c r="J121" s="229">
        <v>312</v>
      </c>
      <c r="K121" s="311">
        <v>62089</v>
      </c>
    </row>
    <row r="122" spans="1:12" s="4" customFormat="1" ht="14.25">
      <c r="A122" s="309" t="s">
        <v>577</v>
      </c>
      <c r="B122" s="246">
        <v>0</v>
      </c>
      <c r="C122" s="246">
        <v>0</v>
      </c>
      <c r="D122" s="246">
        <v>0</v>
      </c>
      <c r="E122" s="246">
        <v>0</v>
      </c>
      <c r="F122" s="246">
        <v>0</v>
      </c>
      <c r="G122" s="229">
        <v>0</v>
      </c>
      <c r="H122" s="246">
        <v>0</v>
      </c>
      <c r="I122" s="246">
        <v>0</v>
      </c>
      <c r="J122" s="229">
        <v>0</v>
      </c>
      <c r="K122" s="246">
        <v>0</v>
      </c>
    </row>
    <row r="123" spans="1:12" s="4" customFormat="1" ht="14.25">
      <c r="A123" s="663" t="s">
        <v>578</v>
      </c>
      <c r="B123" s="663"/>
      <c r="C123" s="663"/>
      <c r="D123" s="663"/>
      <c r="E123" s="663"/>
      <c r="F123" s="663"/>
      <c r="G123" s="663"/>
      <c r="H123" s="663"/>
      <c r="I123" s="663"/>
      <c r="J123" s="663"/>
      <c r="K123" s="663"/>
      <c r="L123" s="134"/>
    </row>
    <row r="124" spans="1:12" s="4" customFormat="1" ht="14.25">
      <c r="A124" s="663" t="s">
        <v>579</v>
      </c>
      <c r="B124" s="663"/>
      <c r="C124" s="663"/>
      <c r="D124" s="663"/>
      <c r="E124" s="663"/>
      <c r="F124" s="663"/>
      <c r="G124" s="663"/>
      <c r="H124" s="663"/>
      <c r="I124" s="663"/>
      <c r="J124" s="663"/>
      <c r="K124" s="663"/>
    </row>
    <row r="125" spans="1:12" s="4" customFormat="1" ht="14.25">
      <c r="A125" s="663" t="s">
        <v>580</v>
      </c>
      <c r="B125" s="663"/>
      <c r="C125" s="663"/>
      <c r="D125" s="663"/>
      <c r="E125" s="663"/>
      <c r="F125" s="663"/>
      <c r="G125" s="663"/>
      <c r="H125" s="663"/>
      <c r="I125" s="663"/>
      <c r="J125" s="663"/>
      <c r="K125" s="663"/>
    </row>
    <row r="126" spans="1:12" s="4" customFormat="1" ht="14.25">
      <c r="A126" s="662" t="s">
        <v>581</v>
      </c>
      <c r="B126" s="662"/>
      <c r="C126" s="662"/>
      <c r="D126" s="662"/>
      <c r="E126" s="662"/>
      <c r="F126" s="662"/>
      <c r="G126" s="662"/>
      <c r="H126" s="662"/>
      <c r="I126" s="662"/>
      <c r="J126" s="662"/>
      <c r="K126" s="662"/>
    </row>
    <row r="127" spans="1:12" s="4" customFormat="1" ht="14.25">
      <c r="A127" s="662" t="s">
        <v>582</v>
      </c>
      <c r="B127" s="662"/>
      <c r="C127" s="662"/>
      <c r="D127" s="662"/>
      <c r="E127" s="662"/>
      <c r="F127" s="662"/>
      <c r="G127" s="662"/>
      <c r="H127" s="662"/>
      <c r="I127" s="662"/>
      <c r="J127" s="662"/>
      <c r="K127" s="662"/>
    </row>
    <row r="128" spans="1:12" s="4" customFormat="1" ht="14.25">
      <c r="A128" s="662" t="s">
        <v>583</v>
      </c>
      <c r="B128" s="662"/>
      <c r="C128" s="662"/>
      <c r="D128" s="662"/>
      <c r="E128" s="662"/>
      <c r="F128" s="662"/>
      <c r="G128" s="662"/>
      <c r="H128" s="662"/>
      <c r="I128" s="662"/>
      <c r="J128" s="662"/>
      <c r="K128" s="662"/>
    </row>
    <row r="129" spans="1:22" s="4" customFormat="1" ht="14.25">
      <c r="A129" s="663" t="s">
        <v>584</v>
      </c>
      <c r="B129" s="663"/>
      <c r="C129" s="663"/>
      <c r="D129" s="663"/>
      <c r="E129" s="663"/>
      <c r="F129" s="663"/>
      <c r="G129" s="663"/>
      <c r="H129" s="663"/>
      <c r="I129" s="663"/>
      <c r="J129" s="663"/>
      <c r="K129" s="663"/>
    </row>
    <row r="131" spans="1:22" s="4" customFormat="1" ht="17.25">
      <c r="A131" s="619" t="s">
        <v>585</v>
      </c>
      <c r="B131" s="619"/>
      <c r="C131" s="619"/>
      <c r="D131" s="619"/>
      <c r="E131" s="619"/>
      <c r="F131" s="619"/>
      <c r="G131" s="619"/>
      <c r="H131" s="619"/>
      <c r="I131" s="619"/>
      <c r="J131" s="619"/>
      <c r="K131" s="619"/>
    </row>
    <row r="132" spans="1:22" s="4" customFormat="1" ht="15" customHeight="1">
      <c r="A132" s="685"/>
      <c r="B132" s="669" t="s">
        <v>546</v>
      </c>
      <c r="C132" s="658"/>
      <c r="D132" s="658" t="s">
        <v>325</v>
      </c>
      <c r="E132" s="658"/>
      <c r="F132" s="658"/>
      <c r="G132" s="658"/>
      <c r="H132" s="658"/>
      <c r="I132" s="658"/>
      <c r="J132" s="658"/>
      <c r="K132" s="658"/>
      <c r="L132" s="645" t="s">
        <v>517</v>
      </c>
      <c r="M132" s="645"/>
      <c r="N132" s="645"/>
      <c r="O132" s="645"/>
      <c r="P132" s="645"/>
      <c r="Q132" s="645"/>
      <c r="R132" s="645" t="s">
        <v>518</v>
      </c>
      <c r="S132" s="645"/>
      <c r="T132" s="645" t="s">
        <v>519</v>
      </c>
      <c r="U132" s="645"/>
    </row>
    <row r="133" spans="1:22" s="4" customFormat="1" ht="14.25">
      <c r="A133" s="686"/>
      <c r="B133" s="669"/>
      <c r="C133" s="658"/>
      <c r="D133" s="658"/>
      <c r="E133" s="658"/>
      <c r="F133" s="658"/>
      <c r="G133" s="658"/>
      <c r="H133" s="658"/>
      <c r="I133" s="658"/>
      <c r="J133" s="658"/>
      <c r="K133" s="658"/>
      <c r="L133" s="645"/>
      <c r="M133" s="645"/>
      <c r="N133" s="645"/>
      <c r="O133" s="645"/>
      <c r="P133" s="645" t="s">
        <v>547</v>
      </c>
      <c r="Q133" s="645"/>
      <c r="R133" s="645"/>
      <c r="S133" s="645"/>
      <c r="T133" s="694"/>
      <c r="U133" s="695"/>
      <c r="V133" s="695"/>
    </row>
    <row r="134" spans="1:22" s="4" customFormat="1" ht="14.25">
      <c r="A134" s="686"/>
      <c r="B134" s="669"/>
      <c r="C134" s="658"/>
      <c r="D134" s="645" t="s">
        <v>548</v>
      </c>
      <c r="E134" s="645"/>
      <c r="F134" s="645" t="s">
        <v>549</v>
      </c>
      <c r="G134" s="645"/>
      <c r="H134" s="645" t="s">
        <v>550</v>
      </c>
      <c r="I134" s="645"/>
      <c r="J134" s="645" t="s">
        <v>551</v>
      </c>
      <c r="K134" s="645"/>
      <c r="L134" s="645" t="s">
        <v>552</v>
      </c>
      <c r="M134" s="645"/>
      <c r="N134" s="645" t="s">
        <v>553</v>
      </c>
      <c r="O134" s="645"/>
      <c r="P134" s="645" t="s">
        <v>554</v>
      </c>
      <c r="Q134" s="645"/>
      <c r="R134" s="645" t="s">
        <v>555</v>
      </c>
      <c r="S134" s="645"/>
      <c r="T134" s="645" t="s">
        <v>172</v>
      </c>
      <c r="U134" s="645"/>
    </row>
    <row r="135" spans="1:22" s="4" customFormat="1" ht="14.25">
      <c r="A135" s="687"/>
      <c r="B135" s="319" t="s">
        <v>556</v>
      </c>
      <c r="C135" s="181" t="s">
        <v>557</v>
      </c>
      <c r="D135" s="181" t="s">
        <v>556</v>
      </c>
      <c r="E135" s="181" t="s">
        <v>557</v>
      </c>
      <c r="F135" s="181" t="s">
        <v>556</v>
      </c>
      <c r="G135" s="181" t="s">
        <v>557</v>
      </c>
      <c r="H135" s="181" t="s">
        <v>556</v>
      </c>
      <c r="I135" s="181" t="s">
        <v>557</v>
      </c>
      <c r="J135" s="181" t="s">
        <v>556</v>
      </c>
      <c r="K135" s="181" t="s">
        <v>557</v>
      </c>
      <c r="L135" s="181" t="s">
        <v>556</v>
      </c>
      <c r="M135" s="181" t="s">
        <v>557</v>
      </c>
      <c r="N135" s="181" t="s">
        <v>556</v>
      </c>
      <c r="O135" s="181" t="s">
        <v>557</v>
      </c>
      <c r="P135" s="181" t="s">
        <v>556</v>
      </c>
      <c r="Q135" s="181" t="s">
        <v>557</v>
      </c>
      <c r="R135" s="181" t="s">
        <v>556</v>
      </c>
      <c r="S135" s="181" t="s">
        <v>557</v>
      </c>
      <c r="T135" s="181" t="s">
        <v>556</v>
      </c>
      <c r="U135" s="181" t="s">
        <v>557</v>
      </c>
    </row>
    <row r="136" spans="1:22" s="4" customFormat="1" ht="14.25" hidden="1">
      <c r="A136" s="322"/>
      <c r="B136" s="128">
        <v>2021</v>
      </c>
      <c r="C136" s="128"/>
      <c r="D136" s="12"/>
      <c r="E136" s="128">
        <v>2020</v>
      </c>
      <c r="F136" s="12"/>
      <c r="G136" s="128">
        <v>2019</v>
      </c>
      <c r="H136" s="12"/>
      <c r="I136" s="128">
        <v>2018</v>
      </c>
      <c r="J136" s="12"/>
      <c r="K136" s="128">
        <v>2017</v>
      </c>
      <c r="L136" s="12"/>
      <c r="M136" s="129">
        <v>2016</v>
      </c>
      <c r="N136" s="12"/>
      <c r="O136" s="130">
        <v>2015</v>
      </c>
      <c r="P136" s="12"/>
      <c r="Q136" s="12"/>
      <c r="R136" s="12"/>
      <c r="S136" s="12"/>
      <c r="T136" s="12"/>
      <c r="U136" s="12"/>
    </row>
    <row r="137" spans="1:22" s="4" customFormat="1" ht="14.25" hidden="1">
      <c r="A137" s="323"/>
      <c r="B137" s="131"/>
      <c r="C137" s="131"/>
      <c r="D137" s="12"/>
      <c r="E137" s="131"/>
      <c r="F137" s="12"/>
      <c r="G137" s="131"/>
      <c r="H137" s="12"/>
      <c r="I137" s="131"/>
      <c r="J137" s="12"/>
      <c r="K137" s="131"/>
      <c r="L137" s="12"/>
      <c r="M137" s="132"/>
      <c r="N137" s="12"/>
      <c r="O137" s="12"/>
      <c r="P137" s="12"/>
      <c r="Q137" s="12"/>
      <c r="R137" s="12"/>
      <c r="S137" s="12"/>
      <c r="T137" s="12"/>
      <c r="U137" s="12"/>
    </row>
    <row r="138" spans="1:22" s="4" customFormat="1" ht="14.25">
      <c r="A138" s="309" t="s">
        <v>586</v>
      </c>
      <c r="B138" s="320">
        <v>142564</v>
      </c>
      <c r="C138" s="311">
        <v>75529</v>
      </c>
      <c r="D138" s="311">
        <v>24964</v>
      </c>
      <c r="E138" s="311">
        <v>14597</v>
      </c>
      <c r="F138" s="311">
        <v>36046</v>
      </c>
      <c r="G138" s="311">
        <v>29723</v>
      </c>
      <c r="H138" s="311">
        <v>5912</v>
      </c>
      <c r="I138" s="311">
        <v>22733</v>
      </c>
      <c r="J138" s="246">
        <v>187</v>
      </c>
      <c r="K138" s="311">
        <v>8476</v>
      </c>
      <c r="L138" s="246">
        <v>705</v>
      </c>
      <c r="M138" s="246">
        <v>0</v>
      </c>
      <c r="N138" s="311">
        <v>13133</v>
      </c>
      <c r="O138" s="246">
        <v>0</v>
      </c>
      <c r="P138" s="246">
        <v>0</v>
      </c>
      <c r="Q138" s="246">
        <v>0</v>
      </c>
      <c r="R138" s="246">
        <v>0</v>
      </c>
      <c r="S138" s="246">
        <v>0</v>
      </c>
      <c r="T138" s="311">
        <v>61617</v>
      </c>
      <c r="U138" s="246">
        <v>0</v>
      </c>
    </row>
    <row r="139" spans="1:22" s="4" customFormat="1" ht="14.25">
      <c r="A139" s="321" t="s">
        <v>587</v>
      </c>
      <c r="B139" s="311">
        <v>3405</v>
      </c>
      <c r="C139" s="311">
        <v>11882</v>
      </c>
      <c r="D139" s="246">
        <v>402</v>
      </c>
      <c r="E139" s="246">
        <v>202</v>
      </c>
      <c r="F139" s="246">
        <v>406</v>
      </c>
      <c r="G139" s="311">
        <v>9666</v>
      </c>
      <c r="H139" s="246">
        <v>205</v>
      </c>
      <c r="I139" s="246">
        <v>249</v>
      </c>
      <c r="J139" s="311">
        <v>1077</v>
      </c>
      <c r="K139" s="246">
        <v>715</v>
      </c>
      <c r="L139" s="246">
        <v>109</v>
      </c>
      <c r="M139" s="311">
        <v>1049</v>
      </c>
      <c r="N139" s="246">
        <v>0</v>
      </c>
      <c r="O139" s="246">
        <v>0</v>
      </c>
      <c r="P139" s="246">
        <v>896</v>
      </c>
      <c r="Q139" s="246">
        <v>0</v>
      </c>
      <c r="R139" s="246">
        <v>312</v>
      </c>
      <c r="S139" s="246">
        <v>0</v>
      </c>
      <c r="T139" s="246">
        <v>0</v>
      </c>
      <c r="U139" s="246">
        <v>0</v>
      </c>
    </row>
    <row r="140" spans="1:22" s="4" customFormat="1" ht="14.25">
      <c r="A140" s="309" t="s">
        <v>588</v>
      </c>
      <c r="B140" s="246">
        <v>47</v>
      </c>
      <c r="C140" s="246">
        <v>33</v>
      </c>
      <c r="D140" s="246">
        <v>0</v>
      </c>
      <c r="E140" s="246">
        <v>0</v>
      </c>
      <c r="F140" s="246">
        <v>0</v>
      </c>
      <c r="G140" s="246">
        <v>0</v>
      </c>
      <c r="H140" s="246">
        <v>0</v>
      </c>
      <c r="I140" s="246">
        <v>0</v>
      </c>
      <c r="J140" s="246">
        <v>0</v>
      </c>
      <c r="K140" s="246">
        <v>0</v>
      </c>
      <c r="L140" s="246">
        <v>0</v>
      </c>
      <c r="M140" s="246">
        <v>0</v>
      </c>
      <c r="N140" s="246">
        <v>47</v>
      </c>
      <c r="O140" s="246">
        <v>33</v>
      </c>
      <c r="P140" s="246">
        <v>0</v>
      </c>
      <c r="Q140" s="246">
        <v>0</v>
      </c>
      <c r="R140" s="246">
        <v>0</v>
      </c>
      <c r="S140" s="246">
        <v>0</v>
      </c>
      <c r="T140" s="246">
        <v>0</v>
      </c>
      <c r="U140" s="246">
        <v>0</v>
      </c>
    </row>
    <row r="141" spans="1:22" s="4" customFormat="1" ht="14.25">
      <c r="A141" s="309" t="s">
        <v>589</v>
      </c>
      <c r="B141" s="311">
        <v>1788</v>
      </c>
      <c r="C141" s="246">
        <v>424</v>
      </c>
      <c r="D141" s="246">
        <v>0</v>
      </c>
      <c r="E141" s="246">
        <v>0</v>
      </c>
      <c r="F141" s="246">
        <v>0</v>
      </c>
      <c r="G141" s="246">
        <v>0</v>
      </c>
      <c r="H141" s="246">
        <v>0</v>
      </c>
      <c r="I141" s="246">
        <v>0</v>
      </c>
      <c r="J141" s="246">
        <v>0</v>
      </c>
      <c r="K141" s="246">
        <v>0</v>
      </c>
      <c r="L141" s="246">
        <v>0</v>
      </c>
      <c r="M141" s="246">
        <v>0</v>
      </c>
      <c r="N141" s="246">
        <v>0</v>
      </c>
      <c r="O141" s="246">
        <v>0</v>
      </c>
      <c r="P141" s="311">
        <v>1316</v>
      </c>
      <c r="Q141" s="246">
        <v>0</v>
      </c>
      <c r="R141" s="246">
        <v>0</v>
      </c>
      <c r="S141" s="246">
        <v>0</v>
      </c>
      <c r="T141" s="246">
        <v>472</v>
      </c>
      <c r="U141" s="246">
        <v>424</v>
      </c>
    </row>
    <row r="142" spans="1:22" s="4" customFormat="1" ht="14.25">
      <c r="A142" s="664" t="s">
        <v>590</v>
      </c>
      <c r="B142" s="664"/>
      <c r="C142" s="664"/>
      <c r="D142" s="664"/>
      <c r="E142" s="664"/>
      <c r="F142" s="664"/>
      <c r="G142" s="664"/>
      <c r="H142" s="664"/>
      <c r="I142" s="664"/>
      <c r="J142" s="664"/>
      <c r="K142" s="664"/>
      <c r="L142" s="66"/>
      <c r="M142" s="66"/>
      <c r="N142" s="66"/>
      <c r="O142" s="66"/>
      <c r="P142" s="59"/>
      <c r="Q142" s="66"/>
      <c r="R142" s="66"/>
      <c r="S142" s="66"/>
      <c r="T142" s="66"/>
      <c r="U142" s="66"/>
    </row>
    <row r="143" spans="1:22" s="4" customFormat="1" ht="14.25">
      <c r="A143" s="664" t="s">
        <v>490</v>
      </c>
      <c r="B143" s="664"/>
      <c r="C143" s="664"/>
      <c r="D143" s="664"/>
      <c r="E143" s="664"/>
      <c r="F143" s="664"/>
      <c r="G143" s="664"/>
      <c r="H143" s="664"/>
      <c r="I143" s="664"/>
      <c r="J143" s="664"/>
      <c r="K143" s="664"/>
    </row>
    <row r="144" spans="1:22" s="4" customFormat="1" ht="14.25">
      <c r="A144" s="661" t="s">
        <v>563</v>
      </c>
      <c r="B144" s="661"/>
      <c r="C144" s="661"/>
      <c r="D144" s="661"/>
      <c r="E144" s="661"/>
      <c r="F144" s="661"/>
      <c r="G144" s="661"/>
      <c r="H144" s="661"/>
      <c r="I144" s="661"/>
      <c r="J144" s="661"/>
      <c r="K144" s="661"/>
    </row>
    <row r="145" spans="1:12" s="4" customFormat="1" ht="14.25">
      <c r="A145" s="661" t="s">
        <v>564</v>
      </c>
      <c r="B145" s="661"/>
      <c r="C145" s="661"/>
      <c r="D145" s="661"/>
      <c r="E145" s="661"/>
      <c r="F145" s="661"/>
      <c r="G145" s="661"/>
      <c r="H145" s="661"/>
      <c r="I145" s="661"/>
      <c r="J145" s="661"/>
      <c r="K145" s="661"/>
    </row>
    <row r="146" spans="1:12" s="4" customFormat="1" ht="14.25">
      <c r="A146" s="661" t="s">
        <v>565</v>
      </c>
      <c r="B146" s="661"/>
      <c r="C146" s="661"/>
      <c r="D146" s="661"/>
      <c r="E146" s="661"/>
      <c r="F146" s="661"/>
      <c r="G146" s="661"/>
      <c r="H146" s="661"/>
      <c r="I146" s="661"/>
      <c r="J146" s="661"/>
      <c r="K146" s="661"/>
    </row>
    <row r="147" spans="1:12" s="4" customFormat="1" ht="14.25">
      <c r="A147" s="661" t="s">
        <v>566</v>
      </c>
      <c r="B147" s="661"/>
      <c r="C147" s="661"/>
      <c r="D147" s="661"/>
      <c r="E147" s="661"/>
      <c r="F147" s="661"/>
      <c r="G147" s="661"/>
      <c r="H147" s="661"/>
      <c r="I147" s="661"/>
      <c r="J147" s="661"/>
      <c r="K147" s="661"/>
    </row>
    <row r="148" spans="1:12" s="4" customFormat="1" ht="14.25">
      <c r="A148" s="655" t="s">
        <v>591</v>
      </c>
      <c r="B148" s="655"/>
      <c r="C148" s="655"/>
      <c r="D148" s="655"/>
      <c r="E148" s="655"/>
      <c r="F148" s="655"/>
      <c r="G148" s="655"/>
      <c r="H148" s="655"/>
      <c r="I148" s="655"/>
      <c r="J148" s="655"/>
      <c r="K148" s="655"/>
    </row>
    <row r="149" spans="1:12" s="4" customFormat="1" ht="14.25">
      <c r="A149" s="655" t="s">
        <v>592</v>
      </c>
      <c r="B149" s="655"/>
      <c r="C149" s="655"/>
      <c r="D149" s="655"/>
      <c r="E149" s="655"/>
      <c r="F149" s="655"/>
      <c r="G149" s="655"/>
      <c r="H149" s="655"/>
      <c r="I149" s="655"/>
      <c r="J149" s="655"/>
      <c r="K149" s="655"/>
    </row>
    <row r="150" spans="1:12" s="4" customFormat="1" ht="14.25">
      <c r="A150" s="655" t="s">
        <v>569</v>
      </c>
      <c r="B150" s="655"/>
      <c r="C150" s="655"/>
      <c r="D150" s="655"/>
      <c r="E150" s="655"/>
      <c r="F150" s="655"/>
      <c r="G150" s="655"/>
      <c r="H150" s="655"/>
      <c r="I150" s="655"/>
      <c r="J150" s="655"/>
      <c r="K150" s="655"/>
    </row>
    <row r="152" spans="1:12" ht="17.25">
      <c r="A152" s="619" t="s">
        <v>593</v>
      </c>
      <c r="B152" s="619"/>
      <c r="C152" s="619"/>
      <c r="D152" s="619"/>
      <c r="E152" s="619"/>
      <c r="F152" s="619"/>
      <c r="G152" s="619"/>
      <c r="H152" s="619"/>
      <c r="I152" s="619"/>
      <c r="J152" s="619"/>
      <c r="K152" s="619"/>
    </row>
    <row r="153" spans="1:12" ht="41.65" customHeight="1">
      <c r="A153" s="691"/>
      <c r="B153" s="688" t="s">
        <v>492</v>
      </c>
      <c r="C153" s="658" t="s">
        <v>480</v>
      </c>
      <c r="D153" s="658"/>
      <c r="E153" s="658"/>
      <c r="F153" s="658" t="s">
        <v>487</v>
      </c>
      <c r="G153" s="658"/>
      <c r="H153" s="658"/>
      <c r="I153" s="624" t="s">
        <v>493</v>
      </c>
      <c r="J153" s="624"/>
      <c r="K153" s="624"/>
    </row>
    <row r="154" spans="1:12">
      <c r="A154" s="692"/>
      <c r="B154" s="689"/>
      <c r="C154" s="659" t="s">
        <v>494</v>
      </c>
      <c r="D154" s="659"/>
      <c r="E154" s="659"/>
      <c r="F154" s="659" t="s">
        <v>494</v>
      </c>
      <c r="G154" s="659"/>
      <c r="H154" s="659"/>
      <c r="I154" s="659" t="s">
        <v>494</v>
      </c>
      <c r="J154" s="659"/>
      <c r="K154" s="659"/>
    </row>
    <row r="155" spans="1:12">
      <c r="A155" s="693"/>
      <c r="B155" s="690"/>
      <c r="C155" s="205" t="s">
        <v>495</v>
      </c>
      <c r="D155" s="205" t="s">
        <v>496</v>
      </c>
      <c r="E155" s="205" t="s">
        <v>173</v>
      </c>
      <c r="F155" s="205" t="s">
        <v>495</v>
      </c>
      <c r="G155" s="205" t="s">
        <v>496</v>
      </c>
      <c r="H155" s="205" t="s">
        <v>173</v>
      </c>
      <c r="I155" s="205" t="s">
        <v>495</v>
      </c>
      <c r="J155" s="205" t="s">
        <v>496</v>
      </c>
      <c r="K155" s="205" t="s">
        <v>173</v>
      </c>
    </row>
    <row r="156" spans="1:12">
      <c r="A156" s="660" t="s">
        <v>497</v>
      </c>
      <c r="B156" s="199" t="s">
        <v>498</v>
      </c>
      <c r="C156" s="233">
        <v>83276.626870000007</v>
      </c>
      <c r="D156" s="233">
        <v>10233.859</v>
      </c>
      <c r="E156" s="233">
        <v>93510.485870000004</v>
      </c>
      <c r="F156" s="233">
        <v>12590.051869999999</v>
      </c>
      <c r="G156" s="233">
        <v>10233.859</v>
      </c>
      <c r="H156" s="233">
        <v>22823.91087</v>
      </c>
      <c r="I156" s="233">
        <v>1008.45587</v>
      </c>
      <c r="J156" s="233">
        <v>0</v>
      </c>
      <c r="K156" s="233">
        <v>1008.45587</v>
      </c>
    </row>
    <row r="157" spans="1:12">
      <c r="A157" s="660"/>
      <c r="B157" s="199" t="s">
        <v>499</v>
      </c>
      <c r="C157" s="233">
        <v>20870.241030000001</v>
      </c>
      <c r="D157" s="233">
        <v>2871.6364199999998</v>
      </c>
      <c r="E157" s="233">
        <v>23741.87745</v>
      </c>
      <c r="F157" s="233">
        <v>20870.241030000001</v>
      </c>
      <c r="G157" s="233">
        <v>1517.97542</v>
      </c>
      <c r="H157" s="233">
        <v>22388.21645</v>
      </c>
      <c r="I157" s="233">
        <v>11512.95823</v>
      </c>
      <c r="J157" s="233">
        <v>59.159419999999997</v>
      </c>
      <c r="K157" s="233">
        <v>11572.11765</v>
      </c>
    </row>
    <row r="158" spans="1:12">
      <c r="A158" s="660"/>
      <c r="B158" s="199" t="s">
        <v>500</v>
      </c>
      <c r="C158" s="233">
        <v>0</v>
      </c>
      <c r="D158" s="233">
        <v>5.7119999999999997</v>
      </c>
      <c r="E158" s="233">
        <v>5.7119999999999997</v>
      </c>
      <c r="F158" s="233">
        <v>0</v>
      </c>
      <c r="G158" s="233">
        <v>5.7119999999999997</v>
      </c>
      <c r="H158" s="233">
        <v>5.7119999999999997</v>
      </c>
      <c r="I158" s="233">
        <v>0</v>
      </c>
      <c r="J158" s="233">
        <v>0</v>
      </c>
      <c r="K158" s="233">
        <v>0</v>
      </c>
    </row>
    <row r="159" spans="1:12">
      <c r="A159" s="660"/>
      <c r="B159" s="199" t="s">
        <v>501</v>
      </c>
      <c r="C159" s="233">
        <v>4.38</v>
      </c>
      <c r="D159" s="233">
        <v>0</v>
      </c>
      <c r="E159" s="233">
        <v>4.38</v>
      </c>
      <c r="F159" s="233">
        <v>4.38</v>
      </c>
      <c r="G159" s="233">
        <v>0</v>
      </c>
      <c r="H159" s="233">
        <v>4.38</v>
      </c>
      <c r="I159" s="233">
        <v>0</v>
      </c>
      <c r="J159" s="233">
        <v>0</v>
      </c>
      <c r="K159" s="233">
        <v>0</v>
      </c>
    </row>
    <row r="160" spans="1:12">
      <c r="A160" s="660"/>
      <c r="B160" s="190" t="s">
        <v>173</v>
      </c>
      <c r="C160" s="409">
        <v>104151.24790000002</v>
      </c>
      <c r="D160" s="409">
        <v>13111.207419999999</v>
      </c>
      <c r="E160" s="409">
        <v>117262.45532000001</v>
      </c>
      <c r="F160" s="409">
        <v>33464.672899999998</v>
      </c>
      <c r="G160" s="409">
        <v>11757.546420000001</v>
      </c>
      <c r="H160" s="409">
        <v>45222.219319999997</v>
      </c>
      <c r="I160" s="409">
        <v>12521.4141</v>
      </c>
      <c r="J160" s="409">
        <v>59.159419999999997</v>
      </c>
      <c r="K160" s="409">
        <v>12580.57352</v>
      </c>
      <c r="L160" s="32"/>
    </row>
    <row r="161" spans="1:12">
      <c r="A161" s="660" t="s">
        <v>502</v>
      </c>
      <c r="B161" s="199" t="s">
        <v>498</v>
      </c>
      <c r="C161" s="233">
        <v>138454.05568000002</v>
      </c>
      <c r="D161" s="233">
        <v>18575.707999999999</v>
      </c>
      <c r="E161" s="233">
        <v>157029.76368000003</v>
      </c>
      <c r="F161" s="233">
        <v>138454.05568000002</v>
      </c>
      <c r="G161" s="233">
        <v>18575.707999999999</v>
      </c>
      <c r="H161" s="233">
        <v>157029.76368000003</v>
      </c>
      <c r="I161" s="233">
        <v>62.462000000000117</v>
      </c>
      <c r="J161" s="233">
        <v>0</v>
      </c>
      <c r="K161" s="233">
        <v>62.462000000000117</v>
      </c>
    </row>
    <row r="162" spans="1:12">
      <c r="A162" s="660"/>
      <c r="B162" s="199" t="s">
        <v>499</v>
      </c>
      <c r="C162" s="233">
        <v>6625.8503799999989</v>
      </c>
      <c r="D162" s="233">
        <v>1299.3855800000001</v>
      </c>
      <c r="E162" s="233">
        <v>7925.2359599999991</v>
      </c>
      <c r="F162" s="233">
        <v>6625.8503799999989</v>
      </c>
      <c r="G162" s="233">
        <v>1299.3855800000001</v>
      </c>
      <c r="H162" s="233">
        <v>7925.2359599999991</v>
      </c>
      <c r="I162" s="233">
        <v>1062.6211799999996</v>
      </c>
      <c r="J162" s="233">
        <v>-4.1999999999825375E-4</v>
      </c>
      <c r="K162" s="233">
        <v>1062.6207599999996</v>
      </c>
    </row>
    <row r="163" spans="1:12">
      <c r="A163" s="660"/>
      <c r="B163" s="199" t="s">
        <v>500</v>
      </c>
      <c r="C163" s="233">
        <v>0</v>
      </c>
      <c r="D163" s="233">
        <v>22.492000000000001</v>
      </c>
      <c r="E163" s="233">
        <v>22.492000000000001</v>
      </c>
      <c r="F163" s="233">
        <v>0</v>
      </c>
      <c r="G163" s="233">
        <v>22.492000000000001</v>
      </c>
      <c r="H163" s="233">
        <v>22.492000000000001</v>
      </c>
      <c r="I163" s="233">
        <v>0</v>
      </c>
      <c r="J163" s="233">
        <v>0</v>
      </c>
      <c r="K163" s="233">
        <v>0</v>
      </c>
    </row>
    <row r="164" spans="1:12">
      <c r="A164" s="660"/>
      <c r="B164" s="199" t="s">
        <v>501</v>
      </c>
      <c r="C164" s="233">
        <v>0</v>
      </c>
      <c r="D164" s="233">
        <v>0</v>
      </c>
      <c r="E164" s="233">
        <v>0</v>
      </c>
      <c r="F164" s="233">
        <v>0</v>
      </c>
      <c r="G164" s="233">
        <v>0</v>
      </c>
      <c r="H164" s="233">
        <v>0</v>
      </c>
      <c r="I164" s="233">
        <v>0</v>
      </c>
      <c r="J164" s="233">
        <v>0</v>
      </c>
      <c r="K164" s="233">
        <v>0</v>
      </c>
    </row>
    <row r="165" spans="1:12">
      <c r="A165" s="660"/>
      <c r="B165" s="190" t="s">
        <v>173</v>
      </c>
      <c r="C165" s="409">
        <v>145079.90606000001</v>
      </c>
      <c r="D165" s="409">
        <v>19897.585579999999</v>
      </c>
      <c r="E165" s="409">
        <v>164977.49164000002</v>
      </c>
      <c r="F165" s="409">
        <v>145079.90606000001</v>
      </c>
      <c r="G165" s="409">
        <v>19897.585579999999</v>
      </c>
      <c r="H165" s="409">
        <v>164977.49164000002</v>
      </c>
      <c r="I165" s="409">
        <v>1125.0831799999999</v>
      </c>
      <c r="J165" s="409">
        <v>-4.1999999999825375E-4</v>
      </c>
      <c r="K165" s="409">
        <v>1125.0827599999998</v>
      </c>
    </row>
    <row r="166" spans="1:12">
      <c r="A166" s="660" t="s">
        <v>483</v>
      </c>
      <c r="B166" s="199" t="s">
        <v>498</v>
      </c>
      <c r="C166" s="233">
        <v>148534.69399999999</v>
      </c>
      <c r="D166" s="233">
        <v>56566.571000000004</v>
      </c>
      <c r="E166" s="233">
        <v>205101.26499999998</v>
      </c>
      <c r="F166" s="233">
        <v>84235.347999999998</v>
      </c>
      <c r="G166" s="233">
        <v>56566.571000000004</v>
      </c>
      <c r="H166" s="233">
        <v>140801.91899999999</v>
      </c>
      <c r="I166" s="233">
        <v>0</v>
      </c>
      <c r="J166" s="233">
        <v>0</v>
      </c>
      <c r="K166" s="233">
        <v>0</v>
      </c>
    </row>
    <row r="167" spans="1:12">
      <c r="A167" s="660"/>
      <c r="B167" s="199" t="s">
        <v>499</v>
      </c>
      <c r="C167" s="233">
        <v>2858.75</v>
      </c>
      <c r="D167" s="233">
        <v>8850.5859999999993</v>
      </c>
      <c r="E167" s="233">
        <v>11709.335999999999</v>
      </c>
      <c r="F167" s="233">
        <v>2858.75</v>
      </c>
      <c r="G167" s="233">
        <v>8850.5859999999993</v>
      </c>
      <c r="H167" s="233">
        <v>11709.335999999999</v>
      </c>
      <c r="I167" s="233">
        <v>1088.57</v>
      </c>
      <c r="J167" s="233">
        <v>0</v>
      </c>
      <c r="K167" s="233">
        <v>1088.57</v>
      </c>
    </row>
    <row r="168" spans="1:12">
      <c r="A168" s="660"/>
      <c r="B168" s="199" t="s">
        <v>500</v>
      </c>
      <c r="C168" s="233">
        <v>103.66800000000001</v>
      </c>
      <c r="D168" s="233">
        <v>22.77</v>
      </c>
      <c r="E168" s="233">
        <v>126.438</v>
      </c>
      <c r="F168" s="233">
        <v>103.66800000000001</v>
      </c>
      <c r="G168" s="233">
        <v>22.77</v>
      </c>
      <c r="H168" s="233">
        <v>126.438</v>
      </c>
      <c r="I168" s="233">
        <v>0</v>
      </c>
      <c r="J168" s="233">
        <v>0</v>
      </c>
      <c r="K168" s="233">
        <v>0</v>
      </c>
    </row>
    <row r="169" spans="1:12">
      <c r="A169" s="660"/>
      <c r="B169" s="199" t="s">
        <v>501</v>
      </c>
      <c r="C169" s="233">
        <v>1606.7919999999999</v>
      </c>
      <c r="D169" s="233">
        <v>459.16300000000001</v>
      </c>
      <c r="E169" s="233">
        <v>2065.9549999999999</v>
      </c>
      <c r="F169" s="233">
        <v>1062.6210000000001</v>
      </c>
      <c r="G169" s="233">
        <v>0</v>
      </c>
      <c r="H169" s="233">
        <v>1062.6210000000001</v>
      </c>
      <c r="I169" s="233">
        <v>1062.6210000000001</v>
      </c>
      <c r="J169" s="233">
        <v>0</v>
      </c>
      <c r="K169" s="233">
        <v>1062.6210000000001</v>
      </c>
    </row>
    <row r="170" spans="1:12">
      <c r="A170" s="660"/>
      <c r="B170" s="190" t="s">
        <v>173</v>
      </c>
      <c r="C170" s="409">
        <v>153103.90399999998</v>
      </c>
      <c r="D170" s="409">
        <v>65899.09</v>
      </c>
      <c r="E170" s="409">
        <v>219002.99399999998</v>
      </c>
      <c r="F170" s="409">
        <v>88260.387000000002</v>
      </c>
      <c r="G170" s="409">
        <v>65439.927000000003</v>
      </c>
      <c r="H170" s="409">
        <v>153700.31400000001</v>
      </c>
      <c r="I170" s="409">
        <v>2151.1909999999998</v>
      </c>
      <c r="J170" s="409">
        <v>0</v>
      </c>
      <c r="K170" s="409">
        <v>2151.1909999999998</v>
      </c>
    </row>
    <row r="171" spans="1:12">
      <c r="A171" s="660" t="s">
        <v>484</v>
      </c>
      <c r="B171" s="199" t="s">
        <v>503</v>
      </c>
      <c r="C171" s="233">
        <v>14873.642310000001</v>
      </c>
      <c r="D171" s="233">
        <v>10958.790999999999</v>
      </c>
      <c r="E171" s="233">
        <v>25832.43331</v>
      </c>
      <c r="F171" s="233">
        <v>8136.0853100000004</v>
      </c>
      <c r="G171" s="233">
        <v>10958.790999999999</v>
      </c>
      <c r="H171" s="233">
        <v>19094.87631</v>
      </c>
      <c r="I171" s="233">
        <v>2959.4079999999999</v>
      </c>
      <c r="J171" s="233">
        <v>1083.3610000000001</v>
      </c>
      <c r="K171" s="233">
        <v>4042.7690000000002</v>
      </c>
    </row>
    <row r="172" spans="1:12">
      <c r="A172" s="660"/>
      <c r="B172" s="199" t="s">
        <v>504</v>
      </c>
      <c r="C172" s="233">
        <v>8863.6726099999996</v>
      </c>
      <c r="D172" s="233">
        <v>19433.174999999999</v>
      </c>
      <c r="E172" s="233">
        <v>28296.847609999997</v>
      </c>
      <c r="F172" s="233">
        <v>8863.6726099999996</v>
      </c>
      <c r="G172" s="233">
        <v>19433.174999999999</v>
      </c>
      <c r="H172" s="233">
        <v>28296.847609999997</v>
      </c>
      <c r="I172" s="233">
        <v>7088.6030000000001</v>
      </c>
      <c r="J172" s="233">
        <v>17.631</v>
      </c>
      <c r="K172" s="233">
        <v>7106.2340000000004</v>
      </c>
    </row>
    <row r="173" spans="1:12">
      <c r="A173" s="660"/>
      <c r="B173" s="190" t="s">
        <v>173</v>
      </c>
      <c r="C173" s="409">
        <v>23737.314920000001</v>
      </c>
      <c r="D173" s="409">
        <v>30391.966</v>
      </c>
      <c r="E173" s="409">
        <v>54129.280919999997</v>
      </c>
      <c r="F173" s="409">
        <v>16999.75792</v>
      </c>
      <c r="G173" s="409">
        <v>30391.966</v>
      </c>
      <c r="H173" s="409">
        <v>47391.723919999997</v>
      </c>
      <c r="I173" s="409">
        <v>10048.011</v>
      </c>
      <c r="J173" s="409">
        <v>1100.9920000000002</v>
      </c>
      <c r="K173" s="409">
        <v>11149.003000000001</v>
      </c>
    </row>
    <row r="174" spans="1:12">
      <c r="A174" s="665" t="s">
        <v>505</v>
      </c>
      <c r="B174" s="665"/>
      <c r="C174" s="666">
        <v>9107.6720400000213</v>
      </c>
      <c r="D174" s="667"/>
      <c r="E174" s="668"/>
      <c r="F174" s="666">
        <v>9107.6730399999924</v>
      </c>
      <c r="G174" s="667"/>
      <c r="H174" s="668"/>
      <c r="I174" s="666">
        <v>405.46228000000121</v>
      </c>
      <c r="J174" s="667"/>
      <c r="K174" s="668"/>
      <c r="L174" s="32"/>
    </row>
    <row r="175" spans="1:12">
      <c r="A175" s="657" t="s">
        <v>506</v>
      </c>
      <c r="B175" s="657"/>
      <c r="C175" s="657"/>
      <c r="D175" s="657"/>
      <c r="E175" s="657"/>
      <c r="F175" s="657"/>
      <c r="G175" s="657"/>
      <c r="H175" s="657"/>
      <c r="I175" s="657"/>
      <c r="J175" s="657"/>
      <c r="K175" s="657"/>
      <c r="L175" s="32"/>
    </row>
    <row r="176" spans="1:12">
      <c r="A176" s="656" t="s">
        <v>594</v>
      </c>
      <c r="B176" s="656"/>
      <c r="C176" s="656"/>
      <c r="D176" s="656"/>
      <c r="E176" s="656"/>
      <c r="F176" s="656"/>
      <c r="G176" s="656"/>
      <c r="H176" s="656"/>
      <c r="I176" s="656"/>
      <c r="J176" s="656"/>
      <c r="K176" s="656"/>
      <c r="L176" s="32"/>
    </row>
    <row r="177" spans="1:11">
      <c r="A177" s="656" t="s">
        <v>595</v>
      </c>
      <c r="B177" s="656"/>
      <c r="C177" s="656"/>
      <c r="D177" s="656"/>
      <c r="E177" s="656"/>
      <c r="F177" s="656"/>
      <c r="G177" s="656"/>
      <c r="H177" s="656"/>
      <c r="I177" s="656"/>
      <c r="J177" s="656"/>
      <c r="K177" s="656"/>
    </row>
    <row r="178" spans="1:11">
      <c r="A178" s="656" t="s">
        <v>596</v>
      </c>
      <c r="B178" s="656"/>
      <c r="C178" s="656"/>
      <c r="D178" s="656"/>
      <c r="E178" s="656"/>
      <c r="F178" s="656"/>
      <c r="G178" s="656"/>
      <c r="H178" s="656"/>
      <c r="I178" s="656"/>
      <c r="J178" s="656"/>
      <c r="K178" s="656"/>
    </row>
    <row r="179" spans="1:11">
      <c r="A179" s="654" t="s">
        <v>510</v>
      </c>
      <c r="B179" s="654"/>
      <c r="C179" s="654"/>
      <c r="D179" s="654"/>
      <c r="E179" s="654"/>
      <c r="F179" s="654"/>
      <c r="G179" s="654"/>
      <c r="H179" s="654"/>
      <c r="I179" s="654"/>
      <c r="J179" s="654"/>
      <c r="K179" s="654"/>
    </row>
    <row r="180" spans="1:11">
      <c r="A180" s="654" t="s">
        <v>511</v>
      </c>
      <c r="B180" s="654"/>
      <c r="C180" s="654"/>
      <c r="D180" s="654"/>
      <c r="E180" s="654"/>
      <c r="F180" s="654"/>
      <c r="G180" s="654"/>
      <c r="H180" s="654"/>
      <c r="I180" s="654"/>
      <c r="J180" s="654"/>
      <c r="K180" s="654"/>
    </row>
    <row r="181" spans="1:11">
      <c r="A181" s="654" t="s">
        <v>512</v>
      </c>
      <c r="B181" s="654"/>
      <c r="C181" s="654"/>
      <c r="D181" s="654"/>
      <c r="E181" s="654"/>
      <c r="F181" s="654"/>
      <c r="G181" s="654"/>
      <c r="H181" s="654"/>
      <c r="I181" s="654"/>
      <c r="J181" s="654"/>
      <c r="K181" s="654"/>
    </row>
    <row r="182" spans="1:11">
      <c r="A182" s="654" t="s">
        <v>513</v>
      </c>
      <c r="B182" s="654"/>
      <c r="C182" s="654"/>
      <c r="D182" s="654"/>
      <c r="E182" s="654"/>
      <c r="F182" s="654"/>
      <c r="G182" s="654"/>
      <c r="H182" s="654"/>
      <c r="I182" s="654"/>
      <c r="J182" s="654"/>
      <c r="K182" s="654"/>
    </row>
    <row r="183" spans="1:11">
      <c r="A183" s="654" t="s">
        <v>514</v>
      </c>
      <c r="B183" s="654"/>
      <c r="C183" s="654"/>
      <c r="D183" s="654"/>
      <c r="E183" s="654"/>
      <c r="F183" s="654"/>
      <c r="G183" s="654"/>
      <c r="H183" s="654"/>
      <c r="I183" s="654"/>
      <c r="J183" s="654"/>
      <c r="K183" s="654"/>
    </row>
  </sheetData>
  <sheetProtection algorithmName="SHA-512" hashValue="M1UJ+7RsNRXcUL4060mhwJzSXbzOGZYLOY8T8huCus9vkd45obNmHjV7cFSsRyhhQ7Ox3zcapPIKuGDFKef+Wg==" saltValue="U5gBcZjvXj5hCdaASeZDsA==" spinCount="100000" sheet="1" objects="1" scenarios="1"/>
  <mergeCells count="148">
    <mergeCell ref="L92:O92"/>
    <mergeCell ref="T92:U92"/>
    <mergeCell ref="A112:A114"/>
    <mergeCell ref="G113:H113"/>
    <mergeCell ref="A132:A135"/>
    <mergeCell ref="B35:B37"/>
    <mergeCell ref="B153:B155"/>
    <mergeCell ref="A153:A155"/>
    <mergeCell ref="T133:V133"/>
    <mergeCell ref="A35:A37"/>
    <mergeCell ref="C56:E56"/>
    <mergeCell ref="F56:H56"/>
    <mergeCell ref="I56:K56"/>
    <mergeCell ref="L132:Q132"/>
    <mergeCell ref="R132:S132"/>
    <mergeCell ref="T132:U132"/>
    <mergeCell ref="L133:O133"/>
    <mergeCell ref="P133:S133"/>
    <mergeCell ref="L134:M134"/>
    <mergeCell ref="N134:O134"/>
    <mergeCell ref="P134:Q134"/>
    <mergeCell ref="R134:S134"/>
    <mergeCell ref="T134:U134"/>
    <mergeCell ref="A109:K109"/>
    <mergeCell ref="A28:H28"/>
    <mergeCell ref="A81:K81"/>
    <mergeCell ref="A82:K82"/>
    <mergeCell ref="L91:Q91"/>
    <mergeCell ref="R91:S91"/>
    <mergeCell ref="T91:U91"/>
    <mergeCell ref="P92:S92"/>
    <mergeCell ref="D93:E93"/>
    <mergeCell ref="F93:G93"/>
    <mergeCell ref="H93:I93"/>
    <mergeCell ref="J93:K93"/>
    <mergeCell ref="L93:M93"/>
    <mergeCell ref="N93:O93"/>
    <mergeCell ref="P93:Q93"/>
    <mergeCell ref="R93:S93"/>
    <mergeCell ref="T93:U93"/>
    <mergeCell ref="A61:K61"/>
    <mergeCell ref="A62:K62"/>
    <mergeCell ref="A63:K63"/>
    <mergeCell ref="A64:K64"/>
    <mergeCell ref="A65:K65"/>
    <mergeCell ref="A67:K67"/>
    <mergeCell ref="A90:K90"/>
    <mergeCell ref="A32:H32"/>
    <mergeCell ref="A58:K58"/>
    <mergeCell ref="A59:K59"/>
    <mergeCell ref="A60:K60"/>
    <mergeCell ref="A68:A70"/>
    <mergeCell ref="A91:A94"/>
    <mergeCell ref="A53:A55"/>
    <mergeCell ref="A56:B56"/>
    <mergeCell ref="B68:B70"/>
    <mergeCell ref="C68:F69"/>
    <mergeCell ref="G68:I68"/>
    <mergeCell ref="I69:K69"/>
    <mergeCell ref="A101:K101"/>
    <mergeCell ref="A102:K102"/>
    <mergeCell ref="A103:K103"/>
    <mergeCell ref="A104:K104"/>
    <mergeCell ref="A105:K105"/>
    <mergeCell ref="A86:K86"/>
    <mergeCell ref="A87:K87"/>
    <mergeCell ref="A88:K88"/>
    <mergeCell ref="B91:C93"/>
    <mergeCell ref="D91:K92"/>
    <mergeCell ref="A123:K123"/>
    <mergeCell ref="A124:K124"/>
    <mergeCell ref="A125:K125"/>
    <mergeCell ref="A126:K126"/>
    <mergeCell ref="A127:K127"/>
    <mergeCell ref="A106:K106"/>
    <mergeCell ref="A107:K107"/>
    <mergeCell ref="A108:K108"/>
    <mergeCell ref="B112:B114"/>
    <mergeCell ref="C112:F113"/>
    <mergeCell ref="G112:I112"/>
    <mergeCell ref="A111:K111"/>
    <mergeCell ref="I113:J113"/>
    <mergeCell ref="A7:H7"/>
    <mergeCell ref="A9:H9"/>
    <mergeCell ref="A11:H11"/>
    <mergeCell ref="A29:H29"/>
    <mergeCell ref="A30:H30"/>
    <mergeCell ref="A57:K57"/>
    <mergeCell ref="A83:K83"/>
    <mergeCell ref="A84:K84"/>
    <mergeCell ref="A85:K85"/>
    <mergeCell ref="A38:A42"/>
    <mergeCell ref="A13:H13"/>
    <mergeCell ref="A20:H20"/>
    <mergeCell ref="C35:E35"/>
    <mergeCell ref="A43:A47"/>
    <mergeCell ref="A48:A52"/>
    <mergeCell ref="G69:H69"/>
    <mergeCell ref="A31:H31"/>
    <mergeCell ref="A80:K80"/>
    <mergeCell ref="F35:H35"/>
    <mergeCell ref="C36:E36"/>
    <mergeCell ref="F36:H36"/>
    <mergeCell ref="A34:K34"/>
    <mergeCell ref="I35:K35"/>
    <mergeCell ref="I36:K36"/>
    <mergeCell ref="A146:K146"/>
    <mergeCell ref="A147:K147"/>
    <mergeCell ref="A148:K148"/>
    <mergeCell ref="A128:K128"/>
    <mergeCell ref="A129:K129"/>
    <mergeCell ref="A131:K131"/>
    <mergeCell ref="A142:K142"/>
    <mergeCell ref="A143:K143"/>
    <mergeCell ref="A179:K179"/>
    <mergeCell ref="A174:B174"/>
    <mergeCell ref="A144:K144"/>
    <mergeCell ref="A145:K145"/>
    <mergeCell ref="C174:E174"/>
    <mergeCell ref="F174:H174"/>
    <mergeCell ref="I174:K174"/>
    <mergeCell ref="H134:I134"/>
    <mergeCell ref="J134:K134"/>
    <mergeCell ref="B132:C134"/>
    <mergeCell ref="D134:E134"/>
    <mergeCell ref="F134:G134"/>
    <mergeCell ref="D132:K133"/>
    <mergeCell ref="A180:K180"/>
    <mergeCell ref="A181:K181"/>
    <mergeCell ref="A182:K182"/>
    <mergeCell ref="A183:K183"/>
    <mergeCell ref="A149:K149"/>
    <mergeCell ref="A150:K150"/>
    <mergeCell ref="A176:K176"/>
    <mergeCell ref="A177:K177"/>
    <mergeCell ref="A178:K178"/>
    <mergeCell ref="A175:K175"/>
    <mergeCell ref="A152:K152"/>
    <mergeCell ref="F153:H153"/>
    <mergeCell ref="I153:K153"/>
    <mergeCell ref="C154:E154"/>
    <mergeCell ref="F154:H154"/>
    <mergeCell ref="I154:K154"/>
    <mergeCell ref="C153:E153"/>
    <mergeCell ref="A156:A160"/>
    <mergeCell ref="A161:A165"/>
    <mergeCell ref="A166:A170"/>
    <mergeCell ref="A171:A17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CCD0-444D-4BAA-9798-E3C11E4DC717}">
  <sheetPr>
    <tabColor rgb="FF000F7B"/>
  </sheetPr>
  <dimension ref="A2:C167"/>
  <sheetViews>
    <sheetView showGridLines="0" zoomScaleNormal="100" workbookViewId="0"/>
  </sheetViews>
  <sheetFormatPr baseColWidth="10" defaultColWidth="8.7109375" defaultRowHeight="14.25"/>
  <cols>
    <col min="1" max="1" width="62" style="148" customWidth="1"/>
    <col min="2" max="2" width="22.5703125" style="148" customWidth="1"/>
    <col min="3" max="3" width="29.28515625" style="154" customWidth="1"/>
    <col min="4" max="16384" width="8.7109375" style="148"/>
  </cols>
  <sheetData>
    <row r="2" spans="1:3">
      <c r="C2" s="150" t="s">
        <v>87</v>
      </c>
    </row>
    <row r="6" spans="1:3" ht="18">
      <c r="A6" s="598" t="s">
        <v>597</v>
      </c>
      <c r="B6" s="598"/>
      <c r="C6" s="598"/>
    </row>
    <row r="7" spans="1:3" ht="18">
      <c r="A7" s="145"/>
      <c r="B7" s="145"/>
      <c r="C7" s="145"/>
    </row>
    <row r="8" spans="1:3" ht="15.75">
      <c r="A8" s="162" t="s">
        <v>89</v>
      </c>
      <c r="B8" s="162" t="s">
        <v>90</v>
      </c>
      <c r="C8" s="162" t="s">
        <v>91</v>
      </c>
    </row>
    <row r="9" spans="1:3" ht="15.75">
      <c r="A9" s="519" t="s">
        <v>598</v>
      </c>
      <c r="B9" s="333"/>
      <c r="C9" s="334"/>
    </row>
    <row r="10" spans="1:3" ht="15" customHeight="1">
      <c r="A10" s="288" t="s">
        <v>599</v>
      </c>
      <c r="B10" s="294" t="s">
        <v>600</v>
      </c>
      <c r="C10" s="293" t="s">
        <v>601</v>
      </c>
    </row>
    <row r="11" spans="1:3" ht="15" customHeight="1">
      <c r="A11" s="296" t="s">
        <v>602</v>
      </c>
      <c r="B11" s="294" t="s">
        <v>600</v>
      </c>
      <c r="C11" s="293" t="s">
        <v>601</v>
      </c>
    </row>
    <row r="12" spans="1:3" ht="15" customHeight="1">
      <c r="A12" s="291" t="s">
        <v>603</v>
      </c>
      <c r="B12" s="294"/>
      <c r="C12" s="293" t="s">
        <v>601</v>
      </c>
    </row>
    <row r="13" spans="1:3" ht="15" customHeight="1">
      <c r="A13" s="291" t="s">
        <v>604</v>
      </c>
      <c r="B13" s="294"/>
      <c r="C13" s="293" t="s">
        <v>601</v>
      </c>
    </row>
    <row r="14" spans="1:3" ht="15" customHeight="1">
      <c r="A14" s="291" t="s">
        <v>605</v>
      </c>
      <c r="B14" s="294"/>
      <c r="C14" s="293" t="s">
        <v>601</v>
      </c>
    </row>
    <row r="15" spans="1:3" ht="15" customHeight="1">
      <c r="A15" s="291" t="s">
        <v>606</v>
      </c>
      <c r="B15" s="294" t="s">
        <v>607</v>
      </c>
      <c r="C15" s="293" t="s">
        <v>601</v>
      </c>
    </row>
    <row r="16" spans="1:3" ht="15" customHeight="1">
      <c r="A16" s="291" t="s">
        <v>608</v>
      </c>
      <c r="B16" s="294" t="s">
        <v>607</v>
      </c>
      <c r="C16" s="293"/>
    </row>
    <row r="17" spans="1:3" ht="15" customHeight="1">
      <c r="A17" s="291" t="s">
        <v>609</v>
      </c>
      <c r="B17" s="294"/>
      <c r="C17" s="293" t="s">
        <v>601</v>
      </c>
    </row>
    <row r="18" spans="1:3" ht="15" customHeight="1">
      <c r="A18" s="332" t="s">
        <v>610</v>
      </c>
      <c r="B18" s="294" t="s">
        <v>600</v>
      </c>
      <c r="C18" s="293" t="s">
        <v>601</v>
      </c>
    </row>
    <row r="19" spans="1:3" ht="15" customHeight="1">
      <c r="A19" s="332" t="s">
        <v>611</v>
      </c>
      <c r="B19" s="294" t="s">
        <v>600</v>
      </c>
      <c r="C19" s="293" t="s">
        <v>601</v>
      </c>
    </row>
    <row r="20" spans="1:3" ht="15" customHeight="1">
      <c r="A20" s="332" t="s">
        <v>612</v>
      </c>
      <c r="B20" s="294" t="s">
        <v>600</v>
      </c>
      <c r="C20" s="293" t="s">
        <v>601</v>
      </c>
    </row>
    <row r="21" spans="1:3" ht="15" customHeight="1">
      <c r="A21" s="332" t="s">
        <v>613</v>
      </c>
      <c r="B21" s="294" t="s">
        <v>600</v>
      </c>
      <c r="C21" s="293" t="s">
        <v>601</v>
      </c>
    </row>
    <row r="22" spans="1:3" ht="15" customHeight="1">
      <c r="A22" s="332" t="s">
        <v>614</v>
      </c>
      <c r="B22" s="294" t="s">
        <v>600</v>
      </c>
      <c r="C22" s="293" t="s">
        <v>601</v>
      </c>
    </row>
    <row r="23" spans="1:3" ht="15" customHeight="1">
      <c r="A23" s="332" t="s">
        <v>615</v>
      </c>
      <c r="B23" s="294" t="s">
        <v>600</v>
      </c>
      <c r="C23" s="293" t="s">
        <v>601</v>
      </c>
    </row>
    <row r="24" spans="1:3" ht="15" customHeight="1">
      <c r="A24" s="291" t="s">
        <v>616</v>
      </c>
      <c r="B24" s="294" t="s">
        <v>600</v>
      </c>
      <c r="C24" s="293" t="s">
        <v>601</v>
      </c>
    </row>
    <row r="25" spans="1:3" ht="15" customHeight="1">
      <c r="A25" s="291" t="s">
        <v>617</v>
      </c>
      <c r="B25" s="294" t="s">
        <v>600</v>
      </c>
      <c r="C25" s="293" t="s">
        <v>601</v>
      </c>
    </row>
    <row r="26" spans="1:3" ht="15" customHeight="1">
      <c r="A26" s="291" t="s">
        <v>618</v>
      </c>
      <c r="B26" s="294" t="s">
        <v>600</v>
      </c>
      <c r="C26" s="293" t="s">
        <v>601</v>
      </c>
    </row>
    <row r="27" spans="1:3" ht="15" customHeight="1">
      <c r="A27" s="291" t="s">
        <v>619</v>
      </c>
      <c r="B27" s="294" t="s">
        <v>600</v>
      </c>
      <c r="C27" s="293" t="s">
        <v>601</v>
      </c>
    </row>
    <row r="28" spans="1:3" ht="15" customHeight="1">
      <c r="A28" s="291" t="s">
        <v>620</v>
      </c>
      <c r="B28" s="294" t="s">
        <v>600</v>
      </c>
      <c r="C28" s="293" t="s">
        <v>601</v>
      </c>
    </row>
    <row r="29" spans="1:3" ht="15" customHeight="1">
      <c r="A29" s="291" t="s">
        <v>621</v>
      </c>
      <c r="B29" s="294" t="s">
        <v>600</v>
      </c>
      <c r="C29" s="293" t="s">
        <v>601</v>
      </c>
    </row>
    <row r="30" spans="1:3" ht="15" customHeight="1">
      <c r="A30" s="291" t="s">
        <v>622</v>
      </c>
      <c r="B30" s="294" t="s">
        <v>600</v>
      </c>
      <c r="C30" s="293" t="s">
        <v>601</v>
      </c>
    </row>
    <row r="31" spans="1:3" ht="15" customHeight="1">
      <c r="A31" s="291" t="s">
        <v>623</v>
      </c>
      <c r="B31" s="294" t="s">
        <v>600</v>
      </c>
      <c r="C31" s="293" t="s">
        <v>601</v>
      </c>
    </row>
    <row r="32" spans="1:3" ht="15" customHeight="1">
      <c r="A32" s="291" t="s">
        <v>624</v>
      </c>
      <c r="B32" s="294" t="s">
        <v>600</v>
      </c>
      <c r="C32" s="293" t="s">
        <v>601</v>
      </c>
    </row>
    <row r="33" spans="1:3" ht="15" customHeight="1">
      <c r="A33" s="291" t="s">
        <v>625</v>
      </c>
      <c r="B33" s="294" t="s">
        <v>600</v>
      </c>
      <c r="C33" s="293" t="s">
        <v>601</v>
      </c>
    </row>
    <row r="34" spans="1:3" ht="15" customHeight="1">
      <c r="A34" s="291" t="s">
        <v>626</v>
      </c>
      <c r="B34" s="294" t="s">
        <v>600</v>
      </c>
      <c r="C34" s="293" t="s">
        <v>601</v>
      </c>
    </row>
    <row r="35" spans="1:3" ht="19.899999999999999" customHeight="1">
      <c r="A35" s="324"/>
      <c r="B35" s="325"/>
      <c r="C35" s="326"/>
    </row>
    <row r="36" spans="1:3" ht="15.75">
      <c r="A36" s="520" t="s">
        <v>28</v>
      </c>
      <c r="B36" s="328"/>
      <c r="C36" s="329"/>
    </row>
    <row r="37" spans="1:3">
      <c r="A37" s="291" t="s">
        <v>627</v>
      </c>
      <c r="B37" s="294" t="s">
        <v>628</v>
      </c>
      <c r="C37" s="293"/>
    </row>
    <row r="38" spans="1:3">
      <c r="A38" s="291" t="s">
        <v>629</v>
      </c>
      <c r="B38" s="294" t="s">
        <v>630</v>
      </c>
      <c r="C38" s="293" t="s">
        <v>631</v>
      </c>
    </row>
    <row r="39" spans="1:3">
      <c r="A39" s="291" t="s">
        <v>632</v>
      </c>
      <c r="B39" s="293"/>
      <c r="C39" s="293"/>
    </row>
    <row r="40" spans="1:3" ht="25.5">
      <c r="A40" s="291" t="s">
        <v>633</v>
      </c>
      <c r="B40" s="294" t="s">
        <v>630</v>
      </c>
      <c r="C40" s="293"/>
    </row>
    <row r="41" spans="1:3" ht="25.5">
      <c r="A41" s="291" t="s">
        <v>634</v>
      </c>
      <c r="B41" s="294" t="s">
        <v>630</v>
      </c>
      <c r="C41" s="293"/>
    </row>
    <row r="42" spans="1:3">
      <c r="A42" s="291" t="s">
        <v>635</v>
      </c>
      <c r="B42" s="294" t="s">
        <v>630</v>
      </c>
      <c r="C42" s="293"/>
    </row>
    <row r="43" spans="1:3">
      <c r="A43" s="291" t="s">
        <v>636</v>
      </c>
      <c r="B43" s="294" t="s">
        <v>637</v>
      </c>
      <c r="C43" s="293"/>
    </row>
    <row r="44" spans="1:3">
      <c r="A44" s="291" t="s">
        <v>638</v>
      </c>
      <c r="B44" s="294" t="s">
        <v>637</v>
      </c>
      <c r="C44" s="293"/>
    </row>
    <row r="45" spans="1:3">
      <c r="A45" s="291" t="s">
        <v>639</v>
      </c>
      <c r="B45" s="294" t="s">
        <v>637</v>
      </c>
      <c r="C45" s="293"/>
    </row>
    <row r="46" spans="1:3">
      <c r="A46" s="291" t="s">
        <v>640</v>
      </c>
      <c r="B46" s="294" t="s">
        <v>637</v>
      </c>
      <c r="C46" s="293"/>
    </row>
    <row r="47" spans="1:3">
      <c r="A47" s="291" t="s">
        <v>641</v>
      </c>
      <c r="B47" s="294" t="s">
        <v>637</v>
      </c>
      <c r="C47" s="293"/>
    </row>
    <row r="48" spans="1:3">
      <c r="A48" s="291" t="s">
        <v>642</v>
      </c>
      <c r="B48" s="294" t="s">
        <v>643</v>
      </c>
      <c r="C48" s="293"/>
    </row>
    <row r="49" spans="1:3">
      <c r="A49" s="291" t="s">
        <v>644</v>
      </c>
      <c r="B49" s="294"/>
      <c r="C49" s="293"/>
    </row>
    <row r="50" spans="1:3">
      <c r="A50" s="291" t="s">
        <v>645</v>
      </c>
      <c r="B50" s="294" t="s">
        <v>646</v>
      </c>
      <c r="C50" s="293"/>
    </row>
    <row r="51" spans="1:3">
      <c r="A51" s="291" t="s">
        <v>1574</v>
      </c>
      <c r="B51" s="294"/>
      <c r="C51" s="293"/>
    </row>
    <row r="52" spans="1:3">
      <c r="A52" s="291" t="s">
        <v>647</v>
      </c>
      <c r="B52" s="294" t="s">
        <v>648</v>
      </c>
      <c r="C52" s="293"/>
    </row>
    <row r="53" spans="1:3">
      <c r="A53" s="291" t="s">
        <v>649</v>
      </c>
      <c r="B53" s="294" t="s">
        <v>648</v>
      </c>
      <c r="C53" s="293"/>
    </row>
    <row r="54" spans="1:3">
      <c r="A54" s="291" t="s">
        <v>650</v>
      </c>
      <c r="B54" s="294" t="s">
        <v>648</v>
      </c>
      <c r="C54" s="293"/>
    </row>
    <row r="55" spans="1:3">
      <c r="A55" s="291" t="s">
        <v>1581</v>
      </c>
      <c r="B55" s="294"/>
      <c r="C55" s="293"/>
    </row>
    <row r="56" spans="1:3">
      <c r="A56" s="291" t="s">
        <v>651</v>
      </c>
      <c r="B56" s="294" t="s">
        <v>652</v>
      </c>
      <c r="C56" s="293"/>
    </row>
    <row r="57" spans="1:3">
      <c r="A57" s="291" t="s">
        <v>653</v>
      </c>
      <c r="B57" s="294" t="s">
        <v>654</v>
      </c>
      <c r="C57" s="293"/>
    </row>
    <row r="58" spans="1:3">
      <c r="A58" s="291" t="s">
        <v>655</v>
      </c>
      <c r="B58" s="294" t="s">
        <v>656</v>
      </c>
      <c r="C58" s="293"/>
    </row>
    <row r="59" spans="1:3">
      <c r="A59" s="288" t="s">
        <v>657</v>
      </c>
      <c r="B59" s="294" t="s">
        <v>658</v>
      </c>
      <c r="C59" s="293"/>
    </row>
    <row r="60" spans="1:3" ht="13.9" customHeight="1">
      <c r="A60" s="288" t="s">
        <v>659</v>
      </c>
      <c r="B60" s="294" t="s">
        <v>658</v>
      </c>
      <c r="C60" s="293"/>
    </row>
    <row r="61" spans="1:3" ht="19.149999999999999" customHeight="1">
      <c r="A61" s="324"/>
      <c r="B61" s="325"/>
      <c r="C61" s="326"/>
    </row>
    <row r="62" spans="1:3" ht="15.75">
      <c r="A62" s="520" t="s">
        <v>29</v>
      </c>
      <c r="B62" s="328"/>
      <c r="C62" s="329"/>
    </row>
    <row r="63" spans="1:3" ht="25.5">
      <c r="A63" s="288" t="s">
        <v>660</v>
      </c>
      <c r="B63" s="289"/>
      <c r="C63" s="289"/>
    </row>
    <row r="64" spans="1:3">
      <c r="A64" s="288" t="s">
        <v>661</v>
      </c>
      <c r="B64" s="287" t="s">
        <v>662</v>
      </c>
      <c r="C64" s="289"/>
    </row>
    <row r="65" spans="1:3" ht="20.65" customHeight="1">
      <c r="A65" s="330"/>
      <c r="B65" s="542"/>
      <c r="C65" s="331"/>
    </row>
    <row r="66" spans="1:3" ht="15.75">
      <c r="A66" s="520" t="s">
        <v>30</v>
      </c>
      <c r="B66" s="328"/>
      <c r="C66" s="329"/>
    </row>
    <row r="67" spans="1:3" ht="25.5">
      <c r="A67" s="288" t="s">
        <v>663</v>
      </c>
      <c r="B67" s="289"/>
      <c r="C67" s="289"/>
    </row>
    <row r="68" spans="1:3">
      <c r="A68" s="288" t="s">
        <v>664</v>
      </c>
      <c r="B68" s="289"/>
      <c r="C68" s="289"/>
    </row>
    <row r="69" spans="1:3">
      <c r="A69" s="295" t="s">
        <v>665</v>
      </c>
      <c r="B69" s="289" t="s">
        <v>666</v>
      </c>
      <c r="C69" s="289"/>
    </row>
    <row r="70" spans="1:3">
      <c r="A70" s="288" t="s">
        <v>667</v>
      </c>
      <c r="B70" s="289"/>
      <c r="C70" s="289"/>
    </row>
    <row r="71" spans="1:3">
      <c r="A71" s="151"/>
      <c r="B71" s="151"/>
      <c r="C71" s="152"/>
    </row>
    <row r="72" spans="1:3">
      <c r="A72" s="151"/>
      <c r="B72" s="151"/>
      <c r="C72" s="152"/>
    </row>
    <row r="73" spans="1:3">
      <c r="A73" s="151"/>
      <c r="B73" s="151"/>
      <c r="C73" s="152"/>
    </row>
    <row r="74" spans="1:3">
      <c r="A74" s="151"/>
      <c r="B74" s="151"/>
      <c r="C74" s="152"/>
    </row>
    <row r="75" spans="1:3">
      <c r="A75" s="151"/>
      <c r="B75" s="151"/>
      <c r="C75" s="152"/>
    </row>
    <row r="76" spans="1:3">
      <c r="A76" s="151"/>
      <c r="B76" s="151"/>
      <c r="C76" s="152"/>
    </row>
    <row r="77" spans="1:3">
      <c r="A77" s="151"/>
      <c r="B77" s="151"/>
      <c r="C77" s="152"/>
    </row>
    <row r="78" spans="1:3">
      <c r="A78" s="151"/>
      <c r="B78" s="151"/>
      <c r="C78" s="152"/>
    </row>
    <row r="79" spans="1:3">
      <c r="A79" s="151"/>
      <c r="B79" s="151"/>
      <c r="C79" s="152"/>
    </row>
    <row r="80" spans="1:3">
      <c r="A80" s="151"/>
      <c r="B80" s="151"/>
      <c r="C80" s="152"/>
    </row>
    <row r="81" spans="1:3">
      <c r="A81" s="151"/>
      <c r="B81" s="151"/>
      <c r="C81" s="152"/>
    </row>
    <row r="82" spans="1:3">
      <c r="A82" s="151"/>
      <c r="B82" s="151"/>
      <c r="C82" s="152"/>
    </row>
    <row r="83" spans="1:3">
      <c r="A83" s="151"/>
      <c r="B83" s="151"/>
      <c r="C83" s="152"/>
    </row>
    <row r="84" spans="1:3">
      <c r="A84" s="151"/>
      <c r="B84" s="151"/>
      <c r="C84" s="152"/>
    </row>
    <row r="85" spans="1:3">
      <c r="A85" s="151"/>
      <c r="B85" s="151"/>
      <c r="C85" s="152"/>
    </row>
    <row r="86" spans="1:3">
      <c r="A86" s="149"/>
      <c r="B86" s="149"/>
      <c r="C86" s="153"/>
    </row>
    <row r="87" spans="1:3">
      <c r="A87" s="149"/>
      <c r="B87" s="149"/>
      <c r="C87" s="153"/>
    </row>
    <row r="88" spans="1:3">
      <c r="A88" s="149"/>
      <c r="B88" s="149"/>
      <c r="C88" s="153"/>
    </row>
    <row r="89" spans="1:3">
      <c r="A89" s="149"/>
      <c r="B89" s="149"/>
      <c r="C89" s="153"/>
    </row>
    <row r="90" spans="1:3">
      <c r="A90" s="149"/>
      <c r="B90" s="149"/>
      <c r="C90" s="153"/>
    </row>
    <row r="91" spans="1:3">
      <c r="A91" s="149"/>
      <c r="B91" s="149"/>
      <c r="C91" s="153"/>
    </row>
    <row r="92" spans="1:3">
      <c r="A92" s="149"/>
      <c r="B92" s="149"/>
      <c r="C92" s="153"/>
    </row>
    <row r="93" spans="1:3">
      <c r="A93" s="149"/>
      <c r="B93" s="149"/>
      <c r="C93" s="153"/>
    </row>
    <row r="94" spans="1:3">
      <c r="A94" s="149"/>
      <c r="B94" s="149"/>
      <c r="C94" s="153"/>
    </row>
    <row r="95" spans="1:3">
      <c r="A95" s="149"/>
      <c r="B95" s="149"/>
      <c r="C95" s="153"/>
    </row>
    <row r="96" spans="1:3">
      <c r="A96" s="149"/>
      <c r="B96" s="149"/>
      <c r="C96" s="153"/>
    </row>
    <row r="97" spans="1:3">
      <c r="A97" s="149"/>
      <c r="B97" s="149"/>
      <c r="C97" s="153"/>
    </row>
    <row r="98" spans="1:3">
      <c r="A98" s="149"/>
      <c r="B98" s="149"/>
      <c r="C98" s="153"/>
    </row>
    <row r="99" spans="1:3">
      <c r="A99" s="149"/>
      <c r="B99" s="149"/>
      <c r="C99" s="153"/>
    </row>
    <row r="100" spans="1:3">
      <c r="A100" s="149"/>
      <c r="B100" s="149"/>
      <c r="C100" s="153"/>
    </row>
    <row r="101" spans="1:3">
      <c r="A101" s="149"/>
      <c r="B101" s="149"/>
      <c r="C101" s="153"/>
    </row>
    <row r="102" spans="1:3">
      <c r="A102" s="149"/>
      <c r="B102" s="149"/>
      <c r="C102" s="153"/>
    </row>
    <row r="103" spans="1:3">
      <c r="A103" s="149"/>
      <c r="B103" s="149"/>
      <c r="C103" s="153"/>
    </row>
    <row r="104" spans="1:3">
      <c r="A104" s="149"/>
      <c r="B104" s="149"/>
      <c r="C104" s="153"/>
    </row>
    <row r="105" spans="1:3">
      <c r="A105" s="149"/>
      <c r="B105" s="149"/>
      <c r="C105" s="153"/>
    </row>
    <row r="106" spans="1:3">
      <c r="A106" s="149"/>
      <c r="B106" s="149"/>
      <c r="C106" s="153"/>
    </row>
    <row r="107" spans="1:3">
      <c r="A107" s="149"/>
      <c r="B107" s="149"/>
      <c r="C107" s="153"/>
    </row>
    <row r="108" spans="1:3">
      <c r="A108" s="149"/>
      <c r="B108" s="149"/>
      <c r="C108" s="153"/>
    </row>
    <row r="109" spans="1:3">
      <c r="A109" s="149"/>
      <c r="B109" s="149"/>
      <c r="C109" s="153"/>
    </row>
    <row r="110" spans="1:3">
      <c r="A110" s="149"/>
      <c r="B110" s="149"/>
      <c r="C110" s="153"/>
    </row>
    <row r="111" spans="1:3">
      <c r="A111" s="149"/>
      <c r="B111" s="149"/>
      <c r="C111" s="153"/>
    </row>
    <row r="112" spans="1:3">
      <c r="A112" s="149"/>
      <c r="B112" s="149"/>
      <c r="C112" s="153"/>
    </row>
    <row r="113" spans="1:3">
      <c r="A113" s="149"/>
      <c r="B113" s="149"/>
      <c r="C113" s="153"/>
    </row>
    <row r="114" spans="1:3">
      <c r="A114" s="149"/>
      <c r="B114" s="149"/>
      <c r="C114" s="153"/>
    </row>
    <row r="115" spans="1:3">
      <c r="A115" s="149"/>
      <c r="B115" s="149"/>
      <c r="C115" s="153"/>
    </row>
    <row r="116" spans="1:3">
      <c r="A116" s="149"/>
      <c r="B116" s="149"/>
      <c r="C116" s="153"/>
    </row>
    <row r="117" spans="1:3">
      <c r="A117" s="149"/>
      <c r="B117" s="149"/>
      <c r="C117" s="153"/>
    </row>
    <row r="118" spans="1:3">
      <c r="A118" s="149"/>
      <c r="B118" s="149"/>
      <c r="C118" s="153"/>
    </row>
    <row r="119" spans="1:3">
      <c r="A119" s="149"/>
      <c r="B119" s="149"/>
      <c r="C119" s="153"/>
    </row>
    <row r="120" spans="1:3">
      <c r="A120" s="149"/>
      <c r="B120" s="149"/>
      <c r="C120" s="153"/>
    </row>
    <row r="121" spans="1:3">
      <c r="A121" s="149"/>
      <c r="B121" s="149"/>
      <c r="C121" s="153"/>
    </row>
    <row r="122" spans="1:3">
      <c r="A122" s="149"/>
      <c r="B122" s="149"/>
      <c r="C122" s="153"/>
    </row>
    <row r="123" spans="1:3">
      <c r="A123" s="149"/>
      <c r="B123" s="149"/>
      <c r="C123" s="153"/>
    </row>
    <row r="124" spans="1:3">
      <c r="A124" s="149"/>
      <c r="B124" s="149"/>
      <c r="C124" s="153"/>
    </row>
    <row r="125" spans="1:3">
      <c r="A125" s="149"/>
      <c r="B125" s="149"/>
      <c r="C125" s="153"/>
    </row>
    <row r="126" spans="1:3">
      <c r="A126" s="149"/>
      <c r="B126" s="149"/>
      <c r="C126" s="153"/>
    </row>
    <row r="127" spans="1:3">
      <c r="A127" s="149"/>
      <c r="B127" s="149"/>
      <c r="C127" s="153"/>
    </row>
    <row r="128" spans="1:3">
      <c r="A128" s="149"/>
      <c r="B128" s="149"/>
      <c r="C128" s="153"/>
    </row>
    <row r="129" spans="1:3">
      <c r="A129" s="149"/>
      <c r="B129" s="149"/>
      <c r="C129" s="153"/>
    </row>
    <row r="130" spans="1:3">
      <c r="A130" s="149"/>
      <c r="B130" s="149"/>
      <c r="C130" s="153"/>
    </row>
    <row r="131" spans="1:3">
      <c r="A131" s="149"/>
      <c r="B131" s="149"/>
      <c r="C131" s="153"/>
    </row>
    <row r="132" spans="1:3">
      <c r="A132" s="149"/>
      <c r="B132" s="149"/>
      <c r="C132" s="153"/>
    </row>
    <row r="133" spans="1:3">
      <c r="A133" s="149"/>
      <c r="B133" s="149"/>
      <c r="C133" s="153"/>
    </row>
    <row r="134" spans="1:3">
      <c r="A134" s="149"/>
      <c r="B134" s="149"/>
      <c r="C134" s="153"/>
    </row>
    <row r="135" spans="1:3">
      <c r="A135" s="149"/>
      <c r="B135" s="149"/>
      <c r="C135" s="153"/>
    </row>
    <row r="136" spans="1:3">
      <c r="A136" s="149"/>
      <c r="B136" s="149"/>
      <c r="C136" s="153"/>
    </row>
    <row r="137" spans="1:3">
      <c r="A137" s="149"/>
      <c r="B137" s="149"/>
      <c r="C137" s="153"/>
    </row>
    <row r="138" spans="1:3">
      <c r="A138" s="149"/>
      <c r="B138" s="149"/>
      <c r="C138" s="153"/>
    </row>
    <row r="139" spans="1:3">
      <c r="A139" s="149"/>
      <c r="B139" s="149"/>
      <c r="C139" s="153"/>
    </row>
    <row r="140" spans="1:3">
      <c r="A140" s="149"/>
      <c r="B140" s="149"/>
      <c r="C140" s="153"/>
    </row>
    <row r="141" spans="1:3">
      <c r="A141" s="149"/>
      <c r="B141" s="149"/>
      <c r="C141" s="153"/>
    </row>
    <row r="142" spans="1:3">
      <c r="A142" s="149"/>
      <c r="B142" s="149"/>
      <c r="C142" s="153"/>
    </row>
    <row r="143" spans="1:3">
      <c r="A143" s="149"/>
      <c r="B143" s="149"/>
      <c r="C143" s="153"/>
    </row>
    <row r="144" spans="1:3">
      <c r="A144" s="149"/>
      <c r="B144" s="149"/>
      <c r="C144" s="153"/>
    </row>
    <row r="145" spans="1:3">
      <c r="A145" s="149"/>
      <c r="B145" s="149"/>
      <c r="C145" s="153"/>
    </row>
    <row r="146" spans="1:3">
      <c r="A146" s="149"/>
      <c r="B146" s="149"/>
      <c r="C146" s="153"/>
    </row>
    <row r="147" spans="1:3">
      <c r="A147" s="149"/>
      <c r="B147" s="149"/>
      <c r="C147" s="153"/>
    </row>
    <row r="148" spans="1:3">
      <c r="A148" s="149"/>
      <c r="B148" s="149"/>
      <c r="C148" s="153"/>
    </row>
    <row r="149" spans="1:3">
      <c r="A149" s="149"/>
      <c r="B149" s="149"/>
      <c r="C149" s="153"/>
    </row>
    <row r="150" spans="1:3">
      <c r="A150" s="149"/>
      <c r="B150" s="149"/>
      <c r="C150" s="153"/>
    </row>
    <row r="151" spans="1:3">
      <c r="A151" s="149"/>
      <c r="B151" s="149"/>
      <c r="C151" s="153"/>
    </row>
    <row r="152" spans="1:3">
      <c r="A152" s="149"/>
      <c r="B152" s="149"/>
      <c r="C152" s="153"/>
    </row>
    <row r="153" spans="1:3">
      <c r="A153" s="149"/>
      <c r="B153" s="149"/>
      <c r="C153" s="153"/>
    </row>
    <row r="154" spans="1:3">
      <c r="A154" s="149"/>
      <c r="B154" s="149"/>
      <c r="C154" s="153"/>
    </row>
    <row r="155" spans="1:3">
      <c r="A155" s="149"/>
      <c r="B155" s="149"/>
      <c r="C155" s="153"/>
    </row>
    <row r="156" spans="1:3">
      <c r="A156" s="149"/>
      <c r="B156" s="149"/>
      <c r="C156" s="153"/>
    </row>
    <row r="157" spans="1:3">
      <c r="A157" s="149"/>
      <c r="B157" s="149"/>
      <c r="C157" s="153"/>
    </row>
    <row r="158" spans="1:3">
      <c r="A158" s="149"/>
      <c r="B158" s="149"/>
      <c r="C158" s="153"/>
    </row>
    <row r="159" spans="1:3">
      <c r="A159" s="149"/>
      <c r="B159" s="149"/>
      <c r="C159" s="153"/>
    </row>
    <row r="160" spans="1:3">
      <c r="A160" s="149"/>
      <c r="B160" s="149"/>
      <c r="C160" s="153"/>
    </row>
    <row r="161" spans="1:3">
      <c r="A161" s="149"/>
      <c r="B161" s="149"/>
      <c r="C161" s="153"/>
    </row>
    <row r="162" spans="1:3">
      <c r="A162" s="149"/>
      <c r="B162" s="149"/>
      <c r="C162" s="153"/>
    </row>
    <row r="163" spans="1:3">
      <c r="A163" s="149"/>
      <c r="B163" s="149"/>
      <c r="C163" s="153"/>
    </row>
    <row r="164" spans="1:3">
      <c r="A164" s="149"/>
      <c r="B164" s="149"/>
      <c r="C164" s="153"/>
    </row>
    <row r="165" spans="1:3">
      <c r="A165" s="149"/>
      <c r="B165" s="149"/>
      <c r="C165" s="153"/>
    </row>
    <row r="166" spans="1:3">
      <c r="A166" s="149"/>
      <c r="B166" s="149"/>
      <c r="C166" s="153"/>
    </row>
    <row r="167" spans="1:3">
      <c r="A167" s="149"/>
      <c r="B167" s="149"/>
      <c r="C167" s="153"/>
    </row>
  </sheetData>
  <sheetProtection algorithmName="SHA-512" hashValue="o/mT+FWCCGWVW7aUWvQve9Nw6bTebQW2Lec/M7Fk3Ms66UFjXA5+jX+EgU5zuSRvR9+v+uN+uHUfpv5lLctbEw==" saltValue="ujx87jZJdng19+o6Lsbv4g==" spinCount="100000" sheet="1" objects="1" scenarios="1"/>
  <mergeCells count="1">
    <mergeCell ref="A6:C6"/>
  </mergeCells>
  <phoneticPr fontId="87" type="noConversion"/>
  <hyperlinks>
    <hyperlink ref="A9" location="'Health &amp; Safety'!A1" display="Health and Safety" xr:uid="{0E3AE3A6-3C2F-415D-B1E9-4A1E78B37A56}"/>
    <hyperlink ref="A36" location="Workforce!A1" display="Workforce" xr:uid="{58E5915A-0464-4F73-A826-781314EC0FD0}"/>
    <hyperlink ref="A62" location="Communities!A1" display="Communities" xr:uid="{6EFC2786-7AE9-4F1C-8A3B-3B6F1DA03573}"/>
    <hyperlink ref="A66" location="'Indigenous Peoples'!A1" display="Indigenous Peoples" xr:uid="{B78DFEB6-536F-4698-A1C9-5227CEED112D}"/>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91D6-8EB8-4B89-AB2F-E7AE1A39EA15}">
  <sheetPr codeName="Sheet9">
    <tabColor rgb="FF93E3FF"/>
  </sheetPr>
  <dimension ref="A2:L290"/>
  <sheetViews>
    <sheetView showGridLines="0" zoomScaleNormal="100" workbookViewId="0"/>
  </sheetViews>
  <sheetFormatPr baseColWidth="10" defaultColWidth="8.7109375" defaultRowHeight="15"/>
  <cols>
    <col min="1" max="1" width="32.42578125" style="18" customWidth="1"/>
    <col min="2" max="12" width="14" style="18" customWidth="1"/>
    <col min="13" max="13" width="14.28515625" style="18" customWidth="1"/>
    <col min="14" max="16384" width="8.7109375" style="18"/>
  </cols>
  <sheetData>
    <row r="2" spans="1:9">
      <c r="H2" s="116"/>
    </row>
    <row r="7" spans="1:9" ht="20.25">
      <c r="A7" s="699" t="s">
        <v>0</v>
      </c>
      <c r="B7" s="699"/>
      <c r="C7" s="699"/>
      <c r="D7" s="699"/>
      <c r="E7" s="699"/>
      <c r="F7" s="699"/>
      <c r="G7" s="699"/>
      <c r="H7" s="699"/>
    </row>
    <row r="8" spans="1:9" ht="15.75" thickBot="1">
      <c r="A8" s="168"/>
      <c r="B8" s="168"/>
      <c r="C8" s="168"/>
      <c r="D8" s="168"/>
      <c r="E8" s="168"/>
      <c r="F8" s="168"/>
      <c r="G8" s="168"/>
      <c r="H8" s="168"/>
    </row>
    <row r="9" spans="1:9" ht="19.5" thickTop="1" thickBot="1">
      <c r="A9" s="610" t="s">
        <v>27</v>
      </c>
      <c r="B9" s="610"/>
      <c r="C9" s="610"/>
      <c r="D9" s="610"/>
      <c r="E9" s="610"/>
      <c r="F9" s="610"/>
      <c r="G9" s="610"/>
      <c r="H9" s="610"/>
      <c r="I9" s="19"/>
    </row>
    <row r="10" spans="1:9" ht="19.5" thickTop="1">
      <c r="A10" s="55"/>
      <c r="B10" s="57"/>
      <c r="C10" s="58"/>
      <c r="D10" s="58"/>
      <c r="E10" s="58"/>
      <c r="F10" s="58"/>
      <c r="G10" s="58"/>
      <c r="H10" s="19"/>
    </row>
    <row r="11" spans="1:9" ht="17.25">
      <c r="A11" s="700" t="s">
        <v>668</v>
      </c>
      <c r="B11" s="700"/>
      <c r="C11" s="700"/>
      <c r="D11" s="700"/>
      <c r="E11" s="700"/>
      <c r="F11" s="700"/>
      <c r="G11" s="700"/>
      <c r="H11" s="700"/>
    </row>
    <row r="12" spans="1:9">
      <c r="A12" s="347"/>
      <c r="B12" s="347">
        <v>2022</v>
      </c>
      <c r="C12" s="347">
        <v>2021</v>
      </c>
      <c r="D12" s="347">
        <v>2020</v>
      </c>
      <c r="E12" s="347">
        <v>2019</v>
      </c>
      <c r="F12" s="184">
        <v>2018</v>
      </c>
      <c r="G12" s="184">
        <v>2017</v>
      </c>
      <c r="H12" s="184">
        <v>2016</v>
      </c>
    </row>
    <row r="13" spans="1:9">
      <c r="A13" s="245" t="s">
        <v>669</v>
      </c>
      <c r="B13" s="219">
        <v>0.53</v>
      </c>
      <c r="C13" s="219">
        <v>0.64</v>
      </c>
      <c r="D13" s="187">
        <v>0.73</v>
      </c>
      <c r="E13" s="187">
        <v>0.82</v>
      </c>
      <c r="F13" s="187">
        <v>1.01</v>
      </c>
      <c r="G13" s="187">
        <v>1.01</v>
      </c>
      <c r="H13" s="187">
        <v>1.1100000000000001</v>
      </c>
    </row>
    <row r="14" spans="1:9">
      <c r="A14" s="245" t="s">
        <v>670</v>
      </c>
      <c r="B14" s="219">
        <v>108</v>
      </c>
      <c r="C14" s="219" t="s">
        <v>671</v>
      </c>
      <c r="D14" s="187">
        <v>85</v>
      </c>
      <c r="E14" s="187">
        <v>90</v>
      </c>
      <c r="F14" s="187">
        <v>73</v>
      </c>
      <c r="G14" s="187">
        <v>89</v>
      </c>
      <c r="H14" s="187">
        <v>73</v>
      </c>
    </row>
    <row r="15" spans="1:9">
      <c r="A15" s="245" t="s">
        <v>672</v>
      </c>
      <c r="B15" s="219">
        <v>0.22</v>
      </c>
      <c r="C15" s="219">
        <v>0.27</v>
      </c>
      <c r="D15" s="187">
        <v>0.28999999999999998</v>
      </c>
      <c r="E15" s="187">
        <v>0.34</v>
      </c>
      <c r="F15" s="187">
        <v>0.36</v>
      </c>
      <c r="G15" s="187">
        <v>0.45</v>
      </c>
      <c r="H15" s="187">
        <v>0.42</v>
      </c>
    </row>
    <row r="16" spans="1:9">
      <c r="A16" s="245" t="s">
        <v>673</v>
      </c>
      <c r="B16" s="238">
        <v>0.1</v>
      </c>
      <c r="C16" s="219">
        <v>0.11</v>
      </c>
      <c r="D16" s="187">
        <v>0.14000000000000001</v>
      </c>
      <c r="E16" s="187">
        <v>0.2</v>
      </c>
      <c r="F16" s="187">
        <v>0.26</v>
      </c>
      <c r="G16" s="187">
        <v>0.17</v>
      </c>
      <c r="H16" s="187">
        <v>0.28000000000000003</v>
      </c>
    </row>
    <row r="17" spans="1:9">
      <c r="A17" s="245" t="s">
        <v>674</v>
      </c>
      <c r="B17" s="219">
        <v>0.32</v>
      </c>
      <c r="C17" s="219" t="s">
        <v>675</v>
      </c>
      <c r="D17" s="187">
        <v>0.43</v>
      </c>
      <c r="E17" s="187">
        <v>0.54</v>
      </c>
      <c r="F17" s="187">
        <v>0.62</v>
      </c>
      <c r="G17" s="187">
        <v>0.62</v>
      </c>
      <c r="H17" s="187">
        <v>0.7</v>
      </c>
    </row>
    <row r="18" spans="1:9">
      <c r="A18" s="245" t="s">
        <v>676</v>
      </c>
      <c r="B18" s="238">
        <v>16.739999999999998</v>
      </c>
      <c r="C18" s="238" t="s">
        <v>677</v>
      </c>
      <c r="D18" s="187">
        <v>27.52</v>
      </c>
      <c r="E18" s="187">
        <v>41</v>
      </c>
      <c r="F18" s="187">
        <v>73.349999999999994</v>
      </c>
      <c r="G18" s="187">
        <v>24.4</v>
      </c>
      <c r="H18" s="187">
        <v>28.4</v>
      </c>
    </row>
    <row r="19" spans="1:9">
      <c r="A19" s="245" t="s">
        <v>678</v>
      </c>
      <c r="B19" s="219">
        <v>0</v>
      </c>
      <c r="C19" s="219" t="s">
        <v>679</v>
      </c>
      <c r="D19" s="187" t="s">
        <v>680</v>
      </c>
      <c r="E19" s="187" t="s">
        <v>681</v>
      </c>
      <c r="F19" s="187">
        <v>2</v>
      </c>
      <c r="G19" s="187">
        <v>0</v>
      </c>
      <c r="H19" s="187">
        <v>0</v>
      </c>
    </row>
    <row r="20" spans="1:9">
      <c r="A20" s="245" t="s">
        <v>682</v>
      </c>
      <c r="B20" s="238">
        <v>0</v>
      </c>
      <c r="C20" s="219">
        <v>3.0000000000000001E-3</v>
      </c>
      <c r="D20" s="187">
        <v>1E-3</v>
      </c>
      <c r="E20" s="187">
        <v>4.0000000000000001E-3</v>
      </c>
      <c r="F20" s="187">
        <v>0.01</v>
      </c>
      <c r="G20" s="335">
        <v>0</v>
      </c>
      <c r="H20" s="187" t="s">
        <v>683</v>
      </c>
    </row>
    <row r="21" spans="1:9" ht="48.6" customHeight="1">
      <c r="A21" s="657" t="s">
        <v>684</v>
      </c>
      <c r="B21" s="657"/>
      <c r="C21" s="657"/>
      <c r="D21" s="657"/>
      <c r="E21" s="657"/>
      <c r="F21" s="657"/>
      <c r="G21" s="657"/>
      <c r="H21" s="657"/>
    </row>
    <row r="22" spans="1:9" ht="14.65" customHeight="1">
      <c r="A22" s="657" t="s">
        <v>685</v>
      </c>
      <c r="B22" s="657"/>
      <c r="C22" s="657"/>
      <c r="D22" s="657"/>
      <c r="E22" s="657"/>
      <c r="F22" s="657"/>
      <c r="G22" s="657"/>
      <c r="H22" s="657"/>
    </row>
    <row r="23" spans="1:9">
      <c r="A23" s="657" t="s">
        <v>686</v>
      </c>
      <c r="B23" s="657"/>
      <c r="C23" s="657"/>
      <c r="D23" s="657"/>
      <c r="E23" s="657"/>
      <c r="F23" s="657"/>
      <c r="G23" s="657"/>
      <c r="H23" s="657"/>
      <c r="I23" s="69"/>
    </row>
    <row r="24" spans="1:9" ht="20.65" customHeight="1">
      <c r="A24" s="657" t="s">
        <v>687</v>
      </c>
      <c r="B24" s="657"/>
      <c r="C24" s="657"/>
      <c r="D24" s="657"/>
      <c r="E24" s="657"/>
      <c r="F24" s="657"/>
      <c r="G24" s="657"/>
      <c r="H24" s="657"/>
      <c r="I24" s="69"/>
    </row>
    <row r="25" spans="1:9" ht="14.65" customHeight="1">
      <c r="A25" s="657" t="s">
        <v>688</v>
      </c>
      <c r="B25" s="657"/>
      <c r="C25" s="657"/>
      <c r="D25" s="657"/>
      <c r="E25" s="657"/>
      <c r="F25" s="657"/>
      <c r="G25" s="657"/>
      <c r="H25" s="657"/>
      <c r="I25" s="69"/>
    </row>
    <row r="26" spans="1:9" ht="43.5" customHeight="1">
      <c r="A26" s="657" t="s">
        <v>689</v>
      </c>
      <c r="B26" s="657"/>
      <c r="C26" s="657"/>
      <c r="D26" s="657"/>
      <c r="E26" s="657"/>
      <c r="F26" s="657"/>
      <c r="G26" s="657"/>
      <c r="H26" s="657"/>
      <c r="I26" s="69"/>
    </row>
    <row r="27" spans="1:9" ht="20.65" customHeight="1">
      <c r="A27" s="657" t="s">
        <v>690</v>
      </c>
      <c r="B27" s="657"/>
      <c r="C27" s="657"/>
      <c r="D27" s="657"/>
      <c r="E27" s="657"/>
      <c r="F27" s="657"/>
      <c r="G27" s="657"/>
      <c r="H27" s="657"/>
      <c r="I27" s="69"/>
    </row>
    <row r="28" spans="1:9" ht="26.65" customHeight="1">
      <c r="A28" s="671" t="s">
        <v>691</v>
      </c>
      <c r="B28" s="671"/>
      <c r="C28" s="671"/>
      <c r="D28" s="671"/>
      <c r="E28" s="671"/>
      <c r="F28" s="671"/>
      <c r="G28" s="671"/>
      <c r="H28" s="671"/>
      <c r="I28" s="69"/>
    </row>
    <row r="29" spans="1:9">
      <c r="A29" s="657" t="s">
        <v>692</v>
      </c>
      <c r="B29" s="657"/>
      <c r="C29" s="657"/>
      <c r="D29" s="657"/>
      <c r="E29" s="657"/>
      <c r="F29" s="657"/>
      <c r="G29" s="657"/>
      <c r="H29" s="657"/>
      <c r="I29" s="69"/>
    </row>
    <row r="30" spans="1:9" ht="22.15" customHeight="1">
      <c r="A30" s="657" t="s">
        <v>1590</v>
      </c>
      <c r="B30" s="657"/>
      <c r="C30" s="657"/>
      <c r="D30" s="657"/>
      <c r="E30" s="657"/>
      <c r="F30" s="657"/>
      <c r="G30" s="657"/>
      <c r="H30" s="657"/>
      <c r="I30" s="69"/>
    </row>
    <row r="31" spans="1:9" ht="16.899999999999999" customHeight="1">
      <c r="A31" s="657" t="s">
        <v>693</v>
      </c>
      <c r="B31" s="657"/>
      <c r="C31" s="657"/>
      <c r="D31" s="657"/>
      <c r="E31" s="657"/>
      <c r="F31" s="657"/>
      <c r="G31" s="657"/>
      <c r="H31" s="657"/>
      <c r="I31" s="69"/>
    </row>
    <row r="32" spans="1:9" ht="15" customHeight="1">
      <c r="A32" s="22"/>
      <c r="B32" s="22"/>
      <c r="C32" s="22"/>
      <c r="D32" s="22"/>
      <c r="E32" s="22"/>
      <c r="F32" s="22"/>
      <c r="G32" s="22"/>
      <c r="H32" s="22"/>
      <c r="I32" s="22"/>
    </row>
    <row r="33" spans="1:9" ht="17.25">
      <c r="A33" s="700" t="s">
        <v>694</v>
      </c>
      <c r="B33" s="700"/>
      <c r="C33" s="700"/>
      <c r="D33" s="700"/>
      <c r="E33" s="700"/>
      <c r="F33" s="700"/>
      <c r="G33" s="700"/>
      <c r="H33" s="700"/>
    </row>
    <row r="34" spans="1:9">
      <c r="A34" s="347"/>
      <c r="B34" s="347">
        <v>2022</v>
      </c>
      <c r="C34" s="347">
        <v>2021</v>
      </c>
      <c r="D34" s="347">
        <v>2020</v>
      </c>
      <c r="E34" s="347">
        <v>2019</v>
      </c>
      <c r="F34" s="184">
        <v>2018</v>
      </c>
      <c r="G34" s="184">
        <v>2017</v>
      </c>
      <c r="H34" s="184" t="s">
        <v>695</v>
      </c>
      <c r="I34" s="20"/>
    </row>
    <row r="35" spans="1:9">
      <c r="A35" s="245" t="s">
        <v>669</v>
      </c>
      <c r="B35" s="245">
        <v>0.55000000000000004</v>
      </c>
      <c r="C35" s="219">
        <v>0.66</v>
      </c>
      <c r="D35" s="187">
        <v>0.73</v>
      </c>
      <c r="E35" s="187">
        <v>0.88</v>
      </c>
      <c r="F35" s="187">
        <v>1.1599999999999999</v>
      </c>
      <c r="G35" s="187">
        <v>1.25</v>
      </c>
      <c r="H35" s="187">
        <v>1.35</v>
      </c>
      <c r="I35" s="21"/>
    </row>
    <row r="36" spans="1:9">
      <c r="A36" s="245" t="s">
        <v>670</v>
      </c>
      <c r="B36" s="245">
        <v>104</v>
      </c>
      <c r="C36" s="219">
        <v>107</v>
      </c>
      <c r="D36" s="187">
        <v>81</v>
      </c>
      <c r="E36" s="187">
        <v>86</v>
      </c>
      <c r="F36" s="187">
        <v>69</v>
      </c>
      <c r="G36" s="187">
        <v>85</v>
      </c>
      <c r="H36" s="187">
        <v>71</v>
      </c>
      <c r="I36" s="21"/>
    </row>
    <row r="37" spans="1:9">
      <c r="A37" s="245" t="s">
        <v>672</v>
      </c>
      <c r="B37" s="245">
        <v>0.24</v>
      </c>
      <c r="C37" s="219">
        <v>0.28999999999999998</v>
      </c>
      <c r="D37" s="187">
        <v>0.31</v>
      </c>
      <c r="E37" s="187">
        <v>0.37</v>
      </c>
      <c r="F37" s="187">
        <v>0.44</v>
      </c>
      <c r="G37" s="187">
        <v>0.62</v>
      </c>
      <c r="H37" s="187">
        <v>0.55000000000000004</v>
      </c>
      <c r="I37" s="21"/>
    </row>
    <row r="38" spans="1:9">
      <c r="A38" s="245" t="s">
        <v>673</v>
      </c>
      <c r="B38" s="244">
        <v>0.1</v>
      </c>
      <c r="C38" s="238">
        <v>0.1</v>
      </c>
      <c r="D38" s="187">
        <v>0.14000000000000001</v>
      </c>
      <c r="E38" s="187">
        <v>0.2</v>
      </c>
      <c r="F38" s="187">
        <v>0.27</v>
      </c>
      <c r="G38" s="187">
        <v>0.18</v>
      </c>
      <c r="H38" s="187">
        <v>0.33</v>
      </c>
    </row>
    <row r="39" spans="1:9">
      <c r="A39" s="245" t="s">
        <v>674</v>
      </c>
      <c r="B39" s="245">
        <v>0.34</v>
      </c>
      <c r="C39" s="238">
        <v>0.4</v>
      </c>
      <c r="D39" s="187">
        <v>0.45</v>
      </c>
      <c r="E39" s="187">
        <v>0.57999999999999996</v>
      </c>
      <c r="F39" s="187">
        <v>0.71</v>
      </c>
      <c r="G39" s="187">
        <v>0.8</v>
      </c>
      <c r="H39" s="187">
        <v>0.88</v>
      </c>
    </row>
    <row r="40" spans="1:9">
      <c r="A40" s="245" t="s">
        <v>676</v>
      </c>
      <c r="B40" s="245">
        <v>18.52</v>
      </c>
      <c r="C40" s="219" t="s">
        <v>696</v>
      </c>
      <c r="D40" s="187">
        <v>21.64</v>
      </c>
      <c r="E40" s="187">
        <v>43.16</v>
      </c>
      <c r="F40" s="187">
        <v>94.59</v>
      </c>
      <c r="G40" s="187">
        <v>34.659999999999997</v>
      </c>
      <c r="H40" s="187">
        <v>37.72</v>
      </c>
    </row>
    <row r="41" spans="1:9">
      <c r="A41" s="245" t="s">
        <v>678</v>
      </c>
      <c r="B41" s="245">
        <v>0</v>
      </c>
      <c r="C41" s="219">
        <v>1</v>
      </c>
      <c r="D41" s="187">
        <v>0</v>
      </c>
      <c r="E41" s="187">
        <v>1</v>
      </c>
      <c r="F41" s="187">
        <v>2</v>
      </c>
      <c r="G41" s="187">
        <v>0</v>
      </c>
      <c r="H41" s="187">
        <v>0</v>
      </c>
    </row>
    <row r="42" spans="1:9">
      <c r="A42" s="245" t="s">
        <v>682</v>
      </c>
      <c r="B42" s="244">
        <v>0</v>
      </c>
      <c r="C42" s="219">
        <v>3.0000000000000001E-3</v>
      </c>
      <c r="D42" s="335">
        <v>0</v>
      </c>
      <c r="E42" s="187">
        <v>4.0000000000000001E-3</v>
      </c>
      <c r="F42" s="187" t="s">
        <v>683</v>
      </c>
      <c r="G42" s="187" t="s">
        <v>683</v>
      </c>
      <c r="H42" s="187" t="s">
        <v>683</v>
      </c>
    </row>
    <row r="43" spans="1:9" ht="38.65" customHeight="1">
      <c r="A43" s="671" t="s">
        <v>697</v>
      </c>
      <c r="B43" s="671"/>
      <c r="C43" s="671"/>
      <c r="D43" s="671"/>
      <c r="E43" s="671"/>
      <c r="F43" s="671"/>
      <c r="G43" s="671"/>
      <c r="H43" s="671"/>
    </row>
    <row r="44" spans="1:9" s="6" customFormat="1" ht="11.65" customHeight="1">
      <c r="A44" s="671" t="s">
        <v>685</v>
      </c>
      <c r="B44" s="671"/>
      <c r="C44" s="671"/>
      <c r="D44" s="671"/>
      <c r="E44" s="671"/>
      <c r="F44" s="671"/>
      <c r="G44" s="671"/>
      <c r="H44" s="671"/>
    </row>
    <row r="45" spans="1:9" s="6" customFormat="1" ht="15.6" customHeight="1">
      <c r="A45" s="671" t="s">
        <v>686</v>
      </c>
      <c r="B45" s="671"/>
      <c r="C45" s="671"/>
      <c r="D45" s="671"/>
      <c r="E45" s="671"/>
      <c r="F45" s="671"/>
      <c r="G45" s="671"/>
      <c r="H45" s="671"/>
      <c r="I45" s="69"/>
    </row>
    <row r="46" spans="1:9" s="6" customFormat="1" ht="24.6" customHeight="1">
      <c r="A46" s="671" t="s">
        <v>687</v>
      </c>
      <c r="B46" s="671"/>
      <c r="C46" s="671"/>
      <c r="D46" s="671"/>
      <c r="E46" s="671"/>
      <c r="F46" s="671"/>
      <c r="G46" s="671"/>
      <c r="H46" s="671"/>
      <c r="I46" s="69"/>
    </row>
    <row r="47" spans="1:9" s="6" customFormat="1" ht="16.149999999999999" customHeight="1">
      <c r="A47" s="671" t="s">
        <v>688</v>
      </c>
      <c r="B47" s="671"/>
      <c r="C47" s="671"/>
      <c r="D47" s="671"/>
      <c r="E47" s="671"/>
      <c r="F47" s="671"/>
      <c r="G47" s="671"/>
      <c r="H47" s="671"/>
      <c r="I47" s="69"/>
    </row>
    <row r="48" spans="1:9" s="6" customFormat="1" ht="43.5" customHeight="1">
      <c r="A48" s="671" t="s">
        <v>689</v>
      </c>
      <c r="B48" s="671"/>
      <c r="C48" s="671"/>
      <c r="D48" s="671"/>
      <c r="E48" s="671"/>
      <c r="F48" s="671"/>
      <c r="G48" s="671"/>
      <c r="H48" s="671"/>
    </row>
    <row r="49" spans="1:9" s="26" customFormat="1" ht="13.35" customHeight="1">
      <c r="A49" s="663" t="s">
        <v>698</v>
      </c>
      <c r="B49" s="663"/>
      <c r="C49" s="663"/>
      <c r="D49" s="663"/>
      <c r="E49" s="663"/>
      <c r="F49" s="663"/>
      <c r="G49" s="663"/>
      <c r="H49" s="663"/>
    </row>
    <row r="50" spans="1:9" s="26" customFormat="1" ht="23.65" customHeight="1">
      <c r="A50" s="671" t="s">
        <v>699</v>
      </c>
      <c r="B50" s="671"/>
      <c r="C50" s="671"/>
      <c r="D50" s="671"/>
      <c r="E50" s="671"/>
      <c r="F50" s="671"/>
      <c r="G50" s="671"/>
      <c r="H50" s="671"/>
    </row>
    <row r="51" spans="1:9" s="26" customFormat="1" ht="13.35" customHeight="1">
      <c r="A51" s="663" t="s">
        <v>692</v>
      </c>
      <c r="B51" s="663"/>
      <c r="C51" s="663"/>
      <c r="D51" s="663"/>
      <c r="E51" s="663"/>
      <c r="F51" s="663"/>
      <c r="G51" s="663"/>
      <c r="H51" s="663"/>
    </row>
    <row r="52" spans="1:9" ht="22.15" customHeight="1">
      <c r="A52" s="13"/>
      <c r="B52" s="13"/>
      <c r="C52" s="13"/>
      <c r="D52" s="13"/>
      <c r="E52" s="13"/>
      <c r="F52" s="13"/>
      <c r="G52" s="13"/>
    </row>
    <row r="53" spans="1:9" ht="17.25">
      <c r="A53" s="701" t="s">
        <v>700</v>
      </c>
      <c r="B53" s="701"/>
      <c r="C53" s="701"/>
      <c r="D53" s="701"/>
      <c r="E53" s="701"/>
      <c r="F53" s="701"/>
      <c r="G53" s="701"/>
      <c r="H53" s="701"/>
    </row>
    <row r="54" spans="1:9">
      <c r="A54" s="182"/>
      <c r="B54" s="184">
        <v>2022</v>
      </c>
      <c r="C54" s="184">
        <v>2021</v>
      </c>
      <c r="D54" s="184">
        <v>2020</v>
      </c>
      <c r="E54" s="184">
        <v>2019</v>
      </c>
      <c r="F54" s="184">
        <v>2018</v>
      </c>
      <c r="G54" s="184">
        <v>2017</v>
      </c>
      <c r="H54" s="184">
        <v>2016</v>
      </c>
    </row>
    <row r="55" spans="1:9">
      <c r="A55" s="336" t="s">
        <v>701</v>
      </c>
      <c r="B55" s="245">
        <v>7.0000000000000007E-2</v>
      </c>
      <c r="C55" s="238">
        <v>0.1</v>
      </c>
      <c r="D55" s="245">
        <v>0.17</v>
      </c>
      <c r="E55" s="245">
        <v>0.22</v>
      </c>
      <c r="F55" s="187">
        <v>0.25</v>
      </c>
      <c r="G55" s="187">
        <v>0.34</v>
      </c>
      <c r="H55" s="187">
        <v>0.32</v>
      </c>
    </row>
    <row r="56" spans="1:9" ht="25.5">
      <c r="A56" s="336" t="s">
        <v>702</v>
      </c>
      <c r="B56" s="245">
        <v>0.02</v>
      </c>
      <c r="C56" s="219">
        <v>0.02</v>
      </c>
      <c r="D56" s="245">
        <v>0.04</v>
      </c>
      <c r="E56" s="245">
        <v>0.03</v>
      </c>
      <c r="F56" s="187">
        <v>0.04</v>
      </c>
      <c r="G56" s="187">
        <v>0.08</v>
      </c>
      <c r="H56" s="187">
        <v>0.14000000000000001</v>
      </c>
    </row>
    <row r="57" spans="1:9" ht="25.5">
      <c r="A57" s="336" t="s">
        <v>703</v>
      </c>
      <c r="B57" s="244">
        <v>0</v>
      </c>
      <c r="C57" s="219">
        <v>0.01</v>
      </c>
      <c r="D57" s="245">
        <v>0.01</v>
      </c>
      <c r="E57" s="245">
        <v>0.02</v>
      </c>
      <c r="F57" s="187">
        <v>0.02</v>
      </c>
      <c r="G57" s="187">
        <v>0.01</v>
      </c>
      <c r="H57" s="187">
        <v>0.04</v>
      </c>
    </row>
    <row r="58" spans="1:9" ht="16.149999999999999" customHeight="1">
      <c r="A58" s="401" t="s">
        <v>173</v>
      </c>
      <c r="B58" s="402">
        <v>0.1</v>
      </c>
      <c r="C58" s="191">
        <v>0.13</v>
      </c>
      <c r="D58" s="401">
        <v>0.21</v>
      </c>
      <c r="E58" s="401">
        <f>SUM(E55:E57)</f>
        <v>0.27</v>
      </c>
      <c r="F58" s="401">
        <v>0.31</v>
      </c>
      <c r="G58" s="401">
        <f>SUM(G55:G57)</f>
        <v>0.43000000000000005</v>
      </c>
      <c r="H58" s="402">
        <f>SUM(H55:H57)</f>
        <v>0.5</v>
      </c>
      <c r="I58" s="69"/>
    </row>
    <row r="59" spans="1:9" ht="32.65" customHeight="1">
      <c r="A59" s="657" t="s">
        <v>706</v>
      </c>
      <c r="B59" s="657"/>
      <c r="C59" s="657"/>
      <c r="D59" s="657"/>
      <c r="E59" s="657"/>
      <c r="F59" s="657"/>
      <c r="G59" s="657"/>
      <c r="H59" s="657"/>
      <c r="I59" s="69"/>
    </row>
    <row r="60" spans="1:9" ht="19.149999999999999" customHeight="1">
      <c r="A60" s="657" t="s">
        <v>231</v>
      </c>
      <c r="B60" s="657"/>
      <c r="C60" s="657"/>
      <c r="D60" s="657"/>
      <c r="E60" s="657"/>
      <c r="F60" s="657"/>
      <c r="G60" s="657"/>
      <c r="H60" s="657"/>
      <c r="I60" s="69"/>
    </row>
    <row r="61" spans="1:9">
      <c r="A61" s="657" t="s">
        <v>1598</v>
      </c>
      <c r="B61" s="657"/>
      <c r="C61" s="657"/>
      <c r="D61" s="657"/>
      <c r="E61" s="657"/>
      <c r="F61" s="657"/>
      <c r="G61" s="657"/>
      <c r="H61" s="657"/>
    </row>
    <row r="62" spans="1:9" ht="19.899999999999999" customHeight="1">
      <c r="A62" s="657"/>
      <c r="B62" s="657"/>
      <c r="C62" s="657"/>
      <c r="D62" s="657"/>
      <c r="E62" s="657"/>
      <c r="F62" s="657"/>
      <c r="G62" s="657"/>
      <c r="H62" s="657"/>
    </row>
    <row r="63" spans="1:9" ht="23.65" customHeight="1">
      <c r="A63" s="671" t="s">
        <v>704</v>
      </c>
      <c r="B63" s="671"/>
      <c r="C63" s="671"/>
      <c r="D63" s="671"/>
      <c r="E63" s="671"/>
      <c r="F63" s="671"/>
      <c r="G63" s="671"/>
      <c r="H63" s="671"/>
    </row>
    <row r="64" spans="1:9">
      <c r="A64" s="16"/>
      <c r="B64" s="16"/>
      <c r="C64" s="16"/>
      <c r="D64" s="16"/>
      <c r="E64" s="16"/>
      <c r="F64" s="16"/>
      <c r="G64" s="16"/>
      <c r="H64" s="16"/>
    </row>
    <row r="65" spans="1:11" ht="17.25">
      <c r="A65" s="701" t="s">
        <v>705</v>
      </c>
      <c r="B65" s="701"/>
      <c r="C65" s="701"/>
      <c r="D65" s="701"/>
      <c r="E65" s="701"/>
      <c r="F65" s="701"/>
      <c r="G65" s="701"/>
    </row>
    <row r="66" spans="1:11">
      <c r="A66" s="182"/>
      <c r="B66" s="184">
        <v>2022</v>
      </c>
      <c r="C66" s="184">
        <v>2021</v>
      </c>
      <c r="D66" s="184">
        <v>2020</v>
      </c>
      <c r="E66" s="184">
        <v>2019</v>
      </c>
      <c r="F66" s="184">
        <v>2018</v>
      </c>
      <c r="G66" s="184">
        <v>2017</v>
      </c>
      <c r="H66" s="23"/>
    </row>
    <row r="67" spans="1:11">
      <c r="A67" s="336" t="s">
        <v>701</v>
      </c>
      <c r="B67" s="245">
        <v>7.0000000000000007E-2</v>
      </c>
      <c r="C67" s="238">
        <v>0.1</v>
      </c>
      <c r="D67" s="245">
        <v>0.18</v>
      </c>
      <c r="E67" s="245">
        <v>0.25</v>
      </c>
      <c r="F67" s="335">
        <v>0.3</v>
      </c>
      <c r="G67" s="187">
        <v>0.45</v>
      </c>
      <c r="H67" s="24"/>
    </row>
    <row r="68" spans="1:11" ht="27.6" customHeight="1">
      <c r="A68" s="336" t="s">
        <v>702</v>
      </c>
      <c r="B68" s="245">
        <v>0.02</v>
      </c>
      <c r="C68" s="219">
        <v>0.01</v>
      </c>
      <c r="D68" s="245">
        <v>0.03</v>
      </c>
      <c r="E68" s="245">
        <v>0.03</v>
      </c>
      <c r="F68" s="187">
        <v>0.04</v>
      </c>
      <c r="G68" s="335">
        <v>0.1</v>
      </c>
      <c r="H68" s="24"/>
    </row>
    <row r="69" spans="1:11" ht="25.5">
      <c r="A69" s="336" t="s">
        <v>703</v>
      </c>
      <c r="B69" s="244">
        <v>0</v>
      </c>
      <c r="C69" s="219">
        <v>0.01</v>
      </c>
      <c r="D69" s="245">
        <v>0.01</v>
      </c>
      <c r="E69" s="245">
        <v>0.03</v>
      </c>
      <c r="F69" s="187">
        <v>0.02</v>
      </c>
      <c r="G69" s="187">
        <v>0.01</v>
      </c>
      <c r="H69" s="24"/>
    </row>
    <row r="70" spans="1:11" ht="17.649999999999999" customHeight="1">
      <c r="A70" s="401" t="s">
        <v>173</v>
      </c>
      <c r="B70" s="402">
        <v>0.1</v>
      </c>
      <c r="C70" s="191">
        <v>0.12</v>
      </c>
      <c r="D70" s="194">
        <v>0.21</v>
      </c>
      <c r="E70" s="401">
        <f>SUM(E67:E69)</f>
        <v>0.31000000000000005</v>
      </c>
      <c r="F70" s="401">
        <v>0.37</v>
      </c>
      <c r="G70" s="401">
        <v>0.56999999999999995</v>
      </c>
      <c r="H70" s="23"/>
      <c r="I70" s="69"/>
      <c r="J70" s="69"/>
      <c r="K70" s="25"/>
    </row>
    <row r="71" spans="1:11" ht="33" customHeight="1">
      <c r="A71" s="671" t="s">
        <v>706</v>
      </c>
      <c r="B71" s="671"/>
      <c r="C71" s="671"/>
      <c r="D71" s="671"/>
      <c r="E71" s="671"/>
      <c r="F71" s="671"/>
      <c r="G71" s="671"/>
      <c r="H71" s="69"/>
      <c r="I71" s="69"/>
      <c r="J71" s="69"/>
      <c r="K71" s="25"/>
    </row>
    <row r="72" spans="1:11" ht="14.65" customHeight="1">
      <c r="A72" s="671" t="s">
        <v>231</v>
      </c>
      <c r="B72" s="671"/>
      <c r="C72" s="671"/>
      <c r="D72" s="671"/>
      <c r="E72" s="671"/>
      <c r="F72" s="671"/>
      <c r="G72" s="671"/>
      <c r="H72" s="69"/>
      <c r="I72" s="69"/>
      <c r="J72" s="69"/>
    </row>
    <row r="73" spans="1:11" ht="25.9" customHeight="1">
      <c r="A73" s="671" t="s">
        <v>707</v>
      </c>
      <c r="B73" s="671"/>
      <c r="C73" s="671"/>
      <c r="D73" s="671"/>
      <c r="E73" s="671"/>
      <c r="F73" s="671"/>
      <c r="G73" s="671"/>
      <c r="H73" s="69"/>
      <c r="I73" s="69"/>
      <c r="J73" s="69"/>
    </row>
    <row r="74" spans="1:11" ht="22.15" customHeight="1">
      <c r="A74" s="671" t="s">
        <v>704</v>
      </c>
      <c r="B74" s="671"/>
      <c r="C74" s="671"/>
      <c r="D74" s="671"/>
      <c r="E74" s="671"/>
      <c r="F74" s="671"/>
      <c r="G74" s="671"/>
      <c r="H74" s="69"/>
      <c r="I74" s="69"/>
      <c r="J74" s="69"/>
    </row>
    <row r="75" spans="1:11" ht="22.15" customHeight="1">
      <c r="A75" s="13"/>
      <c r="B75" s="13"/>
      <c r="C75" s="13"/>
      <c r="D75" s="13"/>
      <c r="E75" s="13"/>
      <c r="F75" s="13"/>
      <c r="G75" s="13"/>
    </row>
    <row r="76" spans="1:11" ht="17.25">
      <c r="A76" s="701" t="s">
        <v>708</v>
      </c>
      <c r="B76" s="701"/>
      <c r="C76" s="701"/>
      <c r="D76" s="701"/>
      <c r="E76" s="701"/>
      <c r="F76" s="701"/>
      <c r="G76" s="701"/>
      <c r="H76" s="701"/>
    </row>
    <row r="77" spans="1:11">
      <c r="A77" s="348"/>
      <c r="B77" s="185">
        <v>2022</v>
      </c>
      <c r="C77" s="185">
        <v>2021</v>
      </c>
      <c r="D77" s="185">
        <v>2020</v>
      </c>
      <c r="E77" s="185">
        <v>2019</v>
      </c>
      <c r="F77" s="349">
        <v>2018</v>
      </c>
      <c r="G77" s="349">
        <v>2017</v>
      </c>
      <c r="H77" s="350">
        <v>2016</v>
      </c>
    </row>
    <row r="78" spans="1:11">
      <c r="A78" s="337" t="s">
        <v>709</v>
      </c>
      <c r="B78" s="337">
        <v>1</v>
      </c>
      <c r="C78" s="187">
        <v>0</v>
      </c>
      <c r="D78" s="337">
        <v>5</v>
      </c>
      <c r="E78" s="337">
        <v>2</v>
      </c>
      <c r="F78" s="246">
        <v>7</v>
      </c>
      <c r="G78" s="337">
        <v>6</v>
      </c>
      <c r="H78" s="338">
        <v>11</v>
      </c>
    </row>
    <row r="79" spans="1:11" ht="14.65" customHeight="1">
      <c r="A79" s="339" t="s">
        <v>710</v>
      </c>
      <c r="B79" s="339">
        <v>0.01</v>
      </c>
      <c r="C79" s="187">
        <v>0</v>
      </c>
      <c r="D79" s="339">
        <v>0.1</v>
      </c>
      <c r="E79" s="339">
        <v>0.04</v>
      </c>
      <c r="F79" s="340">
        <v>0.22</v>
      </c>
      <c r="G79" s="337">
        <v>0.22</v>
      </c>
      <c r="H79" s="341">
        <v>0.43</v>
      </c>
    </row>
    <row r="80" spans="1:11">
      <c r="A80" s="702" t="s">
        <v>711</v>
      </c>
      <c r="B80" s="702"/>
      <c r="C80" s="702"/>
      <c r="D80" s="702"/>
      <c r="E80" s="702"/>
      <c r="F80" s="702"/>
      <c r="G80" s="702"/>
      <c r="H80" s="702"/>
      <c r="I80" s="69"/>
    </row>
    <row r="81" spans="1:8" ht="27" customHeight="1">
      <c r="A81" s="671" t="s">
        <v>712</v>
      </c>
      <c r="B81" s="671"/>
      <c r="C81" s="671"/>
      <c r="D81" s="671"/>
      <c r="E81" s="671"/>
      <c r="F81" s="671"/>
      <c r="G81" s="671"/>
      <c r="H81" s="671"/>
    </row>
    <row r="82" spans="1:8" ht="22.15" customHeight="1">
      <c r="A82" s="13"/>
      <c r="B82" s="13"/>
      <c r="C82" s="13"/>
      <c r="D82" s="13"/>
      <c r="E82" s="13"/>
      <c r="F82" s="13"/>
      <c r="G82" s="13"/>
    </row>
    <row r="83" spans="1:8" ht="17.25">
      <c r="A83" s="701" t="s">
        <v>713</v>
      </c>
      <c r="B83" s="701"/>
      <c r="C83" s="701"/>
      <c r="D83" s="701"/>
      <c r="E83" s="701"/>
      <c r="F83" s="701"/>
      <c r="G83" s="701"/>
      <c r="H83" s="701"/>
    </row>
    <row r="84" spans="1:8">
      <c r="A84" s="347" t="s">
        <v>714</v>
      </c>
      <c r="B84" s="347">
        <v>2022</v>
      </c>
      <c r="C84" s="347">
        <v>2021</v>
      </c>
      <c r="D84" s="347">
        <v>2020</v>
      </c>
      <c r="E84" s="347">
        <v>2019</v>
      </c>
      <c r="F84" s="184">
        <v>2018</v>
      </c>
      <c r="G84" s="184">
        <v>2017</v>
      </c>
      <c r="H84" s="184">
        <v>2016</v>
      </c>
    </row>
    <row r="85" spans="1:8">
      <c r="A85" s="245" t="s">
        <v>715</v>
      </c>
      <c r="B85" s="245">
        <v>0</v>
      </c>
      <c r="C85" s="219">
        <v>3</v>
      </c>
      <c r="D85" s="187">
        <v>2</v>
      </c>
      <c r="E85" s="245">
        <v>1</v>
      </c>
      <c r="F85" s="187">
        <v>1</v>
      </c>
      <c r="G85" s="187">
        <v>3</v>
      </c>
      <c r="H85" s="187">
        <v>1</v>
      </c>
    </row>
    <row r="86" spans="1:8">
      <c r="A86" s="342" t="s">
        <v>716</v>
      </c>
      <c r="B86" s="342">
        <v>0</v>
      </c>
      <c r="C86" s="219">
        <v>2</v>
      </c>
      <c r="D86" s="245">
        <v>0</v>
      </c>
      <c r="E86" s="245">
        <v>4</v>
      </c>
      <c r="F86" s="187">
        <v>2</v>
      </c>
      <c r="G86" s="187">
        <v>5</v>
      </c>
      <c r="H86" s="187">
        <v>9</v>
      </c>
    </row>
    <row r="87" spans="1:8">
      <c r="A87" s="245" t="s">
        <v>717</v>
      </c>
      <c r="B87" s="245">
        <v>11</v>
      </c>
      <c r="C87" s="219">
        <v>14</v>
      </c>
      <c r="D87" s="245">
        <v>23</v>
      </c>
      <c r="E87" s="245">
        <v>11</v>
      </c>
      <c r="F87" s="187">
        <v>6</v>
      </c>
      <c r="G87" s="187">
        <v>6</v>
      </c>
      <c r="H87" s="187">
        <v>9</v>
      </c>
    </row>
    <row r="88" spans="1:8">
      <c r="A88" s="245" t="s">
        <v>718</v>
      </c>
      <c r="B88" s="245">
        <v>0</v>
      </c>
      <c r="C88" s="219">
        <v>0</v>
      </c>
      <c r="D88" s="245">
        <v>0</v>
      </c>
      <c r="E88" s="245">
        <v>2</v>
      </c>
      <c r="F88" s="187">
        <v>0</v>
      </c>
      <c r="G88" s="187">
        <v>0</v>
      </c>
      <c r="H88" s="187">
        <v>0</v>
      </c>
    </row>
    <row r="89" spans="1:8">
      <c r="A89" s="245" t="s">
        <v>719</v>
      </c>
      <c r="B89" s="245">
        <v>0</v>
      </c>
      <c r="C89" s="219">
        <v>3</v>
      </c>
      <c r="D89" s="245">
        <v>5</v>
      </c>
      <c r="E89" s="245">
        <v>1</v>
      </c>
      <c r="F89" s="187">
        <v>8</v>
      </c>
      <c r="G89" s="187">
        <v>4</v>
      </c>
      <c r="H89" s="187">
        <v>2</v>
      </c>
    </row>
    <row r="90" spans="1:8">
      <c r="A90" s="401" t="s">
        <v>173</v>
      </c>
      <c r="B90" s="401">
        <v>11</v>
      </c>
      <c r="C90" s="191">
        <v>22</v>
      </c>
      <c r="D90" s="401">
        <v>30</v>
      </c>
      <c r="E90" s="401">
        <v>19</v>
      </c>
      <c r="F90" s="401">
        <v>17</v>
      </c>
      <c r="G90" s="401">
        <v>18</v>
      </c>
      <c r="H90" s="401">
        <v>21</v>
      </c>
    </row>
    <row r="91" spans="1:8" ht="13.15" customHeight="1">
      <c r="A91" s="640" t="s">
        <v>720</v>
      </c>
      <c r="B91" s="640"/>
      <c r="C91" s="640"/>
      <c r="D91" s="640"/>
      <c r="E91" s="640"/>
      <c r="F91" s="640"/>
      <c r="G91" s="640"/>
      <c r="H91" s="640"/>
    </row>
    <row r="92" spans="1:8" ht="24.6" customHeight="1">
      <c r="A92" s="622" t="s">
        <v>1599</v>
      </c>
      <c r="B92" s="622"/>
      <c r="C92" s="622"/>
      <c r="D92" s="622"/>
      <c r="E92" s="622"/>
      <c r="F92" s="622"/>
      <c r="G92" s="622"/>
      <c r="H92" s="622"/>
    </row>
    <row r="93" spans="1:8" ht="13.5" customHeight="1">
      <c r="A93" s="640" t="s">
        <v>721</v>
      </c>
      <c r="B93" s="640"/>
      <c r="C93" s="640"/>
      <c r="D93" s="640"/>
      <c r="E93" s="640"/>
      <c r="F93" s="640"/>
      <c r="G93" s="640"/>
      <c r="H93" s="640"/>
    </row>
    <row r="94" spans="1:8" ht="12" customHeight="1">
      <c r="A94" s="640" t="s">
        <v>727</v>
      </c>
      <c r="B94" s="640"/>
      <c r="C94" s="640"/>
      <c r="D94" s="640"/>
      <c r="E94" s="640"/>
      <c r="F94" s="640"/>
      <c r="G94" s="640"/>
      <c r="H94" s="640"/>
    </row>
    <row r="95" spans="1:8" ht="24" customHeight="1">
      <c r="A95" s="622" t="s">
        <v>722</v>
      </c>
      <c r="B95" s="622"/>
      <c r="C95" s="622"/>
      <c r="D95" s="622"/>
      <c r="E95" s="622"/>
      <c r="F95" s="622"/>
      <c r="G95" s="622"/>
      <c r="H95" s="622"/>
    </row>
    <row r="96" spans="1:8">
      <c r="A96" s="13"/>
      <c r="B96" s="13"/>
      <c r="C96" s="13"/>
      <c r="D96" s="13"/>
      <c r="E96" s="13"/>
      <c r="F96" s="13"/>
      <c r="G96" s="13"/>
    </row>
    <row r="97" spans="1:8" ht="17.25">
      <c r="A97" s="700" t="s">
        <v>723</v>
      </c>
      <c r="B97" s="700"/>
      <c r="C97" s="700"/>
      <c r="D97" s="700"/>
      <c r="E97" s="700"/>
      <c r="F97" s="700"/>
      <c r="G97" s="700"/>
      <c r="H97" s="700"/>
    </row>
    <row r="98" spans="1:8">
      <c r="A98" s="347"/>
      <c r="B98" s="347">
        <v>2022</v>
      </c>
      <c r="C98" s="347">
        <v>2021</v>
      </c>
      <c r="D98" s="347">
        <v>2020</v>
      </c>
      <c r="E98" s="347">
        <v>2019</v>
      </c>
      <c r="F98" s="184">
        <v>2018</v>
      </c>
      <c r="G98" s="184">
        <v>2017</v>
      </c>
      <c r="H98" s="184">
        <v>2016</v>
      </c>
    </row>
    <row r="99" spans="1:8">
      <c r="A99" s="336" t="s">
        <v>724</v>
      </c>
      <c r="B99" s="336">
        <v>0</v>
      </c>
      <c r="C99" s="219">
        <v>4</v>
      </c>
      <c r="D99" s="245">
        <v>6</v>
      </c>
      <c r="E99" s="245">
        <v>1</v>
      </c>
      <c r="F99" s="187">
        <v>4</v>
      </c>
      <c r="G99" s="187">
        <v>2</v>
      </c>
      <c r="H99" s="187">
        <v>0</v>
      </c>
    </row>
    <row r="100" spans="1:8">
      <c r="A100" s="336" t="s">
        <v>725</v>
      </c>
      <c r="B100" s="245">
        <v>11</v>
      </c>
      <c r="C100" s="219">
        <v>18</v>
      </c>
      <c r="D100" s="245">
        <v>24</v>
      </c>
      <c r="E100" s="245">
        <v>18</v>
      </c>
      <c r="F100" s="187">
        <v>13</v>
      </c>
      <c r="G100" s="187">
        <v>16</v>
      </c>
      <c r="H100" s="187">
        <v>21</v>
      </c>
    </row>
    <row r="101" spans="1:8">
      <c r="A101" s="401" t="s">
        <v>173</v>
      </c>
      <c r="B101" s="401">
        <v>11</v>
      </c>
      <c r="C101" s="191">
        <v>22</v>
      </c>
      <c r="D101" s="401">
        <f>SUM(D99:D100)</f>
        <v>30</v>
      </c>
      <c r="E101" s="401">
        <v>19</v>
      </c>
      <c r="F101" s="401">
        <v>17</v>
      </c>
      <c r="G101" s="401">
        <v>18</v>
      </c>
      <c r="H101" s="401">
        <v>21</v>
      </c>
    </row>
    <row r="102" spans="1:8" ht="21" customHeight="1">
      <c r="A102" s="640" t="s">
        <v>720</v>
      </c>
      <c r="B102" s="640"/>
      <c r="C102" s="640"/>
      <c r="D102" s="640"/>
      <c r="E102" s="640"/>
      <c r="F102" s="640"/>
      <c r="G102" s="640"/>
      <c r="H102" s="640"/>
    </row>
    <row r="103" spans="1:8" ht="22.15" customHeight="1">
      <c r="A103" s="622" t="s">
        <v>726</v>
      </c>
      <c r="B103" s="622"/>
      <c r="C103" s="622"/>
      <c r="D103" s="622"/>
      <c r="E103" s="622"/>
      <c r="F103" s="622"/>
      <c r="G103" s="622"/>
      <c r="H103" s="622"/>
    </row>
    <row r="104" spans="1:8">
      <c r="A104" s="640" t="s">
        <v>721</v>
      </c>
      <c r="B104" s="640"/>
      <c r="C104" s="640"/>
      <c r="D104" s="640"/>
      <c r="E104" s="640"/>
      <c r="F104" s="640"/>
      <c r="G104" s="640"/>
      <c r="H104" s="640"/>
    </row>
    <row r="105" spans="1:8">
      <c r="A105" s="640" t="s">
        <v>727</v>
      </c>
      <c r="B105" s="640"/>
      <c r="C105" s="640"/>
      <c r="D105" s="640"/>
      <c r="E105" s="640"/>
      <c r="F105" s="640"/>
      <c r="G105" s="640"/>
      <c r="H105" s="640"/>
    </row>
    <row r="106" spans="1:8">
      <c r="A106" s="640" t="s">
        <v>728</v>
      </c>
      <c r="B106" s="640"/>
      <c r="C106" s="640"/>
      <c r="D106" s="640"/>
      <c r="E106" s="640"/>
      <c r="F106" s="640"/>
      <c r="G106" s="640"/>
      <c r="H106" s="640"/>
    </row>
    <row r="107" spans="1:8">
      <c r="A107" s="25"/>
      <c r="B107" s="25"/>
    </row>
    <row r="108" spans="1:8" ht="17.25">
      <c r="A108" s="700" t="s">
        <v>729</v>
      </c>
      <c r="B108" s="700"/>
      <c r="C108" s="700"/>
      <c r="D108" s="700"/>
      <c r="E108" s="700"/>
      <c r="F108" s="700"/>
      <c r="G108" s="700"/>
      <c r="H108" s="700"/>
    </row>
    <row r="109" spans="1:8">
      <c r="A109" s="347"/>
      <c r="B109" s="347">
        <v>2022</v>
      </c>
      <c r="C109" s="347">
        <v>2021</v>
      </c>
      <c r="D109" s="347">
        <v>2020</v>
      </c>
      <c r="E109" s="347">
        <v>2019</v>
      </c>
      <c r="F109" s="184" t="s">
        <v>730</v>
      </c>
      <c r="G109" s="184" t="s">
        <v>731</v>
      </c>
      <c r="H109" s="184" t="s">
        <v>732</v>
      </c>
    </row>
    <row r="110" spans="1:8" ht="25.5">
      <c r="A110" s="336" t="s">
        <v>733</v>
      </c>
      <c r="B110" s="245">
        <v>0.13</v>
      </c>
      <c r="C110" s="219">
        <v>0.27</v>
      </c>
      <c r="D110" s="245">
        <v>0.31</v>
      </c>
      <c r="E110" s="245">
        <v>0.18</v>
      </c>
      <c r="F110" s="187">
        <v>0.17</v>
      </c>
      <c r="G110" s="187">
        <v>0.19</v>
      </c>
      <c r="H110" s="187">
        <v>0.22</v>
      </c>
    </row>
    <row r="111" spans="1:8" ht="25.5">
      <c r="A111" s="336" t="s">
        <v>734</v>
      </c>
      <c r="B111" s="245">
        <v>0.65</v>
      </c>
      <c r="C111" s="219">
        <v>1.35</v>
      </c>
      <c r="D111" s="245">
        <v>1.57</v>
      </c>
      <c r="E111" s="245">
        <v>0.9</v>
      </c>
      <c r="F111" s="187">
        <v>0.84</v>
      </c>
      <c r="G111" s="187">
        <v>0.94</v>
      </c>
      <c r="H111" s="187">
        <v>1.1000000000000001</v>
      </c>
    </row>
    <row r="112" spans="1:8" ht="16.149999999999999" customHeight="1">
      <c r="A112" s="640" t="s">
        <v>1600</v>
      </c>
      <c r="B112" s="640"/>
      <c r="C112" s="640"/>
      <c r="D112" s="640"/>
      <c r="E112" s="640"/>
      <c r="F112" s="640"/>
      <c r="G112" s="640"/>
      <c r="H112" s="640"/>
    </row>
    <row r="113" spans="1:12" ht="21" customHeight="1">
      <c r="A113" s="622" t="s">
        <v>1599</v>
      </c>
      <c r="B113" s="622"/>
      <c r="C113" s="622"/>
      <c r="D113" s="622"/>
      <c r="E113" s="622"/>
      <c r="F113" s="622"/>
      <c r="G113" s="622"/>
      <c r="H113" s="622"/>
    </row>
    <row r="114" spans="1:12">
      <c r="A114" s="640" t="s">
        <v>721</v>
      </c>
      <c r="B114" s="640"/>
      <c r="C114" s="640"/>
      <c r="D114" s="640"/>
      <c r="E114" s="640"/>
      <c r="F114" s="640"/>
      <c r="G114" s="640"/>
      <c r="H114" s="640"/>
    </row>
    <row r="115" spans="1:12" ht="22.15" customHeight="1">
      <c r="A115" s="622" t="s">
        <v>735</v>
      </c>
      <c r="B115" s="622"/>
      <c r="C115" s="622"/>
      <c r="D115" s="622"/>
      <c r="E115" s="622"/>
      <c r="F115" s="622"/>
      <c r="G115" s="622"/>
      <c r="H115" s="622"/>
    </row>
    <row r="116" spans="1:12" ht="22.15" customHeight="1">
      <c r="A116" s="13"/>
      <c r="B116" s="13"/>
      <c r="C116" s="13"/>
      <c r="D116" s="13"/>
      <c r="E116" s="13"/>
      <c r="F116" s="13"/>
      <c r="G116" s="13"/>
    </row>
    <row r="117" spans="1:12" ht="17.25">
      <c r="A117" s="700" t="s">
        <v>736</v>
      </c>
      <c r="B117" s="700"/>
      <c r="C117" s="700"/>
      <c r="D117" s="700"/>
      <c r="E117" s="700"/>
      <c r="F117" s="700"/>
      <c r="G117" s="700"/>
      <c r="H117" s="700"/>
      <c r="I117" s="700"/>
      <c r="J117" s="700"/>
      <c r="K117" s="700"/>
      <c r="L117" s="700"/>
    </row>
    <row r="118" spans="1:12">
      <c r="A118" s="703"/>
      <c r="B118" s="658" t="s">
        <v>546</v>
      </c>
      <c r="C118" s="658"/>
      <c r="D118" s="658"/>
      <c r="E118" s="658" t="s">
        <v>256</v>
      </c>
      <c r="F118" s="658"/>
      <c r="G118" s="658" t="s">
        <v>737</v>
      </c>
      <c r="H118" s="658"/>
      <c r="I118" s="658" t="s">
        <v>271</v>
      </c>
      <c r="J118" s="658"/>
      <c r="K118" s="658" t="s">
        <v>328</v>
      </c>
      <c r="L118" s="658"/>
    </row>
    <row r="119" spans="1:12">
      <c r="A119" s="703"/>
      <c r="B119" s="205" t="s">
        <v>738</v>
      </c>
      <c r="C119" s="205" t="s">
        <v>739</v>
      </c>
      <c r="D119" s="205" t="s">
        <v>740</v>
      </c>
      <c r="E119" s="205" t="s">
        <v>739</v>
      </c>
      <c r="F119" s="205" t="s">
        <v>740</v>
      </c>
      <c r="G119" s="205" t="s">
        <v>739</v>
      </c>
      <c r="H119" s="205" t="s">
        <v>740</v>
      </c>
      <c r="I119" s="205" t="s">
        <v>739</v>
      </c>
      <c r="J119" s="205" t="s">
        <v>740</v>
      </c>
      <c r="K119" s="205" t="s">
        <v>739</v>
      </c>
      <c r="L119" s="205" t="s">
        <v>740</v>
      </c>
    </row>
    <row r="120" spans="1:12">
      <c r="A120" s="228" t="s">
        <v>741</v>
      </c>
      <c r="B120" s="343">
        <v>0.22</v>
      </c>
      <c r="C120" s="327">
        <v>0.7</v>
      </c>
      <c r="D120" s="327">
        <v>7.0000000000000007E-2</v>
      </c>
      <c r="E120" s="327">
        <v>0.99</v>
      </c>
      <c r="F120" s="327">
        <v>0.23</v>
      </c>
      <c r="G120" s="327">
        <v>0.28000000000000003</v>
      </c>
      <c r="H120" s="327">
        <v>0.18</v>
      </c>
      <c r="I120" s="327">
        <v>0.05</v>
      </c>
      <c r="J120" s="327">
        <v>0.02</v>
      </c>
      <c r="K120" s="327">
        <v>0.13</v>
      </c>
      <c r="L120" s="327">
        <v>0.24</v>
      </c>
    </row>
    <row r="121" spans="1:12">
      <c r="A121" s="228" t="s">
        <v>673</v>
      </c>
      <c r="B121" s="343">
        <v>0.1</v>
      </c>
      <c r="C121" s="327">
        <v>0.28999999999999998</v>
      </c>
      <c r="D121" s="327">
        <v>0.04</v>
      </c>
      <c r="E121" s="327">
        <v>0.36</v>
      </c>
      <c r="F121" s="327">
        <v>0.24</v>
      </c>
      <c r="G121" s="327">
        <v>0.69</v>
      </c>
      <c r="H121" s="327">
        <v>0</v>
      </c>
      <c r="I121" s="327">
        <v>0</v>
      </c>
      <c r="J121" s="327">
        <v>0.01</v>
      </c>
      <c r="K121" s="327">
        <v>0.08</v>
      </c>
      <c r="L121" s="327">
        <v>0.09</v>
      </c>
    </row>
    <row r="122" spans="1:12">
      <c r="A122" s="228" t="s">
        <v>742</v>
      </c>
      <c r="B122" s="343">
        <v>0.32</v>
      </c>
      <c r="C122" s="327">
        <v>1</v>
      </c>
      <c r="D122" s="327">
        <v>0.11</v>
      </c>
      <c r="E122" s="327">
        <v>1.35</v>
      </c>
      <c r="F122" s="327">
        <v>0.48</v>
      </c>
      <c r="G122" s="327">
        <v>0.97</v>
      </c>
      <c r="H122" s="327">
        <v>0.18</v>
      </c>
      <c r="I122" s="327">
        <v>0.05</v>
      </c>
      <c r="J122" s="327">
        <v>0.03</v>
      </c>
      <c r="K122" s="327">
        <v>0.2</v>
      </c>
      <c r="L122" s="327">
        <v>0.32</v>
      </c>
    </row>
    <row r="123" spans="1:12">
      <c r="A123" s="228" t="s">
        <v>743</v>
      </c>
      <c r="B123" s="343">
        <v>0.2</v>
      </c>
      <c r="C123" s="327">
        <v>0.25</v>
      </c>
      <c r="D123" s="327">
        <v>0.19</v>
      </c>
      <c r="E123" s="327">
        <v>0.27</v>
      </c>
      <c r="F123" s="327">
        <v>0.51</v>
      </c>
      <c r="G123" s="327">
        <v>0.97</v>
      </c>
      <c r="H123" s="327">
        <v>1.82</v>
      </c>
      <c r="I123" s="327">
        <v>0</v>
      </c>
      <c r="J123" s="327">
        <v>0.12</v>
      </c>
      <c r="K123" s="327">
        <v>0.1</v>
      </c>
      <c r="L123" s="327">
        <v>0.13</v>
      </c>
    </row>
    <row r="124" spans="1:12">
      <c r="A124" s="228" t="s">
        <v>669</v>
      </c>
      <c r="B124" s="343">
        <v>0.53</v>
      </c>
      <c r="C124" s="327">
        <v>1.25</v>
      </c>
      <c r="D124" s="327">
        <v>0.3</v>
      </c>
      <c r="E124" s="327">
        <v>1.62</v>
      </c>
      <c r="F124" s="327">
        <v>0.99</v>
      </c>
      <c r="G124" s="327">
        <v>1.93</v>
      </c>
      <c r="H124" s="327">
        <v>2</v>
      </c>
      <c r="I124" s="327">
        <v>0.05</v>
      </c>
      <c r="J124" s="327">
        <v>0.15</v>
      </c>
      <c r="K124" s="327">
        <v>0.3</v>
      </c>
      <c r="L124" s="327">
        <v>0.45</v>
      </c>
    </row>
    <row r="125" spans="1:12">
      <c r="A125" s="228" t="s">
        <v>744</v>
      </c>
      <c r="B125" s="343">
        <v>16.739999999999998</v>
      </c>
      <c r="C125" s="327">
        <v>67.08</v>
      </c>
      <c r="D125" s="327">
        <v>1.1399999999999999</v>
      </c>
      <c r="E125" s="327">
        <v>96</v>
      </c>
      <c r="F125" s="327">
        <v>5.18</v>
      </c>
      <c r="G125" s="327">
        <v>17.12</v>
      </c>
      <c r="H125" s="327">
        <v>2.5499999999999998</v>
      </c>
      <c r="I125" s="327">
        <v>4.08</v>
      </c>
      <c r="J125" s="327">
        <v>0.34</v>
      </c>
      <c r="K125" s="327">
        <v>4.1900000000000004</v>
      </c>
      <c r="L125" s="327">
        <v>3.31</v>
      </c>
    </row>
    <row r="126" spans="1:12" ht="14.65" customHeight="1">
      <c r="A126" s="228" t="s">
        <v>745</v>
      </c>
      <c r="B126" s="343">
        <v>8.4</v>
      </c>
      <c r="C126" s="327">
        <v>32.29</v>
      </c>
      <c r="D126" s="327">
        <v>3.33</v>
      </c>
      <c r="E126" s="327">
        <v>44.59</v>
      </c>
      <c r="F126" s="327">
        <v>4.3</v>
      </c>
      <c r="G126" s="327">
        <v>33.549999999999997</v>
      </c>
      <c r="H126" s="327">
        <v>2.0699999999999998</v>
      </c>
      <c r="I126" s="327">
        <v>0</v>
      </c>
      <c r="J126" s="327">
        <v>1.71</v>
      </c>
      <c r="K126" s="327">
        <v>0</v>
      </c>
      <c r="L126" s="327">
        <v>0</v>
      </c>
    </row>
    <row r="127" spans="1:12" ht="39" customHeight="1">
      <c r="A127" s="613" t="s">
        <v>684</v>
      </c>
      <c r="B127" s="613"/>
      <c r="C127" s="613"/>
      <c r="D127" s="613"/>
      <c r="E127" s="613"/>
      <c r="F127" s="613"/>
      <c r="G127" s="613"/>
      <c r="H127" s="613"/>
      <c r="I127" s="613"/>
      <c r="J127" s="613"/>
      <c r="K127" s="613"/>
      <c r="L127" s="613"/>
    </row>
    <row r="128" spans="1:12" ht="18" customHeight="1">
      <c r="A128" s="640" t="s">
        <v>746</v>
      </c>
      <c r="B128" s="640"/>
      <c r="C128" s="640"/>
      <c r="D128" s="640"/>
      <c r="E128" s="640"/>
      <c r="F128" s="640"/>
      <c r="G128" s="640"/>
      <c r="H128" s="640"/>
      <c r="I128" s="640"/>
      <c r="J128" s="640"/>
      <c r="K128" s="640"/>
      <c r="L128" s="640"/>
    </row>
    <row r="129" spans="1:12">
      <c r="A129" s="73"/>
      <c r="B129" s="73"/>
      <c r="C129" s="73"/>
      <c r="D129" s="73"/>
      <c r="E129" s="73"/>
      <c r="F129" s="73"/>
      <c r="G129" s="73"/>
      <c r="H129" s="73"/>
      <c r="I129" s="73"/>
      <c r="J129" s="73"/>
      <c r="K129" s="73"/>
      <c r="L129" s="73"/>
    </row>
    <row r="130" spans="1:12" ht="17.25">
      <c r="A130" s="700" t="s">
        <v>747</v>
      </c>
      <c r="B130" s="700"/>
      <c r="C130" s="700"/>
      <c r="D130" s="700"/>
      <c r="E130" s="700"/>
      <c r="F130" s="700"/>
      <c r="G130" s="700"/>
      <c r="H130" s="700"/>
      <c r="I130" s="700"/>
      <c r="J130" s="700"/>
      <c r="K130" s="700"/>
      <c r="L130" s="700"/>
    </row>
    <row r="131" spans="1:12">
      <c r="A131" s="703"/>
      <c r="B131" s="658" t="s">
        <v>546</v>
      </c>
      <c r="C131" s="658"/>
      <c r="D131" s="658"/>
      <c r="E131" s="658" t="s">
        <v>256</v>
      </c>
      <c r="F131" s="658"/>
      <c r="G131" s="658" t="s">
        <v>737</v>
      </c>
      <c r="H131" s="658"/>
      <c r="I131" s="658" t="s">
        <v>271</v>
      </c>
      <c r="J131" s="658"/>
      <c r="K131" s="658" t="s">
        <v>328</v>
      </c>
      <c r="L131" s="658"/>
    </row>
    <row r="132" spans="1:12">
      <c r="A132" s="703"/>
      <c r="B132" s="205" t="s">
        <v>738</v>
      </c>
      <c r="C132" s="205" t="s">
        <v>739</v>
      </c>
      <c r="D132" s="205" t="s">
        <v>740</v>
      </c>
      <c r="E132" s="205" t="s">
        <v>739</v>
      </c>
      <c r="F132" s="205" t="s">
        <v>740</v>
      </c>
      <c r="G132" s="205" t="s">
        <v>739</v>
      </c>
      <c r="H132" s="205" t="s">
        <v>740</v>
      </c>
      <c r="I132" s="205" t="s">
        <v>739</v>
      </c>
      <c r="J132" s="205" t="s">
        <v>740</v>
      </c>
      <c r="K132" s="205" t="s">
        <v>739</v>
      </c>
      <c r="L132" s="205" t="s">
        <v>740</v>
      </c>
    </row>
    <row r="133" spans="1:12" ht="14.65" customHeight="1">
      <c r="A133" s="228" t="s">
        <v>741</v>
      </c>
      <c r="B133" s="343">
        <v>0.24</v>
      </c>
      <c r="C133" s="337">
        <v>0.75</v>
      </c>
      <c r="D133" s="337">
        <v>7.0000000000000007E-2</v>
      </c>
      <c r="E133" s="337">
        <v>1.02</v>
      </c>
      <c r="F133" s="337">
        <v>0.34</v>
      </c>
      <c r="G133" s="337">
        <v>0.28000000000000003</v>
      </c>
      <c r="H133" s="337">
        <v>0.18</v>
      </c>
      <c r="I133" s="337">
        <v>0.05</v>
      </c>
      <c r="J133" s="337">
        <v>0.02</v>
      </c>
      <c r="K133" s="337">
        <v>0</v>
      </c>
      <c r="L133" s="337">
        <v>1.67</v>
      </c>
    </row>
    <row r="134" spans="1:12" ht="14.65" customHeight="1">
      <c r="A134" s="228" t="s">
        <v>673</v>
      </c>
      <c r="B134" s="343">
        <v>0.1</v>
      </c>
      <c r="C134" s="337">
        <v>0.31</v>
      </c>
      <c r="D134" s="337">
        <v>0.03</v>
      </c>
      <c r="E134" s="337">
        <v>0.37</v>
      </c>
      <c r="F134" s="337">
        <v>0.3</v>
      </c>
      <c r="G134" s="337">
        <v>0.69</v>
      </c>
      <c r="H134" s="337">
        <v>0</v>
      </c>
      <c r="I134" s="337">
        <v>0</v>
      </c>
      <c r="J134" s="337">
        <v>0.01</v>
      </c>
      <c r="K134" s="337">
        <v>0</v>
      </c>
      <c r="L134" s="337">
        <v>0</v>
      </c>
    </row>
    <row r="135" spans="1:12" ht="14.65" customHeight="1">
      <c r="A135" s="228" t="s">
        <v>742</v>
      </c>
      <c r="B135" s="343">
        <v>0.34</v>
      </c>
      <c r="C135" s="337">
        <v>1.07</v>
      </c>
      <c r="D135" s="337">
        <v>0.1</v>
      </c>
      <c r="E135" s="337">
        <v>1.39</v>
      </c>
      <c r="F135" s="337">
        <v>0.64</v>
      </c>
      <c r="G135" s="337">
        <v>0.97</v>
      </c>
      <c r="H135" s="337">
        <v>0.18</v>
      </c>
      <c r="I135" s="337">
        <v>0.05</v>
      </c>
      <c r="J135" s="337">
        <v>0.03</v>
      </c>
      <c r="K135" s="337">
        <v>0</v>
      </c>
      <c r="L135" s="337">
        <v>1.67</v>
      </c>
    </row>
    <row r="136" spans="1:12" ht="14.65" customHeight="1">
      <c r="A136" s="228" t="s">
        <v>743</v>
      </c>
      <c r="B136" s="343">
        <v>0.21</v>
      </c>
      <c r="C136" s="337">
        <v>0.25</v>
      </c>
      <c r="D136" s="337">
        <v>0.2</v>
      </c>
      <c r="E136" s="337">
        <v>0.27</v>
      </c>
      <c r="F136" s="337">
        <v>0.68</v>
      </c>
      <c r="G136" s="337">
        <v>0.97</v>
      </c>
      <c r="H136" s="337">
        <v>1.82</v>
      </c>
      <c r="I136" s="337">
        <v>0</v>
      </c>
      <c r="J136" s="337">
        <v>0.12</v>
      </c>
      <c r="K136" s="337">
        <v>0</v>
      </c>
      <c r="L136" s="337">
        <v>0.67</v>
      </c>
    </row>
    <row r="137" spans="1:12" ht="14.65" customHeight="1">
      <c r="A137" s="228" t="s">
        <v>669</v>
      </c>
      <c r="B137" s="343">
        <v>0.55000000000000004</v>
      </c>
      <c r="C137" s="337">
        <v>1.32</v>
      </c>
      <c r="D137" s="337">
        <v>0.3</v>
      </c>
      <c r="E137" s="337">
        <v>1.66</v>
      </c>
      <c r="F137" s="337">
        <v>1.32</v>
      </c>
      <c r="G137" s="337">
        <v>1.93</v>
      </c>
      <c r="H137" s="337">
        <v>2</v>
      </c>
      <c r="I137" s="337">
        <v>0.05</v>
      </c>
      <c r="J137" s="337">
        <v>0.15</v>
      </c>
      <c r="K137" s="337">
        <v>0</v>
      </c>
      <c r="L137" s="337">
        <v>2.34</v>
      </c>
    </row>
    <row r="138" spans="1:12" ht="14.65" customHeight="1">
      <c r="A138" s="228" t="s">
        <v>744</v>
      </c>
      <c r="B138" s="343">
        <v>18.52</v>
      </c>
      <c r="C138" s="337">
        <v>72.5</v>
      </c>
      <c r="D138" s="337">
        <v>1.1599999999999999</v>
      </c>
      <c r="E138" s="337">
        <v>99.28</v>
      </c>
      <c r="F138" s="337">
        <v>7.82</v>
      </c>
      <c r="G138" s="337">
        <v>17.12</v>
      </c>
      <c r="H138" s="337">
        <v>2.5499999999999998</v>
      </c>
      <c r="I138" s="337">
        <v>4.08</v>
      </c>
      <c r="J138" s="337">
        <v>0.34</v>
      </c>
      <c r="K138" s="337">
        <v>0</v>
      </c>
      <c r="L138" s="337">
        <v>21.35</v>
      </c>
    </row>
    <row r="139" spans="1:12" ht="14.65" customHeight="1">
      <c r="A139" s="228" t="s">
        <v>745</v>
      </c>
      <c r="B139" s="343">
        <v>9.3800000000000008</v>
      </c>
      <c r="C139" s="337">
        <v>35.07</v>
      </c>
      <c r="D139" s="337">
        <v>3.62</v>
      </c>
      <c r="E139" s="337">
        <v>46.12</v>
      </c>
      <c r="F139" s="337">
        <v>4.4400000000000004</v>
      </c>
      <c r="G139" s="337">
        <v>33.549999999999997</v>
      </c>
      <c r="H139" s="337">
        <v>2.0699999999999998</v>
      </c>
      <c r="I139" s="337">
        <v>0</v>
      </c>
      <c r="J139" s="337">
        <v>1.71</v>
      </c>
      <c r="K139" s="337">
        <v>0</v>
      </c>
      <c r="L139" s="337">
        <v>0</v>
      </c>
    </row>
    <row r="140" spans="1:12" ht="16.899999999999999" customHeight="1">
      <c r="A140" s="705" t="s">
        <v>748</v>
      </c>
      <c r="B140" s="705"/>
      <c r="C140" s="705"/>
      <c r="D140" s="705"/>
      <c r="E140" s="705"/>
      <c r="F140" s="705"/>
      <c r="G140" s="705"/>
      <c r="H140" s="705"/>
      <c r="I140" s="705"/>
      <c r="J140" s="705"/>
      <c r="K140" s="705"/>
      <c r="L140" s="705"/>
    </row>
    <row r="141" spans="1:12" ht="21.6" customHeight="1">
      <c r="A141" s="622" t="s">
        <v>746</v>
      </c>
      <c r="B141" s="622"/>
      <c r="C141" s="622"/>
      <c r="D141" s="622"/>
      <c r="E141" s="622"/>
      <c r="F141" s="622"/>
      <c r="G141" s="622"/>
      <c r="H141" s="622"/>
      <c r="I141" s="622"/>
      <c r="J141" s="622"/>
      <c r="K141" s="622"/>
      <c r="L141" s="622"/>
    </row>
    <row r="142" spans="1:12">
      <c r="A142" s="13"/>
      <c r="B142" s="13"/>
      <c r="C142" s="13"/>
      <c r="D142" s="13"/>
      <c r="E142" s="13"/>
      <c r="F142" s="13"/>
      <c r="G142" s="13"/>
    </row>
    <row r="143" spans="1:12" ht="17.25">
      <c r="A143" s="700" t="s">
        <v>749</v>
      </c>
      <c r="B143" s="700"/>
      <c r="C143" s="700"/>
      <c r="D143" s="700"/>
      <c r="E143" s="700"/>
      <c r="F143" s="700"/>
      <c r="G143" s="700"/>
      <c r="H143" s="700"/>
      <c r="I143" s="700"/>
      <c r="J143" s="700"/>
      <c r="K143" s="700"/>
      <c r="L143" s="700"/>
    </row>
    <row r="144" spans="1:12">
      <c r="A144" s="703"/>
      <c r="B144" s="658" t="s">
        <v>546</v>
      </c>
      <c r="C144" s="658"/>
      <c r="D144" s="658"/>
      <c r="E144" s="658" t="s">
        <v>256</v>
      </c>
      <c r="F144" s="658"/>
      <c r="G144" s="658" t="s">
        <v>737</v>
      </c>
      <c r="H144" s="658"/>
      <c r="I144" s="658" t="s">
        <v>271</v>
      </c>
      <c r="J144" s="658"/>
      <c r="K144" s="658" t="s">
        <v>328</v>
      </c>
      <c r="L144" s="658"/>
    </row>
    <row r="145" spans="1:12">
      <c r="A145" s="703"/>
      <c r="B145" s="205" t="s">
        <v>738</v>
      </c>
      <c r="C145" s="205" t="s">
        <v>739</v>
      </c>
      <c r="D145" s="205" t="s">
        <v>740</v>
      </c>
      <c r="E145" s="205" t="s">
        <v>739</v>
      </c>
      <c r="F145" s="205" t="s">
        <v>740</v>
      </c>
      <c r="G145" s="205" t="s">
        <v>739</v>
      </c>
      <c r="H145" s="205" t="s">
        <v>740</v>
      </c>
      <c r="I145" s="205" t="s">
        <v>739</v>
      </c>
      <c r="J145" s="205" t="s">
        <v>740</v>
      </c>
      <c r="K145" s="205" t="s">
        <v>739</v>
      </c>
      <c r="L145" s="205" t="s">
        <v>740</v>
      </c>
    </row>
    <row r="146" spans="1:12" ht="15" customHeight="1">
      <c r="A146" s="228" t="s">
        <v>741</v>
      </c>
      <c r="B146" s="343">
        <v>0.27093253570387715</v>
      </c>
      <c r="C146" s="343">
        <v>0.75018536263613145</v>
      </c>
      <c r="D146" s="343">
        <v>0.10156656696523707</v>
      </c>
      <c r="E146" s="343">
        <v>1.002386647266587</v>
      </c>
      <c r="F146" s="343">
        <v>0.27379543485668362</v>
      </c>
      <c r="G146" s="343">
        <v>0.29585771462859223</v>
      </c>
      <c r="H146" s="343">
        <v>0.65344100618065892</v>
      </c>
      <c r="I146" s="343">
        <v>0.1043169686740707</v>
      </c>
      <c r="J146" s="343">
        <v>6.8510185114841318E-2</v>
      </c>
      <c r="K146" s="343">
        <v>0.13799671245832024</v>
      </c>
      <c r="L146" s="343">
        <v>6.6167584184374073E-2</v>
      </c>
    </row>
    <row r="147" spans="1:12" ht="15" customHeight="1">
      <c r="A147" s="228" t="s">
        <v>673</v>
      </c>
      <c r="B147" s="343">
        <v>0.10944280113504001</v>
      </c>
      <c r="C147" s="343">
        <v>0.25157000098051219</v>
      </c>
      <c r="D147" s="343">
        <v>5.8026346477319156E-2</v>
      </c>
      <c r="E147" s="343">
        <v>0.29557554983501921</v>
      </c>
      <c r="F147" s="343">
        <v>0.32855452182802042</v>
      </c>
      <c r="G147" s="343">
        <v>0.44378657194288834</v>
      </c>
      <c r="H147" s="343">
        <v>0.21781366872688629</v>
      </c>
      <c r="I147" s="343">
        <v>0</v>
      </c>
      <c r="J147" s="343">
        <v>0</v>
      </c>
      <c r="K147" s="343">
        <v>0.27599342491664047</v>
      </c>
      <c r="L147" s="343">
        <v>0.15439102976353949</v>
      </c>
    </row>
    <row r="148" spans="1:12" ht="15" customHeight="1">
      <c r="A148" s="228" t="s">
        <v>742</v>
      </c>
      <c r="B148" s="343">
        <v>0.38332025570526368</v>
      </c>
      <c r="C148" s="343">
        <v>1.0239261011131275</v>
      </c>
      <c r="D148" s="343">
        <v>0.15959291344255622</v>
      </c>
      <c r="E148" s="343">
        <v>1.2979621971016062</v>
      </c>
      <c r="F148" s="343">
        <v>0.60234995668470404</v>
      </c>
      <c r="G148" s="343">
        <v>1.0355020012000726</v>
      </c>
      <c r="H148" s="343">
        <v>0.87125467490754516</v>
      </c>
      <c r="I148" s="343">
        <v>0.1043169686740707</v>
      </c>
      <c r="J148" s="343">
        <v>6.8510185114841318E-2</v>
      </c>
      <c r="K148" s="343">
        <v>0.48298849360412083</v>
      </c>
      <c r="L148" s="343">
        <v>0.22055861394791357</v>
      </c>
    </row>
    <row r="149" spans="1:12" ht="15" customHeight="1">
      <c r="A149" s="228" t="s">
        <v>743</v>
      </c>
      <c r="B149" s="343">
        <v>0.25777055138285926</v>
      </c>
      <c r="C149" s="343">
        <v>0.43346054125778904</v>
      </c>
      <c r="D149" s="343">
        <v>0.19421229928163389</v>
      </c>
      <c r="E149" s="343">
        <v>0.56544887794525411</v>
      </c>
      <c r="F149" s="343">
        <v>0.55854268710763444</v>
      </c>
      <c r="G149" s="343">
        <v>0.29585771462859223</v>
      </c>
      <c r="H149" s="343">
        <v>1.7425093498150903</v>
      </c>
      <c r="I149" s="343">
        <v>5.2158484337035349E-2</v>
      </c>
      <c r="J149" s="343">
        <v>0.11561093738129473</v>
      </c>
      <c r="K149" s="343">
        <v>0.13799671245832024</v>
      </c>
      <c r="L149" s="343">
        <v>9.5575399377429204E-2</v>
      </c>
    </row>
    <row r="150" spans="1:12" ht="15" customHeight="1">
      <c r="A150" s="228" t="s">
        <v>669</v>
      </c>
      <c r="B150" s="343">
        <v>0.64109080708812294</v>
      </c>
      <c r="C150" s="343">
        <v>1.4573866423709165</v>
      </c>
      <c r="D150" s="343">
        <v>0.35380521272419008</v>
      </c>
      <c r="E150" s="343">
        <v>1.8634110750468604</v>
      </c>
      <c r="F150" s="343">
        <v>1.1608926437923386</v>
      </c>
      <c r="G150" s="343">
        <v>1.3313597158286647</v>
      </c>
      <c r="H150" s="343">
        <v>2.6137640247226352</v>
      </c>
      <c r="I150" s="343">
        <v>0.15647545301110605</v>
      </c>
      <c r="J150" s="343">
        <v>0.18412112249613605</v>
      </c>
      <c r="K150" s="343">
        <v>0.62098520606244101</v>
      </c>
      <c r="L150" s="343">
        <v>0.31613401332534274</v>
      </c>
    </row>
    <row r="151" spans="1:12" ht="15" customHeight="1">
      <c r="A151" s="228" t="s">
        <v>744</v>
      </c>
      <c r="B151" s="343">
        <v>31.704876314316262</v>
      </c>
      <c r="C151" s="343">
        <v>113.5254875827615</v>
      </c>
      <c r="D151" s="343">
        <v>2.1051532920868881</v>
      </c>
      <c r="E151" s="343">
        <v>64.371214309722234</v>
      </c>
      <c r="F151" s="343">
        <v>5.2842518927339936</v>
      </c>
      <c r="G151" s="343">
        <v>902.07017190257773</v>
      </c>
      <c r="H151" s="343">
        <v>23.52387622250372</v>
      </c>
      <c r="I151" s="343">
        <v>3.5467769349184035</v>
      </c>
      <c r="J151" s="343">
        <v>1.2160557857884335</v>
      </c>
      <c r="K151" s="343">
        <v>210.09999471779255</v>
      </c>
      <c r="L151" s="343">
        <v>1.8968040799520565</v>
      </c>
    </row>
    <row r="152" spans="1:12" ht="15" customHeight="1">
      <c r="A152" s="228" t="s">
        <v>745</v>
      </c>
      <c r="B152" s="343">
        <v>10.411790702160534</v>
      </c>
      <c r="C152" s="343">
        <v>36.350960213622926</v>
      </c>
      <c r="D152" s="343">
        <v>2.8414741117942741</v>
      </c>
      <c r="E152" s="343">
        <v>50.20929013936609</v>
      </c>
      <c r="F152" s="343">
        <v>3.6368643740569757</v>
      </c>
      <c r="G152" s="343">
        <v>16.272174304572573</v>
      </c>
      <c r="H152" s="343">
        <v>0.44378657194288834</v>
      </c>
      <c r="I152" s="343">
        <v>0</v>
      </c>
      <c r="J152" s="343">
        <v>1.4604375614369898</v>
      </c>
      <c r="K152" s="343">
        <v>0</v>
      </c>
      <c r="L152" s="343">
        <v>0</v>
      </c>
    </row>
    <row r="153" spans="1:12" ht="25.15" customHeight="1">
      <c r="A153" s="613" t="s">
        <v>750</v>
      </c>
      <c r="B153" s="613"/>
      <c r="C153" s="613"/>
      <c r="D153" s="613"/>
      <c r="E153" s="613"/>
      <c r="F153" s="613"/>
      <c r="G153" s="613"/>
      <c r="H153" s="613"/>
      <c r="I153" s="613"/>
      <c r="J153" s="613"/>
      <c r="K153" s="613"/>
      <c r="L153" s="613"/>
    </row>
    <row r="154" spans="1:12" ht="12.6" customHeight="1">
      <c r="A154" s="640" t="s">
        <v>746</v>
      </c>
      <c r="B154" s="640"/>
      <c r="C154" s="640"/>
      <c r="D154" s="640"/>
      <c r="E154" s="640"/>
      <c r="F154" s="640"/>
      <c r="G154" s="640"/>
      <c r="H154" s="640"/>
      <c r="I154" s="640"/>
      <c r="J154" s="640"/>
      <c r="K154" s="640"/>
      <c r="L154" s="640"/>
    </row>
    <row r="155" spans="1:12">
      <c r="A155" s="70"/>
      <c r="B155" s="71"/>
      <c r="C155" s="71"/>
      <c r="D155" s="71"/>
      <c r="E155" s="71"/>
      <c r="F155" s="71"/>
      <c r="G155" s="71"/>
      <c r="H155" s="71"/>
      <c r="I155" s="71"/>
      <c r="J155" s="71"/>
      <c r="K155" s="71"/>
      <c r="L155" s="71"/>
    </row>
    <row r="156" spans="1:12" ht="17.25">
      <c r="A156" s="700" t="s">
        <v>751</v>
      </c>
      <c r="B156" s="700"/>
      <c r="C156" s="700"/>
      <c r="D156" s="700"/>
      <c r="E156" s="700"/>
      <c r="F156" s="700"/>
      <c r="G156" s="700"/>
      <c r="H156" s="700"/>
      <c r="I156" s="700"/>
      <c r="J156" s="700"/>
      <c r="K156" s="700"/>
      <c r="L156" s="700"/>
    </row>
    <row r="157" spans="1:12">
      <c r="A157" s="703"/>
      <c r="B157" s="658" t="s">
        <v>546</v>
      </c>
      <c r="C157" s="658"/>
      <c r="D157" s="658"/>
      <c r="E157" s="658" t="s">
        <v>256</v>
      </c>
      <c r="F157" s="658"/>
      <c r="G157" s="658" t="s">
        <v>737</v>
      </c>
      <c r="H157" s="658"/>
      <c r="I157" s="658" t="s">
        <v>271</v>
      </c>
      <c r="J157" s="658"/>
      <c r="K157" s="658" t="s">
        <v>328</v>
      </c>
      <c r="L157" s="658"/>
    </row>
    <row r="158" spans="1:12">
      <c r="A158" s="703"/>
      <c r="B158" s="205" t="s">
        <v>738</v>
      </c>
      <c r="C158" s="205" t="s">
        <v>739</v>
      </c>
      <c r="D158" s="205" t="s">
        <v>740</v>
      </c>
      <c r="E158" s="205" t="s">
        <v>739</v>
      </c>
      <c r="F158" s="205" t="s">
        <v>740</v>
      </c>
      <c r="G158" s="205" t="s">
        <v>739</v>
      </c>
      <c r="H158" s="205" t="s">
        <v>740</v>
      </c>
      <c r="I158" s="205" t="s">
        <v>739</v>
      </c>
      <c r="J158" s="205" t="s">
        <v>740</v>
      </c>
      <c r="K158" s="205" t="s">
        <v>739</v>
      </c>
      <c r="L158" s="205" t="s">
        <v>740</v>
      </c>
    </row>
    <row r="159" spans="1:12" ht="13.15" customHeight="1">
      <c r="A159" s="228" t="s">
        <v>741</v>
      </c>
      <c r="B159" s="343">
        <v>0.28999999999999998</v>
      </c>
      <c r="C159" s="343">
        <v>0.78</v>
      </c>
      <c r="D159" s="343">
        <v>0.11</v>
      </c>
      <c r="E159" s="343">
        <v>1</v>
      </c>
      <c r="F159" s="343">
        <v>0.35</v>
      </c>
      <c r="G159" s="343">
        <v>0.29585771462859223</v>
      </c>
      <c r="H159" s="343">
        <v>0.65344100618065892</v>
      </c>
      <c r="I159" s="343">
        <v>0.104598865638377</v>
      </c>
      <c r="J159" s="343">
        <v>6.8527951502083448E-2</v>
      </c>
      <c r="K159" s="343">
        <v>0</v>
      </c>
      <c r="L159" s="343">
        <v>0</v>
      </c>
    </row>
    <row r="160" spans="1:12" ht="13.15" customHeight="1">
      <c r="A160" s="228" t="s">
        <v>673</v>
      </c>
      <c r="B160" s="343">
        <v>0.1</v>
      </c>
      <c r="C160" s="343">
        <v>0.25</v>
      </c>
      <c r="D160" s="343">
        <v>0.05</v>
      </c>
      <c r="E160" s="343">
        <v>0.3</v>
      </c>
      <c r="F160" s="343">
        <v>0.42</v>
      </c>
      <c r="G160" s="343">
        <v>0.44378657194288834</v>
      </c>
      <c r="H160" s="343">
        <v>0.21781366872688629</v>
      </c>
      <c r="I160" s="343">
        <v>0</v>
      </c>
      <c r="J160" s="343">
        <v>0</v>
      </c>
      <c r="K160" s="343">
        <v>0</v>
      </c>
      <c r="L160" s="343">
        <v>0</v>
      </c>
    </row>
    <row r="161" spans="1:12" ht="13.15" customHeight="1">
      <c r="A161" s="228" t="s">
        <v>742</v>
      </c>
      <c r="B161" s="343">
        <v>0.4</v>
      </c>
      <c r="C161" s="343">
        <v>1.05</v>
      </c>
      <c r="D161" s="343">
        <v>0.15</v>
      </c>
      <c r="E161" s="343">
        <v>1.3</v>
      </c>
      <c r="F161" s="343">
        <v>0.77</v>
      </c>
      <c r="G161" s="343">
        <v>1.0355020012000726</v>
      </c>
      <c r="H161" s="343">
        <v>0.87125467490754516</v>
      </c>
      <c r="I161" s="343">
        <v>0.104598865638377</v>
      </c>
      <c r="J161" s="343">
        <v>6.8527951502083448E-2</v>
      </c>
      <c r="K161" s="343">
        <v>0</v>
      </c>
      <c r="L161" s="343">
        <v>0</v>
      </c>
    </row>
    <row r="162" spans="1:12" ht="13.15" customHeight="1">
      <c r="A162" s="228" t="s">
        <v>743</v>
      </c>
      <c r="B162" s="343">
        <v>0.26</v>
      </c>
      <c r="C162" s="343">
        <v>0.45</v>
      </c>
      <c r="D162" s="343">
        <v>0.19</v>
      </c>
      <c r="E162" s="343">
        <v>0.56000000000000005</v>
      </c>
      <c r="F162" s="343">
        <v>0.54</v>
      </c>
      <c r="G162" s="343">
        <v>0.29585771462859223</v>
      </c>
      <c r="H162" s="343">
        <v>1.7425093498150903</v>
      </c>
      <c r="I162" s="343">
        <v>5.2299432819188502E-2</v>
      </c>
      <c r="J162" s="343">
        <v>0.11564091815976581</v>
      </c>
      <c r="K162" s="343">
        <v>0</v>
      </c>
      <c r="L162" s="343">
        <v>0</v>
      </c>
    </row>
    <row r="163" spans="1:12" ht="13.15" customHeight="1">
      <c r="A163" s="228" t="s">
        <v>669</v>
      </c>
      <c r="B163" s="343">
        <v>0.66</v>
      </c>
      <c r="C163" s="343">
        <v>1.49</v>
      </c>
      <c r="D163" s="343">
        <v>0.34</v>
      </c>
      <c r="E163" s="343">
        <v>1.86</v>
      </c>
      <c r="F163" s="343">
        <v>1.31</v>
      </c>
      <c r="G163" s="343">
        <v>1.3313597158286647</v>
      </c>
      <c r="H163" s="343">
        <v>2.6137640247226352</v>
      </c>
      <c r="I163" s="343">
        <v>0.1568982984575655</v>
      </c>
      <c r="J163" s="343">
        <v>0.18416886966184925</v>
      </c>
      <c r="K163" s="343">
        <v>0</v>
      </c>
      <c r="L163" s="343">
        <v>0</v>
      </c>
    </row>
    <row r="164" spans="1:12" ht="13.15" customHeight="1">
      <c r="A164" s="228" t="s">
        <v>744</v>
      </c>
      <c r="B164" s="343">
        <v>31.95</v>
      </c>
      <c r="C164" s="343">
        <v>108.36</v>
      </c>
      <c r="D164" s="343">
        <v>2.21</v>
      </c>
      <c r="E164" s="343">
        <v>65.63</v>
      </c>
      <c r="F164" s="343">
        <v>7.45</v>
      </c>
      <c r="G164" s="343">
        <v>902.07017190257773</v>
      </c>
      <c r="H164" s="343">
        <v>23.52387622250372</v>
      </c>
      <c r="I164" s="343">
        <v>3.5563614317048184</v>
      </c>
      <c r="J164" s="343">
        <v>1.2163711391619811</v>
      </c>
      <c r="K164" s="343">
        <v>0</v>
      </c>
      <c r="L164" s="343">
        <v>0</v>
      </c>
    </row>
    <row r="165" spans="1:12" ht="13.15" customHeight="1">
      <c r="A165" s="228" t="s">
        <v>745</v>
      </c>
      <c r="B165" s="343">
        <v>11.77</v>
      </c>
      <c r="C165" s="343">
        <v>38.979999999999997</v>
      </c>
      <c r="D165" s="343">
        <v>3.05</v>
      </c>
      <c r="E165" s="343">
        <v>51.26</v>
      </c>
      <c r="F165" s="343">
        <v>3.71</v>
      </c>
      <c r="G165" s="343">
        <v>16.272174304572573</v>
      </c>
      <c r="H165" s="343">
        <v>0.44378657194288834</v>
      </c>
      <c r="I165" s="343">
        <v>0</v>
      </c>
      <c r="J165" s="343">
        <v>1.4643841189372782</v>
      </c>
      <c r="K165" s="343">
        <v>0</v>
      </c>
      <c r="L165" s="343">
        <v>0</v>
      </c>
    </row>
    <row r="166" spans="1:12" ht="13.15" customHeight="1">
      <c r="A166" s="705" t="s">
        <v>748</v>
      </c>
      <c r="B166" s="705"/>
      <c r="C166" s="705"/>
      <c r="D166" s="705"/>
      <c r="E166" s="705"/>
      <c r="F166" s="705"/>
      <c r="G166" s="705"/>
      <c r="H166" s="705"/>
      <c r="I166" s="705"/>
      <c r="J166" s="705"/>
      <c r="K166" s="705"/>
      <c r="L166" s="705"/>
    </row>
    <row r="167" spans="1:12" ht="22.15" customHeight="1">
      <c r="A167" s="622" t="s">
        <v>746</v>
      </c>
      <c r="B167" s="622"/>
      <c r="C167" s="622"/>
      <c r="D167" s="622"/>
      <c r="E167" s="622"/>
      <c r="F167" s="622"/>
      <c r="G167" s="622"/>
      <c r="H167" s="622"/>
      <c r="I167" s="622"/>
      <c r="J167" s="622"/>
      <c r="K167" s="622"/>
      <c r="L167" s="622"/>
    </row>
    <row r="168" spans="1:12">
      <c r="A168" s="16"/>
      <c r="B168" s="16"/>
      <c r="C168" s="16"/>
      <c r="D168" s="16"/>
      <c r="E168" s="16"/>
      <c r="F168" s="16"/>
      <c r="G168" s="16"/>
      <c r="H168" s="16"/>
      <c r="I168" s="16"/>
      <c r="J168" s="16"/>
    </row>
    <row r="169" spans="1:12" ht="17.25">
      <c r="A169" s="700" t="s">
        <v>752</v>
      </c>
      <c r="B169" s="700"/>
      <c r="C169" s="700"/>
      <c r="D169" s="700"/>
      <c r="E169" s="700"/>
      <c r="F169" s="700"/>
      <c r="G169" s="700"/>
      <c r="H169" s="700"/>
      <c r="I169" s="700"/>
      <c r="J169" s="700"/>
      <c r="K169" s="700"/>
      <c r="L169" s="700"/>
    </row>
    <row r="170" spans="1:12">
      <c r="A170" s="703"/>
      <c r="B170" s="658" t="s">
        <v>546</v>
      </c>
      <c r="C170" s="658"/>
      <c r="D170" s="658"/>
      <c r="E170" s="658" t="s">
        <v>256</v>
      </c>
      <c r="F170" s="658"/>
      <c r="G170" s="658" t="s">
        <v>737</v>
      </c>
      <c r="H170" s="658"/>
      <c r="I170" s="658" t="s">
        <v>271</v>
      </c>
      <c r="J170" s="658"/>
      <c r="K170" s="658" t="s">
        <v>328</v>
      </c>
      <c r="L170" s="658"/>
    </row>
    <row r="171" spans="1:12">
      <c r="A171" s="703"/>
      <c r="B171" s="205" t="s">
        <v>738</v>
      </c>
      <c r="C171" s="205" t="s">
        <v>739</v>
      </c>
      <c r="D171" s="205" t="s">
        <v>740</v>
      </c>
      <c r="E171" s="205" t="s">
        <v>739</v>
      </c>
      <c r="F171" s="205" t="s">
        <v>740</v>
      </c>
      <c r="G171" s="205" t="s">
        <v>739</v>
      </c>
      <c r="H171" s="205" t="s">
        <v>740</v>
      </c>
      <c r="I171" s="205" t="s">
        <v>739</v>
      </c>
      <c r="J171" s="205" t="s">
        <v>740</v>
      </c>
      <c r="K171" s="205" t="s">
        <v>739</v>
      </c>
      <c r="L171" s="205" t="s">
        <v>740</v>
      </c>
    </row>
    <row r="172" spans="1:12" ht="15" customHeight="1">
      <c r="A172" s="228" t="s">
        <v>741</v>
      </c>
      <c r="B172" s="343">
        <v>0.28999999999999998</v>
      </c>
      <c r="C172" s="343">
        <v>0.59817460861247429</v>
      </c>
      <c r="D172" s="343">
        <v>0.1407930393626976</v>
      </c>
      <c r="E172" s="343">
        <v>0.72171383997668037</v>
      </c>
      <c r="F172" s="343">
        <v>0.17845609016965081</v>
      </c>
      <c r="G172" s="343">
        <v>0.43611383036160523</v>
      </c>
      <c r="H172" s="343">
        <v>0.40447345211195102</v>
      </c>
      <c r="I172" s="343">
        <v>6.4499052138377033E-2</v>
      </c>
      <c r="J172" s="343">
        <v>9.947180471695298E-2</v>
      </c>
      <c r="K172" s="343">
        <v>0.65788983236198251</v>
      </c>
      <c r="L172" s="343">
        <v>0.29094423666017627</v>
      </c>
    </row>
    <row r="173" spans="1:12" ht="15" customHeight="1">
      <c r="A173" s="228" t="s">
        <v>673</v>
      </c>
      <c r="B173" s="343">
        <v>0.14394350769313338</v>
      </c>
      <c r="C173" s="343">
        <v>0.26558465311103746</v>
      </c>
      <c r="D173" s="343">
        <v>7.9041706308882853E-2</v>
      </c>
      <c r="E173" s="343">
        <v>0.34697780768109637</v>
      </c>
      <c r="F173" s="343">
        <v>0.24473978080409253</v>
      </c>
      <c r="G173" s="343">
        <v>0</v>
      </c>
      <c r="H173" s="343">
        <v>0.40447345211195102</v>
      </c>
      <c r="I173" s="343">
        <v>0</v>
      </c>
      <c r="J173" s="343">
        <v>0</v>
      </c>
      <c r="K173" s="343">
        <v>0.2753957437794346</v>
      </c>
      <c r="L173" s="343">
        <v>0.20638408905943542</v>
      </c>
    </row>
    <row r="174" spans="1:12" ht="15" customHeight="1">
      <c r="A174" s="228" t="s">
        <v>742</v>
      </c>
      <c r="B174" s="343">
        <v>0.43</v>
      </c>
      <c r="C174" s="343">
        <v>0.8637592617235117</v>
      </c>
      <c r="D174" s="343">
        <v>0.21983474567158046</v>
      </c>
      <c r="E174" s="343">
        <v>1.0686916476577768</v>
      </c>
      <c r="F174" s="343">
        <v>0.42319587097374334</v>
      </c>
      <c r="G174" s="343">
        <v>0.43611383036160523</v>
      </c>
      <c r="H174" s="343">
        <v>0.80894690422390203</v>
      </c>
      <c r="I174" s="343">
        <v>6.4499052138377033E-2</v>
      </c>
      <c r="J174" s="343">
        <v>9.947180471695298E-2</v>
      </c>
      <c r="K174" s="343">
        <v>0.93328557614141716</v>
      </c>
      <c r="L174" s="343">
        <v>0.49732832571961172</v>
      </c>
    </row>
    <row r="175" spans="1:12" ht="15" customHeight="1">
      <c r="A175" s="228" t="s">
        <v>743</v>
      </c>
      <c r="B175" s="343">
        <v>0.29509266800930356</v>
      </c>
      <c r="C175" s="343">
        <v>0.34452908210918065</v>
      </c>
      <c r="D175" s="343">
        <v>0.26871580088891611</v>
      </c>
      <c r="E175" s="343">
        <v>0.34697780768109637</v>
      </c>
      <c r="F175" s="343">
        <v>0.82089801478039359</v>
      </c>
      <c r="G175" s="343">
        <v>0.87222766072321045</v>
      </c>
      <c r="H175" s="343">
        <v>1.0111836302798776</v>
      </c>
      <c r="I175" s="343">
        <v>0.12899810427675407</v>
      </c>
      <c r="J175" s="343">
        <v>9.1820127431033516E-2</v>
      </c>
      <c r="K175" s="343">
        <v>0.28763555461407619</v>
      </c>
      <c r="L175" s="343">
        <v>0.14188906122836181</v>
      </c>
    </row>
    <row r="176" spans="1:12" ht="15" customHeight="1">
      <c r="A176" s="228" t="s">
        <v>669</v>
      </c>
      <c r="B176" s="343">
        <v>0.73</v>
      </c>
      <c r="C176" s="343">
        <v>1.2082883438326923</v>
      </c>
      <c r="D176" s="343">
        <v>0.48855054656049657</v>
      </c>
      <c r="E176" s="343">
        <v>1.4156694553388731</v>
      </c>
      <c r="F176" s="343">
        <v>1.244093885754137</v>
      </c>
      <c r="G176" s="343">
        <v>1.3083414910848157</v>
      </c>
      <c r="H176" s="343">
        <v>1.8201305345037797</v>
      </c>
      <c r="I176" s="343">
        <v>0.1934971564151311</v>
      </c>
      <c r="J176" s="343">
        <v>0.19129193214798651</v>
      </c>
      <c r="K176" s="343">
        <v>1.2209211307554932</v>
      </c>
      <c r="L176" s="343">
        <v>0.63921738694797359</v>
      </c>
    </row>
    <row r="177" spans="1:12" ht="15" customHeight="1">
      <c r="A177" s="228" t="s">
        <v>744</v>
      </c>
      <c r="B177" s="343">
        <v>27.52</v>
      </c>
      <c r="C177" s="343">
        <v>44.367012752601561</v>
      </c>
      <c r="D177" s="343">
        <v>18.493809234182155</v>
      </c>
      <c r="E177" s="343">
        <v>59.02786464270811</v>
      </c>
      <c r="F177" s="343">
        <v>80.407215485011236</v>
      </c>
      <c r="G177" s="343">
        <v>23.259404285952279</v>
      </c>
      <c r="H177" s="343">
        <v>4.2469712471754857</v>
      </c>
      <c r="I177" s="343">
        <v>5.9339127967306871</v>
      </c>
      <c r="J177" s="343">
        <v>2.5327051816393413</v>
      </c>
      <c r="K177" s="343">
        <v>5.780250666659466</v>
      </c>
      <c r="L177" s="343">
        <v>2.8908104696727857</v>
      </c>
    </row>
    <row r="178" spans="1:12" ht="15" customHeight="1">
      <c r="A178" s="228" t="s">
        <v>745</v>
      </c>
      <c r="B178" s="343">
        <v>11.534469629421967</v>
      </c>
      <c r="C178" s="343">
        <v>30.476448083604186</v>
      </c>
      <c r="D178" s="343">
        <v>2.6763136052950784</v>
      </c>
      <c r="E178" s="343">
        <v>43.399984184751531</v>
      </c>
      <c r="F178" s="343">
        <v>2.7841499288331173</v>
      </c>
      <c r="G178" s="343">
        <v>0</v>
      </c>
      <c r="H178" s="343">
        <v>10.757474482252928</v>
      </c>
      <c r="I178" s="343">
        <v>0</v>
      </c>
      <c r="J178" s="343">
        <v>0</v>
      </c>
      <c r="K178" s="343">
        <v>0</v>
      </c>
      <c r="L178" s="343">
        <v>0</v>
      </c>
    </row>
    <row r="179" spans="1:12" ht="25.15" customHeight="1">
      <c r="A179" s="613" t="s">
        <v>750</v>
      </c>
      <c r="B179" s="613"/>
      <c r="C179" s="613"/>
      <c r="D179" s="613"/>
      <c r="E179" s="613"/>
      <c r="F179" s="613"/>
      <c r="G179" s="613"/>
      <c r="H179" s="613"/>
      <c r="I179" s="613"/>
      <c r="J179" s="613"/>
      <c r="K179" s="613"/>
      <c r="L179" s="613"/>
    </row>
    <row r="180" spans="1:12" ht="13.15" customHeight="1">
      <c r="A180" s="640" t="s">
        <v>746</v>
      </c>
      <c r="B180" s="640"/>
      <c r="C180" s="640"/>
      <c r="D180" s="640"/>
      <c r="E180" s="640"/>
      <c r="F180" s="640"/>
      <c r="G180" s="640"/>
      <c r="H180" s="640"/>
      <c r="I180" s="640"/>
      <c r="J180" s="640"/>
      <c r="K180" s="640"/>
      <c r="L180" s="640"/>
    </row>
    <row r="181" spans="1:12">
      <c r="A181" s="70"/>
      <c r="B181" s="71"/>
      <c r="C181" s="71"/>
      <c r="D181" s="71"/>
      <c r="E181" s="71"/>
      <c r="F181" s="71"/>
      <c r="G181" s="71"/>
      <c r="H181" s="71"/>
      <c r="I181" s="71"/>
      <c r="J181" s="71"/>
      <c r="K181" s="71"/>
      <c r="L181" s="71"/>
    </row>
    <row r="182" spans="1:12" ht="17.25">
      <c r="A182" s="700" t="s">
        <v>753</v>
      </c>
      <c r="B182" s="700"/>
      <c r="C182" s="700"/>
      <c r="D182" s="700"/>
      <c r="E182" s="700"/>
      <c r="F182" s="700"/>
      <c r="G182" s="700"/>
      <c r="H182" s="700"/>
      <c r="I182" s="700"/>
      <c r="J182" s="700"/>
      <c r="K182" s="700"/>
      <c r="L182" s="700"/>
    </row>
    <row r="183" spans="1:12">
      <c r="A183" s="703"/>
      <c r="B183" s="658" t="s">
        <v>546</v>
      </c>
      <c r="C183" s="658"/>
      <c r="D183" s="658"/>
      <c r="E183" s="658" t="s">
        <v>256</v>
      </c>
      <c r="F183" s="658"/>
      <c r="G183" s="658" t="s">
        <v>737</v>
      </c>
      <c r="H183" s="658"/>
      <c r="I183" s="658" t="s">
        <v>271</v>
      </c>
      <c r="J183" s="658"/>
      <c r="K183" s="658" t="s">
        <v>328</v>
      </c>
      <c r="L183" s="658"/>
    </row>
    <row r="184" spans="1:12">
      <c r="A184" s="703"/>
      <c r="B184" s="205" t="s">
        <v>738</v>
      </c>
      <c r="C184" s="205" t="s">
        <v>739</v>
      </c>
      <c r="D184" s="205" t="s">
        <v>740</v>
      </c>
      <c r="E184" s="205" t="s">
        <v>739</v>
      </c>
      <c r="F184" s="205" t="s">
        <v>740</v>
      </c>
      <c r="G184" s="205" t="s">
        <v>739</v>
      </c>
      <c r="H184" s="205" t="s">
        <v>740</v>
      </c>
      <c r="I184" s="205" t="s">
        <v>739</v>
      </c>
      <c r="J184" s="205" t="s">
        <v>740</v>
      </c>
      <c r="K184" s="205" t="s">
        <v>739</v>
      </c>
      <c r="L184" s="205" t="s">
        <v>740</v>
      </c>
    </row>
    <row r="185" spans="1:12" ht="15" customHeight="1">
      <c r="A185" s="228" t="s">
        <v>741</v>
      </c>
      <c r="B185" s="343">
        <v>0.30944613488008327</v>
      </c>
      <c r="C185" s="343">
        <v>0.60595230516120491</v>
      </c>
      <c r="D185" s="343">
        <v>0.13852009482031735</v>
      </c>
      <c r="E185" s="343">
        <v>0.73857800653179939</v>
      </c>
      <c r="F185" s="343">
        <v>0.17322614937624498</v>
      </c>
      <c r="G185" s="343">
        <v>0.43611383036160523</v>
      </c>
      <c r="H185" s="343">
        <v>0.40447345211195102</v>
      </c>
      <c r="I185" s="343">
        <v>6.4499052138377033E-2</v>
      </c>
      <c r="J185" s="343">
        <v>9.947180471695298E-2</v>
      </c>
      <c r="K185" s="343">
        <v>0.68294348642649816</v>
      </c>
      <c r="L185" s="343">
        <v>1.9456659803870382</v>
      </c>
    </row>
    <row r="186" spans="1:12" ht="15" customHeight="1">
      <c r="A186" s="228" t="s">
        <v>673</v>
      </c>
      <c r="B186" s="343">
        <v>0.13753161550225923</v>
      </c>
      <c r="C186" s="343">
        <v>0.26118633843155381</v>
      </c>
      <c r="D186" s="343">
        <v>6.6248741001021336E-2</v>
      </c>
      <c r="E186" s="343">
        <v>0.35508558006336505</v>
      </c>
      <c r="F186" s="343">
        <v>0.31180706887724091</v>
      </c>
      <c r="G186" s="343">
        <v>0</v>
      </c>
      <c r="H186" s="343">
        <v>0.40447345211195102</v>
      </c>
      <c r="I186" s="343">
        <v>0</v>
      </c>
      <c r="J186" s="343">
        <v>0</v>
      </c>
      <c r="K186" s="343">
        <v>0</v>
      </c>
      <c r="L186" s="343">
        <v>0</v>
      </c>
    </row>
    <row r="187" spans="1:12" ht="15" customHeight="1">
      <c r="A187" s="228" t="s">
        <v>742</v>
      </c>
      <c r="B187" s="343">
        <v>0.4469777503823425</v>
      </c>
      <c r="C187" s="343">
        <v>0.86713864359275872</v>
      </c>
      <c r="D187" s="343">
        <v>0.2047688358213387</v>
      </c>
      <c r="E187" s="343">
        <v>1.0936635865951645</v>
      </c>
      <c r="F187" s="343">
        <v>0.48503321825348589</v>
      </c>
      <c r="G187" s="343">
        <v>0.43611383036160523</v>
      </c>
      <c r="H187" s="343">
        <v>0.80894690422390203</v>
      </c>
      <c r="I187" s="343">
        <v>6.4499052138377033E-2</v>
      </c>
      <c r="J187" s="343">
        <v>9.947180471695298E-2</v>
      </c>
      <c r="K187" s="343">
        <v>0.68294348642649816</v>
      </c>
      <c r="L187" s="343">
        <v>1.9456659803870382</v>
      </c>
    </row>
    <row r="188" spans="1:12" ht="15" customHeight="1">
      <c r="A188" s="228" t="s">
        <v>743</v>
      </c>
      <c r="B188" s="343">
        <v>0.27888355365735901</v>
      </c>
      <c r="C188" s="343">
        <v>0.35521342026691322</v>
      </c>
      <c r="D188" s="343">
        <v>0.23488189991271202</v>
      </c>
      <c r="E188" s="343">
        <v>0.35508558006336505</v>
      </c>
      <c r="F188" s="343">
        <v>0.76219505725547787</v>
      </c>
      <c r="G188" s="343">
        <v>0.87222766072321045</v>
      </c>
      <c r="H188" s="343">
        <v>1.0111836302798776</v>
      </c>
      <c r="I188" s="343">
        <v>0.12899810427675407</v>
      </c>
      <c r="J188" s="343">
        <v>9.1820127431033516E-2</v>
      </c>
      <c r="K188" s="343">
        <v>0.34147174321324908</v>
      </c>
      <c r="L188" s="343">
        <v>0</v>
      </c>
    </row>
    <row r="189" spans="1:12" ht="15" customHeight="1">
      <c r="A189" s="228" t="s">
        <v>669</v>
      </c>
      <c r="B189" s="343">
        <v>0.7258613040397015</v>
      </c>
      <c r="C189" s="343">
        <v>1.2223520638596719</v>
      </c>
      <c r="D189" s="343">
        <v>0.43965073573405072</v>
      </c>
      <c r="E189" s="343">
        <v>1.4487491666585295</v>
      </c>
      <c r="F189" s="343">
        <v>1.2472282755089639</v>
      </c>
      <c r="G189" s="343">
        <v>1.3083414910848157</v>
      </c>
      <c r="H189" s="343">
        <v>1.8201305345037797</v>
      </c>
      <c r="I189" s="343">
        <v>0.1934971564151311</v>
      </c>
      <c r="J189" s="343">
        <v>0.19129193214798651</v>
      </c>
      <c r="K189" s="343">
        <v>1.0244152296397473</v>
      </c>
      <c r="L189" s="343">
        <v>1.9456659803870382</v>
      </c>
    </row>
    <row r="190" spans="1:12" ht="15" customHeight="1">
      <c r="A190" s="228" t="s">
        <v>744</v>
      </c>
      <c r="B190" s="343">
        <v>21.638307505688786</v>
      </c>
      <c r="C190" s="343">
        <v>47.368754337946605</v>
      </c>
      <c r="D190" s="343">
        <v>6.8055524846503737</v>
      </c>
      <c r="E190" s="343">
        <v>60.407158880379669</v>
      </c>
      <c r="F190" s="343">
        <v>25.949277176561495</v>
      </c>
      <c r="G190" s="343">
        <v>23.259404285952279</v>
      </c>
      <c r="H190" s="343">
        <v>4.2469712471754857</v>
      </c>
      <c r="I190" s="343">
        <v>5.9339127967306871</v>
      </c>
      <c r="J190" s="343">
        <v>2.5327051816393413</v>
      </c>
      <c r="K190" s="343">
        <v>9.9026805531842239</v>
      </c>
      <c r="L190" s="343">
        <v>18.808104477074703</v>
      </c>
    </row>
    <row r="191" spans="1:12" ht="15" customHeight="1">
      <c r="A191" s="228" t="s">
        <v>745</v>
      </c>
      <c r="B191" s="343">
        <v>12.992917342310657</v>
      </c>
      <c r="C191" s="343">
        <v>32.669187211018752</v>
      </c>
      <c r="D191" s="343">
        <v>2.8626022692098299</v>
      </c>
      <c r="E191" s="343">
        <v>44.414104354325701</v>
      </c>
      <c r="F191" s="343">
        <v>2.8406846405069204</v>
      </c>
      <c r="G191" s="343">
        <v>0</v>
      </c>
      <c r="H191" s="343">
        <v>10.757474482252928</v>
      </c>
      <c r="I191" s="343">
        <v>0</v>
      </c>
      <c r="J191" s="343">
        <v>0</v>
      </c>
      <c r="K191" s="343">
        <v>0</v>
      </c>
      <c r="L191" s="343">
        <v>0</v>
      </c>
    </row>
    <row r="192" spans="1:12" ht="15.6" customHeight="1">
      <c r="A192" s="705" t="s">
        <v>748</v>
      </c>
      <c r="B192" s="705"/>
      <c r="C192" s="705"/>
      <c r="D192" s="705"/>
      <c r="E192" s="705"/>
      <c r="F192" s="705"/>
      <c r="G192" s="705"/>
      <c r="H192" s="705"/>
      <c r="I192" s="705"/>
      <c r="J192" s="705"/>
      <c r="K192" s="705"/>
      <c r="L192" s="705"/>
    </row>
    <row r="193" spans="1:12" ht="21.6" customHeight="1">
      <c r="A193" s="622" t="s">
        <v>746</v>
      </c>
      <c r="B193" s="622"/>
      <c r="C193" s="622"/>
      <c r="D193" s="622"/>
      <c r="E193" s="622"/>
      <c r="F193" s="622"/>
      <c r="G193" s="622"/>
      <c r="H193" s="622"/>
      <c r="I193" s="622"/>
      <c r="J193" s="622"/>
      <c r="K193" s="622"/>
      <c r="L193" s="622"/>
    </row>
    <row r="194" spans="1:12">
      <c r="A194" s="72"/>
      <c r="B194" s="72"/>
      <c r="C194" s="72"/>
      <c r="D194" s="72"/>
      <c r="E194" s="72"/>
      <c r="F194" s="72"/>
      <c r="G194" s="72"/>
      <c r="H194" s="72"/>
      <c r="I194" s="72"/>
      <c r="J194" s="72"/>
      <c r="K194" s="72"/>
      <c r="L194" s="72"/>
    </row>
    <row r="195" spans="1:12" ht="17.25">
      <c r="A195" s="700" t="s">
        <v>754</v>
      </c>
      <c r="B195" s="700"/>
      <c r="C195" s="700"/>
      <c r="D195" s="700"/>
      <c r="E195" s="700"/>
      <c r="F195" s="700"/>
      <c r="G195" s="700"/>
      <c r="H195" s="700"/>
      <c r="I195" s="700"/>
      <c r="J195" s="700"/>
      <c r="K195" s="700"/>
      <c r="L195" s="700"/>
    </row>
    <row r="196" spans="1:12">
      <c r="A196" s="706"/>
      <c r="B196" s="704" t="s">
        <v>546</v>
      </c>
      <c r="C196" s="704"/>
      <c r="D196" s="704"/>
      <c r="E196" s="704" t="s">
        <v>256</v>
      </c>
      <c r="F196" s="704"/>
      <c r="G196" s="704" t="s">
        <v>737</v>
      </c>
      <c r="H196" s="704"/>
      <c r="I196" s="704" t="s">
        <v>271</v>
      </c>
      <c r="J196" s="704"/>
      <c r="K196" s="704" t="s">
        <v>328</v>
      </c>
      <c r="L196" s="704"/>
    </row>
    <row r="197" spans="1:12">
      <c r="A197" s="706"/>
      <c r="B197" s="214" t="s">
        <v>738</v>
      </c>
      <c r="C197" s="214" t="s">
        <v>739</v>
      </c>
      <c r="D197" s="214" t="s">
        <v>740</v>
      </c>
      <c r="E197" s="214" t="s">
        <v>739</v>
      </c>
      <c r="F197" s="214" t="s">
        <v>740</v>
      </c>
      <c r="G197" s="214" t="s">
        <v>739</v>
      </c>
      <c r="H197" s="214" t="s">
        <v>740</v>
      </c>
      <c r="I197" s="214" t="s">
        <v>739</v>
      </c>
      <c r="J197" s="214" t="s">
        <v>740</v>
      </c>
      <c r="K197" s="214" t="s">
        <v>739</v>
      </c>
      <c r="L197" s="214" t="s">
        <v>740</v>
      </c>
    </row>
    <row r="198" spans="1:12" ht="15" customHeight="1">
      <c r="A198" s="228" t="s">
        <v>741</v>
      </c>
      <c r="B198" s="343">
        <v>0.33769682386019412</v>
      </c>
      <c r="C198" s="343">
        <v>0.63141505384148411</v>
      </c>
      <c r="D198" s="343">
        <v>0.13439240035508485</v>
      </c>
      <c r="E198" s="343">
        <v>0.78657918367918245</v>
      </c>
      <c r="F198" s="343">
        <v>0.19028898279723708</v>
      </c>
      <c r="G198" s="343">
        <v>0.49032530859374102</v>
      </c>
      <c r="H198" s="343">
        <v>0</v>
      </c>
      <c r="I198" s="343">
        <v>0</v>
      </c>
      <c r="J198" s="343">
        <v>0.10624500432669499</v>
      </c>
      <c r="K198" s="343">
        <v>0</v>
      </c>
      <c r="L198" s="343">
        <v>0.26680429143496992</v>
      </c>
    </row>
    <row r="199" spans="1:12" ht="15" customHeight="1">
      <c r="A199" s="228" t="s">
        <v>673</v>
      </c>
      <c r="B199" s="343">
        <v>0.20091292923405624</v>
      </c>
      <c r="C199" s="343">
        <v>0.28818082112894433</v>
      </c>
      <c r="D199" s="343">
        <v>0.14050827388349593</v>
      </c>
      <c r="E199" s="343">
        <v>0.36888677361734024</v>
      </c>
      <c r="F199" s="343">
        <v>0.37236405266797473</v>
      </c>
      <c r="G199" s="343">
        <v>0.12258132714843525</v>
      </c>
      <c r="H199" s="343">
        <v>0.29559633730716789</v>
      </c>
      <c r="I199" s="343">
        <v>0</v>
      </c>
      <c r="J199" s="343">
        <v>0</v>
      </c>
      <c r="K199" s="343">
        <v>0</v>
      </c>
      <c r="L199" s="343">
        <v>0</v>
      </c>
    </row>
    <row r="200" spans="1:12" ht="15" customHeight="1">
      <c r="A200" s="228" t="s">
        <v>742</v>
      </c>
      <c r="B200" s="343">
        <v>0.53860975309425041</v>
      </c>
      <c r="C200" s="343">
        <v>0.9195958749704285</v>
      </c>
      <c r="D200" s="343">
        <v>0.27490067423858078</v>
      </c>
      <c r="E200" s="343">
        <v>1.1554659572965227</v>
      </c>
      <c r="F200" s="343">
        <v>0.56265303546521184</v>
      </c>
      <c r="G200" s="343">
        <v>0.6129066357421763</v>
      </c>
      <c r="H200" s="343">
        <v>0.29559633730716789</v>
      </c>
      <c r="I200" s="343">
        <v>0</v>
      </c>
      <c r="J200" s="343">
        <v>0.10624500432669499</v>
      </c>
      <c r="K200" s="343">
        <v>0</v>
      </c>
      <c r="L200" s="343">
        <v>0.26680429143496992</v>
      </c>
    </row>
    <row r="201" spans="1:12" ht="15" customHeight="1">
      <c r="A201" s="228" t="s">
        <v>743</v>
      </c>
      <c r="B201" s="343">
        <v>0.28255697473922387</v>
      </c>
      <c r="C201" s="343">
        <v>0.41799812498655842</v>
      </c>
      <c r="D201" s="343">
        <v>0.18880799303094767</v>
      </c>
      <c r="E201" s="343">
        <v>0.4446403074851869</v>
      </c>
      <c r="F201" s="343">
        <v>0.40339439039030589</v>
      </c>
      <c r="G201" s="343">
        <v>0.98065061718748203</v>
      </c>
      <c r="H201" s="343">
        <v>0.59119267461433578</v>
      </c>
      <c r="I201" s="343">
        <v>0</v>
      </c>
      <c r="J201" s="343">
        <v>2.1249000865338999E-2</v>
      </c>
      <c r="K201" s="343">
        <v>0.24549002842703335</v>
      </c>
      <c r="L201" s="343">
        <v>0.53360858286993984</v>
      </c>
    </row>
    <row r="202" spans="1:12" ht="15" customHeight="1">
      <c r="A202" s="228" t="s">
        <v>669</v>
      </c>
      <c r="B202" s="343">
        <v>0.82116672783347422</v>
      </c>
      <c r="C202" s="343">
        <v>1.3375939999569868</v>
      </c>
      <c r="D202" s="343">
        <v>0.46370866726952847</v>
      </c>
      <c r="E202" s="343">
        <v>1.6001062647817095</v>
      </c>
      <c r="F202" s="343">
        <v>0.81308611402426134</v>
      </c>
      <c r="G202" s="343">
        <v>1.1032319443359173</v>
      </c>
      <c r="H202" s="343">
        <v>0.88678901192150372</v>
      </c>
      <c r="I202" s="343">
        <v>0</v>
      </c>
      <c r="J202" s="343">
        <v>0.12749400519203399</v>
      </c>
      <c r="K202" s="343">
        <v>0.24549002842703335</v>
      </c>
      <c r="L202" s="343">
        <v>0.80041287430490982</v>
      </c>
    </row>
    <row r="203" spans="1:12" ht="15" customHeight="1">
      <c r="A203" s="228" t="s">
        <v>744</v>
      </c>
      <c r="B203" s="343">
        <v>40.998099581709631</v>
      </c>
      <c r="C203" s="343">
        <v>31.074818873323217</v>
      </c>
      <c r="D203" s="343">
        <v>47.866746665094212</v>
      </c>
      <c r="E203" s="343">
        <v>39.523882308654649</v>
      </c>
      <c r="F203" s="343">
        <v>27.908594481765519</v>
      </c>
      <c r="G203" s="343">
        <v>12.380714041991961</v>
      </c>
      <c r="H203" s="343">
        <v>0</v>
      </c>
      <c r="I203" s="343">
        <v>1.914975668490136</v>
      </c>
      <c r="J203" s="343">
        <v>64.809452639283947</v>
      </c>
      <c r="K203" s="343">
        <v>0</v>
      </c>
      <c r="L203" s="343">
        <v>0.53360858286993984</v>
      </c>
    </row>
    <row r="204" spans="1:12" ht="15" customHeight="1">
      <c r="A204" s="228" t="s">
        <v>745</v>
      </c>
      <c r="B204" s="343">
        <v>14.093560091289332</v>
      </c>
      <c r="C204" s="343">
        <v>31.09271689601912</v>
      </c>
      <c r="D204" s="343">
        <v>2.3271682861954015</v>
      </c>
      <c r="E204" s="343">
        <v>40.134401895834642</v>
      </c>
      <c r="F204" s="343">
        <v>5.9505235867529285</v>
      </c>
      <c r="G204" s="343">
        <v>9.8065061718748208</v>
      </c>
      <c r="H204" s="343">
        <v>6.0597249147969423</v>
      </c>
      <c r="I204" s="343">
        <v>0</v>
      </c>
      <c r="J204" s="343">
        <v>0</v>
      </c>
      <c r="K204" s="343">
        <v>0</v>
      </c>
      <c r="L204" s="343">
        <v>1.0672171657398797</v>
      </c>
    </row>
    <row r="205" spans="1:12" ht="23.65" customHeight="1">
      <c r="A205" s="613" t="s">
        <v>750</v>
      </c>
      <c r="B205" s="613"/>
      <c r="C205" s="613"/>
      <c r="D205" s="613"/>
      <c r="E205" s="613"/>
      <c r="F205" s="613"/>
      <c r="G205" s="613"/>
      <c r="H205" s="613"/>
      <c r="I205" s="613"/>
      <c r="J205" s="613"/>
      <c r="K205" s="613"/>
      <c r="L205" s="613"/>
    </row>
    <row r="206" spans="1:12" ht="22.15" customHeight="1">
      <c r="A206" s="622" t="s">
        <v>746</v>
      </c>
      <c r="B206" s="622"/>
      <c r="C206" s="622"/>
      <c r="D206" s="622"/>
      <c r="E206" s="622"/>
      <c r="F206" s="622"/>
      <c r="G206" s="622"/>
      <c r="H206" s="622"/>
      <c r="I206" s="622"/>
      <c r="J206" s="622"/>
      <c r="K206" s="622"/>
      <c r="L206" s="622"/>
    </row>
    <row r="207" spans="1:12">
      <c r="A207" s="73"/>
      <c r="B207" s="73"/>
      <c r="C207" s="73"/>
      <c r="D207" s="73"/>
      <c r="E207" s="73"/>
      <c r="F207" s="73"/>
      <c r="G207" s="73"/>
      <c r="H207" s="73"/>
      <c r="I207" s="73"/>
      <c r="J207" s="73"/>
      <c r="K207" s="73"/>
      <c r="L207" s="73"/>
    </row>
    <row r="208" spans="1:12" ht="17.25">
      <c r="A208" s="700" t="s">
        <v>755</v>
      </c>
      <c r="B208" s="700"/>
      <c r="C208" s="700"/>
      <c r="D208" s="700"/>
      <c r="E208" s="700"/>
      <c r="F208" s="700"/>
      <c r="G208" s="700"/>
      <c r="H208" s="700"/>
      <c r="I208" s="700"/>
      <c r="J208" s="700"/>
      <c r="K208" s="700"/>
      <c r="L208" s="700"/>
    </row>
    <row r="209" spans="1:12">
      <c r="A209" s="706"/>
      <c r="B209" s="704" t="s">
        <v>546</v>
      </c>
      <c r="C209" s="704"/>
      <c r="D209" s="704"/>
      <c r="E209" s="704" t="s">
        <v>256</v>
      </c>
      <c r="F209" s="704"/>
      <c r="G209" s="704" t="s">
        <v>737</v>
      </c>
      <c r="H209" s="704"/>
      <c r="I209" s="704" t="s">
        <v>271</v>
      </c>
      <c r="J209" s="704"/>
      <c r="K209" s="704" t="s">
        <v>328</v>
      </c>
      <c r="L209" s="704"/>
    </row>
    <row r="210" spans="1:12">
      <c r="A210" s="706"/>
      <c r="B210" s="214" t="s">
        <v>738</v>
      </c>
      <c r="C210" s="214" t="s">
        <v>739</v>
      </c>
      <c r="D210" s="214" t="s">
        <v>740</v>
      </c>
      <c r="E210" s="214" t="s">
        <v>739</v>
      </c>
      <c r="F210" s="214" t="s">
        <v>740</v>
      </c>
      <c r="G210" s="214" t="s">
        <v>739</v>
      </c>
      <c r="H210" s="214" t="s">
        <v>740</v>
      </c>
      <c r="I210" s="214" t="s">
        <v>739</v>
      </c>
      <c r="J210" s="214" t="s">
        <v>740</v>
      </c>
      <c r="K210" s="214" t="s">
        <v>739</v>
      </c>
      <c r="L210" s="214" t="s">
        <v>740</v>
      </c>
    </row>
    <row r="211" spans="1:12" ht="13.9" customHeight="1">
      <c r="A211" s="228" t="s">
        <v>741</v>
      </c>
      <c r="B211" s="228">
        <v>0.36</v>
      </c>
      <c r="C211" s="228">
        <v>0.57999999999999996</v>
      </c>
      <c r="D211" s="228">
        <v>0.14000000000000001</v>
      </c>
      <c r="E211" s="228">
        <v>0.74</v>
      </c>
      <c r="F211" s="228">
        <v>0.06</v>
      </c>
      <c r="G211" s="228">
        <v>0.33</v>
      </c>
      <c r="H211" s="228">
        <v>0</v>
      </c>
      <c r="I211" s="228">
        <v>0.14000000000000001</v>
      </c>
      <c r="J211" s="228">
        <v>0.17</v>
      </c>
      <c r="K211" s="228">
        <v>0.15</v>
      </c>
      <c r="L211" s="228">
        <v>0.2</v>
      </c>
    </row>
    <row r="212" spans="1:12" ht="13.9" customHeight="1">
      <c r="A212" s="228" t="s">
        <v>673</v>
      </c>
      <c r="B212" s="228">
        <v>0.26</v>
      </c>
      <c r="C212" s="228">
        <v>0.31</v>
      </c>
      <c r="D212" s="228">
        <v>0.2</v>
      </c>
      <c r="E212" s="228">
        <v>0.41</v>
      </c>
      <c r="F212" s="228">
        <v>0.25</v>
      </c>
      <c r="G212" s="228">
        <v>0.11</v>
      </c>
      <c r="H212" s="228">
        <v>0.54</v>
      </c>
      <c r="I212" s="228">
        <v>0</v>
      </c>
      <c r="J212" s="228">
        <v>0.02</v>
      </c>
      <c r="K212" s="228">
        <v>0.16</v>
      </c>
      <c r="L212" s="228">
        <v>0.25</v>
      </c>
    </row>
    <row r="213" spans="1:12" ht="13.9" customHeight="1">
      <c r="A213" s="228" t="s">
        <v>742</v>
      </c>
      <c r="B213" s="228">
        <v>0.62</v>
      </c>
      <c r="C213" s="228">
        <v>0.89</v>
      </c>
      <c r="D213" s="228">
        <v>0.33</v>
      </c>
      <c r="E213" s="228">
        <v>1.1499999999999999</v>
      </c>
      <c r="F213" s="228">
        <v>0.32</v>
      </c>
      <c r="G213" s="228">
        <v>0.44</v>
      </c>
      <c r="H213" s="228">
        <v>0.54</v>
      </c>
      <c r="I213" s="228">
        <v>0.14000000000000001</v>
      </c>
      <c r="J213" s="228">
        <v>0.18</v>
      </c>
      <c r="K213" s="228">
        <v>0.31</v>
      </c>
      <c r="L213" s="228">
        <v>0.46</v>
      </c>
    </row>
    <row r="214" spans="1:12" ht="13.9" customHeight="1">
      <c r="A214" s="228" t="s">
        <v>743</v>
      </c>
      <c r="B214" s="228">
        <v>0.39</v>
      </c>
      <c r="C214" s="228">
        <v>0.35</v>
      </c>
      <c r="D214" s="228">
        <v>0.44</v>
      </c>
      <c r="E214" s="228">
        <v>0.34</v>
      </c>
      <c r="F214" s="228">
        <v>0.55000000000000004</v>
      </c>
      <c r="G214" s="228">
        <v>0.77</v>
      </c>
      <c r="H214" s="228">
        <v>2.33</v>
      </c>
      <c r="I214" s="228">
        <v>0.28999999999999998</v>
      </c>
      <c r="J214" s="228">
        <v>0</v>
      </c>
      <c r="K214" s="228">
        <v>0.12</v>
      </c>
      <c r="L214" s="228">
        <v>0.36</v>
      </c>
    </row>
    <row r="215" spans="1:12" ht="13.9" customHeight="1">
      <c r="A215" s="228" t="s">
        <v>669</v>
      </c>
      <c r="B215" s="228">
        <v>1.01</v>
      </c>
      <c r="C215" s="228">
        <v>1.24</v>
      </c>
      <c r="D215" s="228">
        <v>0.77</v>
      </c>
      <c r="E215" s="228">
        <v>1.49</v>
      </c>
      <c r="F215" s="228">
        <v>0.84</v>
      </c>
      <c r="G215" s="228">
        <v>0.88</v>
      </c>
      <c r="H215" s="228">
        <v>2.86</v>
      </c>
      <c r="I215" s="228">
        <v>0.43</v>
      </c>
      <c r="J215" s="228">
        <v>0.18</v>
      </c>
      <c r="K215" s="228">
        <v>0.28000000000000003</v>
      </c>
      <c r="L215" s="228">
        <v>0.82</v>
      </c>
    </row>
    <row r="216" spans="1:12" ht="13.9" customHeight="1">
      <c r="A216" s="228" t="s">
        <v>744</v>
      </c>
      <c r="B216" s="228">
        <v>73.349999999999994</v>
      </c>
      <c r="C216" s="228">
        <v>83.59</v>
      </c>
      <c r="D216" s="228">
        <v>62.31</v>
      </c>
      <c r="E216" s="228">
        <v>112.18</v>
      </c>
      <c r="F216" s="228">
        <v>152.78</v>
      </c>
      <c r="G216" s="228">
        <v>40.799999999999997</v>
      </c>
      <c r="H216" s="228">
        <v>0</v>
      </c>
      <c r="I216" s="228">
        <v>13.15</v>
      </c>
      <c r="J216" s="228">
        <v>7.4</v>
      </c>
      <c r="K216" s="228">
        <v>1.21</v>
      </c>
      <c r="L216" s="228">
        <v>1.93</v>
      </c>
    </row>
    <row r="217" spans="1:12" ht="13.9" customHeight="1">
      <c r="A217" s="228" t="s">
        <v>745</v>
      </c>
      <c r="B217" s="228">
        <v>12.68</v>
      </c>
      <c r="C217" s="228">
        <v>22.66</v>
      </c>
      <c r="D217" s="228">
        <v>1.94</v>
      </c>
      <c r="E217" s="228">
        <v>30.5</v>
      </c>
      <c r="F217" s="228">
        <v>3.85</v>
      </c>
      <c r="G217" s="228">
        <v>16.100000000000001</v>
      </c>
      <c r="H217" s="228">
        <v>7.7</v>
      </c>
      <c r="I217" s="228">
        <v>0</v>
      </c>
      <c r="J217" s="228">
        <v>0.03</v>
      </c>
      <c r="K217" s="228">
        <v>0</v>
      </c>
      <c r="L217" s="228">
        <v>0</v>
      </c>
    </row>
    <row r="218" spans="1:12" ht="26.65" customHeight="1">
      <c r="A218" s="613" t="s">
        <v>750</v>
      </c>
      <c r="B218" s="613"/>
      <c r="C218" s="613"/>
      <c r="D218" s="613"/>
      <c r="E218" s="613"/>
      <c r="F218" s="613"/>
      <c r="G218" s="613"/>
      <c r="H218" s="613"/>
      <c r="I218" s="613"/>
      <c r="J218" s="613"/>
      <c r="K218" s="613"/>
      <c r="L218" s="613"/>
    </row>
    <row r="219" spans="1:12" ht="22.15" customHeight="1">
      <c r="A219" s="622" t="s">
        <v>756</v>
      </c>
      <c r="B219" s="622"/>
      <c r="C219" s="622"/>
      <c r="D219" s="622"/>
      <c r="E219" s="622"/>
      <c r="F219" s="622"/>
      <c r="G219" s="622"/>
      <c r="H219" s="622"/>
      <c r="I219" s="622"/>
      <c r="J219" s="622"/>
      <c r="K219" s="622"/>
      <c r="L219" s="622"/>
    </row>
    <row r="221" spans="1:12" ht="17.25">
      <c r="A221" s="700" t="s">
        <v>757</v>
      </c>
      <c r="B221" s="700"/>
      <c r="C221" s="700"/>
      <c r="D221" s="700"/>
      <c r="E221" s="700"/>
      <c r="F221" s="700"/>
      <c r="G221" s="700"/>
      <c r="H221" s="700"/>
      <c r="I221" s="700"/>
      <c r="J221" s="700"/>
      <c r="K221" s="700"/>
      <c r="L221" s="700"/>
    </row>
    <row r="222" spans="1:12">
      <c r="A222" s="707"/>
      <c r="B222" s="708" t="s">
        <v>546</v>
      </c>
      <c r="C222" s="708"/>
      <c r="D222" s="708"/>
      <c r="E222" s="708" t="s">
        <v>256</v>
      </c>
      <c r="F222" s="708"/>
      <c r="G222" s="708" t="s">
        <v>737</v>
      </c>
      <c r="H222" s="708"/>
      <c r="I222" s="708" t="s">
        <v>271</v>
      </c>
      <c r="J222" s="708"/>
      <c r="K222" s="708" t="s">
        <v>328</v>
      </c>
      <c r="L222" s="708"/>
    </row>
    <row r="223" spans="1:12">
      <c r="A223" s="707"/>
      <c r="B223" s="213" t="s">
        <v>738</v>
      </c>
      <c r="C223" s="213" t="s">
        <v>739</v>
      </c>
      <c r="D223" s="213" t="s">
        <v>740</v>
      </c>
      <c r="E223" s="213" t="s">
        <v>739</v>
      </c>
      <c r="F223" s="213" t="s">
        <v>740</v>
      </c>
      <c r="G223" s="213" t="s">
        <v>739</v>
      </c>
      <c r="H223" s="213" t="s">
        <v>740</v>
      </c>
      <c r="I223" s="213" t="s">
        <v>739</v>
      </c>
      <c r="J223" s="213" t="s">
        <v>740</v>
      </c>
      <c r="K223" s="213" t="s">
        <v>739</v>
      </c>
      <c r="L223" s="213" t="s">
        <v>740</v>
      </c>
    </row>
    <row r="224" spans="1:12" ht="15" customHeight="1">
      <c r="A224" s="342" t="s">
        <v>741</v>
      </c>
      <c r="B224" s="344" vm="1">
        <v>0.45400918944125968</v>
      </c>
      <c r="C224" s="344" vm="2">
        <v>0.66672421213527211</v>
      </c>
      <c r="D224" s="344" vm="3">
        <v>0.21557659403436127</v>
      </c>
      <c r="E224" s="344">
        <v>1.326006212422552</v>
      </c>
      <c r="F224" s="344">
        <v>0.153176579710881</v>
      </c>
      <c r="G224" s="344">
        <v>1.9812374548751943</v>
      </c>
      <c r="H224" s="344">
        <v>1.132135688500111</v>
      </c>
      <c r="I224" s="344">
        <v>0.12626270597393055</v>
      </c>
      <c r="J224" s="344">
        <v>0.2735691962768495</v>
      </c>
      <c r="K224" s="344">
        <v>4.7280646228169923E-2</v>
      </c>
      <c r="L224" s="344">
        <v>0.14052858740039395</v>
      </c>
    </row>
    <row r="225" spans="1:12" ht="15" customHeight="1">
      <c r="A225" s="342" t="s">
        <v>673</v>
      </c>
      <c r="B225" s="344" vm="4">
        <v>0.16569865094786612</v>
      </c>
      <c r="C225" s="344" vm="5">
        <v>0.21288726657439744</v>
      </c>
      <c r="D225" s="344" vm="6">
        <v>0.11280485926829473</v>
      </c>
      <c r="E225" s="344">
        <v>0.34293264114376343</v>
      </c>
      <c r="F225" s="344">
        <v>0.17375253817950681</v>
      </c>
      <c r="G225" s="344">
        <v>1.9812374548751943</v>
      </c>
      <c r="H225" s="344">
        <v>0.56606784425005552</v>
      </c>
      <c r="I225" s="344">
        <v>0</v>
      </c>
      <c r="J225" s="344">
        <v>0</v>
      </c>
      <c r="K225" s="344">
        <v>0</v>
      </c>
      <c r="L225" s="344">
        <v>0</v>
      </c>
    </row>
    <row r="226" spans="1:12" ht="15" customHeight="1">
      <c r="A226" s="345" t="s">
        <v>742</v>
      </c>
      <c r="B226" s="344">
        <v>0.61970784038912585</v>
      </c>
      <c r="C226" s="344">
        <v>0.8796114787096696</v>
      </c>
      <c r="D226" s="344">
        <v>0.328381453302656</v>
      </c>
      <c r="E226" s="344">
        <v>1.6689388535663154</v>
      </c>
      <c r="F226" s="344">
        <v>0.32692911789038781</v>
      </c>
      <c r="G226" s="344">
        <v>3.9624749097503886</v>
      </c>
      <c r="H226" s="344">
        <v>1.6982035327501666</v>
      </c>
      <c r="I226" s="344">
        <v>0.12626270597393055</v>
      </c>
      <c r="J226" s="344">
        <v>0.2735691962768495</v>
      </c>
      <c r="K226" s="344">
        <v>4.7280646228169923E-2</v>
      </c>
      <c r="L226" s="344">
        <v>0.14052858740039395</v>
      </c>
    </row>
    <row r="227" spans="1:12" ht="15" customHeight="1">
      <c r="A227" s="342" t="s">
        <v>743</v>
      </c>
      <c r="B227" s="344" vm="7">
        <v>0.39315073430917302</v>
      </c>
      <c r="C227" s="344" vm="8">
        <v>0.52302530719755369</v>
      </c>
      <c r="D227" s="344" vm="9">
        <v>0.24757412623065642</v>
      </c>
      <c r="E227" s="344">
        <v>0.868762690897534</v>
      </c>
      <c r="F227" s="344">
        <v>0.29263585377601148</v>
      </c>
      <c r="G227" s="344">
        <v>2.8303392212502776</v>
      </c>
      <c r="H227" s="344">
        <v>0.56606784425005552</v>
      </c>
      <c r="I227" s="344">
        <v>0.16835027463190738</v>
      </c>
      <c r="J227" s="344">
        <v>4.2087568657976845E-2</v>
      </c>
      <c r="K227" s="344">
        <v>2.3640323114084962E-2</v>
      </c>
      <c r="L227" s="344">
        <v>0.20094274646972218</v>
      </c>
    </row>
    <row r="228" spans="1:12" ht="15" customHeight="1">
      <c r="A228" s="345" t="s">
        <v>669</v>
      </c>
      <c r="B228" s="344" vm="10">
        <v>1.0128585746982988</v>
      </c>
      <c r="C228" s="344" vm="11">
        <v>1.4026367859072233</v>
      </c>
      <c r="D228" s="344" vm="12">
        <v>0.57595557953331233</v>
      </c>
      <c r="E228" s="344">
        <v>2.5377015444638493</v>
      </c>
      <c r="F228" s="344">
        <v>0.61956497166639923</v>
      </c>
      <c r="G228" s="344">
        <v>6.7928141310006662</v>
      </c>
      <c r="H228" s="344">
        <v>2.2642713770002221</v>
      </c>
      <c r="I228" s="344">
        <v>0.2946129806058379</v>
      </c>
      <c r="J228" s="344">
        <v>0.31565676493482636</v>
      </c>
      <c r="K228" s="344">
        <v>7.0920969342254891E-2</v>
      </c>
      <c r="L228" s="344">
        <v>0.34147133387011613</v>
      </c>
    </row>
    <row r="229" spans="1:12" ht="15" customHeight="1">
      <c r="A229" s="342" t="s">
        <v>744</v>
      </c>
      <c r="B229" s="344" vm="13">
        <v>24.411656034012239</v>
      </c>
      <c r="C229" s="344" vm="14">
        <v>42.488669648024029</v>
      </c>
      <c r="D229" s="344" vm="15">
        <v>4.1491037299619649</v>
      </c>
      <c r="E229" s="344">
        <v>80.61203284486065</v>
      </c>
      <c r="F229" s="344">
        <v>3.9322942851151539</v>
      </c>
      <c r="G229" s="344">
        <v>148.02674127138951</v>
      </c>
      <c r="H229" s="344">
        <v>25.756086913377526</v>
      </c>
      <c r="I229" s="344">
        <v>13.846810088474383</v>
      </c>
      <c r="J229" s="344">
        <v>2.0833346485698541</v>
      </c>
      <c r="K229" s="344">
        <v>0.67374920875142141</v>
      </c>
      <c r="L229" s="344">
        <v>3.6786969468084436</v>
      </c>
    </row>
    <row r="230" spans="1:12" ht="15" customHeight="1">
      <c r="A230" s="342" t="s">
        <v>745</v>
      </c>
      <c r="B230" s="344" vm="16">
        <v>12.031563154936721</v>
      </c>
      <c r="C230" s="344" vm="17">
        <v>20.921012287902148</v>
      </c>
      <c r="D230" s="344" vm="18">
        <v>2.0673659785131702</v>
      </c>
      <c r="E230" s="344">
        <v>46.227320026179314</v>
      </c>
      <c r="F230" s="344">
        <v>3.9780186372676556</v>
      </c>
      <c r="G230" s="344">
        <v>39.624749097503887</v>
      </c>
      <c r="H230" s="344">
        <v>3.6794409876253611</v>
      </c>
      <c r="I230" s="344">
        <v>0</v>
      </c>
      <c r="J230" s="344">
        <v>0</v>
      </c>
      <c r="K230" s="344">
        <v>0</v>
      </c>
      <c r="L230" s="344">
        <v>0.1050681027292665</v>
      </c>
    </row>
    <row r="231" spans="1:12" ht="24.6" customHeight="1">
      <c r="A231" s="613" t="s">
        <v>750</v>
      </c>
      <c r="B231" s="613"/>
      <c r="C231" s="613"/>
      <c r="D231" s="613"/>
      <c r="E231" s="613"/>
      <c r="F231" s="613"/>
      <c r="G231" s="613"/>
      <c r="H231" s="613"/>
      <c r="I231" s="613"/>
      <c r="J231" s="613"/>
      <c r="K231" s="613"/>
      <c r="L231" s="613"/>
    </row>
    <row r="232" spans="1:12" ht="22.9" customHeight="1">
      <c r="A232" s="622" t="s">
        <v>746</v>
      </c>
      <c r="B232" s="622"/>
      <c r="C232" s="622"/>
      <c r="D232" s="622"/>
      <c r="E232" s="622"/>
      <c r="F232" s="622"/>
      <c r="G232" s="622"/>
      <c r="H232" s="622"/>
      <c r="I232" s="622"/>
      <c r="J232" s="622"/>
      <c r="K232" s="622"/>
      <c r="L232" s="622"/>
    </row>
    <row r="233" spans="1:12">
      <c r="A233" s="73"/>
      <c r="B233" s="73"/>
      <c r="C233" s="73"/>
      <c r="D233" s="73"/>
      <c r="E233" s="73"/>
      <c r="F233" s="73"/>
      <c r="G233" s="73"/>
      <c r="H233" s="73"/>
      <c r="I233" s="73"/>
      <c r="J233" s="73"/>
      <c r="K233" s="73"/>
      <c r="L233" s="73"/>
    </row>
    <row r="234" spans="1:12" ht="17.25">
      <c r="A234" s="700" t="s">
        <v>758</v>
      </c>
      <c r="B234" s="700"/>
      <c r="C234" s="700"/>
      <c r="D234" s="700"/>
      <c r="E234" s="700"/>
      <c r="F234" s="700"/>
      <c r="G234" s="700"/>
      <c r="H234" s="700"/>
      <c r="I234" s="700"/>
      <c r="J234" s="700"/>
      <c r="K234" s="700"/>
      <c r="L234" s="700"/>
    </row>
    <row r="235" spans="1:12">
      <c r="A235" s="709"/>
      <c r="B235" s="704" t="s">
        <v>546</v>
      </c>
      <c r="C235" s="704"/>
      <c r="D235" s="704"/>
      <c r="E235" s="704" t="s">
        <v>256</v>
      </c>
      <c r="F235" s="704"/>
      <c r="G235" s="704" t="s">
        <v>737</v>
      </c>
      <c r="H235" s="704"/>
      <c r="I235" s="704" t="s">
        <v>271</v>
      </c>
      <c r="J235" s="704"/>
      <c r="K235" s="704" t="s">
        <v>328</v>
      </c>
      <c r="L235" s="704"/>
    </row>
    <row r="236" spans="1:12">
      <c r="A236" s="709"/>
      <c r="B236" s="214" t="s">
        <v>738</v>
      </c>
      <c r="C236" s="214" t="s">
        <v>739</v>
      </c>
      <c r="D236" s="214" t="s">
        <v>740</v>
      </c>
      <c r="E236" s="214" t="s">
        <v>739</v>
      </c>
      <c r="F236" s="214" t="s">
        <v>740</v>
      </c>
      <c r="G236" s="214" t="s">
        <v>739</v>
      </c>
      <c r="H236" s="214" t="s">
        <v>740</v>
      </c>
      <c r="I236" s="214" t="s">
        <v>739</v>
      </c>
      <c r="J236" s="214" t="s">
        <v>740</v>
      </c>
      <c r="K236" s="214" t="s">
        <v>739</v>
      </c>
      <c r="L236" s="214" t="s">
        <v>740</v>
      </c>
    </row>
    <row r="237" spans="1:12" ht="15" customHeight="1">
      <c r="A237" s="228" t="s">
        <v>672</v>
      </c>
      <c r="B237" s="346">
        <v>0.42</v>
      </c>
      <c r="C237" s="346">
        <v>0.59</v>
      </c>
      <c r="D237" s="346">
        <v>0.19</v>
      </c>
      <c r="E237" s="346">
        <v>0.69</v>
      </c>
      <c r="F237" s="346">
        <v>0.09</v>
      </c>
      <c r="G237" s="346">
        <v>0.47</v>
      </c>
      <c r="H237" s="346">
        <v>0.62</v>
      </c>
      <c r="I237" s="346">
        <v>0.4</v>
      </c>
      <c r="J237" s="346">
        <v>0.34</v>
      </c>
      <c r="K237" s="346">
        <v>0.2</v>
      </c>
      <c r="L237" s="346">
        <v>0.1</v>
      </c>
    </row>
    <row r="238" spans="1:12" ht="15" customHeight="1">
      <c r="A238" s="228" t="s">
        <v>673</v>
      </c>
      <c r="B238" s="346">
        <v>0.28000000000000003</v>
      </c>
      <c r="C238" s="346">
        <v>0.32</v>
      </c>
      <c r="D238" s="346">
        <v>0.22</v>
      </c>
      <c r="E238" s="346">
        <v>0.42</v>
      </c>
      <c r="F238" s="346">
        <v>0.28000000000000003</v>
      </c>
      <c r="G238" s="346">
        <v>0.47</v>
      </c>
      <c r="H238" s="346">
        <v>2.16</v>
      </c>
      <c r="I238" s="346">
        <v>0</v>
      </c>
      <c r="J238" s="346">
        <v>0</v>
      </c>
      <c r="K238" s="346">
        <v>0</v>
      </c>
      <c r="L238" s="346">
        <v>0</v>
      </c>
    </row>
    <row r="239" spans="1:12" ht="15" customHeight="1">
      <c r="A239" s="186" t="s">
        <v>674</v>
      </c>
      <c r="B239" s="346">
        <v>0.7</v>
      </c>
      <c r="C239" s="346">
        <v>0.91</v>
      </c>
      <c r="D239" s="346">
        <v>0.4</v>
      </c>
      <c r="E239" s="346">
        <v>1.1100000000000001</v>
      </c>
      <c r="F239" s="346">
        <v>0.37</v>
      </c>
      <c r="G239" s="346">
        <v>0.93</v>
      </c>
      <c r="H239" s="346">
        <v>2.78</v>
      </c>
      <c r="I239" s="346">
        <v>0.4</v>
      </c>
      <c r="J239" s="346">
        <v>0.34</v>
      </c>
      <c r="K239" s="346">
        <v>0.2</v>
      </c>
      <c r="L239" s="346">
        <v>0.1</v>
      </c>
    </row>
    <row r="240" spans="1:12" ht="15" customHeight="1">
      <c r="A240" s="228" t="s">
        <v>743</v>
      </c>
      <c r="B240" s="346">
        <v>0.41</v>
      </c>
      <c r="C240" s="346">
        <v>0.45</v>
      </c>
      <c r="D240" s="346">
        <v>0.35</v>
      </c>
      <c r="E240" s="346">
        <v>0.48</v>
      </c>
      <c r="F240" s="346">
        <v>0.45</v>
      </c>
      <c r="G240" s="346">
        <v>1.05</v>
      </c>
      <c r="H240" s="346">
        <v>0.93</v>
      </c>
      <c r="I240" s="346">
        <v>0.13</v>
      </c>
      <c r="J240" s="346">
        <v>0.1</v>
      </c>
      <c r="K240" s="346">
        <v>0.18</v>
      </c>
      <c r="L240" s="346">
        <v>0.37</v>
      </c>
    </row>
    <row r="241" spans="1:12" ht="15" customHeight="1">
      <c r="A241" s="186" t="s">
        <v>669</v>
      </c>
      <c r="B241" s="346">
        <v>1.1100000000000001</v>
      </c>
      <c r="C241" s="346">
        <v>1.36</v>
      </c>
      <c r="D241" s="346">
        <v>0.75</v>
      </c>
      <c r="E241" s="346">
        <v>1.58</v>
      </c>
      <c r="F241" s="346">
        <v>0.82</v>
      </c>
      <c r="G241" s="346">
        <v>1.99</v>
      </c>
      <c r="H241" s="346">
        <v>3.7</v>
      </c>
      <c r="I241" s="346">
        <v>0.53</v>
      </c>
      <c r="J241" s="346">
        <v>0.43</v>
      </c>
      <c r="K241" s="346">
        <v>0.38</v>
      </c>
      <c r="L241" s="346">
        <v>0.47</v>
      </c>
    </row>
    <row r="242" spans="1:12" ht="15" customHeight="1">
      <c r="A242" s="228" t="s">
        <v>745</v>
      </c>
      <c r="B242" s="346">
        <v>28.39</v>
      </c>
      <c r="C242" s="346">
        <v>42.65</v>
      </c>
      <c r="D242" s="346">
        <v>7.99</v>
      </c>
      <c r="E242" s="346">
        <v>47.9</v>
      </c>
      <c r="F242" s="346">
        <v>6.48</v>
      </c>
      <c r="G242" s="346">
        <v>32.58</v>
      </c>
      <c r="H242" s="346">
        <v>24.08</v>
      </c>
      <c r="I242" s="346">
        <v>46.83</v>
      </c>
      <c r="J242" s="346">
        <v>10.02</v>
      </c>
      <c r="K242" s="346">
        <v>5.0999999999999996</v>
      </c>
      <c r="L242" s="346">
        <v>5.0999999999999996</v>
      </c>
    </row>
    <row r="243" spans="1:12" ht="15" customHeight="1">
      <c r="A243" s="228" t="s">
        <v>676</v>
      </c>
      <c r="B243" s="346">
        <v>15</v>
      </c>
      <c r="C243" s="346">
        <v>22.93</v>
      </c>
      <c r="D243" s="346">
        <v>3.65</v>
      </c>
      <c r="E243" s="346">
        <v>31.36</v>
      </c>
      <c r="F243" s="346">
        <v>5.44</v>
      </c>
      <c r="G243" s="346">
        <v>18.100000000000001</v>
      </c>
      <c r="H243" s="346">
        <v>29.64</v>
      </c>
      <c r="I243" s="346">
        <v>0</v>
      </c>
      <c r="J243" s="346">
        <v>0</v>
      </c>
      <c r="K243" s="346">
        <v>0</v>
      </c>
      <c r="L243" s="346">
        <v>0</v>
      </c>
    </row>
    <row r="244" spans="1:12" ht="24.6" customHeight="1">
      <c r="A244" s="710" t="s">
        <v>750</v>
      </c>
      <c r="B244" s="710"/>
      <c r="C244" s="710"/>
      <c r="D244" s="710"/>
      <c r="E244" s="710"/>
      <c r="F244" s="710"/>
      <c r="G244" s="710"/>
      <c r="H244" s="710"/>
      <c r="I244" s="710"/>
      <c r="J244" s="710"/>
      <c r="K244" s="710"/>
      <c r="L244" s="710"/>
    </row>
    <row r="245" spans="1:12" ht="24" customHeight="1">
      <c r="A245" s="622" t="s">
        <v>746</v>
      </c>
      <c r="B245" s="622"/>
      <c r="C245" s="622"/>
      <c r="D245" s="622"/>
      <c r="E245" s="622"/>
      <c r="F245" s="622"/>
      <c r="G245" s="622"/>
      <c r="H245" s="622"/>
      <c r="I245" s="622"/>
      <c r="J245" s="622"/>
      <c r="K245" s="622"/>
      <c r="L245" s="622"/>
    </row>
    <row r="246" spans="1:12" ht="22.15" customHeight="1">
      <c r="A246" s="13"/>
      <c r="B246" s="13"/>
      <c r="C246" s="13"/>
      <c r="D246" s="13"/>
      <c r="E246" s="13"/>
      <c r="F246" s="13"/>
      <c r="G246" s="13"/>
    </row>
    <row r="247" spans="1:12" ht="17.25">
      <c r="A247" s="700" t="s">
        <v>759</v>
      </c>
      <c r="B247" s="700"/>
      <c r="C247" s="700"/>
      <c r="D247" s="700"/>
      <c r="E247" s="700"/>
    </row>
    <row r="248" spans="1:12">
      <c r="A248" s="703"/>
      <c r="B248" s="704" t="s">
        <v>760</v>
      </c>
      <c r="C248" s="704"/>
      <c r="D248" s="614" t="s">
        <v>761</v>
      </c>
      <c r="E248" s="614"/>
    </row>
    <row r="249" spans="1:12">
      <c r="A249" s="703"/>
      <c r="B249" s="205" t="s">
        <v>739</v>
      </c>
      <c r="C249" s="205" t="s">
        <v>740</v>
      </c>
      <c r="D249" s="205" t="s">
        <v>739</v>
      </c>
      <c r="E249" s="205" t="s">
        <v>740</v>
      </c>
    </row>
    <row r="250" spans="1:12" ht="26.25">
      <c r="A250" s="345" t="s">
        <v>762</v>
      </c>
      <c r="B250" s="343">
        <v>1.32</v>
      </c>
      <c r="C250" s="343">
        <v>0.3</v>
      </c>
      <c r="D250" s="343">
        <v>1.25</v>
      </c>
      <c r="E250" s="343">
        <v>0.3</v>
      </c>
    </row>
    <row r="251" spans="1:12" ht="26.25">
      <c r="A251" s="345" t="s">
        <v>763</v>
      </c>
      <c r="B251" s="343">
        <f>B250*5</f>
        <v>6.6000000000000005</v>
      </c>
      <c r="C251" s="343">
        <f>C250*5</f>
        <v>1.5</v>
      </c>
      <c r="D251" s="343">
        <f>D250*5</f>
        <v>6.25</v>
      </c>
      <c r="E251" s="343">
        <f>E250*5</f>
        <v>1.5</v>
      </c>
    </row>
    <row r="252" spans="1:12">
      <c r="F252" s="141"/>
      <c r="G252" s="141"/>
      <c r="H252" s="141"/>
    </row>
    <row r="253" spans="1:12" ht="17.25">
      <c r="A253" s="700" t="s">
        <v>764</v>
      </c>
      <c r="B253" s="700"/>
      <c r="C253" s="700"/>
      <c r="D253" s="700"/>
      <c r="E253" s="700"/>
    </row>
    <row r="254" spans="1:12">
      <c r="A254" s="703"/>
      <c r="B254" s="704" t="s">
        <v>760</v>
      </c>
      <c r="C254" s="704"/>
      <c r="D254" s="614" t="s">
        <v>761</v>
      </c>
      <c r="E254" s="614"/>
    </row>
    <row r="255" spans="1:12">
      <c r="A255" s="703"/>
      <c r="B255" s="205" t="s">
        <v>739</v>
      </c>
      <c r="C255" s="205" t="s">
        <v>740</v>
      </c>
      <c r="D255" s="205" t="s">
        <v>739</v>
      </c>
      <c r="E255" s="205" t="s">
        <v>740</v>
      </c>
    </row>
    <row r="256" spans="1:12" ht="27.6" customHeight="1">
      <c r="A256" s="345" t="s">
        <v>762</v>
      </c>
      <c r="B256" s="343">
        <v>1.494248232727994</v>
      </c>
      <c r="C256" s="343">
        <v>0.33992942886519772</v>
      </c>
      <c r="D256" s="343">
        <v>1.4573866423709165</v>
      </c>
      <c r="E256" s="343">
        <v>0.35380521272419008</v>
      </c>
    </row>
    <row r="257" spans="1:5" ht="27.6" customHeight="1">
      <c r="A257" s="345" t="s">
        <v>763</v>
      </c>
      <c r="B257" s="343">
        <f>B256*5</f>
        <v>7.47124116363997</v>
      </c>
      <c r="C257" s="343">
        <f>C256*5</f>
        <v>1.6996471443259886</v>
      </c>
      <c r="D257" s="343">
        <f>D256*5</f>
        <v>7.2869332118545831</v>
      </c>
      <c r="E257" s="343">
        <f>E256*5</f>
        <v>1.7690260636209505</v>
      </c>
    </row>
    <row r="258" spans="1:5">
      <c r="A258" s="27"/>
      <c r="B258" s="141"/>
      <c r="C258" s="141"/>
      <c r="D258" s="141"/>
      <c r="E258" s="141"/>
    </row>
    <row r="259" spans="1:5" ht="17.25">
      <c r="A259" s="700" t="s">
        <v>765</v>
      </c>
      <c r="B259" s="700"/>
      <c r="C259" s="700"/>
      <c r="D259" s="700"/>
      <c r="E259" s="700"/>
    </row>
    <row r="260" spans="1:5">
      <c r="A260" s="703"/>
      <c r="B260" s="704" t="s">
        <v>760</v>
      </c>
      <c r="C260" s="704"/>
      <c r="D260" s="614" t="s">
        <v>761</v>
      </c>
      <c r="E260" s="614"/>
    </row>
    <row r="261" spans="1:5">
      <c r="A261" s="703"/>
      <c r="B261" s="205" t="s">
        <v>739</v>
      </c>
      <c r="C261" s="205" t="s">
        <v>740</v>
      </c>
      <c r="D261" s="205" t="s">
        <v>739</v>
      </c>
      <c r="E261" s="205" t="s">
        <v>740</v>
      </c>
    </row>
    <row r="262" spans="1:5" ht="26.25">
      <c r="A262" s="345" t="s">
        <v>762</v>
      </c>
      <c r="B262" s="343">
        <v>1.2223520638596719</v>
      </c>
      <c r="C262" s="343">
        <v>0.43965073573405072</v>
      </c>
      <c r="D262" s="343">
        <v>1.2082883438326923</v>
      </c>
      <c r="E262" s="343">
        <v>0.48855054656049657</v>
      </c>
    </row>
    <row r="263" spans="1:5" ht="26.25">
      <c r="A263" s="345" t="s">
        <v>763</v>
      </c>
      <c r="B263" s="343">
        <f>B262*5</f>
        <v>6.1117603192983596</v>
      </c>
      <c r="C263" s="343">
        <f>C262*5</f>
        <v>2.1982536786702536</v>
      </c>
      <c r="D263" s="343">
        <f>D262*5</f>
        <v>6.041441719163462</v>
      </c>
      <c r="E263" s="343">
        <f>E262*5</f>
        <v>2.4427527328024827</v>
      </c>
    </row>
    <row r="265" spans="1:5" ht="17.25">
      <c r="A265" s="700" t="s">
        <v>766</v>
      </c>
      <c r="B265" s="700"/>
      <c r="C265" s="700"/>
      <c r="D265" s="700"/>
      <c r="E265" s="700"/>
    </row>
    <row r="266" spans="1:5">
      <c r="A266" s="706"/>
      <c r="B266" s="704" t="s">
        <v>760</v>
      </c>
      <c r="C266" s="704"/>
      <c r="D266" s="614" t="s">
        <v>761</v>
      </c>
      <c r="E266" s="614"/>
    </row>
    <row r="267" spans="1:5">
      <c r="A267" s="706"/>
      <c r="B267" s="214" t="s">
        <v>739</v>
      </c>
      <c r="C267" s="214" t="s">
        <v>740</v>
      </c>
      <c r="D267" s="214" t="s">
        <v>739</v>
      </c>
      <c r="E267" s="214" t="s">
        <v>740</v>
      </c>
    </row>
    <row r="268" spans="1:5" ht="26.25">
      <c r="A268" s="345" t="s">
        <v>762</v>
      </c>
      <c r="B268" s="343">
        <v>1.386847501533927</v>
      </c>
      <c r="C268" s="343">
        <v>0.45607143507750958</v>
      </c>
      <c r="D268" s="343">
        <v>1.3375939999569868</v>
      </c>
      <c r="E268" s="343">
        <v>0.46370866726952847</v>
      </c>
    </row>
    <row r="269" spans="1:5" ht="26.25">
      <c r="A269" s="345" t="s">
        <v>763</v>
      </c>
      <c r="B269" s="343">
        <v>6.93</v>
      </c>
      <c r="C269" s="343">
        <v>2.2799999999999998</v>
      </c>
      <c r="D269" s="343">
        <v>6.69</v>
      </c>
      <c r="E269" s="343">
        <v>2.3199999999999998</v>
      </c>
    </row>
    <row r="271" spans="1:5" ht="17.25">
      <c r="A271" s="700" t="s">
        <v>767</v>
      </c>
      <c r="B271" s="700"/>
      <c r="C271" s="700"/>
      <c r="D271" s="700"/>
      <c r="E271" s="700"/>
    </row>
    <row r="272" spans="1:5">
      <c r="A272" s="706"/>
      <c r="B272" s="704" t="s">
        <v>760</v>
      </c>
      <c r="C272" s="704"/>
      <c r="D272" s="614" t="s">
        <v>761</v>
      </c>
      <c r="E272" s="614"/>
    </row>
    <row r="273" spans="1:6">
      <c r="A273" s="706"/>
      <c r="B273" s="214" t="s">
        <v>739</v>
      </c>
      <c r="C273" s="214" t="s">
        <v>740</v>
      </c>
      <c r="D273" s="214" t="s">
        <v>739</v>
      </c>
      <c r="E273" s="214" t="s">
        <v>740</v>
      </c>
    </row>
    <row r="274" spans="1:6" ht="26.25">
      <c r="A274" s="345" t="s">
        <v>762</v>
      </c>
      <c r="B274" s="343">
        <v>1.3</v>
      </c>
      <c r="C274" s="228">
        <v>0.93</v>
      </c>
      <c r="D274" s="228">
        <v>1.24</v>
      </c>
      <c r="E274" s="228">
        <v>0.77</v>
      </c>
    </row>
    <row r="275" spans="1:6" ht="26.25">
      <c r="A275" s="345" t="s">
        <v>763</v>
      </c>
      <c r="B275" s="343">
        <v>6.5000000000000009</v>
      </c>
      <c r="C275" s="343">
        <v>4.6500000000000004</v>
      </c>
      <c r="D275" s="343">
        <v>6.2</v>
      </c>
      <c r="E275" s="343">
        <v>3.8500000000000005</v>
      </c>
    </row>
    <row r="276" spans="1:6">
      <c r="F276" s="28"/>
    </row>
    <row r="277" spans="1:6" ht="17.25">
      <c r="A277" s="700" t="s">
        <v>768</v>
      </c>
      <c r="B277" s="700"/>
      <c r="C277" s="700"/>
      <c r="D277" s="700"/>
      <c r="E277" s="700"/>
    </row>
    <row r="278" spans="1:6">
      <c r="A278" s="707"/>
      <c r="B278" s="704" t="s">
        <v>760</v>
      </c>
      <c r="C278" s="704"/>
      <c r="D278" s="614" t="s">
        <v>761</v>
      </c>
      <c r="E278" s="614"/>
    </row>
    <row r="279" spans="1:6">
      <c r="A279" s="707"/>
      <c r="B279" s="214" t="s">
        <v>739</v>
      </c>
      <c r="C279" s="214" t="s">
        <v>740</v>
      </c>
      <c r="D279" s="213" t="s">
        <v>739</v>
      </c>
      <c r="E279" s="213" t="s">
        <v>740</v>
      </c>
    </row>
    <row r="280" spans="1:6" ht="27.6" customHeight="1">
      <c r="A280" s="345" t="s">
        <v>762</v>
      </c>
      <c r="B280" s="345">
        <v>1.42</v>
      </c>
      <c r="C280" s="345">
        <v>0.55000000000000004</v>
      </c>
      <c r="D280" s="344" vm="19">
        <v>1.4026367859072233</v>
      </c>
      <c r="E280" s="344" vm="20">
        <v>0.57595557953331233</v>
      </c>
    </row>
    <row r="281" spans="1:6" ht="27.6" customHeight="1">
      <c r="A281" s="345" t="s">
        <v>763</v>
      </c>
      <c r="B281" s="343">
        <v>7.1</v>
      </c>
      <c r="C281" s="343">
        <v>2.7500000000000004</v>
      </c>
      <c r="D281" s="343">
        <v>7.0131839295361162</v>
      </c>
      <c r="E281" s="343">
        <v>2.8797778976665618</v>
      </c>
    </row>
    <row r="282" spans="1:6" ht="14.65" customHeight="1">
      <c r="A282" s="28"/>
      <c r="B282" s="28"/>
      <c r="C282" s="28"/>
      <c r="D282" s="28"/>
      <c r="E282" s="28"/>
      <c r="F282" s="142"/>
    </row>
    <row r="283" spans="1:6" ht="17.25">
      <c r="A283" s="700" t="s">
        <v>769</v>
      </c>
      <c r="B283" s="700"/>
      <c r="C283" s="700"/>
      <c r="D283" s="700"/>
      <c r="E283" s="700"/>
      <c r="F283" s="142"/>
    </row>
    <row r="284" spans="1:6">
      <c r="A284" s="709"/>
      <c r="B284" s="704" t="s">
        <v>760</v>
      </c>
      <c r="C284" s="704"/>
      <c r="D284" s="614" t="s">
        <v>761</v>
      </c>
      <c r="E284" s="614"/>
    </row>
    <row r="285" spans="1:6">
      <c r="A285" s="709"/>
      <c r="B285" s="214" t="s">
        <v>739</v>
      </c>
      <c r="C285" s="214" t="s">
        <v>740</v>
      </c>
      <c r="D285" s="214" t="s">
        <v>739</v>
      </c>
      <c r="E285" s="214" t="s">
        <v>740</v>
      </c>
    </row>
    <row r="286" spans="1:6" ht="27" customHeight="1">
      <c r="A286" s="186" t="s">
        <v>762</v>
      </c>
      <c r="B286" s="186">
        <v>1.43</v>
      </c>
      <c r="C286" s="186">
        <v>1.1299999999999999</v>
      </c>
      <c r="D286" s="346">
        <v>1.36</v>
      </c>
      <c r="E286" s="346">
        <v>0.75131554851433235</v>
      </c>
    </row>
    <row r="287" spans="1:6" ht="27" customHeight="1">
      <c r="A287" s="345" t="s">
        <v>763</v>
      </c>
      <c r="B287" s="228">
        <v>7.1499999999999995</v>
      </c>
      <c r="C287" s="228">
        <v>5.6499999999999995</v>
      </c>
      <c r="D287" s="228">
        <v>6.8</v>
      </c>
      <c r="E287" s="343">
        <v>3.756577742571662</v>
      </c>
    </row>
    <row r="288" spans="1:6" ht="34.15" customHeight="1">
      <c r="A288" s="674" t="s">
        <v>770</v>
      </c>
      <c r="B288" s="711"/>
      <c r="C288" s="711"/>
      <c r="D288" s="711"/>
      <c r="E288" s="711"/>
    </row>
    <row r="289" spans="1:5" ht="13.15" customHeight="1">
      <c r="A289" s="710" t="s">
        <v>771</v>
      </c>
      <c r="B289" s="710"/>
      <c r="C289" s="710"/>
      <c r="D289" s="710"/>
      <c r="E289" s="710"/>
    </row>
    <row r="290" spans="1:5" ht="27" customHeight="1">
      <c r="A290" s="710" t="s">
        <v>772</v>
      </c>
      <c r="B290" s="710"/>
      <c r="C290" s="710"/>
      <c r="D290" s="710"/>
      <c r="E290" s="710"/>
    </row>
  </sheetData>
  <sheetProtection algorithmName="SHA-512" hashValue="BJKNIWup0KNqKhBC9Sakbbxx4kylaJ7nDJW3uaud4xRlI70c+aC48OzXg6eiIAzMsnFMlh8gOaokLZ99wMNaSA==" saltValue="FTbJKT3d3UaB/YvLJ+CGtw==" spinCount="100000" sheet="1" objects="1" scenarios="1"/>
  <mergeCells count="175">
    <mergeCell ref="A140:L140"/>
    <mergeCell ref="A244:L244"/>
    <mergeCell ref="A95:H95"/>
    <mergeCell ref="A128:L128"/>
    <mergeCell ref="A117:L117"/>
    <mergeCell ref="A130:L130"/>
    <mergeCell ref="A143:L143"/>
    <mergeCell ref="A156:L156"/>
    <mergeCell ref="A169:L169"/>
    <mergeCell ref="A182:L182"/>
    <mergeCell ref="A195:L195"/>
    <mergeCell ref="A208:L208"/>
    <mergeCell ref="A221:L221"/>
    <mergeCell ref="A234:L234"/>
    <mergeCell ref="A141:L141"/>
    <mergeCell ref="A154:L154"/>
    <mergeCell ref="A167:L167"/>
    <mergeCell ref="A180:L180"/>
    <mergeCell ref="A232:L232"/>
    <mergeCell ref="A196:A197"/>
    <mergeCell ref="B196:D196"/>
    <mergeCell ref="E196:F196"/>
    <mergeCell ref="A166:L166"/>
    <mergeCell ref="A144:A145"/>
    <mergeCell ref="A289:E289"/>
    <mergeCell ref="A290:E290"/>
    <mergeCell ref="A272:A273"/>
    <mergeCell ref="B272:C272"/>
    <mergeCell ref="D272:E272"/>
    <mergeCell ref="A278:A279"/>
    <mergeCell ref="B278:C278"/>
    <mergeCell ref="A283:E283"/>
    <mergeCell ref="A288:E288"/>
    <mergeCell ref="D278:E278"/>
    <mergeCell ref="A260:A261"/>
    <mergeCell ref="B260:C260"/>
    <mergeCell ref="D260:E260"/>
    <mergeCell ref="A266:A267"/>
    <mergeCell ref="B266:C266"/>
    <mergeCell ref="D266:E266"/>
    <mergeCell ref="A284:A285"/>
    <mergeCell ref="B284:C284"/>
    <mergeCell ref="D284:E284"/>
    <mergeCell ref="A265:E265"/>
    <mergeCell ref="A271:E271"/>
    <mergeCell ref="A277:E277"/>
    <mergeCell ref="A206:L206"/>
    <mergeCell ref="A222:A223"/>
    <mergeCell ref="B222:D222"/>
    <mergeCell ref="E222:F222"/>
    <mergeCell ref="G222:H222"/>
    <mergeCell ref="I222:J222"/>
    <mergeCell ref="K222:L222"/>
    <mergeCell ref="A235:A236"/>
    <mergeCell ref="B235:D235"/>
    <mergeCell ref="E235:F235"/>
    <mergeCell ref="G235:H235"/>
    <mergeCell ref="I235:J235"/>
    <mergeCell ref="K235:L235"/>
    <mergeCell ref="A218:L218"/>
    <mergeCell ref="A231:L231"/>
    <mergeCell ref="A219:L219"/>
    <mergeCell ref="K209:L209"/>
    <mergeCell ref="D248:E248"/>
    <mergeCell ref="A254:A255"/>
    <mergeCell ref="A209:A210"/>
    <mergeCell ref="B209:D209"/>
    <mergeCell ref="E209:F209"/>
    <mergeCell ref="G209:H209"/>
    <mergeCell ref="I209:J209"/>
    <mergeCell ref="A247:E247"/>
    <mergeCell ref="A253:E253"/>
    <mergeCell ref="A245:L245"/>
    <mergeCell ref="A259:E259"/>
    <mergeCell ref="B254:C254"/>
    <mergeCell ref="D254:E254"/>
    <mergeCell ref="A192:L192"/>
    <mergeCell ref="A205:L205"/>
    <mergeCell ref="A193:L193"/>
    <mergeCell ref="A170:A171"/>
    <mergeCell ref="B170:D170"/>
    <mergeCell ref="E170:F170"/>
    <mergeCell ref="G170:H170"/>
    <mergeCell ref="I170:J170"/>
    <mergeCell ref="K170:L170"/>
    <mergeCell ref="A183:A184"/>
    <mergeCell ref="B183:D183"/>
    <mergeCell ref="E183:F183"/>
    <mergeCell ref="G183:H183"/>
    <mergeCell ref="I183:J183"/>
    <mergeCell ref="K183:L183"/>
    <mergeCell ref="G196:H196"/>
    <mergeCell ref="I196:J196"/>
    <mergeCell ref="K196:L196"/>
    <mergeCell ref="A179:L179"/>
    <mergeCell ref="A248:A249"/>
    <mergeCell ref="B248:C248"/>
    <mergeCell ref="B144:D144"/>
    <mergeCell ref="E144:F144"/>
    <mergeCell ref="G144:H144"/>
    <mergeCell ref="I144:J144"/>
    <mergeCell ref="K144:L144"/>
    <mergeCell ref="A157:A158"/>
    <mergeCell ref="B157:D157"/>
    <mergeCell ref="E157:F157"/>
    <mergeCell ref="G157:H157"/>
    <mergeCell ref="I157:J157"/>
    <mergeCell ref="K157:L157"/>
    <mergeCell ref="A153:L153"/>
    <mergeCell ref="I131:J131"/>
    <mergeCell ref="K131:L131"/>
    <mergeCell ref="A127:L127"/>
    <mergeCell ref="A83:H83"/>
    <mergeCell ref="A91:H91"/>
    <mergeCell ref="A92:H92"/>
    <mergeCell ref="A93:H93"/>
    <mergeCell ref="A94:H94"/>
    <mergeCell ref="A118:A119"/>
    <mergeCell ref="B118:D118"/>
    <mergeCell ref="E118:F118"/>
    <mergeCell ref="G118:H118"/>
    <mergeCell ref="I118:J118"/>
    <mergeCell ref="K118:L118"/>
    <mergeCell ref="A97:H97"/>
    <mergeCell ref="A102:H102"/>
    <mergeCell ref="A103:H103"/>
    <mergeCell ref="A104:H104"/>
    <mergeCell ref="A105:H105"/>
    <mergeCell ref="A115:H115"/>
    <mergeCell ref="A106:H106"/>
    <mergeCell ref="A72:G72"/>
    <mergeCell ref="A73:G73"/>
    <mergeCell ref="A80:H80"/>
    <mergeCell ref="A76:H76"/>
    <mergeCell ref="A63:H63"/>
    <mergeCell ref="A74:G74"/>
    <mergeCell ref="A131:A132"/>
    <mergeCell ref="B131:D131"/>
    <mergeCell ref="E131:F131"/>
    <mergeCell ref="G131:H131"/>
    <mergeCell ref="A108:H108"/>
    <mergeCell ref="A112:H112"/>
    <mergeCell ref="A113:H113"/>
    <mergeCell ref="A114:H114"/>
    <mergeCell ref="A81:H81"/>
    <mergeCell ref="A49:H49"/>
    <mergeCell ref="A51:H51"/>
    <mergeCell ref="A28:H28"/>
    <mergeCell ref="A50:H50"/>
    <mergeCell ref="A60:H60"/>
    <mergeCell ref="A53:H53"/>
    <mergeCell ref="A61:H62"/>
    <mergeCell ref="A65:G65"/>
    <mergeCell ref="A71:G71"/>
    <mergeCell ref="A33:H33"/>
    <mergeCell ref="A46:H46"/>
    <mergeCell ref="A47:H47"/>
    <mergeCell ref="A59:H59"/>
    <mergeCell ref="A48:H48"/>
    <mergeCell ref="A7:H7"/>
    <mergeCell ref="A9:H9"/>
    <mergeCell ref="A11:H11"/>
    <mergeCell ref="A22:H22"/>
    <mergeCell ref="A25:H25"/>
    <mergeCell ref="A31:H31"/>
    <mergeCell ref="A43:H43"/>
    <mergeCell ref="A44:H44"/>
    <mergeCell ref="A45:H45"/>
    <mergeCell ref="A21:H21"/>
    <mergeCell ref="A23:H23"/>
    <mergeCell ref="A24:H24"/>
    <mergeCell ref="A26:H26"/>
    <mergeCell ref="A27:H27"/>
    <mergeCell ref="A30:H30"/>
    <mergeCell ref="A29:H29"/>
  </mergeCells>
  <conditionalFormatting sqref="B120:B126">
    <cfRule type="containsBlanks" dxfId="2" priority="4">
      <formula>LEN(TRIM(B120))=0</formula>
    </cfRule>
  </conditionalFormatting>
  <conditionalFormatting sqref="B133:B139">
    <cfRule type="containsBlanks" dxfId="1" priority="2">
      <formula>LEN(TRIM(B133))=0</formula>
    </cfRule>
  </conditionalFormatting>
  <conditionalFormatting sqref="B250:E251">
    <cfRule type="containsBlanks" dxfId="0" priority="1">
      <formula>LEN(TRIM(B250))=0</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8F65-1630-4B75-A7B6-2048F1DF1660}">
  <sheetPr codeName="Sheet10">
    <tabColor rgb="FF93E3FF"/>
  </sheetPr>
  <dimension ref="A1:V345"/>
  <sheetViews>
    <sheetView showGridLines="0" zoomScaleNormal="40" workbookViewId="0"/>
  </sheetViews>
  <sheetFormatPr baseColWidth="10" defaultColWidth="8.7109375" defaultRowHeight="15"/>
  <cols>
    <col min="1" max="1" width="27.5703125" customWidth="1"/>
    <col min="2" max="2" width="15.7109375" style="97" customWidth="1"/>
    <col min="3" max="4" width="14.28515625" style="97" customWidth="1"/>
    <col min="5" max="16" width="14.28515625" customWidth="1"/>
    <col min="17" max="17" width="13.7109375" customWidth="1"/>
  </cols>
  <sheetData>
    <row r="1" spans="1:17">
      <c r="E1" s="1"/>
    </row>
    <row r="2" spans="1:17">
      <c r="I2" s="116"/>
    </row>
    <row r="7" spans="1:17" ht="20.25">
      <c r="A7" s="617" t="s">
        <v>0</v>
      </c>
      <c r="B7" s="617"/>
      <c r="C7" s="617"/>
      <c r="D7" s="617"/>
      <c r="E7" s="617"/>
      <c r="F7" s="617"/>
      <c r="G7" s="617"/>
      <c r="H7" s="617"/>
      <c r="I7" s="617"/>
      <c r="J7" s="617"/>
      <c r="K7" s="617"/>
      <c r="L7" s="617"/>
      <c r="M7" s="617"/>
      <c r="N7" s="617"/>
      <c r="O7" s="617"/>
      <c r="P7" s="617"/>
      <c r="Q7" s="617"/>
    </row>
    <row r="8" spans="1:17" ht="21" thickBot="1">
      <c r="A8" s="167"/>
      <c r="B8" s="169"/>
      <c r="C8" s="169"/>
      <c r="D8" s="169"/>
      <c r="E8" s="165"/>
      <c r="F8" s="165"/>
      <c r="G8" s="165"/>
      <c r="H8" s="165"/>
      <c r="I8" s="165"/>
      <c r="J8" s="165"/>
      <c r="K8" s="165"/>
      <c r="L8" s="165"/>
      <c r="M8" s="165"/>
      <c r="N8" s="165"/>
      <c r="O8" s="165"/>
      <c r="P8" s="165"/>
      <c r="Q8" s="165"/>
    </row>
    <row r="9" spans="1:17" ht="22.5" thickTop="1" thickBot="1">
      <c r="A9" s="610" t="s">
        <v>773</v>
      </c>
      <c r="B9" s="610"/>
      <c r="C9" s="610"/>
      <c r="D9" s="610"/>
      <c r="E9" s="610"/>
      <c r="F9" s="610"/>
      <c r="G9" s="610"/>
      <c r="H9" s="610"/>
      <c r="I9" s="610"/>
      <c r="J9" s="610"/>
      <c r="K9" s="610"/>
      <c r="L9" s="610"/>
      <c r="M9" s="610"/>
      <c r="N9" s="610"/>
      <c r="O9" s="610"/>
      <c r="P9" s="610"/>
      <c r="Q9" s="610"/>
    </row>
    <row r="10" spans="1:17" ht="18.75" thickTop="1">
      <c r="A10" s="8"/>
      <c r="B10" s="98"/>
      <c r="C10" s="98"/>
      <c r="D10" s="98"/>
      <c r="E10" s="7"/>
      <c r="F10" s="7"/>
      <c r="G10" s="7"/>
      <c r="H10" s="7"/>
      <c r="I10" s="7"/>
    </row>
    <row r="11" spans="1:17" ht="15.75">
      <c r="A11" s="609" t="s">
        <v>774</v>
      </c>
      <c r="B11" s="609"/>
      <c r="C11" s="609"/>
      <c r="D11" s="609"/>
      <c r="E11" s="609"/>
      <c r="F11" s="609"/>
      <c r="G11" s="609"/>
      <c r="H11" s="609"/>
      <c r="I11" s="609"/>
      <c r="J11" s="609"/>
    </row>
    <row r="12" spans="1:17">
      <c r="A12" s="620" t="s">
        <v>775</v>
      </c>
      <c r="B12" s="620"/>
      <c r="C12" s="620"/>
      <c r="D12" s="620"/>
      <c r="E12" s="620"/>
      <c r="F12" s="620"/>
      <c r="G12" s="620"/>
      <c r="H12" s="620"/>
      <c r="I12" s="620"/>
      <c r="J12" s="620"/>
    </row>
    <row r="13" spans="1:17">
      <c r="A13" s="729" t="s">
        <v>776</v>
      </c>
      <c r="B13" s="729"/>
      <c r="C13" s="729"/>
      <c r="D13" s="729"/>
      <c r="E13" s="729"/>
      <c r="F13" s="729"/>
      <c r="G13" s="729"/>
      <c r="H13" s="729"/>
      <c r="I13" s="729"/>
      <c r="J13" s="729"/>
    </row>
    <row r="15" spans="1:17" ht="17.25">
      <c r="A15" s="730" t="s">
        <v>777</v>
      </c>
      <c r="B15" s="730"/>
      <c r="C15" s="730"/>
      <c r="D15" s="730"/>
      <c r="E15" s="730"/>
      <c r="F15" s="730"/>
      <c r="G15" s="730"/>
      <c r="H15" s="730"/>
      <c r="I15" s="730"/>
      <c r="J15" s="730"/>
      <c r="K15" s="730"/>
      <c r="L15" s="730"/>
      <c r="M15" s="730"/>
      <c r="N15" s="730"/>
      <c r="O15" s="730"/>
      <c r="P15" s="730"/>
      <c r="Q15" s="730"/>
    </row>
    <row r="16" spans="1:17">
      <c r="A16" s="180"/>
      <c r="B16" s="679">
        <v>2022</v>
      </c>
      <c r="C16" s="680"/>
      <c r="D16" s="681"/>
      <c r="E16" s="679">
        <v>2021</v>
      </c>
      <c r="F16" s="680"/>
      <c r="G16" s="681"/>
      <c r="H16" s="645">
        <v>2020</v>
      </c>
      <c r="I16" s="645"/>
      <c r="J16" s="645">
        <v>2019</v>
      </c>
      <c r="K16" s="645"/>
      <c r="L16" s="645">
        <v>2018</v>
      </c>
      <c r="M16" s="645"/>
      <c r="N16" s="645">
        <v>2017</v>
      </c>
      <c r="O16" s="645"/>
      <c r="P16" s="645">
        <v>2016</v>
      </c>
      <c r="Q16" s="645"/>
    </row>
    <row r="17" spans="1:18">
      <c r="A17" s="177" t="s">
        <v>778</v>
      </c>
      <c r="B17" s="317" t="s">
        <v>724</v>
      </c>
      <c r="C17" s="317" t="s">
        <v>725</v>
      </c>
      <c r="D17" s="317" t="s">
        <v>779</v>
      </c>
      <c r="E17" s="317" t="s">
        <v>724</v>
      </c>
      <c r="F17" s="317" t="s">
        <v>725</v>
      </c>
      <c r="G17" s="317" t="s">
        <v>779</v>
      </c>
      <c r="H17" s="317" t="s">
        <v>724</v>
      </c>
      <c r="I17" s="317" t="s">
        <v>725</v>
      </c>
      <c r="J17" s="317" t="s">
        <v>724</v>
      </c>
      <c r="K17" s="317" t="s">
        <v>725</v>
      </c>
      <c r="L17" s="317" t="s">
        <v>724</v>
      </c>
      <c r="M17" s="317" t="s">
        <v>725</v>
      </c>
      <c r="N17" s="317" t="s">
        <v>724</v>
      </c>
      <c r="O17" s="317" t="s">
        <v>725</v>
      </c>
      <c r="P17" s="317" t="s">
        <v>724</v>
      </c>
      <c r="Q17" s="317" t="s">
        <v>725</v>
      </c>
    </row>
    <row r="18" spans="1:18">
      <c r="A18" s="353" t="s">
        <v>780</v>
      </c>
      <c r="B18" s="306">
        <v>189</v>
      </c>
      <c r="C18" s="306">
        <v>323</v>
      </c>
      <c r="D18" s="306">
        <v>0</v>
      </c>
      <c r="E18" s="306">
        <v>133</v>
      </c>
      <c r="F18" s="306">
        <v>242</v>
      </c>
      <c r="G18" s="306">
        <v>0</v>
      </c>
      <c r="H18" s="253">
        <v>87</v>
      </c>
      <c r="I18" s="253">
        <v>211</v>
      </c>
      <c r="J18" s="253">
        <v>116</v>
      </c>
      <c r="K18" s="253">
        <v>262</v>
      </c>
      <c r="L18" s="253">
        <v>97</v>
      </c>
      <c r="M18" s="253">
        <v>278</v>
      </c>
      <c r="N18" s="223">
        <v>86</v>
      </c>
      <c r="O18" s="219">
        <v>231</v>
      </c>
      <c r="P18" s="354">
        <v>46</v>
      </c>
      <c r="Q18" s="354">
        <v>156</v>
      </c>
    </row>
    <row r="19" spans="1:18">
      <c r="A19" s="353" t="s">
        <v>781</v>
      </c>
      <c r="B19" s="302">
        <v>1038</v>
      </c>
      <c r="C19" s="302">
        <v>2104</v>
      </c>
      <c r="D19" s="306">
        <v>3</v>
      </c>
      <c r="E19" s="306">
        <v>742</v>
      </c>
      <c r="F19" s="302">
        <v>1872</v>
      </c>
      <c r="G19" s="306">
        <v>0</v>
      </c>
      <c r="H19" s="253">
        <v>640</v>
      </c>
      <c r="I19" s="303">
        <v>1767</v>
      </c>
      <c r="J19" s="253">
        <v>659</v>
      </c>
      <c r="K19" s="303">
        <v>1876</v>
      </c>
      <c r="L19" s="253">
        <v>620</v>
      </c>
      <c r="M19" s="253">
        <v>1950</v>
      </c>
      <c r="N19" s="219">
        <v>511</v>
      </c>
      <c r="O19" s="217">
        <v>1883</v>
      </c>
      <c r="P19" s="354">
        <v>436</v>
      </c>
      <c r="Q19" s="354">
        <v>1772</v>
      </c>
    </row>
    <row r="20" spans="1:18">
      <c r="A20" s="353" t="s">
        <v>782</v>
      </c>
      <c r="B20" s="306">
        <v>985</v>
      </c>
      <c r="C20" s="302">
        <v>3109</v>
      </c>
      <c r="D20" s="306">
        <v>4</v>
      </c>
      <c r="E20" s="306">
        <v>790</v>
      </c>
      <c r="F20" s="302">
        <v>2831</v>
      </c>
      <c r="G20" s="306">
        <v>1</v>
      </c>
      <c r="H20" s="253">
        <v>666</v>
      </c>
      <c r="I20" s="303">
        <v>2614</v>
      </c>
      <c r="J20" s="253">
        <v>648</v>
      </c>
      <c r="K20" s="303">
        <v>2532</v>
      </c>
      <c r="L20" s="253">
        <v>615</v>
      </c>
      <c r="M20" s="253">
        <v>2571</v>
      </c>
      <c r="N20" s="219">
        <v>487</v>
      </c>
      <c r="O20" s="217">
        <v>2411</v>
      </c>
      <c r="P20" s="354">
        <v>412</v>
      </c>
      <c r="Q20" s="354">
        <v>2332</v>
      </c>
    </row>
    <row r="21" spans="1:18">
      <c r="A21" s="353" t="s">
        <v>783</v>
      </c>
      <c r="B21" s="306">
        <v>557</v>
      </c>
      <c r="C21" s="302">
        <v>2502</v>
      </c>
      <c r="D21" s="306">
        <v>2</v>
      </c>
      <c r="E21" s="306">
        <v>463</v>
      </c>
      <c r="F21" s="302">
        <v>2309</v>
      </c>
      <c r="G21" s="306">
        <v>0</v>
      </c>
      <c r="H21" s="253">
        <v>429</v>
      </c>
      <c r="I21" s="303">
        <v>2183</v>
      </c>
      <c r="J21" s="253">
        <v>433</v>
      </c>
      <c r="K21" s="303">
        <v>2142</v>
      </c>
      <c r="L21" s="253">
        <v>434</v>
      </c>
      <c r="M21" s="253">
        <v>2137</v>
      </c>
      <c r="N21" s="219">
        <v>401</v>
      </c>
      <c r="O21" s="217">
        <v>2113</v>
      </c>
      <c r="P21" s="354">
        <v>359</v>
      </c>
      <c r="Q21" s="354">
        <v>2116</v>
      </c>
    </row>
    <row r="22" spans="1:18">
      <c r="A22" s="353" t="s">
        <v>784</v>
      </c>
      <c r="B22" s="306">
        <v>266</v>
      </c>
      <c r="C22" s="302">
        <v>1494</v>
      </c>
      <c r="D22" s="306">
        <v>1</v>
      </c>
      <c r="E22" s="306">
        <v>244</v>
      </c>
      <c r="F22" s="302">
        <v>1468</v>
      </c>
      <c r="G22" s="306">
        <v>0</v>
      </c>
      <c r="H22" s="253">
        <v>234</v>
      </c>
      <c r="I22" s="303">
        <v>1448</v>
      </c>
      <c r="J22" s="253">
        <v>206</v>
      </c>
      <c r="K22" s="303">
        <v>1572</v>
      </c>
      <c r="L22" s="253">
        <v>197</v>
      </c>
      <c r="M22" s="253">
        <v>1660</v>
      </c>
      <c r="N22" s="219">
        <v>177</v>
      </c>
      <c r="O22" s="217">
        <v>1675</v>
      </c>
      <c r="P22" s="354">
        <v>185</v>
      </c>
      <c r="Q22" s="354">
        <v>1807</v>
      </c>
    </row>
    <row r="23" spans="1:18">
      <c r="A23" s="353" t="s">
        <v>785</v>
      </c>
      <c r="B23" s="306">
        <v>13</v>
      </c>
      <c r="C23" s="306">
        <v>173</v>
      </c>
      <c r="D23" s="306">
        <v>0</v>
      </c>
      <c r="E23" s="306">
        <v>13</v>
      </c>
      <c r="F23" s="306">
        <v>172</v>
      </c>
      <c r="G23" s="306">
        <v>0</v>
      </c>
      <c r="H23" s="253">
        <v>12</v>
      </c>
      <c r="I23" s="253">
        <v>161</v>
      </c>
      <c r="J23" s="253">
        <v>18</v>
      </c>
      <c r="K23" s="253">
        <v>149</v>
      </c>
      <c r="L23" s="253">
        <v>16</v>
      </c>
      <c r="M23" s="253">
        <v>135</v>
      </c>
      <c r="N23" s="219">
        <v>16</v>
      </c>
      <c r="O23" s="219">
        <v>118</v>
      </c>
      <c r="P23" s="354">
        <v>14</v>
      </c>
      <c r="Q23" s="354">
        <v>164</v>
      </c>
    </row>
    <row r="24" spans="1:18">
      <c r="A24" s="351" t="s">
        <v>173</v>
      </c>
      <c r="B24" s="394">
        <v>3048</v>
      </c>
      <c r="C24" s="394">
        <v>9705</v>
      </c>
      <c r="D24" s="394">
        <v>10</v>
      </c>
      <c r="E24" s="394">
        <f>SUM(E18:E23)</f>
        <v>2385</v>
      </c>
      <c r="F24" s="394">
        <f>SUM(F18:F23)</f>
        <v>8894</v>
      </c>
      <c r="G24" s="394">
        <f>SUM(G18:G23)</f>
        <v>1</v>
      </c>
      <c r="H24" s="394">
        <f>SUM(H18:H23)</f>
        <v>2068</v>
      </c>
      <c r="I24" s="394">
        <f>SUM(I18:I23)</f>
        <v>8384</v>
      </c>
      <c r="J24" s="394">
        <f t="shared" ref="J24:K24" si="0">SUM(J18:J23)</f>
        <v>2080</v>
      </c>
      <c r="K24" s="394">
        <f t="shared" si="0"/>
        <v>8533</v>
      </c>
      <c r="L24" s="394">
        <f t="shared" ref="L24" si="1">SUM(L18:L23)</f>
        <v>1979</v>
      </c>
      <c r="M24" s="394">
        <f t="shared" ref="M24" si="2">SUM(M18:M23)</f>
        <v>8731</v>
      </c>
      <c r="N24" s="396">
        <f>SUM(N18:N23)</f>
        <v>1678</v>
      </c>
      <c r="O24" s="396">
        <v>8431</v>
      </c>
      <c r="P24" s="387">
        <f>SUM(P18:P23)</f>
        <v>1452</v>
      </c>
      <c r="Q24" s="387">
        <f>SUM(Q18:Q23)</f>
        <v>8347</v>
      </c>
    </row>
    <row r="25" spans="1:18">
      <c r="A25" s="732" t="s">
        <v>786</v>
      </c>
      <c r="B25" s="732"/>
      <c r="C25" s="732"/>
      <c r="D25" s="732"/>
      <c r="E25" s="732"/>
      <c r="F25" s="732"/>
      <c r="G25" s="732"/>
      <c r="H25" s="732"/>
      <c r="I25" s="732"/>
      <c r="J25" s="732"/>
      <c r="K25" s="732"/>
      <c r="L25" s="732"/>
      <c r="M25" s="732"/>
      <c r="N25" s="732"/>
      <c r="O25" s="732"/>
      <c r="P25" s="732"/>
      <c r="Q25" s="732"/>
      <c r="R25" s="732"/>
    </row>
    <row r="26" spans="1:18">
      <c r="A26" s="732" t="s">
        <v>787</v>
      </c>
      <c r="B26" s="732"/>
      <c r="C26" s="732"/>
      <c r="D26" s="732"/>
      <c r="E26" s="732"/>
      <c r="F26" s="732"/>
      <c r="G26" s="732"/>
      <c r="H26" s="732"/>
      <c r="I26" s="732"/>
      <c r="J26" s="732"/>
      <c r="K26" s="732"/>
      <c r="L26" s="732"/>
      <c r="M26" s="732"/>
      <c r="N26" s="732"/>
      <c r="O26" s="732"/>
      <c r="P26" s="732"/>
      <c r="Q26" s="732"/>
      <c r="R26" s="732"/>
    </row>
    <row r="27" spans="1:18">
      <c r="A27" s="107"/>
      <c r="B27" s="107"/>
      <c r="C27" s="107"/>
      <c r="D27" s="107"/>
      <c r="E27" s="107"/>
      <c r="F27" s="107"/>
      <c r="G27" s="107"/>
      <c r="H27" s="107"/>
      <c r="I27" s="107"/>
      <c r="J27" s="107"/>
    </row>
    <row r="28" spans="1:18" ht="17.25">
      <c r="A28" s="619" t="s">
        <v>788</v>
      </c>
      <c r="B28" s="619"/>
      <c r="C28" s="619"/>
      <c r="D28" s="619"/>
      <c r="E28" s="619"/>
      <c r="F28" s="107"/>
      <c r="G28" s="107"/>
      <c r="H28" s="107"/>
      <c r="I28" s="107"/>
      <c r="J28" s="107"/>
    </row>
    <row r="29" spans="1:18">
      <c r="A29" s="204" t="s">
        <v>789</v>
      </c>
      <c r="B29" s="203" t="s">
        <v>724</v>
      </c>
      <c r="C29" s="203" t="s">
        <v>725</v>
      </c>
      <c r="D29" s="179" t="s">
        <v>779</v>
      </c>
      <c r="E29" s="203" t="s">
        <v>173</v>
      </c>
      <c r="F29" s="107"/>
      <c r="G29" s="107"/>
      <c r="H29" s="561"/>
      <c r="I29" s="107"/>
      <c r="J29" s="107"/>
    </row>
    <row r="30" spans="1:18">
      <c r="A30" s="327" t="s">
        <v>790</v>
      </c>
      <c r="B30" s="358">
        <v>1</v>
      </c>
      <c r="C30" s="358">
        <v>0</v>
      </c>
      <c r="D30" s="358">
        <v>0</v>
      </c>
      <c r="E30" s="358">
        <v>1</v>
      </c>
      <c r="F30" s="107"/>
      <c r="G30" s="107"/>
      <c r="H30" s="107"/>
      <c r="I30" s="107"/>
      <c r="J30" s="107"/>
    </row>
    <row r="31" spans="1:18">
      <c r="A31" s="327" t="s">
        <v>791</v>
      </c>
      <c r="B31" s="358">
        <v>10</v>
      </c>
      <c r="C31" s="358">
        <v>4</v>
      </c>
      <c r="D31" s="358">
        <v>0</v>
      </c>
      <c r="E31" s="358">
        <v>14</v>
      </c>
      <c r="F31" s="107"/>
      <c r="G31" s="107"/>
      <c r="H31" s="107"/>
      <c r="I31" s="107"/>
      <c r="J31" s="107"/>
    </row>
    <row r="32" spans="1:18">
      <c r="A32" s="327" t="s">
        <v>792</v>
      </c>
      <c r="B32" s="358">
        <v>0</v>
      </c>
      <c r="C32" s="358">
        <v>1</v>
      </c>
      <c r="D32" s="358">
        <v>0</v>
      </c>
      <c r="E32" s="358">
        <v>1</v>
      </c>
      <c r="F32" s="107"/>
      <c r="G32" s="107"/>
      <c r="H32" s="107"/>
      <c r="I32" s="107"/>
      <c r="J32" s="107"/>
    </row>
    <row r="33" spans="1:10">
      <c r="A33" s="327" t="s">
        <v>793</v>
      </c>
      <c r="B33" s="358">
        <v>7</v>
      </c>
      <c r="C33" s="358">
        <v>12</v>
      </c>
      <c r="D33" s="358">
        <v>0</v>
      </c>
      <c r="E33" s="358">
        <v>19</v>
      </c>
      <c r="F33" s="107"/>
      <c r="G33" s="107"/>
      <c r="H33" s="107"/>
      <c r="I33" s="107"/>
      <c r="J33" s="107"/>
    </row>
    <row r="34" spans="1:10">
      <c r="A34" s="327" t="s">
        <v>794</v>
      </c>
      <c r="B34" s="358">
        <v>11</v>
      </c>
      <c r="C34" s="358">
        <v>13</v>
      </c>
      <c r="D34" s="358">
        <v>0</v>
      </c>
      <c r="E34" s="358">
        <v>24</v>
      </c>
      <c r="F34" s="107"/>
      <c r="G34" s="107"/>
      <c r="H34" s="107"/>
      <c r="I34" s="107"/>
      <c r="J34" s="107"/>
    </row>
    <row r="35" spans="1:10">
      <c r="A35" s="327" t="s">
        <v>795</v>
      </c>
      <c r="B35" s="358">
        <v>3</v>
      </c>
      <c r="C35" s="358">
        <v>8</v>
      </c>
      <c r="D35" s="358">
        <v>0</v>
      </c>
      <c r="E35" s="358">
        <v>11</v>
      </c>
      <c r="F35" s="107"/>
      <c r="G35" s="107"/>
      <c r="H35" s="107"/>
      <c r="I35" s="107"/>
      <c r="J35" s="107"/>
    </row>
    <row r="36" spans="1:10">
      <c r="A36" s="327" t="s">
        <v>256</v>
      </c>
      <c r="B36" s="358">
        <v>2118</v>
      </c>
      <c r="C36" s="358">
        <v>7187</v>
      </c>
      <c r="D36" s="358">
        <v>10</v>
      </c>
      <c r="E36" s="358">
        <v>9315</v>
      </c>
      <c r="F36" s="107"/>
      <c r="G36" s="107"/>
      <c r="H36" s="107"/>
      <c r="I36" s="107"/>
      <c r="J36" s="107"/>
    </row>
    <row r="37" spans="1:10">
      <c r="A37" s="327" t="s">
        <v>796</v>
      </c>
      <c r="B37" s="358">
        <v>13</v>
      </c>
      <c r="C37" s="358">
        <v>42</v>
      </c>
      <c r="D37" s="358">
        <v>0</v>
      </c>
      <c r="E37" s="358">
        <v>55</v>
      </c>
      <c r="F37" s="107"/>
      <c r="G37" s="107"/>
      <c r="H37" s="107"/>
      <c r="I37" s="107"/>
      <c r="J37" s="107"/>
    </row>
    <row r="38" spans="1:10">
      <c r="A38" s="327" t="s">
        <v>797</v>
      </c>
      <c r="B38" s="358">
        <v>164</v>
      </c>
      <c r="C38" s="358">
        <v>584</v>
      </c>
      <c r="D38" s="358">
        <v>0</v>
      </c>
      <c r="E38" s="358">
        <v>748</v>
      </c>
      <c r="F38" s="107"/>
      <c r="G38" s="107"/>
      <c r="H38" s="107"/>
      <c r="I38" s="107"/>
      <c r="J38" s="107"/>
    </row>
    <row r="39" spans="1:10">
      <c r="A39" s="327" t="s">
        <v>271</v>
      </c>
      <c r="B39" s="358">
        <v>713</v>
      </c>
      <c r="C39" s="358">
        <v>1824</v>
      </c>
      <c r="D39" s="358">
        <v>0</v>
      </c>
      <c r="E39" s="358">
        <v>2537</v>
      </c>
      <c r="F39" s="107"/>
      <c r="G39" s="107"/>
      <c r="H39" s="107"/>
      <c r="I39" s="107"/>
      <c r="J39" s="107"/>
    </row>
    <row r="40" spans="1:10">
      <c r="A40" s="327" t="s">
        <v>798</v>
      </c>
      <c r="B40" s="358">
        <v>5</v>
      </c>
      <c r="C40" s="358">
        <v>22</v>
      </c>
      <c r="D40" s="358">
        <v>0</v>
      </c>
      <c r="E40" s="358">
        <v>27</v>
      </c>
      <c r="F40" s="107"/>
      <c r="G40" s="107"/>
      <c r="H40" s="107"/>
      <c r="I40" s="107"/>
      <c r="J40" s="107"/>
    </row>
    <row r="41" spans="1:10">
      <c r="A41" s="327" t="s">
        <v>799</v>
      </c>
      <c r="B41" s="358">
        <v>2</v>
      </c>
      <c r="C41" s="358">
        <v>1</v>
      </c>
      <c r="D41" s="358">
        <v>0</v>
      </c>
      <c r="E41" s="358">
        <v>3</v>
      </c>
      <c r="F41" s="107"/>
      <c r="G41" s="107"/>
      <c r="H41" s="107"/>
      <c r="I41" s="107"/>
      <c r="J41" s="107"/>
    </row>
    <row r="42" spans="1:10">
      <c r="A42" s="327" t="s">
        <v>800</v>
      </c>
      <c r="B42" s="358">
        <v>1</v>
      </c>
      <c r="C42" s="358">
        <v>7</v>
      </c>
      <c r="D42" s="358">
        <v>0</v>
      </c>
      <c r="E42" s="358">
        <v>8</v>
      </c>
      <c r="F42" s="107"/>
      <c r="G42" s="107"/>
      <c r="H42" s="107"/>
      <c r="I42" s="107"/>
      <c r="J42" s="107"/>
    </row>
    <row r="43" spans="1:10">
      <c r="A43" s="359" t="s">
        <v>173</v>
      </c>
      <c r="B43" s="356">
        <v>3048</v>
      </c>
      <c r="C43" s="356">
        <v>9705</v>
      </c>
      <c r="D43" s="356">
        <v>10</v>
      </c>
      <c r="E43" s="356">
        <v>12763</v>
      </c>
      <c r="F43" s="107"/>
      <c r="G43" s="107"/>
      <c r="H43" s="107"/>
      <c r="I43" s="107"/>
      <c r="J43" s="107"/>
    </row>
    <row r="44" spans="1:10">
      <c r="A44" s="640" t="s">
        <v>786</v>
      </c>
      <c r="B44" s="640"/>
      <c r="C44" s="640"/>
      <c r="D44" s="640"/>
      <c r="E44" s="640"/>
      <c r="F44" s="107"/>
      <c r="G44" s="107"/>
      <c r="H44" s="12"/>
      <c r="I44" s="62"/>
    </row>
    <row r="45" spans="1:10">
      <c r="A45" s="640" t="s">
        <v>801</v>
      </c>
      <c r="B45" s="640"/>
      <c r="C45" s="640"/>
      <c r="D45" s="640"/>
      <c r="E45" s="640"/>
      <c r="F45" s="107"/>
      <c r="G45" s="12"/>
      <c r="H45" s="62"/>
    </row>
    <row r="46" spans="1:10">
      <c r="A46" s="101"/>
      <c r="B46" s="102"/>
      <c r="C46" s="102"/>
      <c r="D46" s="102"/>
      <c r="E46" s="101"/>
      <c r="F46" s="101"/>
      <c r="G46" s="101"/>
      <c r="H46" s="101"/>
      <c r="I46" s="101"/>
    </row>
    <row r="47" spans="1:10">
      <c r="A47" s="730" t="s">
        <v>802</v>
      </c>
      <c r="B47" s="730"/>
      <c r="C47" s="730"/>
      <c r="D47" s="730"/>
      <c r="E47" s="730"/>
      <c r="F47" s="730"/>
      <c r="G47" s="730"/>
      <c r="H47" s="730"/>
    </row>
    <row r="48" spans="1:10">
      <c r="A48" s="177" t="s">
        <v>803</v>
      </c>
      <c r="B48" s="177">
        <v>2022</v>
      </c>
      <c r="C48" s="317">
        <v>2021</v>
      </c>
      <c r="D48" s="203">
        <v>2020</v>
      </c>
      <c r="E48" s="203">
        <v>2019</v>
      </c>
      <c r="F48" s="203">
        <v>2018</v>
      </c>
      <c r="G48" s="203">
        <v>2017</v>
      </c>
      <c r="H48" s="203">
        <v>2016</v>
      </c>
      <c r="I48" s="29"/>
    </row>
    <row r="49" spans="1:18" ht="26.25">
      <c r="A49" s="297" t="s">
        <v>804</v>
      </c>
      <c r="B49" s="188">
        <v>86</v>
      </c>
      <c r="C49" s="188">
        <v>150</v>
      </c>
      <c r="D49" s="226">
        <v>144</v>
      </c>
      <c r="E49" s="226">
        <v>146</v>
      </c>
      <c r="F49" s="226">
        <v>138</v>
      </c>
      <c r="G49" s="188">
        <v>127</v>
      </c>
      <c r="H49" s="226">
        <v>121</v>
      </c>
      <c r="I49" s="29"/>
    </row>
    <row r="50" spans="1:18">
      <c r="A50" s="353" t="s">
        <v>805</v>
      </c>
      <c r="B50" s="302">
        <v>1073</v>
      </c>
      <c r="C50" s="306">
        <v>867</v>
      </c>
      <c r="D50" s="226">
        <v>770</v>
      </c>
      <c r="E50" s="226">
        <v>758</v>
      </c>
      <c r="F50" s="226">
        <v>678</v>
      </c>
      <c r="G50" s="188">
        <v>619</v>
      </c>
      <c r="H50" s="226">
        <v>586</v>
      </c>
      <c r="I50" s="29"/>
    </row>
    <row r="51" spans="1:18">
      <c r="A51" s="353" t="s">
        <v>806</v>
      </c>
      <c r="B51" s="302">
        <v>2346</v>
      </c>
      <c r="C51" s="302">
        <v>1906</v>
      </c>
      <c r="D51" s="226">
        <v>1558</v>
      </c>
      <c r="E51" s="226">
        <v>1363</v>
      </c>
      <c r="F51" s="226">
        <v>1233</v>
      </c>
      <c r="G51" s="221">
        <v>1055</v>
      </c>
      <c r="H51" s="226">
        <v>1001</v>
      </c>
      <c r="I51" s="29"/>
      <c r="M51" s="66"/>
      <c r="N51" s="66"/>
    </row>
    <row r="52" spans="1:18">
      <c r="A52" s="353" t="s">
        <v>807</v>
      </c>
      <c r="B52" s="302">
        <v>1679</v>
      </c>
      <c r="C52" s="302">
        <v>1285</v>
      </c>
      <c r="D52" s="226">
        <v>1187</v>
      </c>
      <c r="E52" s="226">
        <v>1230</v>
      </c>
      <c r="F52" s="226">
        <v>1167</v>
      </c>
      <c r="G52" s="221">
        <v>1082</v>
      </c>
      <c r="H52" s="226">
        <v>1046</v>
      </c>
      <c r="I52" s="29"/>
      <c r="M52" s="66"/>
      <c r="N52" s="66"/>
      <c r="O52" s="24"/>
    </row>
    <row r="53" spans="1:18">
      <c r="A53" s="353" t="s">
        <v>808</v>
      </c>
      <c r="B53" s="306">
        <v>445</v>
      </c>
      <c r="C53" s="306">
        <v>370</v>
      </c>
      <c r="D53" s="226">
        <v>295</v>
      </c>
      <c r="E53" s="226">
        <v>346</v>
      </c>
      <c r="F53" s="226">
        <v>368</v>
      </c>
      <c r="G53" s="188">
        <v>358</v>
      </c>
      <c r="H53" s="226">
        <v>337</v>
      </c>
      <c r="I53" s="29"/>
      <c r="M53" s="66"/>
      <c r="N53" s="66"/>
      <c r="O53" s="67"/>
    </row>
    <row r="54" spans="1:18">
      <c r="A54" s="353" t="s">
        <v>809</v>
      </c>
      <c r="B54" s="302">
        <v>7134</v>
      </c>
      <c r="C54" s="302">
        <v>6702</v>
      </c>
      <c r="D54" s="226">
        <v>6498</v>
      </c>
      <c r="E54" s="226">
        <v>6770</v>
      </c>
      <c r="F54" s="226">
        <v>7126</v>
      </c>
      <c r="G54" s="221">
        <v>6868</v>
      </c>
      <c r="H54" s="226">
        <v>6708</v>
      </c>
      <c r="I54" s="29"/>
      <c r="M54" s="66"/>
      <c r="N54" s="66"/>
      <c r="O54" s="67"/>
    </row>
    <row r="55" spans="1:18">
      <c r="A55" s="351" t="s">
        <v>173</v>
      </c>
      <c r="B55" s="394">
        <v>12763</v>
      </c>
      <c r="C55" s="394">
        <v>11280</v>
      </c>
      <c r="D55" s="392">
        <f>SUM(D49:D54)</f>
        <v>10452</v>
      </c>
      <c r="E55" s="392">
        <f>SUM(E49:E54)</f>
        <v>10613</v>
      </c>
      <c r="F55" s="392">
        <v>10710</v>
      </c>
      <c r="G55" s="395">
        <v>10109</v>
      </c>
      <c r="H55" s="392">
        <v>9799</v>
      </c>
      <c r="I55" s="29"/>
      <c r="M55" s="66"/>
      <c r="N55" s="66"/>
      <c r="O55" s="67"/>
    </row>
    <row r="56" spans="1:18">
      <c r="A56" s="34"/>
      <c r="B56" s="34"/>
      <c r="C56" s="34"/>
      <c r="D56" s="34"/>
      <c r="E56" s="103"/>
      <c r="F56" s="103"/>
      <c r="G56" s="103"/>
      <c r="H56" s="104"/>
      <c r="I56" s="105"/>
      <c r="N56" s="66"/>
      <c r="O56" s="66"/>
      <c r="P56" s="67"/>
    </row>
    <row r="57" spans="1:18" ht="17.25">
      <c r="A57" s="642" t="s">
        <v>810</v>
      </c>
      <c r="B57" s="642"/>
      <c r="C57" s="642"/>
      <c r="D57" s="642"/>
      <c r="E57" s="642"/>
      <c r="F57" s="642"/>
      <c r="G57" s="642"/>
      <c r="H57" s="642"/>
      <c r="I57" s="642"/>
      <c r="J57" s="642"/>
      <c r="K57" s="642"/>
      <c r="L57" s="642"/>
      <c r="M57" s="642"/>
      <c r="N57" s="642"/>
      <c r="O57" s="642"/>
    </row>
    <row r="58" spans="1:18">
      <c r="A58" s="733"/>
      <c r="B58" s="658">
        <v>2022</v>
      </c>
      <c r="C58" s="658"/>
      <c r="D58" s="658"/>
      <c r="E58" s="658"/>
      <c r="F58" s="658">
        <v>2021</v>
      </c>
      <c r="G58" s="658"/>
      <c r="H58" s="658"/>
      <c r="I58" s="658"/>
      <c r="J58" s="658">
        <v>2020</v>
      </c>
      <c r="K58" s="658"/>
      <c r="L58" s="658"/>
      <c r="M58" s="658">
        <v>2019</v>
      </c>
      <c r="N58" s="658"/>
      <c r="O58" s="658"/>
    </row>
    <row r="59" spans="1:18">
      <c r="A59" s="733"/>
      <c r="B59" s="385" t="s">
        <v>724</v>
      </c>
      <c r="C59" s="385" t="s">
        <v>725</v>
      </c>
      <c r="D59" s="385" t="s">
        <v>779</v>
      </c>
      <c r="E59" s="385" t="s">
        <v>173</v>
      </c>
      <c r="F59" s="385" t="s">
        <v>724</v>
      </c>
      <c r="G59" s="385" t="s">
        <v>725</v>
      </c>
      <c r="H59" s="385" t="s">
        <v>779</v>
      </c>
      <c r="I59" s="385" t="s">
        <v>173</v>
      </c>
      <c r="J59" s="385" t="s">
        <v>724</v>
      </c>
      <c r="K59" s="385" t="s">
        <v>725</v>
      </c>
      <c r="L59" s="385" t="s">
        <v>173</v>
      </c>
      <c r="M59" s="385" t="s">
        <v>724</v>
      </c>
      <c r="N59" s="385" t="s">
        <v>725</v>
      </c>
      <c r="O59" s="385" t="s">
        <v>173</v>
      </c>
    </row>
    <row r="60" spans="1:18">
      <c r="A60" s="357" t="s">
        <v>811</v>
      </c>
      <c r="B60" s="311">
        <v>234</v>
      </c>
      <c r="C60" s="311">
        <v>400</v>
      </c>
      <c r="D60" s="311">
        <v>0</v>
      </c>
      <c r="E60" s="311">
        <f>SUM(B60:D60)</f>
        <v>634</v>
      </c>
      <c r="F60" s="358">
        <v>237</v>
      </c>
      <c r="G60" s="358">
        <v>419</v>
      </c>
      <c r="H60" s="358">
        <v>0</v>
      </c>
      <c r="I60" s="358">
        <v>656</v>
      </c>
      <c r="J60" s="358">
        <v>176</v>
      </c>
      <c r="K60" s="358">
        <v>274</v>
      </c>
      <c r="L60" s="304">
        <f>SUM(J60:K60)</f>
        <v>450</v>
      </c>
      <c r="M60" s="358">
        <v>199</v>
      </c>
      <c r="N60" s="358">
        <v>293</v>
      </c>
      <c r="O60" s="304">
        <f>SUM(M60:N60)</f>
        <v>492</v>
      </c>
    </row>
    <row r="61" spans="1:18">
      <c r="A61" s="357" t="s">
        <v>812</v>
      </c>
      <c r="B61" s="311">
        <v>2814</v>
      </c>
      <c r="C61" s="311">
        <v>9305</v>
      </c>
      <c r="D61" s="311">
        <v>10</v>
      </c>
      <c r="E61" s="311">
        <f>SUM(B61:D61)</f>
        <v>12129</v>
      </c>
      <c r="F61" s="358">
        <v>2148</v>
      </c>
      <c r="G61" s="358">
        <v>8475</v>
      </c>
      <c r="H61" s="358">
        <v>1</v>
      </c>
      <c r="I61" s="358">
        <v>10624</v>
      </c>
      <c r="J61" s="358">
        <v>1892</v>
      </c>
      <c r="K61" s="358">
        <v>8110</v>
      </c>
      <c r="L61" s="304">
        <f t="shared" ref="L61" si="3">SUM(J61:K61)</f>
        <v>10002</v>
      </c>
      <c r="M61" s="358">
        <v>1881</v>
      </c>
      <c r="N61" s="358">
        <v>8240</v>
      </c>
      <c r="O61" s="304">
        <f t="shared" ref="O61:O62" si="4">SUM(M61:N61)</f>
        <v>10121</v>
      </c>
    </row>
    <row r="62" spans="1:18">
      <c r="A62" s="356" t="s">
        <v>173</v>
      </c>
      <c r="B62" s="356">
        <f>SUM(B60:B61)</f>
        <v>3048</v>
      </c>
      <c r="C62" s="356">
        <f>SUM(C60:C61)</f>
        <v>9705</v>
      </c>
      <c r="D62" s="356">
        <v>10</v>
      </c>
      <c r="E62" s="356">
        <f>SUM(B62:D62)</f>
        <v>12763</v>
      </c>
      <c r="F62" s="356">
        <v>2385</v>
      </c>
      <c r="G62" s="356">
        <v>8894</v>
      </c>
      <c r="H62" s="356">
        <v>1</v>
      </c>
      <c r="I62" s="356">
        <v>11280</v>
      </c>
      <c r="J62" s="356">
        <f>SUM(J60:J61)</f>
        <v>2068</v>
      </c>
      <c r="K62" s="356">
        <f>SUM(K60:K61)</f>
        <v>8384</v>
      </c>
      <c r="L62" s="393">
        <f>SUM(J62:K62)</f>
        <v>10452</v>
      </c>
      <c r="M62" s="356">
        <f>SUM(M60:M61)</f>
        <v>2080</v>
      </c>
      <c r="N62" s="356">
        <f>SUM(N60:N61)</f>
        <v>8533</v>
      </c>
      <c r="O62" s="393">
        <f t="shared" si="4"/>
        <v>10613</v>
      </c>
    </row>
    <row r="63" spans="1:18">
      <c r="A63" s="732" t="s">
        <v>813</v>
      </c>
      <c r="B63" s="732"/>
      <c r="C63" s="732"/>
      <c r="D63" s="732"/>
      <c r="E63" s="732"/>
      <c r="F63" s="732"/>
      <c r="G63" s="732"/>
      <c r="H63" s="732"/>
      <c r="I63" s="732"/>
      <c r="J63" s="732"/>
      <c r="K63" s="732"/>
      <c r="L63" s="732"/>
      <c r="M63" s="732"/>
      <c r="N63" s="732"/>
      <c r="O63" s="732"/>
      <c r="P63" s="156"/>
      <c r="Q63" s="156"/>
      <c r="R63" s="156"/>
    </row>
    <row r="64" spans="1:18">
      <c r="A64" s="15"/>
      <c r="B64" s="91"/>
      <c r="C64" s="91"/>
      <c r="D64" s="91"/>
      <c r="E64" s="15"/>
      <c r="F64" s="15"/>
      <c r="G64" s="15"/>
      <c r="H64" s="12"/>
      <c r="I64" s="62"/>
    </row>
    <row r="65" spans="1:13" ht="17.25">
      <c r="A65" s="731" t="s">
        <v>814</v>
      </c>
      <c r="B65" s="731"/>
      <c r="C65" s="731"/>
      <c r="D65" s="731"/>
      <c r="E65" s="731"/>
      <c r="F65" s="731"/>
      <c r="G65" s="731"/>
      <c r="H65" s="731"/>
      <c r="I65" s="731"/>
      <c r="J65" s="731"/>
      <c r="K65" s="731"/>
      <c r="L65" s="731"/>
      <c r="M65" s="731"/>
    </row>
    <row r="66" spans="1:13">
      <c r="A66" s="751"/>
      <c r="B66" s="712">
        <v>2022</v>
      </c>
      <c r="C66" s="713"/>
      <c r="D66" s="669"/>
      <c r="E66" s="712">
        <v>2021</v>
      </c>
      <c r="F66" s="713"/>
      <c r="G66" s="669"/>
      <c r="H66" s="750">
        <v>2020</v>
      </c>
      <c r="I66" s="750"/>
      <c r="J66" s="750"/>
      <c r="K66" s="750">
        <v>2019</v>
      </c>
      <c r="L66" s="750"/>
      <c r="M66" s="750"/>
    </row>
    <row r="67" spans="1:13">
      <c r="A67" s="752"/>
      <c r="B67" s="386" t="s">
        <v>811</v>
      </c>
      <c r="C67" s="385" t="s">
        <v>812</v>
      </c>
      <c r="D67" s="385" t="s">
        <v>173</v>
      </c>
      <c r="E67" s="386" t="s">
        <v>811</v>
      </c>
      <c r="F67" s="385" t="s">
        <v>812</v>
      </c>
      <c r="G67" s="385" t="s">
        <v>173</v>
      </c>
      <c r="H67" s="385" t="s">
        <v>811</v>
      </c>
      <c r="I67" s="385" t="s">
        <v>812</v>
      </c>
      <c r="J67" s="385" t="s">
        <v>173</v>
      </c>
      <c r="K67" s="385" t="s">
        <v>811</v>
      </c>
      <c r="L67" s="385" t="s">
        <v>812</v>
      </c>
      <c r="M67" s="385" t="s">
        <v>173</v>
      </c>
    </row>
    <row r="68" spans="1:13">
      <c r="A68" s="357" t="s">
        <v>790</v>
      </c>
      <c r="B68" s="360">
        <v>0</v>
      </c>
      <c r="C68" s="360">
        <v>1</v>
      </c>
      <c r="D68" s="360">
        <v>1</v>
      </c>
      <c r="E68" s="358">
        <v>0</v>
      </c>
      <c r="F68" s="358">
        <v>1</v>
      </c>
      <c r="G68" s="358">
        <v>1</v>
      </c>
      <c r="H68" s="358">
        <v>0</v>
      </c>
      <c r="I68" s="358">
        <v>1</v>
      </c>
      <c r="J68" s="358">
        <f>SUM(H68:I68)</f>
        <v>1</v>
      </c>
      <c r="K68" s="358">
        <v>0</v>
      </c>
      <c r="L68" s="358">
        <v>1</v>
      </c>
      <c r="M68" s="358">
        <f>SUM(K68:L68)</f>
        <v>1</v>
      </c>
    </row>
    <row r="69" spans="1:13">
      <c r="A69" s="357" t="s">
        <v>791</v>
      </c>
      <c r="B69" s="360">
        <v>0</v>
      </c>
      <c r="C69" s="360">
        <v>14</v>
      </c>
      <c r="D69" s="360">
        <v>14</v>
      </c>
      <c r="E69" s="358">
        <v>0</v>
      </c>
      <c r="F69" s="358">
        <v>14</v>
      </c>
      <c r="G69" s="358">
        <v>14</v>
      </c>
      <c r="H69" s="358">
        <v>0</v>
      </c>
      <c r="I69" s="358">
        <v>15</v>
      </c>
      <c r="J69" s="358">
        <f t="shared" ref="J69:J81" si="5">SUM(H69:I69)</f>
        <v>15</v>
      </c>
      <c r="K69" s="358">
        <v>0</v>
      </c>
      <c r="L69" s="358">
        <v>15</v>
      </c>
      <c r="M69" s="358">
        <f t="shared" ref="M69:M78" si="6">SUM(K69:L69)</f>
        <v>15</v>
      </c>
    </row>
    <row r="70" spans="1:13">
      <c r="A70" s="357" t="s">
        <v>792</v>
      </c>
      <c r="B70" s="360">
        <v>0</v>
      </c>
      <c r="C70" s="360">
        <v>1</v>
      </c>
      <c r="D70" s="360">
        <v>1</v>
      </c>
      <c r="E70" s="358">
        <v>0</v>
      </c>
      <c r="F70" s="358">
        <v>1</v>
      </c>
      <c r="G70" s="358">
        <v>1</v>
      </c>
      <c r="H70" s="358">
        <v>0</v>
      </c>
      <c r="I70" s="358">
        <v>1</v>
      </c>
      <c r="J70" s="358">
        <f t="shared" si="5"/>
        <v>1</v>
      </c>
      <c r="K70" s="358">
        <v>0</v>
      </c>
      <c r="L70" s="358">
        <v>1</v>
      </c>
      <c r="M70" s="358">
        <f t="shared" si="6"/>
        <v>1</v>
      </c>
    </row>
    <row r="71" spans="1:13">
      <c r="A71" s="357" t="s">
        <v>793</v>
      </c>
      <c r="B71" s="360">
        <v>4</v>
      </c>
      <c r="C71" s="360">
        <v>15</v>
      </c>
      <c r="D71" s="360">
        <v>19</v>
      </c>
      <c r="E71" s="358">
        <v>3</v>
      </c>
      <c r="F71" s="358">
        <v>15</v>
      </c>
      <c r="G71" s="358">
        <v>18</v>
      </c>
      <c r="H71" s="358">
        <v>1</v>
      </c>
      <c r="I71" s="358">
        <v>17</v>
      </c>
      <c r="J71" s="358">
        <f t="shared" si="5"/>
        <v>18</v>
      </c>
      <c r="K71" s="358">
        <v>0</v>
      </c>
      <c r="L71" s="358">
        <v>18</v>
      </c>
      <c r="M71" s="358">
        <f t="shared" si="6"/>
        <v>18</v>
      </c>
    </row>
    <row r="72" spans="1:13">
      <c r="A72" s="357" t="s">
        <v>794</v>
      </c>
      <c r="B72" s="360">
        <v>3</v>
      </c>
      <c r="C72" s="360">
        <v>21</v>
      </c>
      <c r="D72" s="360">
        <v>24</v>
      </c>
      <c r="E72" s="358">
        <v>3</v>
      </c>
      <c r="F72" s="358">
        <v>17</v>
      </c>
      <c r="G72" s="358">
        <v>20</v>
      </c>
      <c r="H72" s="358">
        <v>3</v>
      </c>
      <c r="I72" s="358">
        <v>13</v>
      </c>
      <c r="J72" s="358">
        <f t="shared" si="5"/>
        <v>16</v>
      </c>
      <c r="K72" s="358">
        <v>2</v>
      </c>
      <c r="L72" s="358">
        <v>17</v>
      </c>
      <c r="M72" s="358">
        <f t="shared" si="6"/>
        <v>19</v>
      </c>
    </row>
    <row r="73" spans="1:13">
      <c r="A73" s="357" t="s">
        <v>795</v>
      </c>
      <c r="B73" s="360">
        <v>2</v>
      </c>
      <c r="C73" s="360">
        <v>9</v>
      </c>
      <c r="D73" s="360">
        <v>11</v>
      </c>
      <c r="E73" s="358">
        <v>4</v>
      </c>
      <c r="F73" s="358">
        <v>12</v>
      </c>
      <c r="G73" s="358">
        <v>16</v>
      </c>
      <c r="H73" s="358">
        <v>5</v>
      </c>
      <c r="I73" s="358">
        <v>10</v>
      </c>
      <c r="J73" s="358">
        <f t="shared" si="5"/>
        <v>15</v>
      </c>
      <c r="K73" s="358">
        <v>6</v>
      </c>
      <c r="L73" s="358">
        <v>11</v>
      </c>
      <c r="M73" s="358">
        <f t="shared" si="6"/>
        <v>17</v>
      </c>
    </row>
    <row r="74" spans="1:13">
      <c r="A74" s="357" t="s">
        <v>256</v>
      </c>
      <c r="B74" s="360">
        <v>508</v>
      </c>
      <c r="C74" s="360">
        <v>8807</v>
      </c>
      <c r="D74" s="360">
        <v>9315</v>
      </c>
      <c r="E74" s="358">
        <v>567</v>
      </c>
      <c r="F74" s="358">
        <v>8220</v>
      </c>
      <c r="G74" s="358">
        <v>8787</v>
      </c>
      <c r="H74" s="358">
        <v>405</v>
      </c>
      <c r="I74" s="358">
        <v>7891</v>
      </c>
      <c r="J74" s="358">
        <f t="shared" si="5"/>
        <v>8296</v>
      </c>
      <c r="K74" s="358">
        <v>402</v>
      </c>
      <c r="L74" s="358">
        <v>8013</v>
      </c>
      <c r="M74" s="358">
        <f t="shared" si="6"/>
        <v>8415</v>
      </c>
    </row>
    <row r="75" spans="1:13">
      <c r="A75" s="357" t="s">
        <v>796</v>
      </c>
      <c r="B75" s="360">
        <v>12</v>
      </c>
      <c r="C75" s="360">
        <v>43</v>
      </c>
      <c r="D75" s="360">
        <v>55</v>
      </c>
      <c r="E75" s="358">
        <v>9</v>
      </c>
      <c r="F75" s="358">
        <v>25</v>
      </c>
      <c r="G75" s="358">
        <v>34</v>
      </c>
      <c r="H75" s="358">
        <v>0</v>
      </c>
      <c r="I75" s="358">
        <v>7</v>
      </c>
      <c r="J75" s="358">
        <f t="shared" si="5"/>
        <v>7</v>
      </c>
      <c r="K75" s="358">
        <v>0</v>
      </c>
      <c r="L75" s="358">
        <v>7</v>
      </c>
      <c r="M75" s="358">
        <f t="shared" si="6"/>
        <v>7</v>
      </c>
    </row>
    <row r="76" spans="1:13">
      <c r="A76" s="357" t="s">
        <v>797</v>
      </c>
      <c r="B76" s="360">
        <v>78</v>
      </c>
      <c r="C76" s="360">
        <v>670</v>
      </c>
      <c r="D76" s="360">
        <v>748</v>
      </c>
      <c r="E76" s="358">
        <v>58</v>
      </c>
      <c r="F76" s="358">
        <v>631</v>
      </c>
      <c r="G76" s="358">
        <v>689</v>
      </c>
      <c r="H76" s="358">
        <v>33</v>
      </c>
      <c r="I76" s="358">
        <v>610</v>
      </c>
      <c r="J76" s="358">
        <f t="shared" si="5"/>
        <v>643</v>
      </c>
      <c r="K76" s="358">
        <v>51</v>
      </c>
      <c r="L76" s="358">
        <v>604</v>
      </c>
      <c r="M76" s="358">
        <f t="shared" si="6"/>
        <v>655</v>
      </c>
    </row>
    <row r="77" spans="1:13">
      <c r="A77" s="357" t="s">
        <v>271</v>
      </c>
      <c r="B77" s="360">
        <v>26</v>
      </c>
      <c r="C77" s="360">
        <v>2511</v>
      </c>
      <c r="D77" s="360">
        <v>2537</v>
      </c>
      <c r="E77" s="358">
        <v>11</v>
      </c>
      <c r="F77" s="358">
        <v>1663</v>
      </c>
      <c r="G77" s="358">
        <v>1674</v>
      </c>
      <c r="H77" s="358">
        <v>0</v>
      </c>
      <c r="I77" s="358">
        <v>1416</v>
      </c>
      <c r="J77" s="358">
        <f t="shared" si="5"/>
        <v>1416</v>
      </c>
      <c r="K77" s="358">
        <v>27</v>
      </c>
      <c r="L77" s="358">
        <v>1408</v>
      </c>
      <c r="M77" s="358">
        <f t="shared" si="6"/>
        <v>1435</v>
      </c>
    </row>
    <row r="78" spans="1:13">
      <c r="A78" s="357" t="s">
        <v>798</v>
      </c>
      <c r="B78" s="360">
        <v>1</v>
      </c>
      <c r="C78" s="360">
        <v>26</v>
      </c>
      <c r="D78" s="360">
        <v>27</v>
      </c>
      <c r="E78" s="358">
        <v>1</v>
      </c>
      <c r="F78" s="358">
        <v>25</v>
      </c>
      <c r="G78" s="358">
        <v>26</v>
      </c>
      <c r="H78" s="358">
        <v>3</v>
      </c>
      <c r="I78" s="358">
        <v>21</v>
      </c>
      <c r="J78" s="358">
        <f t="shared" si="5"/>
        <v>24</v>
      </c>
      <c r="K78" s="358">
        <v>4</v>
      </c>
      <c r="L78" s="358">
        <v>26</v>
      </c>
      <c r="M78" s="358">
        <f t="shared" si="6"/>
        <v>30</v>
      </c>
    </row>
    <row r="79" spans="1:13">
      <c r="A79" s="360" t="s">
        <v>800</v>
      </c>
      <c r="B79" s="360">
        <v>0</v>
      </c>
      <c r="C79" s="360">
        <v>8</v>
      </c>
      <c r="D79" s="360">
        <v>8</v>
      </c>
      <c r="E79" s="358" t="s">
        <v>181</v>
      </c>
      <c r="F79" s="358" t="s">
        <v>181</v>
      </c>
      <c r="G79" s="358" t="s">
        <v>181</v>
      </c>
      <c r="H79" s="358" t="s">
        <v>181</v>
      </c>
      <c r="I79" s="358" t="s">
        <v>181</v>
      </c>
      <c r="J79" s="358" t="s">
        <v>181</v>
      </c>
      <c r="K79" s="358" t="s">
        <v>181</v>
      </c>
      <c r="L79" s="358" t="s">
        <v>181</v>
      </c>
      <c r="M79" s="358" t="s">
        <v>181</v>
      </c>
    </row>
    <row r="80" spans="1:13">
      <c r="A80" s="360" t="s">
        <v>799</v>
      </c>
      <c r="B80" s="360">
        <v>0</v>
      </c>
      <c r="C80" s="360">
        <v>3</v>
      </c>
      <c r="D80" s="360">
        <v>3</v>
      </c>
      <c r="E80" s="358" t="s">
        <v>815</v>
      </c>
      <c r="F80" s="358" t="s">
        <v>815</v>
      </c>
      <c r="G80" s="358" t="s">
        <v>815</v>
      </c>
      <c r="H80" s="358" t="s">
        <v>815</v>
      </c>
      <c r="I80" s="358" t="s">
        <v>815</v>
      </c>
      <c r="J80" s="358" t="s">
        <v>815</v>
      </c>
      <c r="K80" s="358" t="s">
        <v>815</v>
      </c>
      <c r="L80" s="358" t="s">
        <v>815</v>
      </c>
      <c r="M80" s="358" t="s">
        <v>815</v>
      </c>
    </row>
    <row r="81" spans="1:17">
      <c r="A81" s="356" t="s">
        <v>173</v>
      </c>
      <c r="B81" s="356">
        <v>634</v>
      </c>
      <c r="C81" s="356">
        <v>12129</v>
      </c>
      <c r="D81" s="356">
        <v>12763</v>
      </c>
      <c r="E81" s="356">
        <v>656</v>
      </c>
      <c r="F81" s="356">
        <v>10624</v>
      </c>
      <c r="G81" s="356">
        <v>11280</v>
      </c>
      <c r="H81" s="356">
        <f>SUM(H68:H78)</f>
        <v>450</v>
      </c>
      <c r="I81" s="356">
        <f>SUM(I68:I78)</f>
        <v>10002</v>
      </c>
      <c r="J81" s="356">
        <f t="shared" si="5"/>
        <v>10452</v>
      </c>
      <c r="K81" s="356">
        <f>SUM(K68:K78)</f>
        <v>492</v>
      </c>
      <c r="L81" s="356">
        <f t="shared" ref="L81:M81" si="7">SUM(L68:L78)</f>
        <v>10121</v>
      </c>
      <c r="M81" s="356">
        <f t="shared" si="7"/>
        <v>10613</v>
      </c>
    </row>
    <row r="82" spans="1:17">
      <c r="A82" s="732" t="s">
        <v>813</v>
      </c>
      <c r="B82" s="732"/>
      <c r="C82" s="732"/>
      <c r="D82" s="732"/>
      <c r="E82" s="732"/>
      <c r="F82" s="732"/>
      <c r="G82" s="732"/>
      <c r="H82" s="732"/>
      <c r="I82" s="732"/>
      <c r="J82" s="732"/>
      <c r="K82" s="732"/>
      <c r="L82" s="732"/>
      <c r="M82" s="732"/>
      <c r="N82" s="156"/>
      <c r="O82" s="156"/>
    </row>
    <row r="83" spans="1:17">
      <c r="A83" s="2"/>
      <c r="B83"/>
      <c r="C83"/>
      <c r="D83"/>
      <c r="F83" s="107"/>
      <c r="G83" s="107"/>
      <c r="H83" s="12"/>
      <c r="I83" s="62"/>
    </row>
    <row r="84" spans="1:17">
      <c r="A84" s="731" t="s">
        <v>635</v>
      </c>
      <c r="B84" s="731"/>
      <c r="C84" s="731"/>
      <c r="D84" s="731"/>
      <c r="E84" s="731"/>
      <c r="F84" s="731"/>
      <c r="G84" s="731"/>
      <c r="H84" s="731"/>
      <c r="I84" s="731"/>
      <c r="J84" s="731"/>
      <c r="K84" s="731"/>
      <c r="L84" s="731"/>
      <c r="M84" s="731"/>
      <c r="N84" s="731"/>
      <c r="O84" s="731"/>
    </row>
    <row r="85" spans="1:17">
      <c r="A85" s="751"/>
      <c r="B85" s="735" t="s">
        <v>816</v>
      </c>
      <c r="C85" s="735"/>
      <c r="D85" s="735"/>
      <c r="E85" s="735"/>
      <c r="F85" s="735">
        <v>2021</v>
      </c>
      <c r="G85" s="735"/>
      <c r="H85" s="735"/>
      <c r="I85" s="735"/>
      <c r="J85" s="712">
        <v>2020</v>
      </c>
      <c r="K85" s="713"/>
      <c r="L85" s="669"/>
      <c r="M85" s="658">
        <v>2019</v>
      </c>
      <c r="N85" s="658"/>
      <c r="O85" s="658"/>
    </row>
    <row r="86" spans="1:17">
      <c r="A86" s="752"/>
      <c r="B86" s="385" t="s">
        <v>724</v>
      </c>
      <c r="C86" s="385" t="s">
        <v>725</v>
      </c>
      <c r="D86" s="385" t="s">
        <v>779</v>
      </c>
      <c r="E86" s="385" t="s">
        <v>173</v>
      </c>
      <c r="F86" s="385" t="s">
        <v>724</v>
      </c>
      <c r="G86" s="385" t="s">
        <v>725</v>
      </c>
      <c r="H86" s="385" t="s">
        <v>779</v>
      </c>
      <c r="I86" s="385" t="s">
        <v>173</v>
      </c>
      <c r="J86" s="385" t="s">
        <v>724</v>
      </c>
      <c r="K86" s="385" t="s">
        <v>725</v>
      </c>
      <c r="L86" s="385" t="s">
        <v>173</v>
      </c>
      <c r="M86" s="385" t="s">
        <v>724</v>
      </c>
      <c r="N86" s="385" t="s">
        <v>725</v>
      </c>
      <c r="O86" s="385" t="s">
        <v>173</v>
      </c>
    </row>
    <row r="87" spans="1:17" ht="15.75">
      <c r="A87" s="357" t="s">
        <v>817</v>
      </c>
      <c r="B87" s="361">
        <v>43</v>
      </c>
      <c r="C87" s="361">
        <v>25</v>
      </c>
      <c r="D87" s="311">
        <v>0</v>
      </c>
      <c r="E87" s="311">
        <v>68</v>
      </c>
      <c r="F87" s="361">
        <v>33</v>
      </c>
      <c r="G87" s="361">
        <v>13</v>
      </c>
      <c r="H87" s="311">
        <v>0</v>
      </c>
      <c r="I87" s="311">
        <v>46</v>
      </c>
      <c r="J87" s="358">
        <v>36</v>
      </c>
      <c r="K87" s="358">
        <v>11</v>
      </c>
      <c r="L87" s="358">
        <f>SUM(J87:K87)</f>
        <v>47</v>
      </c>
      <c r="M87" s="358">
        <v>33</v>
      </c>
      <c r="N87" s="358">
        <v>11</v>
      </c>
      <c r="O87" s="358">
        <f>SUM(M87:N87)</f>
        <v>44</v>
      </c>
    </row>
    <row r="88" spans="1:17">
      <c r="A88" s="357" t="s">
        <v>818</v>
      </c>
      <c r="B88" s="311">
        <v>2771</v>
      </c>
      <c r="C88" s="311">
        <v>9280</v>
      </c>
      <c r="D88" s="311">
        <v>10</v>
      </c>
      <c r="E88" s="311">
        <v>12061</v>
      </c>
      <c r="F88" s="311">
        <v>2115</v>
      </c>
      <c r="G88" s="311">
        <v>8462</v>
      </c>
      <c r="H88" s="311">
        <v>1</v>
      </c>
      <c r="I88" s="311">
        <v>10578</v>
      </c>
      <c r="J88" s="358">
        <v>1856</v>
      </c>
      <c r="K88" s="358">
        <v>8099</v>
      </c>
      <c r="L88" s="358">
        <f>SUM(J88:K88)</f>
        <v>9955</v>
      </c>
      <c r="M88" s="358">
        <v>1848</v>
      </c>
      <c r="N88" s="358">
        <v>8229</v>
      </c>
      <c r="O88" s="358">
        <f>SUM(M88:N88)</f>
        <v>10077</v>
      </c>
    </row>
    <row r="89" spans="1:17">
      <c r="A89" s="356" t="s">
        <v>173</v>
      </c>
      <c r="B89" s="356">
        <v>2814</v>
      </c>
      <c r="C89" s="356">
        <v>9305</v>
      </c>
      <c r="D89" s="356">
        <v>10</v>
      </c>
      <c r="E89" s="356">
        <v>12129</v>
      </c>
      <c r="F89" s="356">
        <v>2148</v>
      </c>
      <c r="G89" s="356">
        <v>8475</v>
      </c>
      <c r="H89" s="356">
        <v>1</v>
      </c>
      <c r="I89" s="356">
        <v>10624</v>
      </c>
      <c r="J89" s="356">
        <f>SUM(J87:J88)</f>
        <v>1892</v>
      </c>
      <c r="K89" s="356">
        <f>SUM(K87:K88)</f>
        <v>8110</v>
      </c>
      <c r="L89" s="356">
        <f>SUM(J89:K89)</f>
        <v>10002</v>
      </c>
      <c r="M89" s="356">
        <f>SUM(M87:M88)</f>
        <v>1881</v>
      </c>
      <c r="N89" s="356">
        <f>SUM(N87:N88)</f>
        <v>8240</v>
      </c>
      <c r="O89" s="356">
        <f>SUM(M89:N89)</f>
        <v>10121</v>
      </c>
    </row>
    <row r="90" spans="1:17">
      <c r="A90" s="732" t="s">
        <v>813</v>
      </c>
      <c r="B90" s="732"/>
      <c r="C90" s="732"/>
      <c r="D90" s="732"/>
      <c r="E90" s="732"/>
      <c r="F90" s="732"/>
      <c r="G90" s="732"/>
      <c r="H90" s="732"/>
      <c r="I90" s="732"/>
      <c r="J90" s="732"/>
      <c r="K90" s="732"/>
      <c r="L90" s="732"/>
      <c r="M90" s="732"/>
      <c r="N90" s="732"/>
      <c r="O90" s="732"/>
    </row>
    <row r="91" spans="1:17">
      <c r="A91" s="107"/>
      <c r="B91" s="106"/>
      <c r="C91" s="106"/>
      <c r="D91" s="106"/>
      <c r="E91" s="106"/>
      <c r="F91" s="106"/>
      <c r="G91" s="37"/>
      <c r="H91" s="12"/>
      <c r="O91" s="66"/>
      <c r="P91" s="66"/>
      <c r="Q91" s="67"/>
    </row>
    <row r="92" spans="1:17" ht="17.25">
      <c r="A92" s="642" t="s">
        <v>821</v>
      </c>
      <c r="B92" s="642"/>
      <c r="C92" s="642"/>
      <c r="D92" s="642"/>
      <c r="E92" s="642"/>
      <c r="F92" s="642"/>
      <c r="G92" s="29"/>
      <c r="O92" s="66"/>
      <c r="P92" s="66"/>
    </row>
    <row r="93" spans="1:17" ht="25.5">
      <c r="A93" s="388"/>
      <c r="B93" s="318" t="s">
        <v>789</v>
      </c>
      <c r="C93" s="179" t="s">
        <v>822</v>
      </c>
      <c r="D93" s="179" t="s">
        <v>823</v>
      </c>
      <c r="E93" s="179" t="s">
        <v>824</v>
      </c>
      <c r="F93" s="203" t="s">
        <v>173</v>
      </c>
      <c r="G93" s="29"/>
      <c r="O93" s="66"/>
      <c r="P93" s="66"/>
    </row>
    <row r="94" spans="1:17">
      <c r="A94" s="726" t="s">
        <v>825</v>
      </c>
      <c r="B94" s="342" t="s">
        <v>256</v>
      </c>
      <c r="C94" s="246">
        <v>253</v>
      </c>
      <c r="D94" s="246">
        <v>283</v>
      </c>
      <c r="E94" s="246">
        <v>61</v>
      </c>
      <c r="F94" s="246">
        <v>597</v>
      </c>
      <c r="G94" s="29"/>
    </row>
    <row r="95" spans="1:17">
      <c r="A95" s="727"/>
      <c r="B95" s="342" t="s">
        <v>271</v>
      </c>
      <c r="C95" s="246">
        <v>191</v>
      </c>
      <c r="D95" s="246">
        <v>238</v>
      </c>
      <c r="E95" s="246">
        <v>12</v>
      </c>
      <c r="F95" s="246">
        <v>441</v>
      </c>
      <c r="G95" s="29"/>
    </row>
    <row r="96" spans="1:17">
      <c r="A96" s="727"/>
      <c r="B96" s="342" t="s">
        <v>797</v>
      </c>
      <c r="C96" s="246">
        <v>55</v>
      </c>
      <c r="D96" s="246">
        <v>31</v>
      </c>
      <c r="E96" s="246">
        <v>8</v>
      </c>
      <c r="F96" s="246">
        <v>94</v>
      </c>
      <c r="G96" s="29"/>
    </row>
    <row r="97" spans="1:17">
      <c r="A97" s="727"/>
      <c r="B97" s="342" t="s">
        <v>796</v>
      </c>
      <c r="C97" s="246">
        <v>5</v>
      </c>
      <c r="D97" s="246">
        <v>3</v>
      </c>
      <c r="E97" s="246">
        <v>0</v>
      </c>
      <c r="F97" s="246">
        <v>8</v>
      </c>
      <c r="G97" s="29"/>
    </row>
    <row r="98" spans="1:17">
      <c r="A98" s="727"/>
      <c r="B98" s="342" t="s">
        <v>795</v>
      </c>
      <c r="C98" s="246">
        <v>2</v>
      </c>
      <c r="D98" s="246">
        <v>0</v>
      </c>
      <c r="E98" s="246">
        <v>0</v>
      </c>
      <c r="F98" s="246">
        <v>2</v>
      </c>
      <c r="G98" s="29"/>
    </row>
    <row r="99" spans="1:17">
      <c r="A99" s="727"/>
      <c r="B99" s="342" t="s">
        <v>794</v>
      </c>
      <c r="C99" s="246">
        <v>0</v>
      </c>
      <c r="D99" s="246">
        <v>2</v>
      </c>
      <c r="E99" s="246">
        <v>1</v>
      </c>
      <c r="F99" s="246">
        <v>3</v>
      </c>
      <c r="G99" s="29"/>
    </row>
    <row r="100" spans="1:17">
      <c r="A100" s="728"/>
      <c r="B100" s="342" t="s">
        <v>791</v>
      </c>
      <c r="C100" s="246">
        <v>1</v>
      </c>
      <c r="D100" s="246">
        <v>0</v>
      </c>
      <c r="E100" s="246">
        <v>0</v>
      </c>
      <c r="F100" s="246">
        <v>1</v>
      </c>
      <c r="G100" s="29"/>
    </row>
    <row r="101" spans="1:17">
      <c r="A101" s="718" t="s">
        <v>826</v>
      </c>
      <c r="B101" s="718"/>
      <c r="C101" s="359">
        <v>507</v>
      </c>
      <c r="D101" s="359">
        <v>557</v>
      </c>
      <c r="E101" s="359">
        <v>82</v>
      </c>
      <c r="F101" s="356">
        <v>1146</v>
      </c>
      <c r="G101" s="29"/>
    </row>
    <row r="102" spans="1:17">
      <c r="A102" s="726" t="s">
        <v>725</v>
      </c>
      <c r="B102" s="342" t="s">
        <v>256</v>
      </c>
      <c r="C102" s="246">
        <v>587</v>
      </c>
      <c r="D102" s="246">
        <v>650</v>
      </c>
      <c r="E102" s="246">
        <v>172</v>
      </c>
      <c r="F102" s="311">
        <v>1409</v>
      </c>
      <c r="G102" s="29"/>
    </row>
    <row r="103" spans="1:17">
      <c r="A103" s="727"/>
      <c r="B103" s="342" t="s">
        <v>797</v>
      </c>
      <c r="C103" s="246">
        <v>82</v>
      </c>
      <c r="D103" s="246">
        <v>86</v>
      </c>
      <c r="E103" s="246">
        <v>28</v>
      </c>
      <c r="F103" s="246">
        <v>196</v>
      </c>
      <c r="G103" s="29"/>
    </row>
    <row r="104" spans="1:17">
      <c r="A104" s="727"/>
      <c r="B104" s="342" t="s">
        <v>271</v>
      </c>
      <c r="C104" s="246">
        <v>76</v>
      </c>
      <c r="D104" s="246">
        <v>410</v>
      </c>
      <c r="E104" s="246">
        <v>69</v>
      </c>
      <c r="F104" s="246">
        <v>555</v>
      </c>
      <c r="G104" s="29"/>
    </row>
    <row r="105" spans="1:17">
      <c r="A105" s="727"/>
      <c r="B105" s="342" t="s">
        <v>796</v>
      </c>
      <c r="C105" s="246">
        <v>4</v>
      </c>
      <c r="D105" s="246">
        <v>12</v>
      </c>
      <c r="E105" s="246">
        <v>2</v>
      </c>
      <c r="F105" s="246">
        <v>18</v>
      </c>
      <c r="G105" s="29"/>
    </row>
    <row r="106" spans="1:17">
      <c r="A106" s="727"/>
      <c r="B106" s="342" t="s">
        <v>794</v>
      </c>
      <c r="C106" s="246">
        <v>2</v>
      </c>
      <c r="D106" s="246">
        <v>1</v>
      </c>
      <c r="E106" s="246">
        <v>3</v>
      </c>
      <c r="F106" s="246">
        <v>6</v>
      </c>
      <c r="G106" s="29"/>
      <c r="O106" s="59"/>
      <c r="P106" s="59"/>
      <c r="Q106" s="39"/>
    </row>
    <row r="107" spans="1:17">
      <c r="A107" s="727"/>
      <c r="B107" s="342" t="s">
        <v>795</v>
      </c>
      <c r="C107" s="246">
        <v>1</v>
      </c>
      <c r="D107" s="246">
        <v>1</v>
      </c>
      <c r="E107" s="246">
        <v>0</v>
      </c>
      <c r="F107" s="246">
        <v>2</v>
      </c>
      <c r="G107" s="29"/>
      <c r="O107" s="66"/>
      <c r="P107" s="66"/>
    </row>
    <row r="108" spans="1:17">
      <c r="A108" s="727"/>
      <c r="B108" s="342" t="s">
        <v>793</v>
      </c>
      <c r="C108" s="246">
        <v>1</v>
      </c>
      <c r="D108" s="246">
        <v>1</v>
      </c>
      <c r="E108" s="246">
        <v>0</v>
      </c>
      <c r="F108" s="246">
        <v>2</v>
      </c>
      <c r="G108" s="29"/>
      <c r="L108" s="66"/>
      <c r="M108" s="66"/>
    </row>
    <row r="109" spans="1:17">
      <c r="A109" s="727"/>
      <c r="B109" s="342" t="s">
        <v>791</v>
      </c>
      <c r="C109" s="246">
        <v>0</v>
      </c>
      <c r="D109" s="246">
        <v>0</v>
      </c>
      <c r="E109" s="246">
        <v>1</v>
      </c>
      <c r="F109" s="246">
        <v>1</v>
      </c>
      <c r="G109" s="29"/>
      <c r="L109" s="66"/>
      <c r="M109" s="59"/>
    </row>
    <row r="110" spans="1:17">
      <c r="A110" s="728"/>
      <c r="B110" s="342" t="s">
        <v>798</v>
      </c>
      <c r="C110" s="246">
        <v>0</v>
      </c>
      <c r="D110" s="246">
        <v>1</v>
      </c>
      <c r="E110" s="246">
        <v>0</v>
      </c>
      <c r="F110" s="246">
        <v>1</v>
      </c>
      <c r="G110" s="29"/>
      <c r="L110" s="66"/>
      <c r="M110" s="59"/>
    </row>
    <row r="111" spans="1:17">
      <c r="A111" s="717" t="s">
        <v>827</v>
      </c>
      <c r="B111" s="717"/>
      <c r="C111" s="359">
        <v>753</v>
      </c>
      <c r="D111" s="356">
        <v>1162</v>
      </c>
      <c r="E111" s="359">
        <v>275</v>
      </c>
      <c r="F111" s="356">
        <v>2190</v>
      </c>
      <c r="G111" s="29"/>
      <c r="L111" s="66"/>
      <c r="M111" s="66"/>
    </row>
    <row r="112" spans="1:17">
      <c r="A112" s="353" t="s">
        <v>779</v>
      </c>
      <c r="B112" s="353" t="s">
        <v>256</v>
      </c>
      <c r="C112" s="246">
        <v>1</v>
      </c>
      <c r="D112" s="246">
        <v>2</v>
      </c>
      <c r="E112" s="246">
        <v>1</v>
      </c>
      <c r="F112" s="246">
        <v>4</v>
      </c>
      <c r="G112" s="29"/>
      <c r="L112" s="66"/>
      <c r="M112" s="66"/>
    </row>
    <row r="113" spans="1:7">
      <c r="A113" s="717" t="s">
        <v>828</v>
      </c>
      <c r="B113" s="717"/>
      <c r="C113" s="356">
        <v>1261</v>
      </c>
      <c r="D113" s="356">
        <v>1721</v>
      </c>
      <c r="E113" s="359">
        <v>358</v>
      </c>
      <c r="F113" s="356">
        <v>3340</v>
      </c>
      <c r="G113" s="29"/>
    </row>
    <row r="114" spans="1:7">
      <c r="A114" s="736" t="s">
        <v>829</v>
      </c>
      <c r="B114" s="736"/>
      <c r="C114" s="736"/>
      <c r="D114" s="736"/>
      <c r="E114" s="736"/>
      <c r="F114" s="736"/>
      <c r="G114" s="101"/>
    </row>
    <row r="115" spans="1:7">
      <c r="A115" s="736" t="s">
        <v>830</v>
      </c>
      <c r="B115" s="736"/>
      <c r="C115" s="736"/>
      <c r="D115" s="736"/>
      <c r="E115" s="736"/>
      <c r="F115" s="736"/>
      <c r="G115" s="101"/>
    </row>
    <row r="116" spans="1:7">
      <c r="A116" s="108"/>
      <c r="B116" s="93"/>
      <c r="C116" s="93"/>
      <c r="D116" s="93"/>
      <c r="E116" s="37"/>
      <c r="F116" s="37"/>
      <c r="G116" s="101"/>
    </row>
    <row r="117" spans="1:7" ht="17.25">
      <c r="A117" s="642" t="s">
        <v>831</v>
      </c>
      <c r="B117" s="642"/>
      <c r="C117" s="642"/>
      <c r="D117" s="642"/>
      <c r="E117" s="642"/>
      <c r="F117" s="642"/>
      <c r="G117" s="101"/>
    </row>
    <row r="118" spans="1:7" ht="25.5">
      <c r="A118" s="388"/>
      <c r="B118" s="318" t="s">
        <v>789</v>
      </c>
      <c r="C118" s="179" t="s">
        <v>822</v>
      </c>
      <c r="D118" s="179" t="s">
        <v>823</v>
      </c>
      <c r="E118" s="179" t="s">
        <v>824</v>
      </c>
      <c r="F118" s="203" t="s">
        <v>173</v>
      </c>
      <c r="G118" s="101"/>
    </row>
    <row r="119" spans="1:7">
      <c r="A119" s="726" t="s">
        <v>825</v>
      </c>
      <c r="B119" s="342" t="s">
        <v>256</v>
      </c>
      <c r="C119" s="342">
        <v>233</v>
      </c>
      <c r="D119" s="342">
        <v>210</v>
      </c>
      <c r="E119" s="342">
        <v>31</v>
      </c>
      <c r="F119" s="342">
        <v>474</v>
      </c>
      <c r="G119" s="101"/>
    </row>
    <row r="120" spans="1:7">
      <c r="A120" s="727"/>
      <c r="B120" s="342" t="s">
        <v>271</v>
      </c>
      <c r="C120" s="342">
        <v>47</v>
      </c>
      <c r="D120" s="342">
        <v>94</v>
      </c>
      <c r="E120" s="342">
        <v>2</v>
      </c>
      <c r="F120" s="342">
        <v>143</v>
      </c>
      <c r="G120" s="101"/>
    </row>
    <row r="121" spans="1:7">
      <c r="A121" s="727"/>
      <c r="B121" s="342" t="s">
        <v>797</v>
      </c>
      <c r="C121" s="342">
        <v>38</v>
      </c>
      <c r="D121" s="342">
        <v>17</v>
      </c>
      <c r="E121" s="342">
        <v>2</v>
      </c>
      <c r="F121" s="342">
        <v>57</v>
      </c>
      <c r="G121" s="101"/>
    </row>
    <row r="122" spans="1:7">
      <c r="A122" s="727"/>
      <c r="B122" s="342" t="s">
        <v>796</v>
      </c>
      <c r="C122" s="342">
        <v>4</v>
      </c>
      <c r="D122" s="342">
        <v>2</v>
      </c>
      <c r="E122" s="342">
        <v>0</v>
      </c>
      <c r="F122" s="342">
        <v>6</v>
      </c>
      <c r="G122" s="101"/>
    </row>
    <row r="123" spans="1:7">
      <c r="A123" s="727"/>
      <c r="B123" s="342" t="s">
        <v>794</v>
      </c>
      <c r="C123" s="342">
        <v>0</v>
      </c>
      <c r="D123" s="342">
        <v>3</v>
      </c>
      <c r="E123" s="342">
        <v>1</v>
      </c>
      <c r="F123" s="342">
        <v>4</v>
      </c>
      <c r="G123" s="101"/>
    </row>
    <row r="124" spans="1:7">
      <c r="A124" s="728"/>
      <c r="B124" s="342" t="s">
        <v>793</v>
      </c>
      <c r="C124" s="342">
        <v>2</v>
      </c>
      <c r="D124" s="342">
        <v>1</v>
      </c>
      <c r="E124" s="352">
        <v>0</v>
      </c>
      <c r="F124" s="352">
        <v>3</v>
      </c>
      <c r="G124" s="101"/>
    </row>
    <row r="125" spans="1:7">
      <c r="A125" s="718" t="s">
        <v>826</v>
      </c>
      <c r="B125" s="718"/>
      <c r="C125" s="355">
        <v>324</v>
      </c>
      <c r="D125" s="355">
        <v>327</v>
      </c>
      <c r="E125" s="355">
        <v>36</v>
      </c>
      <c r="F125" s="355">
        <v>687</v>
      </c>
      <c r="G125" s="101"/>
    </row>
    <row r="126" spans="1:7">
      <c r="A126" s="726" t="s">
        <v>725</v>
      </c>
      <c r="B126" s="342" t="s">
        <v>256</v>
      </c>
      <c r="C126" s="342">
        <v>481</v>
      </c>
      <c r="D126" s="342">
        <v>531</v>
      </c>
      <c r="E126" s="342">
        <v>110</v>
      </c>
      <c r="F126" s="354">
        <v>1122</v>
      </c>
      <c r="G126" s="101"/>
    </row>
    <row r="127" spans="1:7">
      <c r="A127" s="727"/>
      <c r="B127" s="342" t="s">
        <v>271</v>
      </c>
      <c r="C127" s="342">
        <v>31</v>
      </c>
      <c r="D127" s="342">
        <v>215</v>
      </c>
      <c r="E127" s="342">
        <v>33</v>
      </c>
      <c r="F127" s="342">
        <v>279</v>
      </c>
      <c r="G127" s="101"/>
    </row>
    <row r="128" spans="1:7">
      <c r="A128" s="727"/>
      <c r="B128" s="342" t="s">
        <v>797</v>
      </c>
      <c r="C128" s="342">
        <v>54</v>
      </c>
      <c r="D128" s="342">
        <v>98</v>
      </c>
      <c r="E128" s="342">
        <v>28</v>
      </c>
      <c r="F128" s="342">
        <v>180</v>
      </c>
      <c r="G128" s="101"/>
    </row>
    <row r="129" spans="1:7">
      <c r="A129" s="727"/>
      <c r="B129" s="342" t="s">
        <v>796</v>
      </c>
      <c r="C129" s="342">
        <v>4</v>
      </c>
      <c r="D129" s="342">
        <v>14</v>
      </c>
      <c r="E129" s="342">
        <v>3</v>
      </c>
      <c r="F129" s="342">
        <v>21</v>
      </c>
      <c r="G129" s="101"/>
    </row>
    <row r="130" spans="1:7">
      <c r="A130" s="727"/>
      <c r="B130" s="342" t="s">
        <v>793</v>
      </c>
      <c r="C130" s="342">
        <v>2</v>
      </c>
      <c r="D130" s="342">
        <v>2</v>
      </c>
      <c r="E130" s="342">
        <v>0</v>
      </c>
      <c r="F130" s="342">
        <v>4</v>
      </c>
      <c r="G130" s="101"/>
    </row>
    <row r="131" spans="1:7">
      <c r="A131" s="727"/>
      <c r="B131" s="342" t="s">
        <v>794</v>
      </c>
      <c r="C131" s="342">
        <v>0</v>
      </c>
      <c r="D131" s="342">
        <v>2</v>
      </c>
      <c r="E131" s="342">
        <v>1</v>
      </c>
      <c r="F131" s="342">
        <v>3</v>
      </c>
      <c r="G131" s="101"/>
    </row>
    <row r="132" spans="1:7">
      <c r="A132" s="727"/>
      <c r="B132" s="342" t="s">
        <v>798</v>
      </c>
      <c r="C132" s="342">
        <v>0</v>
      </c>
      <c r="D132" s="342">
        <v>3</v>
      </c>
      <c r="E132" s="342">
        <v>0</v>
      </c>
      <c r="F132" s="342">
        <v>3</v>
      </c>
      <c r="G132" s="101"/>
    </row>
    <row r="133" spans="1:7">
      <c r="A133" s="728"/>
      <c r="B133" s="342" t="s">
        <v>795</v>
      </c>
      <c r="C133" s="342">
        <v>0</v>
      </c>
      <c r="D133" s="342">
        <v>2</v>
      </c>
      <c r="E133" s="342">
        <v>0</v>
      </c>
      <c r="F133" s="342">
        <v>2</v>
      </c>
      <c r="G133" s="101"/>
    </row>
    <row r="134" spans="1:7">
      <c r="A134" s="717" t="s">
        <v>827</v>
      </c>
      <c r="B134" s="717"/>
      <c r="C134" s="355">
        <v>572</v>
      </c>
      <c r="D134" s="355">
        <v>867</v>
      </c>
      <c r="E134" s="355">
        <v>175</v>
      </c>
      <c r="F134" s="387">
        <v>1614</v>
      </c>
      <c r="G134" s="101"/>
    </row>
    <row r="135" spans="1:7">
      <c r="A135" s="717" t="s">
        <v>828</v>
      </c>
      <c r="B135" s="717"/>
      <c r="C135" s="355">
        <v>896</v>
      </c>
      <c r="D135" s="387">
        <v>1194</v>
      </c>
      <c r="E135" s="355">
        <v>211</v>
      </c>
      <c r="F135" s="387">
        <v>2301</v>
      </c>
      <c r="G135" s="101"/>
    </row>
    <row r="136" spans="1:7">
      <c r="A136" s="736" t="s">
        <v>832</v>
      </c>
      <c r="B136" s="736"/>
      <c r="C136" s="736"/>
      <c r="D136" s="736"/>
      <c r="E136" s="736"/>
      <c r="F136" s="736"/>
      <c r="G136" s="101"/>
    </row>
    <row r="137" spans="1:7">
      <c r="A137" s="736" t="s">
        <v>830</v>
      </c>
      <c r="B137" s="736"/>
      <c r="C137" s="736"/>
      <c r="D137" s="736"/>
      <c r="E137" s="736"/>
      <c r="F137" s="736"/>
      <c r="G137" s="101"/>
    </row>
    <row r="138" spans="1:7">
      <c r="A138" s="109"/>
      <c r="B138" s="44"/>
      <c r="C138" s="44"/>
      <c r="D138" s="100"/>
      <c r="E138" s="44"/>
      <c r="F138" s="100"/>
      <c r="G138" s="101"/>
    </row>
    <row r="139" spans="1:7" ht="17.25">
      <c r="A139" s="642" t="s">
        <v>833</v>
      </c>
      <c r="B139" s="642"/>
      <c r="C139" s="642"/>
      <c r="D139" s="642"/>
      <c r="E139" s="642"/>
      <c r="F139" s="642"/>
      <c r="G139" s="101"/>
    </row>
    <row r="140" spans="1:7" ht="25.5">
      <c r="A140" s="388"/>
      <c r="B140" s="318" t="s">
        <v>789</v>
      </c>
      <c r="C140" s="179" t="s">
        <v>822</v>
      </c>
      <c r="D140" s="179" t="s">
        <v>823</v>
      </c>
      <c r="E140" s="179" t="s">
        <v>824</v>
      </c>
      <c r="F140" s="179" t="s">
        <v>173</v>
      </c>
      <c r="G140" s="101"/>
    </row>
    <row r="141" spans="1:7">
      <c r="A141" s="734" t="s">
        <v>825</v>
      </c>
      <c r="B141" s="228" t="s">
        <v>256</v>
      </c>
      <c r="C141" s="229">
        <v>138</v>
      </c>
      <c r="D141" s="229">
        <v>121</v>
      </c>
      <c r="E141" s="229">
        <v>19</v>
      </c>
      <c r="F141" s="229">
        <v>278</v>
      </c>
      <c r="G141" s="101"/>
    </row>
    <row r="142" spans="1:7">
      <c r="A142" s="734"/>
      <c r="B142" s="228" t="s">
        <v>797</v>
      </c>
      <c r="C142" s="229">
        <v>17</v>
      </c>
      <c r="D142" s="229">
        <v>19</v>
      </c>
      <c r="E142" s="229">
        <v>2</v>
      </c>
      <c r="F142" s="229">
        <v>38</v>
      </c>
      <c r="G142" s="101"/>
    </row>
    <row r="143" spans="1:7">
      <c r="A143" s="734"/>
      <c r="B143" s="228" t="s">
        <v>271</v>
      </c>
      <c r="C143" s="229">
        <v>3</v>
      </c>
      <c r="D143" s="229">
        <v>27</v>
      </c>
      <c r="E143" s="229">
        <v>1</v>
      </c>
      <c r="F143" s="229">
        <v>31</v>
      </c>
      <c r="G143" s="101"/>
    </row>
    <row r="144" spans="1:7">
      <c r="A144" s="734"/>
      <c r="B144" s="228" t="s">
        <v>793</v>
      </c>
      <c r="C144" s="229">
        <v>2</v>
      </c>
      <c r="D144" s="229">
        <v>0</v>
      </c>
      <c r="E144" s="229">
        <v>0</v>
      </c>
      <c r="F144" s="229">
        <v>2</v>
      </c>
      <c r="G144" s="101"/>
    </row>
    <row r="145" spans="1:7">
      <c r="A145" s="718" t="s">
        <v>826</v>
      </c>
      <c r="B145" s="718"/>
      <c r="C145" s="193">
        <f>SUM(C141:C144)</f>
        <v>160</v>
      </c>
      <c r="D145" s="193">
        <f t="shared" ref="D145:F145" si="8">SUM(D141:D144)</f>
        <v>167</v>
      </c>
      <c r="E145" s="193">
        <f t="shared" si="8"/>
        <v>22</v>
      </c>
      <c r="F145" s="193">
        <f t="shared" si="8"/>
        <v>349</v>
      </c>
      <c r="G145" s="101"/>
    </row>
    <row r="146" spans="1:7">
      <c r="A146" s="734" t="s">
        <v>725</v>
      </c>
      <c r="B146" s="228" t="s">
        <v>256</v>
      </c>
      <c r="C146" s="229">
        <v>273</v>
      </c>
      <c r="D146" s="229">
        <v>277</v>
      </c>
      <c r="E146" s="229">
        <v>47</v>
      </c>
      <c r="F146" s="229">
        <v>597</v>
      </c>
      <c r="G146" s="101"/>
    </row>
    <row r="147" spans="1:7">
      <c r="A147" s="734"/>
      <c r="B147" s="228" t="s">
        <v>797</v>
      </c>
      <c r="C147" s="229">
        <v>43</v>
      </c>
      <c r="D147" s="229">
        <v>49</v>
      </c>
      <c r="E147" s="229">
        <v>13</v>
      </c>
      <c r="F147" s="229">
        <v>105</v>
      </c>
      <c r="G147" s="101"/>
    </row>
    <row r="148" spans="1:7">
      <c r="A148" s="734"/>
      <c r="B148" s="228" t="s">
        <v>271</v>
      </c>
      <c r="C148" s="229">
        <v>8</v>
      </c>
      <c r="D148" s="229">
        <v>106</v>
      </c>
      <c r="E148" s="229">
        <v>18</v>
      </c>
      <c r="F148" s="229">
        <v>132</v>
      </c>
      <c r="G148" s="101"/>
    </row>
    <row r="149" spans="1:7">
      <c r="A149" s="734"/>
      <c r="B149" s="228" t="s">
        <v>794</v>
      </c>
      <c r="C149" s="229">
        <v>0</v>
      </c>
      <c r="D149" s="229">
        <v>2</v>
      </c>
      <c r="E149" s="229">
        <v>0</v>
      </c>
      <c r="F149" s="229">
        <v>2</v>
      </c>
      <c r="G149" s="101"/>
    </row>
    <row r="150" spans="1:7">
      <c r="A150" s="734"/>
      <c r="B150" s="228" t="s">
        <v>793</v>
      </c>
      <c r="C150" s="229">
        <v>0</v>
      </c>
      <c r="D150" s="229">
        <v>0</v>
      </c>
      <c r="E150" s="229">
        <v>1</v>
      </c>
      <c r="F150" s="229">
        <v>1</v>
      </c>
      <c r="G150" s="101"/>
    </row>
    <row r="151" spans="1:7">
      <c r="A151" s="718" t="s">
        <v>827</v>
      </c>
      <c r="B151" s="718"/>
      <c r="C151" s="193">
        <f>SUM(C146:C150)</f>
        <v>324</v>
      </c>
      <c r="D151" s="193">
        <f t="shared" ref="D151:F151" si="9">SUM(D146:D150)</f>
        <v>434</v>
      </c>
      <c r="E151" s="193">
        <f t="shared" si="9"/>
        <v>79</v>
      </c>
      <c r="F151" s="193">
        <f t="shared" si="9"/>
        <v>837</v>
      </c>
      <c r="G151" s="101"/>
    </row>
    <row r="152" spans="1:7">
      <c r="A152" s="718" t="s">
        <v>828</v>
      </c>
      <c r="B152" s="718"/>
      <c r="C152" s="193">
        <v>484</v>
      </c>
      <c r="D152" s="193">
        <v>601</v>
      </c>
      <c r="E152" s="193">
        <v>101</v>
      </c>
      <c r="F152" s="392">
        <v>1186</v>
      </c>
      <c r="G152" s="101"/>
    </row>
    <row r="153" spans="1:7">
      <c r="A153" s="736" t="s">
        <v>834</v>
      </c>
      <c r="B153" s="736"/>
      <c r="C153" s="736"/>
      <c r="D153" s="736"/>
      <c r="E153" s="736"/>
      <c r="F153" s="736"/>
      <c r="G153" s="101"/>
    </row>
    <row r="154" spans="1:7">
      <c r="A154" s="29"/>
      <c r="B154" s="29"/>
      <c r="C154" s="29"/>
      <c r="D154" s="29"/>
      <c r="E154" s="29"/>
      <c r="F154" s="29"/>
      <c r="G154" s="101"/>
    </row>
    <row r="155" spans="1:7" ht="17.25">
      <c r="A155" s="642" t="s">
        <v>835</v>
      </c>
      <c r="B155" s="642"/>
      <c r="C155" s="642"/>
      <c r="D155" s="642"/>
      <c r="E155" s="642"/>
      <c r="F155" s="642"/>
      <c r="G155" s="101"/>
    </row>
    <row r="156" spans="1:7" ht="25.5">
      <c r="A156" s="388"/>
      <c r="B156" s="318" t="s">
        <v>789</v>
      </c>
      <c r="C156" s="179" t="s">
        <v>822</v>
      </c>
      <c r="D156" s="179" t="s">
        <v>823</v>
      </c>
      <c r="E156" s="179" t="s">
        <v>824</v>
      </c>
      <c r="F156" s="203" t="s">
        <v>173</v>
      </c>
      <c r="G156" s="101"/>
    </row>
    <row r="157" spans="1:7">
      <c r="A157" s="723" t="s">
        <v>724</v>
      </c>
      <c r="B157" s="342" t="s">
        <v>791</v>
      </c>
      <c r="C157" s="342">
        <v>1</v>
      </c>
      <c r="D157" s="342">
        <v>0</v>
      </c>
      <c r="E157" s="342">
        <v>0</v>
      </c>
      <c r="F157" s="342">
        <f>SUM(C157:E157)</f>
        <v>1</v>
      </c>
      <c r="G157" s="101"/>
    </row>
    <row r="158" spans="1:7">
      <c r="A158" s="723"/>
      <c r="B158" s="342" t="s">
        <v>794</v>
      </c>
      <c r="C158" s="342">
        <v>0</v>
      </c>
      <c r="D158" s="342">
        <v>1</v>
      </c>
      <c r="E158" s="342">
        <v>0</v>
      </c>
      <c r="F158" s="342">
        <f t="shared" ref="F158:F161" si="10">SUM(C158:E158)</f>
        <v>1</v>
      </c>
      <c r="G158" s="101"/>
    </row>
    <row r="159" spans="1:7">
      <c r="A159" s="723"/>
      <c r="B159" s="342" t="s">
        <v>256</v>
      </c>
      <c r="C159" s="342">
        <v>51</v>
      </c>
      <c r="D159" s="342">
        <v>74</v>
      </c>
      <c r="E159" s="342">
        <v>11</v>
      </c>
      <c r="F159" s="342">
        <f t="shared" si="10"/>
        <v>136</v>
      </c>
      <c r="G159" s="101"/>
    </row>
    <row r="160" spans="1:7">
      <c r="A160" s="723"/>
      <c r="B160" s="342" t="s">
        <v>797</v>
      </c>
      <c r="C160" s="342">
        <v>3</v>
      </c>
      <c r="D160" s="342">
        <v>7</v>
      </c>
      <c r="E160" s="342">
        <v>8</v>
      </c>
      <c r="F160" s="342">
        <f t="shared" si="10"/>
        <v>18</v>
      </c>
      <c r="G160" s="101"/>
    </row>
    <row r="161" spans="1:8">
      <c r="A161" s="723"/>
      <c r="B161" s="342" t="s">
        <v>271</v>
      </c>
      <c r="C161" s="342">
        <v>20</v>
      </c>
      <c r="D161" s="342">
        <v>42</v>
      </c>
      <c r="E161" s="342">
        <v>1</v>
      </c>
      <c r="F161" s="342">
        <f t="shared" si="10"/>
        <v>63</v>
      </c>
      <c r="G161" s="101"/>
    </row>
    <row r="162" spans="1:8">
      <c r="A162" s="717" t="s">
        <v>826</v>
      </c>
      <c r="B162" s="717"/>
      <c r="C162" s="355">
        <f>SUM(C157:C161)</f>
        <v>75</v>
      </c>
      <c r="D162" s="355">
        <f t="shared" ref="D162:E162" si="11">SUM(D157:D161)</f>
        <v>124</v>
      </c>
      <c r="E162" s="355">
        <f t="shared" si="11"/>
        <v>20</v>
      </c>
      <c r="F162" s="355">
        <f>SUM(F157:F161)</f>
        <v>219</v>
      </c>
      <c r="G162" s="101"/>
    </row>
    <row r="163" spans="1:8">
      <c r="A163" s="723" t="s">
        <v>725</v>
      </c>
      <c r="B163" s="342" t="s">
        <v>256</v>
      </c>
      <c r="C163" s="342">
        <v>131</v>
      </c>
      <c r="D163" s="342">
        <v>208</v>
      </c>
      <c r="E163" s="342">
        <v>44</v>
      </c>
      <c r="F163" s="342">
        <f>SUM(C163:E163)</f>
        <v>383</v>
      </c>
      <c r="G163" s="101"/>
    </row>
    <row r="164" spans="1:8">
      <c r="A164" s="723"/>
      <c r="B164" s="342" t="s">
        <v>796</v>
      </c>
      <c r="C164" s="342">
        <v>1</v>
      </c>
      <c r="D164" s="342">
        <v>0</v>
      </c>
      <c r="E164" s="342">
        <v>0</v>
      </c>
      <c r="F164" s="342">
        <f t="shared" ref="F164:F166" si="12">SUM(C164:E164)</f>
        <v>1</v>
      </c>
      <c r="G164" s="101"/>
    </row>
    <row r="165" spans="1:8">
      <c r="A165" s="723"/>
      <c r="B165" s="342" t="s">
        <v>797</v>
      </c>
      <c r="C165" s="342">
        <v>12</v>
      </c>
      <c r="D165" s="342">
        <v>34</v>
      </c>
      <c r="E165" s="342">
        <v>7</v>
      </c>
      <c r="F165" s="342">
        <f t="shared" si="12"/>
        <v>53</v>
      </c>
      <c r="G165" s="101"/>
    </row>
    <row r="166" spans="1:8">
      <c r="A166" s="723"/>
      <c r="B166" s="342" t="s">
        <v>271</v>
      </c>
      <c r="C166" s="342">
        <v>17</v>
      </c>
      <c r="D166" s="342">
        <v>94</v>
      </c>
      <c r="E166" s="342">
        <v>29</v>
      </c>
      <c r="F166" s="342">
        <f t="shared" si="12"/>
        <v>140</v>
      </c>
      <c r="G166" s="101"/>
    </row>
    <row r="167" spans="1:8">
      <c r="A167" s="717" t="s">
        <v>827</v>
      </c>
      <c r="B167" s="717"/>
      <c r="C167" s="355">
        <f>SUM(C163:C166)</f>
        <v>161</v>
      </c>
      <c r="D167" s="355">
        <f t="shared" ref="D167:F167" si="13">SUM(D163:D166)</f>
        <v>336</v>
      </c>
      <c r="E167" s="355">
        <f t="shared" si="13"/>
        <v>80</v>
      </c>
      <c r="F167" s="355">
        <f t="shared" si="13"/>
        <v>577</v>
      </c>
      <c r="G167" s="101"/>
    </row>
    <row r="168" spans="1:8">
      <c r="A168" s="717" t="s">
        <v>828</v>
      </c>
      <c r="B168" s="717"/>
      <c r="C168" s="355">
        <f>SUM(C162,C167)</f>
        <v>236</v>
      </c>
      <c r="D168" s="355">
        <f t="shared" ref="D168:F168" si="14">SUM(D162,D167)</f>
        <v>460</v>
      </c>
      <c r="E168" s="355">
        <f t="shared" si="14"/>
        <v>100</v>
      </c>
      <c r="F168" s="355">
        <f t="shared" si="14"/>
        <v>796</v>
      </c>
    </row>
    <row r="169" spans="1:8">
      <c r="A169" s="736" t="s">
        <v>834</v>
      </c>
      <c r="B169" s="736"/>
      <c r="C169" s="736"/>
      <c r="D169" s="736"/>
      <c r="E169" s="736"/>
      <c r="F169" s="736"/>
    </row>
    <row r="170" spans="1:8">
      <c r="A170" s="551"/>
      <c r="B170" s="551"/>
      <c r="C170" s="551"/>
      <c r="D170" s="551"/>
      <c r="E170" s="551"/>
      <c r="F170" s="551"/>
    </row>
    <row r="171" spans="1:8" ht="17.25">
      <c r="A171" s="716" t="s">
        <v>1577</v>
      </c>
      <c r="B171" s="716"/>
      <c r="C171" s="716"/>
      <c r="D171" s="716"/>
      <c r="E171" s="716"/>
      <c r="F171" s="554"/>
      <c r="G171" s="554"/>
      <c r="H171" s="554"/>
    </row>
    <row r="172" spans="1:8">
      <c r="A172" s="556"/>
      <c r="B172" s="556">
        <v>2019</v>
      </c>
      <c r="C172" s="556">
        <v>2020</v>
      </c>
      <c r="D172" s="556">
        <v>2021</v>
      </c>
      <c r="E172" s="556">
        <v>2022</v>
      </c>
      <c r="F172" s="551"/>
    </row>
    <row r="173" spans="1:8" ht="26.25">
      <c r="A173" s="559" t="s">
        <v>1576</v>
      </c>
      <c r="B173" s="558">
        <v>0.2</v>
      </c>
      <c r="C173" s="558">
        <v>0.25</v>
      </c>
      <c r="D173" s="558">
        <v>0.22</v>
      </c>
      <c r="E173" s="557">
        <v>0.1</v>
      </c>
      <c r="F173" s="551"/>
    </row>
    <row r="174" spans="1:8" ht="30" customHeight="1">
      <c r="A174" s="613" t="s">
        <v>1578</v>
      </c>
      <c r="B174" s="613"/>
      <c r="C174" s="613"/>
      <c r="D174" s="613"/>
      <c r="E174" s="613"/>
      <c r="F174" s="555"/>
      <c r="G174" s="555"/>
      <c r="H174" s="555"/>
    </row>
    <row r="175" spans="1:8">
      <c r="A175" s="551"/>
      <c r="B175" s="551"/>
      <c r="C175" s="551"/>
      <c r="D175" s="551"/>
      <c r="E175" s="551"/>
      <c r="F175" s="551"/>
    </row>
    <row r="176" spans="1:8" ht="17.25">
      <c r="A176" s="730" t="s">
        <v>836</v>
      </c>
      <c r="B176" s="730"/>
      <c r="C176" s="730"/>
      <c r="D176" s="730"/>
      <c r="E176" s="730"/>
      <c r="F176" s="730"/>
      <c r="G176" s="730"/>
      <c r="H176" s="730"/>
    </row>
    <row r="177" spans="1:12">
      <c r="A177" s="389"/>
      <c r="B177" s="390">
        <v>2022</v>
      </c>
      <c r="C177" s="317">
        <v>2021</v>
      </c>
      <c r="D177" s="177">
        <v>2020</v>
      </c>
      <c r="E177" s="177">
        <v>2019</v>
      </c>
      <c r="F177" s="177">
        <v>2018</v>
      </c>
      <c r="G177" s="177">
        <v>2017</v>
      </c>
      <c r="H177" s="177">
        <v>2016</v>
      </c>
    </row>
    <row r="178" spans="1:12">
      <c r="A178" s="342" t="s">
        <v>837</v>
      </c>
      <c r="B178" s="362">
        <v>7.3999999999999996E-2</v>
      </c>
      <c r="C178" s="363">
        <v>0.06</v>
      </c>
      <c r="D178" s="364">
        <v>5.0999999999999997E-2</v>
      </c>
      <c r="E178" s="364">
        <v>6.5000000000000002E-2</v>
      </c>
      <c r="F178" s="365">
        <v>0.06</v>
      </c>
      <c r="G178" s="365">
        <v>0.06</v>
      </c>
      <c r="H178" s="366">
        <v>0.06</v>
      </c>
    </row>
    <row r="179" spans="1:12">
      <c r="A179" s="342" t="s">
        <v>838</v>
      </c>
      <c r="B179" s="362">
        <v>9.5000000000000001E-2</v>
      </c>
      <c r="C179" s="363">
        <v>0.08</v>
      </c>
      <c r="D179" s="367">
        <v>0.1</v>
      </c>
      <c r="E179" s="367">
        <v>0.1</v>
      </c>
      <c r="F179" s="367">
        <v>0.08</v>
      </c>
      <c r="G179" s="367">
        <v>0.09</v>
      </c>
      <c r="H179" s="368">
        <v>7.0000000000000007E-2</v>
      </c>
    </row>
    <row r="180" spans="1:12">
      <c r="A180" s="736" t="s">
        <v>839</v>
      </c>
      <c r="B180" s="736"/>
      <c r="C180" s="736"/>
      <c r="D180" s="736"/>
      <c r="E180" s="736"/>
      <c r="F180" s="736"/>
      <c r="G180" s="736"/>
      <c r="H180" s="736"/>
    </row>
    <row r="181" spans="1:12">
      <c r="A181" s="736" t="s">
        <v>830</v>
      </c>
      <c r="B181" s="736"/>
      <c r="C181" s="736"/>
      <c r="D181" s="736"/>
      <c r="E181" s="736"/>
      <c r="F181" s="736"/>
      <c r="G181" s="736"/>
      <c r="H181" s="736"/>
    </row>
    <row r="183" spans="1:12" ht="17.25">
      <c r="A183" s="642" t="s">
        <v>840</v>
      </c>
      <c r="B183" s="642"/>
      <c r="C183" s="642"/>
      <c r="D183" s="642"/>
      <c r="E183" s="642"/>
      <c r="F183" s="642"/>
      <c r="G183" s="642"/>
      <c r="H183" s="642"/>
      <c r="I183" s="642"/>
      <c r="J183" s="642"/>
      <c r="K183" s="642"/>
      <c r="L183" s="642"/>
    </row>
    <row r="184" spans="1:12" ht="15.6" customHeight="1">
      <c r="A184" s="743"/>
      <c r="B184" s="624">
        <v>2022</v>
      </c>
      <c r="C184" s="624"/>
      <c r="D184" s="624">
        <v>2021</v>
      </c>
      <c r="E184" s="624"/>
      <c r="F184" s="624">
        <v>2020</v>
      </c>
      <c r="G184" s="624"/>
      <c r="H184" s="624">
        <v>2019</v>
      </c>
      <c r="I184" s="624"/>
      <c r="J184" s="721" t="s">
        <v>841</v>
      </c>
      <c r="K184" s="721">
        <v>2017</v>
      </c>
      <c r="L184" s="721">
        <v>2016</v>
      </c>
    </row>
    <row r="185" spans="1:12">
      <c r="A185" s="743"/>
      <c r="B185" s="179" t="s">
        <v>724</v>
      </c>
      <c r="C185" s="179" t="s">
        <v>725</v>
      </c>
      <c r="D185" s="179" t="s">
        <v>724</v>
      </c>
      <c r="E185" s="179" t="s">
        <v>725</v>
      </c>
      <c r="F185" s="179" t="s">
        <v>724</v>
      </c>
      <c r="G185" s="179" t="s">
        <v>725</v>
      </c>
      <c r="H185" s="179" t="s">
        <v>724</v>
      </c>
      <c r="I185" s="179" t="s">
        <v>725</v>
      </c>
      <c r="J185" s="722"/>
      <c r="K185" s="722"/>
      <c r="L185" s="722"/>
    </row>
    <row r="186" spans="1:12" ht="25.5">
      <c r="A186" s="245" t="s">
        <v>842</v>
      </c>
      <c r="B186" s="245">
        <v>30</v>
      </c>
      <c r="C186" s="245">
        <v>71</v>
      </c>
      <c r="D186" s="188">
        <v>66</v>
      </c>
      <c r="E186" s="188">
        <v>141</v>
      </c>
      <c r="F186" s="188">
        <v>80</v>
      </c>
      <c r="G186" s="219">
        <v>177</v>
      </c>
      <c r="H186" s="219">
        <v>69</v>
      </c>
      <c r="I186" s="219">
        <v>86</v>
      </c>
      <c r="J186" s="187">
        <v>134</v>
      </c>
      <c r="K186" s="187">
        <v>123</v>
      </c>
      <c r="L186" s="187">
        <v>122</v>
      </c>
    </row>
    <row r="187" spans="1:12" ht="39.75">
      <c r="A187" s="245" t="s">
        <v>843</v>
      </c>
      <c r="B187" s="245">
        <v>56</v>
      </c>
      <c r="C187" s="245">
        <v>75</v>
      </c>
      <c r="D187" s="188">
        <v>42</v>
      </c>
      <c r="E187" s="188">
        <v>116</v>
      </c>
      <c r="F187" s="188">
        <v>65</v>
      </c>
      <c r="G187" s="219">
        <v>162</v>
      </c>
      <c r="H187" s="219">
        <v>46</v>
      </c>
      <c r="I187" s="219">
        <v>92</v>
      </c>
      <c r="J187" s="187">
        <v>124</v>
      </c>
      <c r="K187" s="187">
        <v>111</v>
      </c>
      <c r="L187" s="187">
        <v>96</v>
      </c>
    </row>
    <row r="188" spans="1:12" ht="63.75">
      <c r="A188" s="245" t="s">
        <v>844</v>
      </c>
      <c r="B188" s="245">
        <v>52</v>
      </c>
      <c r="C188" s="245">
        <v>122</v>
      </c>
      <c r="D188" s="188">
        <v>80</v>
      </c>
      <c r="E188" s="188">
        <v>156</v>
      </c>
      <c r="F188" s="188">
        <v>37</v>
      </c>
      <c r="G188" s="219">
        <v>81</v>
      </c>
      <c r="H188" s="219">
        <v>49</v>
      </c>
      <c r="I188" s="219">
        <v>61</v>
      </c>
      <c r="J188" s="187" t="s">
        <v>845</v>
      </c>
      <c r="K188" s="187" t="s">
        <v>845</v>
      </c>
      <c r="L188" s="187" t="s">
        <v>845</v>
      </c>
    </row>
    <row r="189" spans="1:12" ht="39.75">
      <c r="A189" s="245" t="s">
        <v>846</v>
      </c>
      <c r="B189" s="369">
        <v>1.867</v>
      </c>
      <c r="C189" s="369">
        <v>1.506</v>
      </c>
      <c r="D189" s="370">
        <v>0.63600000000000001</v>
      </c>
      <c r="E189" s="370">
        <v>0.82299999999999995</v>
      </c>
      <c r="F189" s="371">
        <v>0.81</v>
      </c>
      <c r="G189" s="372">
        <v>0.92</v>
      </c>
      <c r="H189" s="372">
        <v>0.67</v>
      </c>
      <c r="I189" s="372">
        <v>1.07</v>
      </c>
      <c r="J189" s="373">
        <v>0.93</v>
      </c>
      <c r="K189" s="373">
        <v>0.9</v>
      </c>
      <c r="L189" s="373">
        <v>0.79</v>
      </c>
    </row>
    <row r="190" spans="1:12" ht="27">
      <c r="A190" s="245" t="s">
        <v>847</v>
      </c>
      <c r="B190" s="374">
        <v>0.88100000000000001</v>
      </c>
      <c r="C190" s="369">
        <v>0.89700000000000002</v>
      </c>
      <c r="D190" s="371">
        <v>0.93</v>
      </c>
      <c r="E190" s="371">
        <v>0.91</v>
      </c>
      <c r="F190" s="371">
        <v>0.84</v>
      </c>
      <c r="G190" s="372">
        <v>0.89</v>
      </c>
      <c r="H190" s="372">
        <v>0.94</v>
      </c>
      <c r="I190" s="372">
        <v>0.87</v>
      </c>
      <c r="J190" s="373">
        <v>0.88</v>
      </c>
      <c r="K190" s="373">
        <v>0.92</v>
      </c>
      <c r="L190" s="187" t="s">
        <v>301</v>
      </c>
    </row>
    <row r="191" spans="1:12">
      <c r="A191" s="719" t="s">
        <v>848</v>
      </c>
      <c r="B191" s="719"/>
      <c r="C191" s="719"/>
      <c r="D191" s="719"/>
      <c r="E191" s="719"/>
      <c r="F191" s="719"/>
      <c r="G191" s="719"/>
      <c r="H191" s="719"/>
      <c r="I191" s="719"/>
      <c r="J191" s="719"/>
      <c r="K191" s="719"/>
      <c r="L191" s="719"/>
    </row>
    <row r="192" spans="1:12" ht="27.6" customHeight="1">
      <c r="A192" s="671" t="s">
        <v>849</v>
      </c>
      <c r="B192" s="671"/>
      <c r="C192" s="671"/>
      <c r="D192" s="671"/>
      <c r="E192" s="671"/>
      <c r="F192" s="671"/>
      <c r="G192" s="671"/>
      <c r="H192" s="671"/>
      <c r="I192" s="671"/>
      <c r="J192" s="671"/>
      <c r="K192" s="671"/>
      <c r="L192" s="671"/>
    </row>
    <row r="193" spans="1:20">
      <c r="A193" s="640" t="s">
        <v>850</v>
      </c>
      <c r="B193" s="640"/>
      <c r="C193" s="640"/>
      <c r="D193" s="640"/>
      <c r="E193" s="640"/>
      <c r="F193" s="640"/>
      <c r="G193" s="640"/>
      <c r="H193" s="640"/>
      <c r="I193" s="640"/>
      <c r="J193" s="640"/>
      <c r="K193" s="640"/>
      <c r="L193" s="640"/>
    </row>
    <row r="194" spans="1:20">
      <c r="A194" s="640" t="s">
        <v>851</v>
      </c>
      <c r="B194" s="640"/>
      <c r="C194" s="640"/>
      <c r="D194" s="640"/>
      <c r="E194" s="640"/>
      <c r="F194" s="640"/>
      <c r="G194" s="640"/>
      <c r="H194" s="640"/>
      <c r="I194" s="640"/>
      <c r="J194" s="640"/>
      <c r="K194" s="640"/>
      <c r="L194" s="640"/>
    </row>
    <row r="195" spans="1:20">
      <c r="A195" s="640" t="s">
        <v>852</v>
      </c>
      <c r="B195" s="640"/>
      <c r="C195" s="640"/>
      <c r="D195" s="640"/>
      <c r="E195" s="640"/>
      <c r="F195" s="640"/>
      <c r="G195" s="640"/>
      <c r="H195" s="640"/>
      <c r="I195" s="640"/>
      <c r="J195" s="640"/>
      <c r="K195" s="640"/>
      <c r="L195" s="640"/>
    </row>
    <row r="196" spans="1:20">
      <c r="A196" s="112"/>
    </row>
    <row r="197" spans="1:20">
      <c r="A197" s="720" t="s">
        <v>1718</v>
      </c>
      <c r="B197" s="720"/>
      <c r="C197" s="720"/>
      <c r="D197" s="720"/>
      <c r="E197" s="720"/>
      <c r="F197" s="720"/>
      <c r="G197" s="720"/>
      <c r="H197" s="720"/>
    </row>
    <row r="198" spans="1:20">
      <c r="A198" s="179"/>
      <c r="B198" s="179">
        <v>2022</v>
      </c>
      <c r="C198" s="179">
        <v>2021</v>
      </c>
      <c r="D198" s="179">
        <v>2020</v>
      </c>
      <c r="E198" s="179">
        <v>2019</v>
      </c>
      <c r="F198" s="179">
        <v>2018</v>
      </c>
      <c r="G198" s="179">
        <v>2017</v>
      </c>
      <c r="H198" s="179">
        <v>2016</v>
      </c>
    </row>
    <row r="199" spans="1:20" ht="25.5">
      <c r="A199" s="186" t="s">
        <v>853</v>
      </c>
      <c r="B199" s="375">
        <v>46</v>
      </c>
      <c r="C199" s="375">
        <v>36</v>
      </c>
      <c r="D199" s="376">
        <v>34</v>
      </c>
      <c r="E199" s="376">
        <v>48</v>
      </c>
      <c r="F199" s="376">
        <v>43</v>
      </c>
      <c r="G199" s="376">
        <v>38</v>
      </c>
      <c r="H199" s="375">
        <v>32</v>
      </c>
    </row>
    <row r="200" spans="1:20" ht="24.6" customHeight="1">
      <c r="A200" s="724" t="s">
        <v>1717</v>
      </c>
      <c r="B200" s="724"/>
      <c r="C200" s="724"/>
      <c r="D200" s="724"/>
      <c r="E200" s="724"/>
      <c r="F200" s="724"/>
      <c r="G200" s="724"/>
      <c r="H200" s="724"/>
      <c r="I200" s="550"/>
      <c r="J200" s="550"/>
      <c r="K200" s="550"/>
      <c r="L200" s="550"/>
    </row>
    <row r="201" spans="1:20" ht="30" customHeight="1">
      <c r="A201" s="725"/>
      <c r="B201" s="725"/>
      <c r="C201" s="725"/>
      <c r="D201" s="725"/>
      <c r="E201" s="725"/>
      <c r="F201" s="725"/>
      <c r="G201" s="725"/>
      <c r="H201" s="725"/>
    </row>
    <row r="202" spans="1:20">
      <c r="A202" s="109"/>
      <c r="B202" s="111"/>
      <c r="C202" s="111"/>
      <c r="D202" s="111"/>
      <c r="E202" s="61"/>
      <c r="F202" s="61"/>
      <c r="G202" s="29"/>
    </row>
    <row r="203" spans="1:20" s="64" customFormat="1" ht="17.25">
      <c r="A203" s="700" t="s">
        <v>854</v>
      </c>
      <c r="B203" s="642"/>
      <c r="C203" s="642"/>
      <c r="D203" s="642"/>
      <c r="E203" s="642"/>
      <c r="F203" s="642"/>
      <c r="G203" s="642"/>
      <c r="H203" s="642"/>
      <c r="I203" s="642"/>
      <c r="J203" s="642"/>
      <c r="K203" s="642"/>
      <c r="L203" s="642"/>
      <c r="M203" s="642"/>
      <c r="N203"/>
      <c r="O203"/>
      <c r="P203"/>
      <c r="Q203"/>
      <c r="R203"/>
      <c r="S203"/>
      <c r="T203"/>
    </row>
    <row r="204" spans="1:20">
      <c r="A204" s="623" t="s">
        <v>379</v>
      </c>
      <c r="B204" s="645">
        <v>2022</v>
      </c>
      <c r="C204" s="645"/>
      <c r="D204" s="645">
        <v>2021</v>
      </c>
      <c r="E204" s="645"/>
      <c r="F204" s="645">
        <v>2020</v>
      </c>
      <c r="G204" s="645"/>
      <c r="H204" s="181">
        <v>2019</v>
      </c>
      <c r="I204" s="181"/>
      <c r="J204" s="645">
        <v>2018</v>
      </c>
      <c r="K204" s="645"/>
      <c r="L204" s="645">
        <v>2017</v>
      </c>
      <c r="M204" s="645"/>
    </row>
    <row r="205" spans="1:20">
      <c r="A205" s="623"/>
      <c r="B205" s="174" t="s">
        <v>725</v>
      </c>
      <c r="C205" s="174" t="s">
        <v>724</v>
      </c>
      <c r="D205" s="174" t="s">
        <v>725</v>
      </c>
      <c r="E205" s="174" t="s">
        <v>724</v>
      </c>
      <c r="F205" s="174" t="s">
        <v>725</v>
      </c>
      <c r="G205" s="174" t="s">
        <v>724</v>
      </c>
      <c r="H205" s="174" t="s">
        <v>725</v>
      </c>
      <c r="I205" s="174" t="s">
        <v>724</v>
      </c>
      <c r="J205" s="174" t="s">
        <v>725</v>
      </c>
      <c r="K205" s="174" t="s">
        <v>724</v>
      </c>
      <c r="L205" s="174" t="s">
        <v>725</v>
      </c>
      <c r="M205" s="174" t="s">
        <v>724</v>
      </c>
    </row>
    <row r="206" spans="1:20">
      <c r="A206" s="186" t="s">
        <v>855</v>
      </c>
      <c r="B206" s="186">
        <v>53</v>
      </c>
      <c r="C206" s="186">
        <v>68</v>
      </c>
      <c r="D206" s="188">
        <v>52</v>
      </c>
      <c r="E206" s="188">
        <v>56</v>
      </c>
      <c r="F206" s="186">
        <v>68</v>
      </c>
      <c r="G206" s="186">
        <v>58</v>
      </c>
      <c r="H206" s="186">
        <v>128</v>
      </c>
      <c r="I206" s="186">
        <v>115</v>
      </c>
      <c r="J206" s="223">
        <v>56</v>
      </c>
      <c r="K206" s="223">
        <v>77</v>
      </c>
      <c r="L206" s="223">
        <v>98</v>
      </c>
      <c r="M206" s="223">
        <v>104</v>
      </c>
    </row>
    <row r="207" spans="1:20">
      <c r="A207" s="186" t="s">
        <v>856</v>
      </c>
      <c r="B207" s="186">
        <v>21</v>
      </c>
      <c r="C207" s="186">
        <v>30</v>
      </c>
      <c r="D207" s="188">
        <v>18</v>
      </c>
      <c r="E207" s="188">
        <v>19</v>
      </c>
      <c r="F207" s="186">
        <v>24</v>
      </c>
      <c r="G207" s="186">
        <v>17</v>
      </c>
      <c r="H207" s="186">
        <v>32</v>
      </c>
      <c r="I207" s="186">
        <v>51</v>
      </c>
      <c r="J207" s="223">
        <v>30</v>
      </c>
      <c r="K207" s="223">
        <v>32</v>
      </c>
      <c r="L207" s="223">
        <v>16</v>
      </c>
      <c r="M207" s="223">
        <v>19</v>
      </c>
    </row>
    <row r="208" spans="1:20">
      <c r="A208" s="195" t="s">
        <v>173</v>
      </c>
      <c r="B208" s="195">
        <v>37</v>
      </c>
      <c r="C208" s="195">
        <v>49</v>
      </c>
      <c r="D208" s="195" t="s">
        <v>857</v>
      </c>
      <c r="E208" s="195" t="s">
        <v>858</v>
      </c>
      <c r="F208" s="195" t="s">
        <v>859</v>
      </c>
      <c r="G208" s="195" t="s">
        <v>858</v>
      </c>
      <c r="H208" s="197">
        <f>SUM(H206:H207)</f>
        <v>160</v>
      </c>
      <c r="I208" s="197">
        <f>SUM(I206:I207)</f>
        <v>166</v>
      </c>
      <c r="J208" s="196">
        <v>51</v>
      </c>
      <c r="K208" s="196">
        <v>56</v>
      </c>
      <c r="L208" s="196">
        <v>67</v>
      </c>
      <c r="M208" s="196">
        <v>49</v>
      </c>
    </row>
    <row r="209" spans="1:13">
      <c r="A209" s="640" t="s">
        <v>860</v>
      </c>
      <c r="B209" s="640"/>
      <c r="C209" s="640"/>
      <c r="D209" s="640"/>
      <c r="E209" s="640"/>
      <c r="F209" s="640"/>
      <c r="G209" s="640"/>
      <c r="H209" s="640"/>
      <c r="I209" s="640"/>
      <c r="J209" s="640"/>
      <c r="K209" s="640"/>
      <c r="L209" s="640"/>
      <c r="M209" s="640"/>
    </row>
    <row r="210" spans="1:13">
      <c r="A210" s="640" t="s">
        <v>861</v>
      </c>
      <c r="B210" s="640"/>
      <c r="C210" s="640"/>
      <c r="D210" s="640"/>
      <c r="E210" s="640"/>
      <c r="F210" s="640"/>
      <c r="G210" s="640"/>
      <c r="H210" s="640"/>
      <c r="I210" s="640"/>
      <c r="J210" s="640"/>
      <c r="K210" s="640"/>
      <c r="L210" s="640"/>
      <c r="M210" s="640"/>
    </row>
    <row r="211" spans="1:13">
      <c r="A211" s="13"/>
      <c r="B211" s="13"/>
      <c r="C211" s="13"/>
      <c r="D211" s="13"/>
      <c r="E211" s="13"/>
      <c r="F211" s="13"/>
      <c r="G211" s="13"/>
      <c r="H211" s="13"/>
      <c r="I211" s="13"/>
      <c r="J211" s="13"/>
      <c r="K211" s="13"/>
      <c r="L211" s="13"/>
      <c r="M211" s="13"/>
    </row>
    <row r="212" spans="1:13" ht="17.25">
      <c r="A212" s="553" t="s">
        <v>862</v>
      </c>
      <c r="B212" s="553"/>
      <c r="C212" s="553"/>
      <c r="D212" s="553"/>
      <c r="E212" s="553"/>
      <c r="F212" s="553"/>
      <c r="G212" s="553"/>
      <c r="H212" s="553"/>
      <c r="I212" s="553"/>
      <c r="J212" s="13"/>
      <c r="K212" s="13"/>
      <c r="L212" s="13"/>
      <c r="M212" s="13"/>
    </row>
    <row r="213" spans="1:13">
      <c r="A213" s="549"/>
      <c r="B213" s="549">
        <v>2022</v>
      </c>
      <c r="C213" s="13"/>
      <c r="D213" s="13"/>
      <c r="E213" s="13"/>
      <c r="F213" s="13"/>
      <c r="G213" s="13"/>
      <c r="H213" s="13"/>
      <c r="I213" s="13"/>
      <c r="J213" s="13"/>
      <c r="K213" s="13"/>
      <c r="L213" s="13"/>
      <c r="M213" s="13"/>
    </row>
    <row r="214" spans="1:13" ht="29.45" customHeight="1">
      <c r="A214" s="186" t="s">
        <v>1575</v>
      </c>
      <c r="B214" s="424">
        <v>0.78</v>
      </c>
      <c r="C214" s="13"/>
      <c r="D214" s="13"/>
      <c r="E214" s="13"/>
      <c r="F214" s="13"/>
      <c r="G214" s="13"/>
      <c r="H214" s="13"/>
      <c r="I214" s="13"/>
      <c r="J214" s="13"/>
      <c r="K214" s="13"/>
      <c r="L214" s="13"/>
      <c r="M214" s="13"/>
    </row>
    <row r="215" spans="1:13" s="552" customFormat="1" ht="15" customHeight="1">
      <c r="A215" s="622" t="s">
        <v>1579</v>
      </c>
      <c r="B215" s="622"/>
      <c r="C215" s="622"/>
      <c r="D215" s="622"/>
      <c r="E215" s="622"/>
      <c r="F215" s="622"/>
      <c r="G215" s="622"/>
      <c r="H215" s="622"/>
      <c r="I215" s="622"/>
      <c r="J215" s="68"/>
      <c r="K215" s="68"/>
      <c r="L215" s="68"/>
      <c r="M215" s="68"/>
    </row>
    <row r="217" spans="1:13" ht="17.25">
      <c r="A217" s="639" t="s">
        <v>863</v>
      </c>
      <c r="B217" s="639"/>
      <c r="C217" s="639"/>
      <c r="D217" s="639"/>
      <c r="E217" s="639"/>
      <c r="F217" s="639"/>
      <c r="G217" s="639"/>
      <c r="H217" s="639"/>
      <c r="I217" s="639"/>
      <c r="J217" s="13"/>
      <c r="K217" s="13"/>
      <c r="L217" s="13"/>
      <c r="M217" s="13"/>
    </row>
    <row r="218" spans="1:13">
      <c r="A218" s="741" t="s">
        <v>864</v>
      </c>
      <c r="B218" s="745" t="s">
        <v>865</v>
      </c>
      <c r="C218" s="746"/>
      <c r="D218" s="746"/>
      <c r="E218" s="747"/>
      <c r="F218" s="658" t="s">
        <v>866</v>
      </c>
      <c r="G218" s="658"/>
      <c r="H218" s="658"/>
      <c r="I218" s="658"/>
      <c r="J218" s="13"/>
      <c r="K218" s="13"/>
      <c r="L218" s="13"/>
      <c r="M218" s="13"/>
    </row>
    <row r="219" spans="1:13">
      <c r="A219" s="744"/>
      <c r="B219" s="624" t="s">
        <v>778</v>
      </c>
      <c r="C219" s="624"/>
      <c r="D219" s="624"/>
      <c r="E219" s="624" t="s">
        <v>867</v>
      </c>
      <c r="F219" s="624" t="s">
        <v>778</v>
      </c>
      <c r="G219" s="624"/>
      <c r="H219" s="624"/>
      <c r="I219" s="624" t="s">
        <v>867</v>
      </c>
      <c r="J219" s="13"/>
      <c r="K219" s="13"/>
      <c r="L219" s="13"/>
      <c r="M219" s="13"/>
    </row>
    <row r="220" spans="1:13">
      <c r="A220" s="742"/>
      <c r="B220" s="174" t="s">
        <v>868</v>
      </c>
      <c r="C220" s="174" t="s">
        <v>869</v>
      </c>
      <c r="D220" s="174" t="s">
        <v>870</v>
      </c>
      <c r="E220" s="624"/>
      <c r="F220" s="174" t="s">
        <v>868</v>
      </c>
      <c r="G220" s="174" t="s">
        <v>869</v>
      </c>
      <c r="H220" s="174" t="s">
        <v>870</v>
      </c>
      <c r="I220" s="624"/>
      <c r="J220" s="13"/>
      <c r="K220" s="13"/>
      <c r="L220" s="13"/>
      <c r="M220" s="13"/>
    </row>
    <row r="221" spans="1:13">
      <c r="A221" s="377" t="s">
        <v>725</v>
      </c>
      <c r="B221" s="249">
        <v>0</v>
      </c>
      <c r="C221" s="378">
        <v>0</v>
      </c>
      <c r="D221" s="249">
        <v>10</v>
      </c>
      <c r="E221" s="379">
        <v>0.28999999999999998</v>
      </c>
      <c r="F221" s="249">
        <v>0</v>
      </c>
      <c r="G221" s="378">
        <v>0</v>
      </c>
      <c r="H221" s="187">
        <v>7</v>
      </c>
      <c r="I221" s="380">
        <v>0.64</v>
      </c>
      <c r="J221" s="13"/>
      <c r="K221" s="13"/>
      <c r="L221" s="13"/>
      <c r="M221" s="13"/>
    </row>
    <row r="222" spans="1:13">
      <c r="A222" s="377" t="s">
        <v>724</v>
      </c>
      <c r="B222" s="249">
        <v>0</v>
      </c>
      <c r="C222" s="378">
        <v>0</v>
      </c>
      <c r="D222" s="249">
        <v>4</v>
      </c>
      <c r="E222" s="379">
        <v>0.71</v>
      </c>
      <c r="F222" s="249">
        <v>0</v>
      </c>
      <c r="G222" s="378">
        <v>0</v>
      </c>
      <c r="H222" s="187">
        <v>4</v>
      </c>
      <c r="I222" s="380">
        <v>0.36</v>
      </c>
      <c r="J222" s="13"/>
      <c r="K222" s="13"/>
      <c r="L222" s="13"/>
      <c r="M222" s="13"/>
    </row>
    <row r="223" spans="1:13">
      <c r="A223" s="397" t="s">
        <v>173</v>
      </c>
      <c r="B223" s="398">
        <v>0</v>
      </c>
      <c r="C223" s="399">
        <v>0</v>
      </c>
      <c r="D223" s="398">
        <v>14</v>
      </c>
      <c r="E223" s="400">
        <v>1</v>
      </c>
      <c r="F223" s="398">
        <v>0</v>
      </c>
      <c r="G223" s="399">
        <v>0</v>
      </c>
      <c r="H223" s="398">
        <v>11</v>
      </c>
      <c r="I223" s="400">
        <v>1</v>
      </c>
      <c r="J223" s="13"/>
      <c r="K223" s="13"/>
      <c r="L223" s="13"/>
      <c r="M223" s="13"/>
    </row>
    <row r="224" spans="1:13">
      <c r="A224" s="115"/>
      <c r="B224" s="113"/>
      <c r="C224" s="113"/>
      <c r="D224" s="113"/>
      <c r="E224" s="113"/>
      <c r="F224" s="113"/>
      <c r="G224" s="113"/>
      <c r="J224" s="13"/>
      <c r="K224" s="13"/>
      <c r="L224" s="13"/>
      <c r="M224" s="13"/>
    </row>
    <row r="225" spans="1:13" ht="27">
      <c r="A225" s="173">
        <v>2022</v>
      </c>
      <c r="B225" s="174" t="s">
        <v>865</v>
      </c>
      <c r="C225" s="174" t="s">
        <v>866</v>
      </c>
      <c r="D225" s="65"/>
      <c r="J225" s="13"/>
      <c r="K225" s="13"/>
      <c r="L225" s="13"/>
      <c r="M225" s="13"/>
    </row>
    <row r="226" spans="1:13">
      <c r="A226" s="377" t="s">
        <v>871</v>
      </c>
      <c r="B226" s="187">
        <v>5</v>
      </c>
      <c r="C226" s="187">
        <v>5</v>
      </c>
      <c r="D226" s="24"/>
      <c r="J226" s="13"/>
      <c r="K226" s="13"/>
      <c r="L226" s="13"/>
      <c r="M226" s="13"/>
    </row>
    <row r="227" spans="1:13">
      <c r="A227" s="397" t="s">
        <v>173</v>
      </c>
      <c r="B227" s="401">
        <v>14</v>
      </c>
      <c r="C227" s="401">
        <v>11</v>
      </c>
      <c r="D227" s="24"/>
      <c r="J227" s="13"/>
      <c r="K227" s="13"/>
      <c r="L227" s="13"/>
      <c r="M227" s="13"/>
    </row>
    <row r="228" spans="1:13" ht="15.6" customHeight="1">
      <c r="A228" s="715" t="s">
        <v>872</v>
      </c>
      <c r="B228" s="715"/>
      <c r="C228" s="715"/>
      <c r="D228" s="715"/>
      <c r="E228" s="715"/>
      <c r="F228" s="715"/>
      <c r="G228" s="715"/>
      <c r="H228" s="715"/>
      <c r="I228" s="715"/>
      <c r="J228" s="13"/>
      <c r="K228" s="13"/>
      <c r="L228" s="13"/>
      <c r="M228" s="13"/>
    </row>
    <row r="229" spans="1:13" ht="34.15" customHeight="1">
      <c r="A229" s="715" t="s">
        <v>873</v>
      </c>
      <c r="B229" s="715"/>
      <c r="C229" s="715"/>
      <c r="D229" s="715"/>
      <c r="E229" s="715"/>
      <c r="F229" s="715"/>
      <c r="G229" s="715"/>
      <c r="H229" s="715"/>
      <c r="I229" s="715"/>
      <c r="J229" s="13"/>
      <c r="K229" s="13"/>
      <c r="L229" s="13"/>
      <c r="M229" s="13"/>
    </row>
    <row r="230" spans="1:13" ht="22.9" customHeight="1">
      <c r="A230" s="715" t="s">
        <v>874</v>
      </c>
      <c r="B230" s="715"/>
      <c r="C230" s="715"/>
      <c r="D230" s="715"/>
      <c r="E230" s="715"/>
      <c r="F230" s="715"/>
      <c r="G230" s="715"/>
      <c r="H230" s="715"/>
      <c r="I230" s="715"/>
      <c r="J230" s="13"/>
      <c r="K230" s="13"/>
      <c r="L230" s="13"/>
      <c r="M230" s="13"/>
    </row>
    <row r="231" spans="1:13">
      <c r="A231" s="13"/>
      <c r="B231" s="13"/>
      <c r="C231" s="13"/>
      <c r="D231" s="13"/>
      <c r="E231" s="13"/>
      <c r="F231" s="13"/>
      <c r="G231" s="13"/>
      <c r="H231" s="13"/>
      <c r="I231" s="13"/>
      <c r="J231" s="13"/>
      <c r="K231" s="13"/>
      <c r="L231" s="13"/>
      <c r="M231" s="13"/>
    </row>
    <row r="232" spans="1:13" ht="17.25">
      <c r="A232" s="639" t="s">
        <v>875</v>
      </c>
      <c r="B232" s="639"/>
      <c r="C232" s="639"/>
      <c r="D232" s="639"/>
      <c r="E232" s="639"/>
      <c r="F232" s="639"/>
      <c r="G232" s="639"/>
      <c r="H232" s="639"/>
      <c r="I232" s="639"/>
      <c r="J232" s="13"/>
      <c r="K232" s="13"/>
      <c r="L232" s="13"/>
      <c r="M232" s="13"/>
    </row>
    <row r="233" spans="1:13">
      <c r="A233" s="741" t="s">
        <v>864</v>
      </c>
      <c r="B233" s="745" t="s">
        <v>865</v>
      </c>
      <c r="C233" s="746"/>
      <c r="D233" s="746"/>
      <c r="E233" s="747"/>
      <c r="F233" s="658" t="s">
        <v>866</v>
      </c>
      <c r="G233" s="658"/>
      <c r="H233" s="658"/>
      <c r="I233" s="658"/>
      <c r="J233" s="13"/>
      <c r="K233" s="13"/>
      <c r="L233" s="13"/>
      <c r="M233" s="13"/>
    </row>
    <row r="234" spans="1:13">
      <c r="A234" s="744"/>
      <c r="B234" s="624" t="s">
        <v>778</v>
      </c>
      <c r="C234" s="624"/>
      <c r="D234" s="624"/>
      <c r="E234" s="624" t="s">
        <v>867</v>
      </c>
      <c r="F234" s="624" t="s">
        <v>778</v>
      </c>
      <c r="G234" s="624"/>
      <c r="H234" s="624"/>
      <c r="I234" s="624" t="s">
        <v>867</v>
      </c>
      <c r="J234" s="13"/>
      <c r="K234" s="13"/>
      <c r="L234" s="13"/>
      <c r="M234" s="13"/>
    </row>
    <row r="235" spans="1:13">
      <c r="A235" s="742"/>
      <c r="B235" s="174" t="s">
        <v>868</v>
      </c>
      <c r="C235" s="174" t="s">
        <v>869</v>
      </c>
      <c r="D235" s="174" t="s">
        <v>870</v>
      </c>
      <c r="E235" s="624"/>
      <c r="F235" s="174" t="s">
        <v>868</v>
      </c>
      <c r="G235" s="174" t="s">
        <v>869</v>
      </c>
      <c r="H235" s="174" t="s">
        <v>870</v>
      </c>
      <c r="I235" s="624"/>
      <c r="J235" s="13"/>
      <c r="K235" s="13"/>
      <c r="L235" s="13"/>
      <c r="M235" s="13"/>
    </row>
    <row r="236" spans="1:13">
      <c r="A236" s="377" t="s">
        <v>725</v>
      </c>
      <c r="B236" s="249">
        <v>0</v>
      </c>
      <c r="C236" s="378">
        <v>0</v>
      </c>
      <c r="D236" s="249">
        <v>9</v>
      </c>
      <c r="E236" s="379">
        <v>0.75</v>
      </c>
      <c r="F236" s="249">
        <v>0</v>
      </c>
      <c r="G236" s="378">
        <v>0</v>
      </c>
      <c r="H236" s="381">
        <v>7</v>
      </c>
      <c r="I236" s="382">
        <v>0.7</v>
      </c>
      <c r="J236" s="13"/>
      <c r="K236" s="13"/>
      <c r="L236" s="13"/>
      <c r="M236" s="13"/>
    </row>
    <row r="237" spans="1:13">
      <c r="A237" s="377" t="s">
        <v>724</v>
      </c>
      <c r="B237" s="249">
        <v>0</v>
      </c>
      <c r="C237" s="378">
        <v>0</v>
      </c>
      <c r="D237" s="249">
        <v>3</v>
      </c>
      <c r="E237" s="379">
        <v>0.25</v>
      </c>
      <c r="F237" s="249">
        <v>0</v>
      </c>
      <c r="G237" s="378">
        <v>0</v>
      </c>
      <c r="H237" s="381">
        <v>3</v>
      </c>
      <c r="I237" s="382">
        <v>0.3</v>
      </c>
      <c r="J237" s="13"/>
      <c r="K237" s="13"/>
      <c r="L237" s="13"/>
      <c r="M237" s="13"/>
    </row>
    <row r="238" spans="1:13">
      <c r="A238" s="397" t="s">
        <v>173</v>
      </c>
      <c r="B238" s="398">
        <v>0</v>
      </c>
      <c r="C238" s="399">
        <v>0</v>
      </c>
      <c r="D238" s="398">
        <v>12</v>
      </c>
      <c r="E238" s="400">
        <v>1</v>
      </c>
      <c r="F238" s="398">
        <v>0</v>
      </c>
      <c r="G238" s="399">
        <v>0</v>
      </c>
      <c r="H238" s="398">
        <v>10</v>
      </c>
      <c r="I238" s="400">
        <v>1</v>
      </c>
      <c r="J238" s="13"/>
      <c r="K238" s="13"/>
      <c r="L238" s="13"/>
      <c r="M238" s="13"/>
    </row>
    <row r="239" spans="1:13">
      <c r="A239" s="115"/>
      <c r="B239" s="113"/>
      <c r="C239" s="113"/>
      <c r="D239" s="113"/>
      <c r="E239" s="113"/>
      <c r="F239" s="113"/>
      <c r="G239" s="113"/>
      <c r="J239" s="13"/>
      <c r="K239" s="13"/>
      <c r="L239" s="13"/>
      <c r="M239" s="13"/>
    </row>
    <row r="240" spans="1:13" ht="27">
      <c r="A240" s="173">
        <v>2021</v>
      </c>
      <c r="B240" s="174" t="s">
        <v>865</v>
      </c>
      <c r="C240" s="174" t="s">
        <v>866</v>
      </c>
      <c r="D240" s="65"/>
      <c r="J240" s="13"/>
      <c r="K240" s="13"/>
      <c r="L240" s="13"/>
      <c r="M240" s="13"/>
    </row>
    <row r="241" spans="1:20">
      <c r="A241" s="377" t="s">
        <v>871</v>
      </c>
      <c r="B241" s="381">
        <v>4</v>
      </c>
      <c r="C241" s="381">
        <v>4</v>
      </c>
      <c r="D241" s="24"/>
      <c r="J241" s="13"/>
      <c r="K241" s="13"/>
      <c r="L241" s="13"/>
      <c r="M241" s="13"/>
    </row>
    <row r="242" spans="1:20">
      <c r="A242" s="397" t="s">
        <v>173</v>
      </c>
      <c r="B242" s="401">
        <v>12</v>
      </c>
      <c r="C242" s="401">
        <v>10</v>
      </c>
      <c r="D242" s="24"/>
      <c r="J242" s="13"/>
      <c r="K242" s="13"/>
      <c r="L242" s="13"/>
      <c r="M242" s="13"/>
    </row>
    <row r="243" spans="1:20" ht="13.9" customHeight="1">
      <c r="A243" s="715" t="s">
        <v>872</v>
      </c>
      <c r="B243" s="715"/>
      <c r="C243" s="715"/>
      <c r="D243" s="715"/>
      <c r="E243" s="715"/>
      <c r="F243" s="715"/>
      <c r="G243" s="715"/>
      <c r="H243" s="715"/>
      <c r="I243" s="715"/>
      <c r="J243" s="13"/>
      <c r="K243" s="13"/>
      <c r="L243" s="13"/>
      <c r="M243" s="13"/>
    </row>
    <row r="244" spans="1:20" ht="31.9" customHeight="1">
      <c r="A244" s="715" t="s">
        <v>873</v>
      </c>
      <c r="B244" s="715"/>
      <c r="C244" s="715"/>
      <c r="D244" s="715"/>
      <c r="E244" s="715"/>
      <c r="F244" s="715"/>
      <c r="G244" s="715"/>
      <c r="H244" s="715"/>
      <c r="I244" s="715"/>
      <c r="J244" s="13"/>
      <c r="K244" s="13"/>
      <c r="L244" s="13"/>
      <c r="M244" s="13"/>
    </row>
    <row r="245" spans="1:20" ht="25.15" customHeight="1">
      <c r="A245" s="715" t="s">
        <v>874</v>
      </c>
      <c r="B245" s="715"/>
      <c r="C245" s="715"/>
      <c r="D245" s="715"/>
      <c r="E245" s="715"/>
      <c r="F245" s="715"/>
      <c r="G245" s="715"/>
      <c r="H245" s="715"/>
      <c r="I245" s="715"/>
      <c r="J245" s="13"/>
      <c r="K245" s="13"/>
      <c r="L245" s="13"/>
      <c r="M245" s="13"/>
    </row>
    <row r="246" spans="1:20">
      <c r="A246" s="139"/>
      <c r="B246" s="139"/>
      <c r="C246" s="139"/>
      <c r="D246" s="139"/>
      <c r="E246" s="139"/>
      <c r="F246" s="140"/>
      <c r="G246" s="140"/>
      <c r="H246" s="140"/>
      <c r="I246" s="140"/>
      <c r="J246" s="83"/>
      <c r="K246" s="83"/>
      <c r="L246" s="83"/>
      <c r="M246" s="83"/>
    </row>
    <row r="247" spans="1:20" ht="17.25">
      <c r="A247" s="621" t="s">
        <v>876</v>
      </c>
      <c r="B247" s="621"/>
      <c r="C247" s="621"/>
      <c r="D247" s="621"/>
      <c r="E247" s="621"/>
      <c r="F247" s="621"/>
      <c r="G247" s="621"/>
      <c r="H247" s="621"/>
      <c r="I247" s="621"/>
      <c r="J247" s="137"/>
      <c r="N247" s="64"/>
      <c r="O247" s="64"/>
      <c r="P247" s="64"/>
      <c r="Q247" s="64"/>
      <c r="R247" s="64"/>
      <c r="S247" s="64"/>
    </row>
    <row r="248" spans="1:20">
      <c r="A248" s="741" t="s">
        <v>864</v>
      </c>
      <c r="B248" s="745" t="s">
        <v>865</v>
      </c>
      <c r="C248" s="746"/>
      <c r="D248" s="746"/>
      <c r="E248" s="747"/>
      <c r="F248" s="658" t="s">
        <v>866</v>
      </c>
      <c r="G248" s="658"/>
      <c r="H248" s="658"/>
      <c r="I248" s="658"/>
    </row>
    <row r="249" spans="1:20">
      <c r="A249" s="744"/>
      <c r="B249" s="624" t="s">
        <v>778</v>
      </c>
      <c r="C249" s="624"/>
      <c r="D249" s="624"/>
      <c r="E249" s="624" t="s">
        <v>867</v>
      </c>
      <c r="F249" s="624" t="s">
        <v>778</v>
      </c>
      <c r="G249" s="624"/>
      <c r="H249" s="624"/>
      <c r="I249" s="624" t="s">
        <v>867</v>
      </c>
    </row>
    <row r="250" spans="1:20">
      <c r="A250" s="742"/>
      <c r="B250" s="174" t="s">
        <v>868</v>
      </c>
      <c r="C250" s="174" t="s">
        <v>869</v>
      </c>
      <c r="D250" s="174" t="s">
        <v>870</v>
      </c>
      <c r="E250" s="624"/>
      <c r="F250" s="174" t="s">
        <v>868</v>
      </c>
      <c r="G250" s="174" t="s">
        <v>869</v>
      </c>
      <c r="H250" s="174" t="s">
        <v>870</v>
      </c>
      <c r="I250" s="624"/>
    </row>
    <row r="251" spans="1:20">
      <c r="A251" s="377" t="s">
        <v>725</v>
      </c>
      <c r="B251" s="249">
        <v>0</v>
      </c>
      <c r="C251" s="378">
        <v>0</v>
      </c>
      <c r="D251" s="249">
        <v>9</v>
      </c>
      <c r="E251" s="379">
        <f>D251/D253</f>
        <v>0.75</v>
      </c>
      <c r="F251" s="249">
        <v>0</v>
      </c>
      <c r="G251" s="378">
        <v>0</v>
      </c>
      <c r="H251" s="249">
        <v>7</v>
      </c>
      <c r="I251" s="379">
        <f>H251/H253</f>
        <v>0.7</v>
      </c>
    </row>
    <row r="252" spans="1:20">
      <c r="A252" s="377" t="s">
        <v>724</v>
      </c>
      <c r="B252" s="249">
        <v>0</v>
      </c>
      <c r="C252" s="378">
        <v>0</v>
      </c>
      <c r="D252" s="249">
        <v>3</v>
      </c>
      <c r="E252" s="379">
        <f>D252/D253</f>
        <v>0.25</v>
      </c>
      <c r="F252" s="249">
        <v>0</v>
      </c>
      <c r="G252" s="378">
        <v>0</v>
      </c>
      <c r="H252" s="249">
        <v>3</v>
      </c>
      <c r="I252" s="379">
        <f>H252/H253</f>
        <v>0.3</v>
      </c>
    </row>
    <row r="253" spans="1:20">
      <c r="A253" s="397" t="s">
        <v>173</v>
      </c>
      <c r="B253" s="398">
        <v>0</v>
      </c>
      <c r="C253" s="399">
        <v>0</v>
      </c>
      <c r="D253" s="398">
        <v>12</v>
      </c>
      <c r="E253" s="400">
        <v>1</v>
      </c>
      <c r="F253" s="398">
        <v>0</v>
      </c>
      <c r="G253" s="399">
        <v>0</v>
      </c>
      <c r="H253" s="398">
        <v>10</v>
      </c>
      <c r="I253" s="400">
        <v>1</v>
      </c>
    </row>
    <row r="254" spans="1:20">
      <c r="A254" s="115"/>
      <c r="B254" s="113"/>
      <c r="C254" s="113"/>
      <c r="D254" s="113"/>
      <c r="E254" s="113"/>
      <c r="F254" s="113"/>
      <c r="G254" s="113"/>
    </row>
    <row r="255" spans="1:20" s="17" customFormat="1" ht="27">
      <c r="A255" s="173">
        <v>2020</v>
      </c>
      <c r="B255" s="174" t="s">
        <v>865</v>
      </c>
      <c r="C255" s="174" t="s">
        <v>866</v>
      </c>
      <c r="D255" s="65"/>
      <c r="E255"/>
      <c r="F255"/>
      <c r="G255"/>
      <c r="H255"/>
      <c r="I255"/>
      <c r="J255"/>
      <c r="K255"/>
      <c r="L255"/>
      <c r="M255"/>
      <c r="N255"/>
      <c r="O255"/>
      <c r="P255"/>
      <c r="Q255"/>
      <c r="R255"/>
      <c r="S255"/>
      <c r="T255"/>
    </row>
    <row r="256" spans="1:20" s="17" customFormat="1">
      <c r="A256" s="377" t="s">
        <v>871</v>
      </c>
      <c r="B256" s="249">
        <v>4</v>
      </c>
      <c r="C256" s="187">
        <v>4</v>
      </c>
      <c r="D256" s="24"/>
      <c r="E256"/>
      <c r="F256"/>
      <c r="G256"/>
      <c r="H256"/>
      <c r="I256"/>
      <c r="J256"/>
      <c r="K256"/>
      <c r="L256"/>
      <c r="M256"/>
      <c r="N256"/>
      <c r="O256"/>
      <c r="P256"/>
      <c r="Q256"/>
      <c r="R256"/>
      <c r="S256"/>
      <c r="T256"/>
    </row>
    <row r="257" spans="1:10">
      <c r="A257" s="397" t="s">
        <v>173</v>
      </c>
      <c r="B257" s="401">
        <v>12</v>
      </c>
      <c r="C257" s="401">
        <v>10</v>
      </c>
      <c r="D257" s="24"/>
    </row>
    <row r="258" spans="1:10" ht="16.899999999999999" customHeight="1">
      <c r="A258" s="715" t="s">
        <v>872</v>
      </c>
      <c r="B258" s="715"/>
      <c r="C258" s="715"/>
      <c r="D258" s="715"/>
      <c r="E258" s="715"/>
      <c r="F258" s="715"/>
      <c r="G258" s="715"/>
      <c r="H258" s="715"/>
      <c r="I258" s="715"/>
      <c r="J258" s="138"/>
    </row>
    <row r="259" spans="1:10" ht="33" customHeight="1">
      <c r="A259" s="715" t="s">
        <v>873</v>
      </c>
      <c r="B259" s="715"/>
      <c r="C259" s="715"/>
      <c r="D259" s="715"/>
      <c r="E259" s="715"/>
      <c r="F259" s="715"/>
      <c r="G259" s="715"/>
      <c r="H259" s="715"/>
      <c r="I259" s="715"/>
      <c r="J259" s="138"/>
    </row>
    <row r="260" spans="1:10" ht="21.6" customHeight="1">
      <c r="A260" s="715" t="s">
        <v>874</v>
      </c>
      <c r="B260" s="715"/>
      <c r="C260" s="715"/>
      <c r="D260" s="715"/>
      <c r="E260" s="715"/>
      <c r="F260" s="715"/>
      <c r="G260" s="715"/>
      <c r="H260" s="715"/>
      <c r="I260" s="715"/>
      <c r="J260" s="138"/>
    </row>
    <row r="261" spans="1:10">
      <c r="A261" s="115"/>
      <c r="B261" s="113"/>
      <c r="C261" s="113"/>
      <c r="D261" s="113"/>
      <c r="E261" s="113"/>
      <c r="F261" s="113"/>
      <c r="G261" s="113"/>
    </row>
    <row r="262" spans="1:10" ht="17.25">
      <c r="A262" s="621" t="s">
        <v>1583</v>
      </c>
      <c r="B262" s="621"/>
      <c r="C262" s="621"/>
      <c r="D262" s="621"/>
      <c r="E262" s="621"/>
      <c r="F262" s="621"/>
      <c r="G262" s="621"/>
      <c r="H262" s="621"/>
    </row>
    <row r="263" spans="1:10">
      <c r="A263" s="178" t="s">
        <v>803</v>
      </c>
      <c r="B263" s="178">
        <v>2022</v>
      </c>
      <c r="C263" s="179">
        <v>2021</v>
      </c>
      <c r="D263" s="179">
        <v>2020</v>
      </c>
      <c r="E263" s="179">
        <v>2019</v>
      </c>
      <c r="F263" s="179">
        <v>2018</v>
      </c>
      <c r="G263" s="179">
        <v>2017</v>
      </c>
      <c r="H263" s="179">
        <v>2016</v>
      </c>
    </row>
    <row r="264" spans="1:10">
      <c r="A264" s="223" t="s">
        <v>819</v>
      </c>
      <c r="B264" s="560">
        <v>0.24</v>
      </c>
      <c r="C264" s="371">
        <v>0.21</v>
      </c>
      <c r="D264" s="372">
        <v>0.2</v>
      </c>
      <c r="E264" s="372">
        <v>0.2</v>
      </c>
      <c r="F264" s="372">
        <v>0.18</v>
      </c>
      <c r="G264" s="372">
        <v>0.17</v>
      </c>
      <c r="H264" s="372">
        <v>0.15</v>
      </c>
    </row>
    <row r="265" spans="1:10">
      <c r="A265" s="223" t="s">
        <v>865</v>
      </c>
      <c r="B265" s="371">
        <v>0.28999999999999998</v>
      </c>
      <c r="C265" s="371">
        <v>0.25</v>
      </c>
      <c r="D265" s="372">
        <v>0.25</v>
      </c>
      <c r="E265" s="372">
        <v>0.31</v>
      </c>
      <c r="F265" s="372">
        <v>0.25</v>
      </c>
      <c r="G265" s="372">
        <v>0.21</v>
      </c>
      <c r="H265" s="372">
        <v>0.14000000000000001</v>
      </c>
    </row>
    <row r="266" spans="1:10">
      <c r="A266" s="223" t="s">
        <v>1582</v>
      </c>
      <c r="B266" s="371">
        <v>0.28999999999999998</v>
      </c>
      <c r="C266" s="371">
        <v>0.28999999999999998</v>
      </c>
      <c r="D266" s="372">
        <v>0.2</v>
      </c>
      <c r="E266" s="372">
        <v>0.19</v>
      </c>
      <c r="F266" s="372">
        <v>0.2</v>
      </c>
      <c r="G266" s="372">
        <v>0.1</v>
      </c>
      <c r="H266" s="372">
        <v>0.11</v>
      </c>
    </row>
    <row r="267" spans="1:10">
      <c r="A267" s="223" t="s">
        <v>805</v>
      </c>
      <c r="B267" s="371">
        <v>0.23</v>
      </c>
      <c r="C267" s="371">
        <v>0.2</v>
      </c>
      <c r="D267" s="372">
        <v>0.19</v>
      </c>
      <c r="E267" s="372">
        <v>0.18</v>
      </c>
      <c r="F267" s="372">
        <v>0.18</v>
      </c>
      <c r="G267" s="372">
        <v>0.17</v>
      </c>
      <c r="H267" s="372">
        <v>0.16</v>
      </c>
    </row>
    <row r="268" spans="1:10" ht="25.5">
      <c r="A268" s="223" t="s">
        <v>1580</v>
      </c>
      <c r="B268" s="371">
        <v>0.23</v>
      </c>
      <c r="C268" s="371" t="s">
        <v>160</v>
      </c>
      <c r="D268" s="371" t="s">
        <v>160</v>
      </c>
      <c r="E268" s="371" t="s">
        <v>160</v>
      </c>
      <c r="F268" s="371" t="s">
        <v>160</v>
      </c>
      <c r="G268" s="371" t="s">
        <v>160</v>
      </c>
      <c r="H268" s="371" t="s">
        <v>160</v>
      </c>
    </row>
    <row r="269" spans="1:10" ht="25.5">
      <c r="A269" s="223" t="s">
        <v>877</v>
      </c>
      <c r="B269" s="371">
        <v>0.19</v>
      </c>
      <c r="C269" s="371">
        <v>0.15</v>
      </c>
      <c r="D269" s="372">
        <v>0.13</v>
      </c>
      <c r="E269" s="372">
        <v>0.13</v>
      </c>
      <c r="F269" s="372">
        <v>0.12</v>
      </c>
      <c r="G269" s="372">
        <v>0.1</v>
      </c>
      <c r="H269" s="372">
        <v>0.09</v>
      </c>
    </row>
    <row r="270" spans="1:10" ht="38.25">
      <c r="A270" s="223" t="s">
        <v>878</v>
      </c>
      <c r="B270" s="371">
        <v>0.03</v>
      </c>
      <c r="C270" s="371">
        <v>0.08</v>
      </c>
      <c r="D270" s="372">
        <v>7.0000000000000007E-2</v>
      </c>
      <c r="E270" s="372">
        <v>7.0000000000000007E-2</v>
      </c>
      <c r="F270" s="372">
        <v>7.0000000000000007E-2</v>
      </c>
      <c r="G270" s="372">
        <v>0.06</v>
      </c>
      <c r="H270" s="372">
        <v>0.05</v>
      </c>
    </row>
    <row r="271" spans="1:10">
      <c r="A271" s="223" t="s">
        <v>820</v>
      </c>
      <c r="B271" s="371">
        <v>0.25</v>
      </c>
      <c r="C271" s="371" t="s">
        <v>160</v>
      </c>
      <c r="D271" s="371" t="s">
        <v>160</v>
      </c>
      <c r="E271" s="371" t="s">
        <v>160</v>
      </c>
      <c r="F271" s="371" t="s">
        <v>160</v>
      </c>
      <c r="G271" s="371" t="s">
        <v>160</v>
      </c>
      <c r="H271" s="371" t="s">
        <v>160</v>
      </c>
    </row>
    <row r="272" spans="1:10" ht="12" customHeight="1">
      <c r="A272" s="641" t="s">
        <v>1585</v>
      </c>
      <c r="B272" s="641"/>
      <c r="C272" s="641"/>
      <c r="D272" s="641"/>
      <c r="E272" s="641"/>
      <c r="F272" s="641"/>
      <c r="G272" s="641"/>
      <c r="H272" s="641"/>
      <c r="I272" s="61"/>
    </row>
    <row r="273" spans="1:22">
      <c r="A273" s="641" t="s">
        <v>1584</v>
      </c>
      <c r="B273" s="641"/>
      <c r="C273" s="641"/>
      <c r="D273" s="641"/>
      <c r="E273" s="641"/>
      <c r="F273" s="641"/>
      <c r="G273" s="641"/>
      <c r="H273" s="641"/>
      <c r="I273" s="61"/>
    </row>
    <row r="274" spans="1:22">
      <c r="A274" s="68"/>
      <c r="B274" s="114"/>
      <c r="C274" s="114"/>
      <c r="D274" s="114"/>
      <c r="E274" s="68"/>
      <c r="F274" s="68"/>
      <c r="G274" s="68"/>
      <c r="H274" s="68"/>
      <c r="I274" s="68"/>
      <c r="J274" s="68"/>
    </row>
    <row r="275" spans="1:22" ht="17.25">
      <c r="A275" s="621" t="s">
        <v>879</v>
      </c>
      <c r="B275" s="621"/>
      <c r="C275" s="621"/>
      <c r="D275" s="621"/>
      <c r="E275" s="621"/>
      <c r="F275" s="621"/>
      <c r="G275" s="621"/>
      <c r="H275" s="621"/>
      <c r="I275" s="621"/>
      <c r="J275" s="621"/>
      <c r="K275" s="621"/>
      <c r="L275" s="621"/>
      <c r="M275" s="621"/>
      <c r="N275" s="621"/>
      <c r="O275" s="621"/>
    </row>
    <row r="276" spans="1:22">
      <c r="A276" s="391"/>
      <c r="B276" s="714">
        <v>2022</v>
      </c>
      <c r="C276" s="714"/>
      <c r="D276" s="714">
        <v>2021</v>
      </c>
      <c r="E276" s="714"/>
      <c r="F276" s="714">
        <v>2020</v>
      </c>
      <c r="G276" s="714"/>
      <c r="H276" s="714">
        <v>2019</v>
      </c>
      <c r="I276" s="714"/>
      <c r="J276" s="714">
        <v>2018</v>
      </c>
      <c r="K276" s="714"/>
      <c r="L276" s="714">
        <v>2017</v>
      </c>
      <c r="M276" s="714"/>
      <c r="N276" s="714">
        <v>2016</v>
      </c>
      <c r="O276" s="714"/>
    </row>
    <row r="277" spans="1:22">
      <c r="A277" s="178" t="s">
        <v>880</v>
      </c>
      <c r="B277" s="179" t="s">
        <v>724</v>
      </c>
      <c r="C277" s="179" t="s">
        <v>725</v>
      </c>
      <c r="D277" s="179" t="s">
        <v>724</v>
      </c>
      <c r="E277" s="179" t="s">
        <v>725</v>
      </c>
      <c r="F277" s="179" t="s">
        <v>724</v>
      </c>
      <c r="G277" s="179" t="s">
        <v>725</v>
      </c>
      <c r="H277" s="179" t="s">
        <v>724</v>
      </c>
      <c r="I277" s="179" t="s">
        <v>725</v>
      </c>
      <c r="J277" s="179" t="s">
        <v>724</v>
      </c>
      <c r="K277" s="179" t="s">
        <v>725</v>
      </c>
      <c r="L277" s="179" t="s">
        <v>724</v>
      </c>
      <c r="M277" s="179" t="s">
        <v>725</v>
      </c>
      <c r="N277" s="179" t="s">
        <v>724</v>
      </c>
      <c r="O277" s="179" t="s">
        <v>725</v>
      </c>
    </row>
    <row r="278" spans="1:22">
      <c r="A278" s="223" t="s">
        <v>256</v>
      </c>
      <c r="B278" s="188" t="s">
        <v>881</v>
      </c>
      <c r="C278" s="188" t="s">
        <v>881</v>
      </c>
      <c r="D278" s="188" t="s">
        <v>882</v>
      </c>
      <c r="E278" s="188" t="s">
        <v>882</v>
      </c>
      <c r="F278" s="249" t="s">
        <v>882</v>
      </c>
      <c r="G278" s="249" t="s">
        <v>882</v>
      </c>
      <c r="H278" s="249" t="s">
        <v>883</v>
      </c>
      <c r="I278" s="249" t="s">
        <v>883</v>
      </c>
      <c r="J278" s="249" t="s">
        <v>884</v>
      </c>
      <c r="K278" s="249" t="s">
        <v>884</v>
      </c>
      <c r="L278" s="219" t="s">
        <v>885</v>
      </c>
      <c r="M278" s="219" t="s">
        <v>885</v>
      </c>
      <c r="N278" s="219" t="s">
        <v>886</v>
      </c>
      <c r="O278" s="219" t="s">
        <v>886</v>
      </c>
    </row>
    <row r="279" spans="1:22">
      <c r="A279" s="223" t="s">
        <v>797</v>
      </c>
      <c r="B279" s="188" t="s">
        <v>887</v>
      </c>
      <c r="C279" s="188" t="s">
        <v>887</v>
      </c>
      <c r="D279" s="188" t="s">
        <v>888</v>
      </c>
      <c r="E279" s="188" t="s">
        <v>888</v>
      </c>
      <c r="F279" s="249" t="s">
        <v>888</v>
      </c>
      <c r="G279" s="249" t="s">
        <v>888</v>
      </c>
      <c r="H279" s="249" t="s">
        <v>888</v>
      </c>
      <c r="I279" s="249" t="s">
        <v>888</v>
      </c>
      <c r="J279" s="249" t="s">
        <v>889</v>
      </c>
      <c r="K279" s="249" t="s">
        <v>889</v>
      </c>
      <c r="L279" s="219" t="s">
        <v>889</v>
      </c>
      <c r="M279" s="219" t="s">
        <v>889</v>
      </c>
      <c r="N279" s="219" t="s">
        <v>890</v>
      </c>
      <c r="O279" s="219" t="s">
        <v>890</v>
      </c>
    </row>
    <row r="280" spans="1:22">
      <c r="A280" s="223" t="s">
        <v>271</v>
      </c>
      <c r="B280" s="188" t="s">
        <v>891</v>
      </c>
      <c r="C280" s="188" t="s">
        <v>891</v>
      </c>
      <c r="D280" s="188" t="s">
        <v>892</v>
      </c>
      <c r="E280" s="188" t="s">
        <v>892</v>
      </c>
      <c r="F280" s="249" t="s">
        <v>893</v>
      </c>
      <c r="G280" s="249" t="s">
        <v>893</v>
      </c>
      <c r="H280" s="249" t="s">
        <v>883</v>
      </c>
      <c r="I280" s="249" t="s">
        <v>883</v>
      </c>
      <c r="J280" s="249" t="s">
        <v>885</v>
      </c>
      <c r="K280" s="249" t="s">
        <v>885</v>
      </c>
      <c r="L280" s="219" t="s">
        <v>894</v>
      </c>
      <c r="M280" s="219" t="s">
        <v>894</v>
      </c>
      <c r="N280" s="219" t="s">
        <v>894</v>
      </c>
      <c r="O280" s="219" t="s">
        <v>894</v>
      </c>
      <c r="V280" s="17"/>
    </row>
    <row r="281" spans="1:22">
      <c r="A281" s="663" t="s">
        <v>895</v>
      </c>
      <c r="B281" s="663"/>
      <c r="C281" s="663"/>
      <c r="D281" s="663"/>
      <c r="E281" s="663"/>
      <c r="F281" s="663"/>
      <c r="G281" s="663"/>
      <c r="H281" s="663"/>
      <c r="I281" s="663"/>
      <c r="J281" s="663"/>
      <c r="K281" s="663"/>
      <c r="L281" s="663"/>
      <c r="M281" s="663"/>
      <c r="N281" s="663"/>
      <c r="O281" s="663"/>
      <c r="P281" s="17"/>
      <c r="Q281" s="17"/>
      <c r="R281" s="17"/>
      <c r="S281" s="17"/>
      <c r="T281" s="17"/>
    </row>
    <row r="282" spans="1:22">
      <c r="A282" s="640" t="s">
        <v>896</v>
      </c>
      <c r="B282" s="640"/>
      <c r="C282" s="640"/>
      <c r="D282" s="640"/>
      <c r="E282" s="640"/>
      <c r="F282" s="640"/>
      <c r="G282" s="640"/>
      <c r="H282" s="640"/>
      <c r="I282" s="640"/>
      <c r="J282" s="640"/>
      <c r="K282" s="640"/>
      <c r="L282" s="640"/>
      <c r="M282" s="640"/>
      <c r="N282" s="640"/>
      <c r="O282" s="640"/>
      <c r="P282" s="17"/>
      <c r="Q282" s="17"/>
      <c r="R282" s="17"/>
      <c r="S282" s="17"/>
    </row>
    <row r="283" spans="1:22">
      <c r="A283" s="663" t="s">
        <v>897</v>
      </c>
      <c r="B283" s="663"/>
      <c r="C283" s="663"/>
      <c r="D283" s="663"/>
      <c r="E283" s="663"/>
      <c r="F283" s="663"/>
      <c r="G283" s="663"/>
      <c r="H283" s="663"/>
      <c r="I283" s="663"/>
      <c r="J283" s="663"/>
      <c r="K283" s="663"/>
      <c r="L283" s="663"/>
      <c r="M283" s="663"/>
      <c r="N283" s="663"/>
      <c r="O283" s="663"/>
    </row>
    <row r="284" spans="1:22">
      <c r="A284" s="663" t="s">
        <v>898</v>
      </c>
      <c r="B284" s="663"/>
      <c r="C284" s="663"/>
      <c r="D284" s="663"/>
      <c r="E284" s="663"/>
      <c r="F284" s="663"/>
      <c r="G284" s="663"/>
      <c r="H284" s="663"/>
      <c r="I284" s="663"/>
      <c r="J284" s="663"/>
      <c r="K284" s="663"/>
      <c r="L284" s="663"/>
      <c r="M284" s="663"/>
      <c r="N284" s="663"/>
      <c r="O284" s="663"/>
    </row>
    <row r="286" spans="1:22" ht="17.25">
      <c r="A286" s="621" t="s">
        <v>899</v>
      </c>
      <c r="B286" s="621"/>
      <c r="C286" s="621"/>
      <c r="D286" s="621"/>
      <c r="E286" s="621"/>
      <c r="F286" s="621"/>
      <c r="G286" s="621"/>
      <c r="H286" s="90"/>
    </row>
    <row r="287" spans="1:22">
      <c r="A287" s="624" t="s">
        <v>900</v>
      </c>
      <c r="B287" s="624">
        <v>2022</v>
      </c>
      <c r="C287" s="624"/>
      <c r="D287" s="714">
        <v>2021</v>
      </c>
      <c r="E287" s="714"/>
      <c r="F287" s="714">
        <v>2020</v>
      </c>
      <c r="G287" s="714"/>
      <c r="H287" s="90"/>
      <c r="I287" s="90"/>
      <c r="J287" s="90"/>
    </row>
    <row r="288" spans="1:22" ht="51">
      <c r="A288" s="624"/>
      <c r="B288" s="174" t="s">
        <v>901</v>
      </c>
      <c r="C288" s="174" t="s">
        <v>902</v>
      </c>
      <c r="D288" s="174" t="s">
        <v>901</v>
      </c>
      <c r="E288" s="174" t="s">
        <v>902</v>
      </c>
      <c r="F288" s="174" t="s">
        <v>903</v>
      </c>
      <c r="G288" s="174" t="s">
        <v>902</v>
      </c>
    </row>
    <row r="289" spans="1:8" ht="15.6" customHeight="1">
      <c r="A289" s="737" t="s">
        <v>904</v>
      </c>
      <c r="B289" s="738"/>
      <c r="C289" s="738"/>
      <c r="D289" s="738"/>
      <c r="E289" s="738"/>
      <c r="F289" s="738"/>
      <c r="G289" s="739"/>
    </row>
    <row r="290" spans="1:8" ht="25.5">
      <c r="A290" s="223" t="s">
        <v>804</v>
      </c>
      <c r="B290" s="219" t="s">
        <v>905</v>
      </c>
      <c r="C290" s="219" t="s">
        <v>906</v>
      </c>
      <c r="D290" s="188" t="s">
        <v>905</v>
      </c>
      <c r="E290" s="188" t="s">
        <v>906</v>
      </c>
      <c r="F290" s="383" t="s">
        <v>905</v>
      </c>
      <c r="G290" s="383" t="s">
        <v>907</v>
      </c>
      <c r="H290" s="101"/>
    </row>
    <row r="291" spans="1:8">
      <c r="A291" s="223" t="s">
        <v>805</v>
      </c>
      <c r="B291" s="383" t="s">
        <v>908</v>
      </c>
      <c r="C291" s="383" t="s">
        <v>908</v>
      </c>
      <c r="D291" s="383" t="s">
        <v>908</v>
      </c>
      <c r="E291" s="383" t="s">
        <v>908</v>
      </c>
      <c r="F291" s="383" t="s">
        <v>908</v>
      </c>
      <c r="G291" s="383" t="s">
        <v>908</v>
      </c>
      <c r="H291" s="101"/>
    </row>
    <row r="292" spans="1:8">
      <c r="A292" s="223" t="s">
        <v>806</v>
      </c>
      <c r="B292" s="219" t="s">
        <v>905</v>
      </c>
      <c r="C292" s="219" t="s">
        <v>905</v>
      </c>
      <c r="D292" s="383" t="s">
        <v>905</v>
      </c>
      <c r="E292" s="383" t="s">
        <v>905</v>
      </c>
      <c r="F292" s="383" t="s">
        <v>905</v>
      </c>
      <c r="G292" s="383" t="s">
        <v>905</v>
      </c>
      <c r="H292" s="101"/>
    </row>
    <row r="293" spans="1:8">
      <c r="A293" s="223" t="s">
        <v>807</v>
      </c>
      <c r="B293" s="219" t="s">
        <v>909</v>
      </c>
      <c r="C293" s="219" t="s">
        <v>909</v>
      </c>
      <c r="D293" s="188" t="s">
        <v>909</v>
      </c>
      <c r="E293" s="188" t="s">
        <v>909</v>
      </c>
      <c r="F293" s="383" t="s">
        <v>909</v>
      </c>
      <c r="G293" s="383" t="s">
        <v>909</v>
      </c>
      <c r="H293" s="101"/>
    </row>
    <row r="294" spans="1:8">
      <c r="A294" s="223" t="s">
        <v>808</v>
      </c>
      <c r="B294" s="383" t="s">
        <v>908</v>
      </c>
      <c r="C294" s="219" t="s">
        <v>905</v>
      </c>
      <c r="D294" s="188" t="s">
        <v>905</v>
      </c>
      <c r="E294" s="188" t="s">
        <v>905</v>
      </c>
      <c r="F294" s="383" t="s">
        <v>905</v>
      </c>
      <c r="G294" s="383" t="s">
        <v>905</v>
      </c>
      <c r="H294" s="101"/>
    </row>
    <row r="295" spans="1:8">
      <c r="A295" s="223" t="s">
        <v>910</v>
      </c>
      <c r="B295" s="219" t="s">
        <v>905</v>
      </c>
      <c r="C295" s="219" t="s">
        <v>905</v>
      </c>
      <c r="D295" s="188" t="s">
        <v>905</v>
      </c>
      <c r="E295" s="188" t="s">
        <v>905</v>
      </c>
      <c r="F295" s="383" t="s">
        <v>905</v>
      </c>
      <c r="G295" s="383" t="s">
        <v>905</v>
      </c>
      <c r="H295" s="101"/>
    </row>
    <row r="296" spans="1:8">
      <c r="A296" s="737" t="s">
        <v>797</v>
      </c>
      <c r="B296" s="738"/>
      <c r="C296" s="738"/>
      <c r="D296" s="738"/>
      <c r="E296" s="738"/>
      <c r="F296" s="738"/>
      <c r="G296" s="739"/>
      <c r="H296" s="101"/>
    </row>
    <row r="297" spans="1:8">
      <c r="A297" s="199" t="s">
        <v>804</v>
      </c>
      <c r="B297" s="188" t="s">
        <v>815</v>
      </c>
      <c r="C297" s="188" t="s">
        <v>815</v>
      </c>
      <c r="D297" s="188" t="s">
        <v>815</v>
      </c>
      <c r="E297" s="188" t="s">
        <v>815</v>
      </c>
      <c r="F297" s="383" t="s">
        <v>815</v>
      </c>
      <c r="G297" s="383" t="s">
        <v>815</v>
      </c>
      <c r="H297" s="101"/>
    </row>
    <row r="298" spans="1:8">
      <c r="A298" s="223" t="s">
        <v>805</v>
      </c>
      <c r="B298" s="219" t="s">
        <v>905</v>
      </c>
      <c r="C298" s="219" t="s">
        <v>905</v>
      </c>
      <c r="D298" s="188" t="s">
        <v>905</v>
      </c>
      <c r="E298" s="188" t="s">
        <v>905</v>
      </c>
      <c r="F298" s="383" t="s">
        <v>905</v>
      </c>
      <c r="G298" s="383" t="s">
        <v>908</v>
      </c>
      <c r="H298" s="101"/>
    </row>
    <row r="299" spans="1:8">
      <c r="A299" s="223" t="s">
        <v>806</v>
      </c>
      <c r="B299" s="383" t="s">
        <v>908</v>
      </c>
      <c r="C299" s="383" t="s">
        <v>908</v>
      </c>
      <c r="D299" s="383" t="s">
        <v>908</v>
      </c>
      <c r="E299" s="383" t="s">
        <v>908</v>
      </c>
      <c r="F299" s="383" t="s">
        <v>908</v>
      </c>
      <c r="G299" s="383" t="s">
        <v>908</v>
      </c>
      <c r="H299" s="101"/>
    </row>
    <row r="300" spans="1:8">
      <c r="A300" s="223" t="s">
        <v>807</v>
      </c>
      <c r="B300" s="219" t="s">
        <v>909</v>
      </c>
      <c r="C300" s="219" t="s">
        <v>909</v>
      </c>
      <c r="D300" s="188" t="s">
        <v>909</v>
      </c>
      <c r="E300" s="188" t="s">
        <v>909</v>
      </c>
      <c r="F300" s="383" t="s">
        <v>909</v>
      </c>
      <c r="G300" s="383" t="s">
        <v>909</v>
      </c>
      <c r="H300" s="101"/>
    </row>
    <row r="301" spans="1:8">
      <c r="A301" s="223" t="s">
        <v>808</v>
      </c>
      <c r="B301" s="383" t="s">
        <v>908</v>
      </c>
      <c r="C301" s="383" t="s">
        <v>908</v>
      </c>
      <c r="D301" s="188" t="s">
        <v>911</v>
      </c>
      <c r="E301" s="188" t="s">
        <v>911</v>
      </c>
      <c r="F301" s="383" t="s">
        <v>911</v>
      </c>
      <c r="G301" s="383" t="s">
        <v>911</v>
      </c>
      <c r="H301" s="101"/>
    </row>
    <row r="302" spans="1:8">
      <c r="A302" s="223" t="s">
        <v>910</v>
      </c>
      <c r="B302" s="219" t="s">
        <v>909</v>
      </c>
      <c r="C302" s="219" t="s">
        <v>909</v>
      </c>
      <c r="D302" s="188" t="s">
        <v>909</v>
      </c>
      <c r="E302" s="188" t="s">
        <v>909</v>
      </c>
      <c r="F302" s="383" t="s">
        <v>909</v>
      </c>
      <c r="G302" s="383" t="s">
        <v>909</v>
      </c>
      <c r="H302" s="101"/>
    </row>
    <row r="303" spans="1:8">
      <c r="A303" s="737" t="s">
        <v>271</v>
      </c>
      <c r="B303" s="738"/>
      <c r="C303" s="738"/>
      <c r="D303" s="738"/>
      <c r="E303" s="738"/>
      <c r="F303" s="738"/>
      <c r="G303" s="739"/>
      <c r="H303" s="101"/>
    </row>
    <row r="304" spans="1:8" ht="25.5">
      <c r="A304" s="223" t="s">
        <v>804</v>
      </c>
      <c r="B304" s="383" t="s">
        <v>908</v>
      </c>
      <c r="C304" s="219" t="s">
        <v>911</v>
      </c>
      <c r="D304" s="383" t="s">
        <v>912</v>
      </c>
      <c r="E304" s="188" t="s">
        <v>913</v>
      </c>
      <c r="F304" s="383" t="s">
        <v>908</v>
      </c>
      <c r="G304" s="383" t="s">
        <v>914</v>
      </c>
      <c r="H304" s="101"/>
    </row>
    <row r="305" spans="1:20">
      <c r="A305" s="223" t="s">
        <v>805</v>
      </c>
      <c r="B305" s="383" t="s">
        <v>908</v>
      </c>
      <c r="C305" s="219" t="s">
        <v>905</v>
      </c>
      <c r="D305" s="188" t="s">
        <v>905</v>
      </c>
      <c r="E305" s="188" t="s">
        <v>905</v>
      </c>
      <c r="F305" s="383" t="s">
        <v>905</v>
      </c>
      <c r="G305" s="383" t="s">
        <v>905</v>
      </c>
      <c r="H305" s="101"/>
    </row>
    <row r="306" spans="1:20">
      <c r="A306" s="223" t="s">
        <v>806</v>
      </c>
      <c r="B306" s="219" t="s">
        <v>905</v>
      </c>
      <c r="C306" s="219" t="s">
        <v>905</v>
      </c>
      <c r="D306" s="188" t="s">
        <v>905</v>
      </c>
      <c r="E306" s="188" t="s">
        <v>905</v>
      </c>
      <c r="F306" s="383" t="s">
        <v>905</v>
      </c>
      <c r="G306" s="383" t="s">
        <v>905</v>
      </c>
      <c r="H306" s="101"/>
    </row>
    <row r="307" spans="1:20">
      <c r="A307" s="223" t="s">
        <v>807</v>
      </c>
      <c r="B307" s="219" t="s">
        <v>914</v>
      </c>
      <c r="C307" s="383" t="s">
        <v>908</v>
      </c>
      <c r="D307" s="188" t="s">
        <v>914</v>
      </c>
      <c r="E307" s="383" t="s">
        <v>912</v>
      </c>
      <c r="F307" s="383" t="s">
        <v>914</v>
      </c>
      <c r="G307" s="383" t="s">
        <v>905</v>
      </c>
      <c r="H307" s="101"/>
    </row>
    <row r="308" spans="1:20">
      <c r="A308" s="223" t="s">
        <v>808</v>
      </c>
      <c r="B308" s="219" t="s">
        <v>905</v>
      </c>
      <c r="C308" s="219" t="s">
        <v>905</v>
      </c>
      <c r="D308" s="188" t="s">
        <v>914</v>
      </c>
      <c r="E308" s="383" t="s">
        <v>908</v>
      </c>
      <c r="F308" s="383" t="s">
        <v>911</v>
      </c>
      <c r="G308" s="383" t="s">
        <v>908</v>
      </c>
      <c r="H308" s="101"/>
    </row>
    <row r="309" spans="1:20">
      <c r="A309" s="223" t="s">
        <v>915</v>
      </c>
      <c r="B309" s="219" t="s">
        <v>906</v>
      </c>
      <c r="C309" s="219" t="s">
        <v>906</v>
      </c>
      <c r="D309" s="383" t="s">
        <v>908</v>
      </c>
      <c r="E309" s="188" t="s">
        <v>905</v>
      </c>
      <c r="F309" s="383" t="s">
        <v>908</v>
      </c>
      <c r="G309" s="383" t="s">
        <v>905</v>
      </c>
      <c r="H309" s="101"/>
    </row>
    <row r="310" spans="1:20">
      <c r="A310" s="640" t="s">
        <v>916</v>
      </c>
      <c r="B310" s="640"/>
      <c r="C310" s="640"/>
      <c r="D310" s="640"/>
      <c r="E310" s="640"/>
      <c r="F310" s="640"/>
      <c r="G310" s="640"/>
      <c r="H310" s="101"/>
    </row>
    <row r="311" spans="1:20" s="119" customFormat="1">
      <c r="A311" s="640" t="s">
        <v>917</v>
      </c>
      <c r="B311" s="640"/>
      <c r="C311" s="640"/>
      <c r="D311" s="640"/>
      <c r="E311" s="640"/>
      <c r="F311" s="640"/>
      <c r="G311" s="640"/>
      <c r="H311"/>
      <c r="I311"/>
      <c r="J311"/>
      <c r="K311"/>
      <c r="L311"/>
      <c r="M311"/>
      <c r="N311"/>
      <c r="O311"/>
      <c r="P311"/>
      <c r="Q311"/>
      <c r="R311"/>
      <c r="S311"/>
      <c r="T311"/>
    </row>
    <row r="312" spans="1:20" s="119" customFormat="1">
      <c r="A312"/>
      <c r="B312" s="97"/>
      <c r="C312" s="97"/>
      <c r="D312" s="97"/>
      <c r="E312"/>
      <c r="F312"/>
      <c r="G312"/>
      <c r="H312"/>
      <c r="I312"/>
      <c r="J312"/>
      <c r="K312"/>
      <c r="L312"/>
      <c r="M312"/>
      <c r="N312"/>
      <c r="O312"/>
      <c r="P312"/>
      <c r="Q312"/>
      <c r="R312"/>
      <c r="S312"/>
      <c r="T312"/>
    </row>
    <row r="313" spans="1:20" s="119" customFormat="1" ht="17.25">
      <c r="A313" s="701" t="s">
        <v>918</v>
      </c>
      <c r="B313" s="621"/>
      <c r="C313" s="621"/>
      <c r="D313" s="621"/>
      <c r="E313"/>
      <c r="F313"/>
      <c r="G313"/>
      <c r="H313"/>
      <c r="I313"/>
      <c r="J313"/>
      <c r="K313"/>
      <c r="L313"/>
      <c r="M313"/>
      <c r="N313"/>
      <c r="O313"/>
      <c r="P313"/>
      <c r="Q313"/>
      <c r="R313"/>
      <c r="S313"/>
      <c r="T313"/>
    </row>
    <row r="314" spans="1:20" s="119" customFormat="1" ht="30" customHeight="1">
      <c r="A314" s="714" t="s">
        <v>919</v>
      </c>
      <c r="B314" s="624" t="s">
        <v>920</v>
      </c>
      <c r="C314" s="624"/>
      <c r="D314" s="624"/>
      <c r="E314"/>
      <c r="F314"/>
      <c r="G314"/>
      <c r="H314"/>
      <c r="I314"/>
      <c r="J314"/>
      <c r="K314"/>
      <c r="L314"/>
      <c r="M314"/>
      <c r="N314"/>
      <c r="O314"/>
      <c r="P314"/>
      <c r="Q314"/>
      <c r="R314"/>
      <c r="S314"/>
      <c r="T314"/>
    </row>
    <row r="315" spans="1:20" s="119" customFormat="1" ht="27">
      <c r="A315" s="714"/>
      <c r="B315" s="174" t="s">
        <v>921</v>
      </c>
      <c r="C315" s="174" t="s">
        <v>922</v>
      </c>
      <c r="D315" s="174" t="s">
        <v>923</v>
      </c>
      <c r="E315"/>
      <c r="F315"/>
      <c r="G315"/>
      <c r="H315"/>
      <c r="I315"/>
      <c r="J315"/>
      <c r="K315"/>
      <c r="L315"/>
      <c r="M315"/>
      <c r="N315"/>
      <c r="O315"/>
      <c r="P315"/>
      <c r="Q315"/>
      <c r="R315"/>
      <c r="S315"/>
      <c r="T315"/>
    </row>
    <row r="316" spans="1:20" s="119" customFormat="1">
      <c r="A316" s="383" t="s">
        <v>924</v>
      </c>
      <c r="B316" s="372">
        <v>0.02</v>
      </c>
      <c r="C316" s="384">
        <v>8.1000000000000003E-2</v>
      </c>
      <c r="D316" s="219" t="s">
        <v>925</v>
      </c>
      <c r="E316"/>
      <c r="F316"/>
      <c r="G316"/>
      <c r="H316"/>
      <c r="I316"/>
      <c r="J316"/>
      <c r="K316"/>
      <c r="L316"/>
      <c r="M316"/>
      <c r="N316"/>
      <c r="O316"/>
      <c r="P316"/>
      <c r="Q316"/>
      <c r="R316"/>
      <c r="S316"/>
      <c r="T316"/>
    </row>
    <row r="317" spans="1:20" s="119" customFormat="1" ht="34.15" customHeight="1">
      <c r="A317" s="622" t="s">
        <v>926</v>
      </c>
      <c r="B317" s="622"/>
      <c r="C317" s="622"/>
      <c r="D317" s="622"/>
      <c r="E317" s="31"/>
      <c r="F317" s="31"/>
      <c r="G317" s="31"/>
      <c r="H317"/>
      <c r="I317"/>
      <c r="J317"/>
      <c r="K317"/>
      <c r="L317"/>
      <c r="M317"/>
      <c r="N317"/>
      <c r="O317"/>
      <c r="P317"/>
      <c r="Q317"/>
      <c r="R317"/>
      <c r="S317"/>
      <c r="T317"/>
    </row>
    <row r="318" spans="1:20" s="119" customFormat="1" ht="27" customHeight="1">
      <c r="A318" s="622" t="s">
        <v>927</v>
      </c>
      <c r="B318" s="622"/>
      <c r="C318" s="622"/>
      <c r="D318" s="622"/>
      <c r="E318" s="68"/>
      <c r="F318" s="68"/>
      <c r="G318" s="68"/>
      <c r="H318"/>
      <c r="I318"/>
      <c r="J318"/>
      <c r="K318"/>
      <c r="L318"/>
      <c r="M318"/>
      <c r="N318"/>
      <c r="O318"/>
      <c r="P318"/>
      <c r="Q318"/>
      <c r="R318"/>
      <c r="S318"/>
      <c r="T318"/>
    </row>
    <row r="319" spans="1:20" s="119" customFormat="1" ht="25.15" customHeight="1">
      <c r="A319" s="622" t="s">
        <v>928</v>
      </c>
      <c r="B319" s="622"/>
      <c r="C319" s="622"/>
      <c r="D319" s="622"/>
      <c r="E319" s="68"/>
      <c r="F319" s="68"/>
      <c r="G319" s="68"/>
      <c r="H319"/>
      <c r="I319"/>
      <c r="J319"/>
      <c r="K319"/>
      <c r="L319"/>
      <c r="M319"/>
      <c r="N319"/>
      <c r="O319"/>
      <c r="P319"/>
      <c r="Q319"/>
      <c r="R319"/>
      <c r="S319"/>
      <c r="T319"/>
    </row>
    <row r="320" spans="1:20" s="119" customFormat="1" ht="13.15" customHeight="1">
      <c r="A320" s="622" t="s">
        <v>929</v>
      </c>
      <c r="B320" s="622"/>
      <c r="C320" s="622"/>
      <c r="D320" s="622"/>
      <c r="E320" s="68"/>
      <c r="F320" s="68"/>
      <c r="G320" s="68"/>
      <c r="H320"/>
      <c r="I320"/>
      <c r="J320"/>
      <c r="K320"/>
      <c r="L320"/>
      <c r="M320"/>
      <c r="N320"/>
      <c r="O320"/>
      <c r="P320"/>
      <c r="Q320"/>
      <c r="R320"/>
      <c r="S320"/>
      <c r="T320"/>
    </row>
    <row r="321" spans="1:20" s="119" customFormat="1">
      <c r="A321"/>
      <c r="B321" s="97"/>
      <c r="C321" s="97"/>
      <c r="D321" s="97"/>
      <c r="E321"/>
      <c r="F321"/>
      <c r="G321"/>
      <c r="H321"/>
      <c r="I321"/>
      <c r="J321"/>
      <c r="K321"/>
      <c r="L321"/>
      <c r="M321"/>
      <c r="N321"/>
      <c r="O321"/>
      <c r="P321"/>
      <c r="Q321"/>
      <c r="R321"/>
      <c r="S321"/>
      <c r="T321"/>
    </row>
    <row r="322" spans="1:20" s="119" customFormat="1" ht="17.25">
      <c r="A322" s="621" t="s">
        <v>930</v>
      </c>
      <c r="B322" s="621"/>
      <c r="C322" s="621"/>
      <c r="D322" s="90"/>
      <c r="E322" s="90"/>
      <c r="F322" s="90"/>
      <c r="G322" s="90"/>
      <c r="H322" s="90"/>
      <c r="I322"/>
      <c r="J322"/>
      <c r="K322"/>
      <c r="L322"/>
      <c r="M322"/>
      <c r="N322"/>
      <c r="O322"/>
      <c r="P322"/>
      <c r="Q322"/>
      <c r="R322"/>
      <c r="S322"/>
      <c r="T322"/>
    </row>
    <row r="323" spans="1:20">
      <c r="A323" s="740" t="s">
        <v>789</v>
      </c>
      <c r="B323" s="624" t="s">
        <v>923</v>
      </c>
      <c r="C323" s="624"/>
      <c r="D323" s="117"/>
      <c r="E323" s="117"/>
      <c r="F323" s="29"/>
      <c r="G323" s="29"/>
      <c r="H323" s="29"/>
      <c r="I323" s="29"/>
    </row>
    <row r="324" spans="1:20">
      <c r="A324" s="740"/>
      <c r="B324" s="179">
        <v>2021</v>
      </c>
      <c r="C324" s="179">
        <v>2020</v>
      </c>
      <c r="D324" s="29"/>
      <c r="E324" s="29"/>
      <c r="F324" s="29"/>
      <c r="G324" s="29"/>
      <c r="H324" s="29"/>
      <c r="I324" s="29"/>
      <c r="J324" s="29"/>
    </row>
    <row r="325" spans="1:20">
      <c r="A325" s="186" t="s">
        <v>256</v>
      </c>
      <c r="B325" s="383" t="s">
        <v>931</v>
      </c>
      <c r="C325" s="383" t="s">
        <v>932</v>
      </c>
      <c r="D325" s="29"/>
      <c r="E325" s="29"/>
      <c r="F325" s="29"/>
      <c r="G325" s="29"/>
      <c r="H325" s="29"/>
      <c r="I325" s="29"/>
      <c r="J325" s="29"/>
    </row>
    <row r="326" spans="1:20">
      <c r="A326" s="186" t="s">
        <v>271</v>
      </c>
      <c r="B326" s="383" t="s">
        <v>933</v>
      </c>
      <c r="C326" s="383" t="s">
        <v>934</v>
      </c>
      <c r="D326" s="29"/>
      <c r="E326" s="29"/>
      <c r="F326" s="29"/>
      <c r="G326" s="29"/>
      <c r="H326" s="29"/>
      <c r="I326" s="29"/>
      <c r="J326" s="29"/>
    </row>
    <row r="327" spans="1:20">
      <c r="A327" s="186" t="s">
        <v>797</v>
      </c>
      <c r="B327" s="383" t="s">
        <v>935</v>
      </c>
      <c r="C327" s="383" t="s">
        <v>936</v>
      </c>
      <c r="D327" s="29"/>
      <c r="E327" s="29"/>
      <c r="F327" s="29"/>
      <c r="G327" s="29"/>
      <c r="H327" s="29"/>
      <c r="I327" s="29"/>
      <c r="J327" s="29"/>
    </row>
    <row r="328" spans="1:20" ht="42.6" customHeight="1">
      <c r="A328" s="613" t="s">
        <v>937</v>
      </c>
      <c r="B328" s="613"/>
      <c r="C328" s="613"/>
      <c r="D328" s="118"/>
      <c r="E328" s="118"/>
      <c r="F328" s="118"/>
      <c r="G328" s="118"/>
      <c r="H328" s="118"/>
      <c r="I328" s="118"/>
      <c r="J328" s="118"/>
    </row>
    <row r="329" spans="1:20" ht="23.65" customHeight="1">
      <c r="A329" s="613" t="s">
        <v>938</v>
      </c>
      <c r="B329" s="613"/>
      <c r="C329" s="613"/>
      <c r="D329" s="118"/>
      <c r="E329" s="118"/>
      <c r="F329" s="118"/>
      <c r="G329" s="118"/>
      <c r="H329" s="118"/>
      <c r="I329" s="118"/>
      <c r="J329" s="118"/>
    </row>
    <row r="330" spans="1:20" ht="15" customHeight="1">
      <c r="A330" s="622" t="s">
        <v>939</v>
      </c>
      <c r="B330" s="622"/>
      <c r="C330" s="622"/>
      <c r="D330" s="31"/>
      <c r="E330" s="118"/>
      <c r="F330" s="118"/>
      <c r="G330" s="118"/>
      <c r="H330" s="118"/>
      <c r="I330" s="118"/>
      <c r="J330" s="118"/>
    </row>
    <row r="331" spans="1:20" s="119" customFormat="1">
      <c r="A331" s="29"/>
      <c r="B331" s="110"/>
      <c r="C331" s="110"/>
      <c r="D331" s="110"/>
      <c r="E331" s="29"/>
      <c r="F331" s="29"/>
      <c r="G331" s="29"/>
      <c r="H331" s="29"/>
      <c r="I331" s="29"/>
      <c r="J331" s="29"/>
      <c r="K331"/>
      <c r="L331"/>
      <c r="M331"/>
      <c r="N331"/>
      <c r="O331"/>
      <c r="P331"/>
      <c r="Q331"/>
      <c r="R331"/>
      <c r="S331"/>
      <c r="T331"/>
    </row>
    <row r="332" spans="1:20" s="119" customFormat="1" ht="17.25">
      <c r="A332" s="621" t="s">
        <v>940</v>
      </c>
      <c r="B332" s="621"/>
      <c r="C332" s="621"/>
      <c r="D332" s="621"/>
      <c r="E332" s="621"/>
      <c r="F332" s="621"/>
      <c r="G332" s="621"/>
      <c r="H332" s="90"/>
      <c r="I332"/>
      <c r="J332"/>
      <c r="K332"/>
      <c r="L332"/>
      <c r="M332"/>
      <c r="N332"/>
      <c r="O332"/>
      <c r="P332"/>
      <c r="Q332"/>
      <c r="R332"/>
      <c r="S332"/>
      <c r="T332"/>
    </row>
    <row r="333" spans="1:20" s="119" customFormat="1">
      <c r="A333" s="741" t="s">
        <v>789</v>
      </c>
      <c r="B333" s="714">
        <v>2021</v>
      </c>
      <c r="C333" s="714"/>
      <c r="D333" s="714"/>
      <c r="E333" s="714">
        <v>2020</v>
      </c>
      <c r="F333" s="714"/>
      <c r="G333" s="714"/>
      <c r="H333" s="90"/>
      <c r="I333"/>
      <c r="J333"/>
      <c r="K333"/>
      <c r="L333"/>
      <c r="M333"/>
      <c r="N333"/>
      <c r="O333"/>
      <c r="P333"/>
      <c r="Q333"/>
      <c r="R333"/>
      <c r="S333"/>
      <c r="T333"/>
    </row>
    <row r="334" spans="1:20" ht="25.5">
      <c r="A334" s="742"/>
      <c r="B334" s="174" t="s">
        <v>921</v>
      </c>
      <c r="C334" s="174" t="s">
        <v>941</v>
      </c>
      <c r="D334" s="174" t="s">
        <v>923</v>
      </c>
      <c r="E334" s="174" t="s">
        <v>921</v>
      </c>
      <c r="F334" s="174" t="s">
        <v>941</v>
      </c>
      <c r="G334" s="174" t="s">
        <v>923</v>
      </c>
    </row>
    <row r="335" spans="1:20">
      <c r="A335" s="223" t="s">
        <v>256</v>
      </c>
      <c r="B335" s="370">
        <v>8.5000000000000006E-2</v>
      </c>
      <c r="C335" s="370">
        <v>3.2000000000000001E-2</v>
      </c>
      <c r="D335" s="188" t="s">
        <v>942</v>
      </c>
      <c r="E335" s="384">
        <v>0.25</v>
      </c>
      <c r="F335" s="384">
        <v>1.4999999999999999E-2</v>
      </c>
      <c r="G335" s="219" t="s">
        <v>943</v>
      </c>
    </row>
    <row r="336" spans="1:20">
      <c r="A336" s="223" t="s">
        <v>944</v>
      </c>
      <c r="B336" s="370">
        <v>0.112</v>
      </c>
      <c r="C336" s="370">
        <v>0.02</v>
      </c>
      <c r="D336" s="188" t="s">
        <v>945</v>
      </c>
      <c r="E336" s="384">
        <v>1.4999999999999999E-2</v>
      </c>
      <c r="F336" s="384">
        <v>1.4999999999999999E-2</v>
      </c>
      <c r="G336" s="219" t="s">
        <v>946</v>
      </c>
    </row>
    <row r="337" spans="1:20">
      <c r="A337" s="223" t="s">
        <v>797</v>
      </c>
      <c r="B337" s="370">
        <v>0.14799999999999999</v>
      </c>
      <c r="C337" s="370">
        <v>0.02</v>
      </c>
      <c r="D337" s="188" t="s">
        <v>947</v>
      </c>
      <c r="E337" s="384">
        <v>1.7000000000000001E-2</v>
      </c>
      <c r="F337" s="384">
        <v>1.4999999999999999E-2</v>
      </c>
      <c r="G337" s="219" t="s">
        <v>914</v>
      </c>
      <c r="K337" s="29"/>
      <c r="L337" s="29"/>
      <c r="M337" s="29"/>
      <c r="N337" s="29"/>
    </row>
    <row r="338" spans="1:20" ht="24" customHeight="1">
      <c r="A338" s="748" t="s">
        <v>926</v>
      </c>
      <c r="B338" s="622"/>
      <c r="C338" s="622"/>
      <c r="D338" s="622"/>
      <c r="E338" s="622"/>
      <c r="F338" s="622"/>
      <c r="G338" s="622"/>
      <c r="H338" s="119"/>
      <c r="I338" s="119"/>
      <c r="J338" s="119"/>
      <c r="K338" s="29"/>
      <c r="L338" s="29"/>
      <c r="M338" s="29"/>
      <c r="N338" s="29"/>
    </row>
    <row r="339" spans="1:20">
      <c r="A339" s="749" t="s">
        <v>927</v>
      </c>
      <c r="B339" s="640"/>
      <c r="C339" s="640"/>
      <c r="D339" s="640"/>
      <c r="E339" s="640"/>
      <c r="F339" s="640"/>
      <c r="G339" s="640"/>
      <c r="H339" s="119"/>
      <c r="I339" s="119"/>
      <c r="J339" s="119"/>
      <c r="K339" s="29"/>
      <c r="L339" s="29"/>
      <c r="M339" s="29"/>
      <c r="N339" s="29"/>
    </row>
    <row r="340" spans="1:20">
      <c r="A340" s="749" t="s">
        <v>928</v>
      </c>
      <c r="B340" s="640"/>
      <c r="C340" s="640"/>
      <c r="D340" s="640"/>
      <c r="E340" s="640"/>
      <c r="F340" s="640"/>
      <c r="G340" s="640"/>
      <c r="H340" s="119"/>
      <c r="I340" s="119"/>
      <c r="J340" s="119"/>
      <c r="K340" s="29"/>
      <c r="L340" s="29"/>
      <c r="M340" s="29"/>
      <c r="N340" s="29"/>
    </row>
    <row r="341" spans="1:20" ht="14.65" customHeight="1">
      <c r="A341" s="622" t="s">
        <v>948</v>
      </c>
      <c r="B341" s="622"/>
      <c r="C341" s="622"/>
      <c r="D341" s="622"/>
      <c r="E341" s="622"/>
      <c r="F341" s="622"/>
      <c r="G341" s="622"/>
      <c r="K341" s="29"/>
      <c r="L341" s="29"/>
      <c r="M341" s="29"/>
      <c r="N341" s="29"/>
      <c r="T341" s="119"/>
    </row>
    <row r="342" spans="1:20">
      <c r="K342" s="118"/>
      <c r="L342" s="118"/>
      <c r="M342" s="118"/>
      <c r="N342" s="118"/>
      <c r="O342" s="119"/>
      <c r="P342" s="119"/>
      <c r="Q342" s="119"/>
      <c r="R342" s="119"/>
      <c r="S342" s="119"/>
      <c r="T342" s="119"/>
    </row>
    <row r="343" spans="1:20">
      <c r="K343" s="119"/>
      <c r="L343" s="119"/>
      <c r="M343" s="119"/>
      <c r="N343" s="119"/>
      <c r="O343" s="119"/>
      <c r="P343" s="119"/>
      <c r="Q343" s="119"/>
      <c r="R343" s="119"/>
      <c r="S343" s="119"/>
      <c r="T343" s="119"/>
    </row>
    <row r="344" spans="1:20">
      <c r="K344" s="119"/>
      <c r="L344" s="119"/>
      <c r="M344" s="119"/>
      <c r="N344" s="119"/>
      <c r="O344" s="119"/>
      <c r="P344" s="119"/>
      <c r="Q344" s="119"/>
      <c r="R344" s="119"/>
      <c r="S344" s="119"/>
      <c r="T344" s="119"/>
    </row>
    <row r="345" spans="1:20">
      <c r="K345" s="119"/>
      <c r="L345" s="119"/>
      <c r="M345" s="119"/>
      <c r="N345" s="119"/>
      <c r="O345" s="119"/>
      <c r="P345" s="119"/>
      <c r="Q345" s="119"/>
      <c r="R345" s="119"/>
      <c r="S345" s="119"/>
    </row>
  </sheetData>
  <sheetProtection algorithmName="SHA-512" hashValue="/anjrWRKHr/WhE7UwBYI8jivVVMyVN5LAGRG03TjrOEcsiNVvol8jeS0Rg7ZXLkt6aFa4x4Gw+DByfYsq+dcvQ==" saltValue="N/QVudP9LD9QcBXGiDSU8w==" spinCount="100000" sheet="1" objects="1" scenarios="1"/>
  <mergeCells count="180">
    <mergeCell ref="B233:E233"/>
    <mergeCell ref="A233:A235"/>
    <mergeCell ref="A218:A220"/>
    <mergeCell ref="B218:E218"/>
    <mergeCell ref="A183:L183"/>
    <mergeCell ref="B184:C184"/>
    <mergeCell ref="H66:J66"/>
    <mergeCell ref="K66:M66"/>
    <mergeCell ref="A136:F136"/>
    <mergeCell ref="A139:F139"/>
    <mergeCell ref="A155:F155"/>
    <mergeCell ref="A92:F92"/>
    <mergeCell ref="A114:F114"/>
    <mergeCell ref="A117:F117"/>
    <mergeCell ref="A135:B135"/>
    <mergeCell ref="F85:I85"/>
    <mergeCell ref="F234:H234"/>
    <mergeCell ref="B66:D66"/>
    <mergeCell ref="A125:B125"/>
    <mergeCell ref="E66:G66"/>
    <mergeCell ref="A66:A67"/>
    <mergeCell ref="A85:A86"/>
    <mergeCell ref="A94:A100"/>
    <mergeCell ref="A215:I215"/>
    <mergeCell ref="A341:G341"/>
    <mergeCell ref="A244:I244"/>
    <mergeCell ref="A209:M209"/>
    <mergeCell ref="A229:I229"/>
    <mergeCell ref="A338:G338"/>
    <mergeCell ref="A328:C328"/>
    <mergeCell ref="A329:C329"/>
    <mergeCell ref="A332:G332"/>
    <mergeCell ref="A339:G339"/>
    <mergeCell ref="A340:G340"/>
    <mergeCell ref="A322:C322"/>
    <mergeCell ref="A217:I217"/>
    <mergeCell ref="F218:I218"/>
    <mergeCell ref="B219:D219"/>
    <mergeCell ref="E219:E220"/>
    <mergeCell ref="F219:H219"/>
    <mergeCell ref="I219:I220"/>
    <mergeCell ref="A228:I228"/>
    <mergeCell ref="A230:I230"/>
    <mergeCell ref="A232:I232"/>
    <mergeCell ref="A281:O281"/>
    <mergeCell ref="A282:O282"/>
    <mergeCell ref="A283:O283"/>
    <mergeCell ref="A286:G286"/>
    <mergeCell ref="A260:I260"/>
    <mergeCell ref="A203:M203"/>
    <mergeCell ref="A284:O284"/>
    <mergeCell ref="A82:M82"/>
    <mergeCell ref="A90:O90"/>
    <mergeCell ref="A195:L195"/>
    <mergeCell ref="A115:F115"/>
    <mergeCell ref="A137:F137"/>
    <mergeCell ref="A153:F153"/>
    <mergeCell ref="A169:F169"/>
    <mergeCell ref="A181:H181"/>
    <mergeCell ref="A184:A185"/>
    <mergeCell ref="D204:E204"/>
    <mergeCell ref="F204:G204"/>
    <mergeCell ref="J204:K204"/>
    <mergeCell ref="A204:A205"/>
    <mergeCell ref="K184:K185"/>
    <mergeCell ref="L184:L185"/>
    <mergeCell ref="A248:A250"/>
    <mergeCell ref="B248:E248"/>
    <mergeCell ref="E234:E235"/>
    <mergeCell ref="A84:O84"/>
    <mergeCell ref="F233:I233"/>
    <mergeCell ref="A245:I245"/>
    <mergeCell ref="B333:D333"/>
    <mergeCell ref="A287:A288"/>
    <mergeCell ref="D287:E287"/>
    <mergeCell ref="F287:G287"/>
    <mergeCell ref="B323:C323"/>
    <mergeCell ref="B287:C287"/>
    <mergeCell ref="B314:D314"/>
    <mergeCell ref="A314:A315"/>
    <mergeCell ref="E333:G333"/>
    <mergeCell ref="A313:D313"/>
    <mergeCell ref="A317:D317"/>
    <mergeCell ref="A318:D318"/>
    <mergeCell ref="A319:D319"/>
    <mergeCell ref="A310:G310"/>
    <mergeCell ref="A320:D320"/>
    <mergeCell ref="A330:C330"/>
    <mergeCell ref="A289:G289"/>
    <mergeCell ref="A296:G296"/>
    <mergeCell ref="A303:G303"/>
    <mergeCell ref="A323:A324"/>
    <mergeCell ref="A333:A334"/>
    <mergeCell ref="F248:I248"/>
    <mergeCell ref="F249:H249"/>
    <mergeCell ref="A258:I258"/>
    <mergeCell ref="A12:J12"/>
    <mergeCell ref="H16:I16"/>
    <mergeCell ref="J16:K16"/>
    <mergeCell ref="L16:M16"/>
    <mergeCell ref="A168:B168"/>
    <mergeCell ref="A141:A144"/>
    <mergeCell ref="A145:B145"/>
    <mergeCell ref="A146:A150"/>
    <mergeCell ref="A151:B151"/>
    <mergeCell ref="A152:B152"/>
    <mergeCell ref="A157:A161"/>
    <mergeCell ref="A162:B162"/>
    <mergeCell ref="B85:E85"/>
    <mergeCell ref="A176:H176"/>
    <mergeCell ref="A180:H180"/>
    <mergeCell ref="M58:O58"/>
    <mergeCell ref="J58:L58"/>
    <mergeCell ref="B58:E58"/>
    <mergeCell ref="N16:O16"/>
    <mergeCell ref="A25:R25"/>
    <mergeCell ref="A47:H47"/>
    <mergeCell ref="A7:Q7"/>
    <mergeCell ref="A9:Q9"/>
    <mergeCell ref="A11:J11"/>
    <mergeCell ref="A13:J13"/>
    <mergeCell ref="A15:Q15"/>
    <mergeCell ref="P16:Q16"/>
    <mergeCell ref="A57:O57"/>
    <mergeCell ref="A65:M65"/>
    <mergeCell ref="A26:R26"/>
    <mergeCell ref="A63:O63"/>
    <mergeCell ref="A58:A59"/>
    <mergeCell ref="F58:I58"/>
    <mergeCell ref="A28:E28"/>
    <mergeCell ref="A44:E44"/>
    <mergeCell ref="A45:E45"/>
    <mergeCell ref="B16:D16"/>
    <mergeCell ref="E16:G16"/>
    <mergeCell ref="A134:B134"/>
    <mergeCell ref="A101:B101"/>
    <mergeCell ref="A111:B111"/>
    <mergeCell ref="A113:B113"/>
    <mergeCell ref="A192:L192"/>
    <mergeCell ref="B204:C204"/>
    <mergeCell ref="L204:M204"/>
    <mergeCell ref="H184:I184"/>
    <mergeCell ref="A191:L191"/>
    <mergeCell ref="A193:L193"/>
    <mergeCell ref="A194:L194"/>
    <mergeCell ref="A197:H197"/>
    <mergeCell ref="D184:E184"/>
    <mergeCell ref="F184:G184"/>
    <mergeCell ref="J184:J185"/>
    <mergeCell ref="A163:A166"/>
    <mergeCell ref="A167:B167"/>
    <mergeCell ref="A200:H201"/>
    <mergeCell ref="A102:A110"/>
    <mergeCell ref="A119:A124"/>
    <mergeCell ref="A126:A133"/>
    <mergeCell ref="A174:E174"/>
    <mergeCell ref="A273:H273"/>
    <mergeCell ref="J85:L85"/>
    <mergeCell ref="A311:G311"/>
    <mergeCell ref="A210:M210"/>
    <mergeCell ref="A247:I247"/>
    <mergeCell ref="A262:H262"/>
    <mergeCell ref="A272:H272"/>
    <mergeCell ref="A275:O275"/>
    <mergeCell ref="L276:M276"/>
    <mergeCell ref="H276:I276"/>
    <mergeCell ref="N276:O276"/>
    <mergeCell ref="B249:D249"/>
    <mergeCell ref="E249:E250"/>
    <mergeCell ref="I249:I250"/>
    <mergeCell ref="D276:E276"/>
    <mergeCell ref="F276:G276"/>
    <mergeCell ref="J276:K276"/>
    <mergeCell ref="B276:C276"/>
    <mergeCell ref="A259:I259"/>
    <mergeCell ref="I234:I235"/>
    <mergeCell ref="A243:I243"/>
    <mergeCell ref="B234:D234"/>
    <mergeCell ref="M85:O85"/>
    <mergeCell ref="A171:E171"/>
  </mergeCells>
  <pageMargins left="0.7" right="0.7" top="0.75" bottom="0.75" header="0.3" footer="0.3"/>
  <pageSetup orientation="portrait" r:id="rId1"/>
  <ignoredErrors>
    <ignoredError sqref="J68:J69" formulaRange="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BCFE-1A11-4705-958F-04701D1B6741}">
  <sheetPr codeName="Sheet11">
    <tabColor rgb="FF93E3FF"/>
  </sheetPr>
  <dimension ref="A2:H28"/>
  <sheetViews>
    <sheetView showGridLines="0" zoomScaleNormal="100" workbookViewId="0"/>
  </sheetViews>
  <sheetFormatPr baseColWidth="10" defaultColWidth="8.7109375" defaultRowHeight="15"/>
  <cols>
    <col min="1" max="1" width="25.5703125" customWidth="1"/>
    <col min="2" max="8" width="15.5703125" customWidth="1"/>
  </cols>
  <sheetData>
    <row r="2" spans="1:8">
      <c r="H2" s="116"/>
    </row>
    <row r="7" spans="1:8" ht="20.25">
      <c r="A7" s="617" t="s">
        <v>0</v>
      </c>
      <c r="B7" s="617"/>
      <c r="C7" s="617"/>
    </row>
    <row r="8" spans="1:8" ht="15.75" thickBot="1">
      <c r="A8" s="165"/>
      <c r="B8" s="165"/>
      <c r="C8" s="165"/>
      <c r="D8" s="165"/>
      <c r="E8" s="165"/>
      <c r="F8" s="165"/>
      <c r="G8" s="165"/>
      <c r="H8" s="165"/>
    </row>
    <row r="9" spans="1:8" ht="19.5" thickTop="1" thickBot="1">
      <c r="A9" s="610" t="s">
        <v>949</v>
      </c>
      <c r="B9" s="610"/>
      <c r="C9" s="610"/>
      <c r="D9" s="610"/>
      <c r="E9" s="610"/>
      <c r="F9" s="610"/>
      <c r="G9" s="610"/>
      <c r="H9" s="610"/>
    </row>
    <row r="10" spans="1:8" ht="18.75" thickTop="1">
      <c r="A10" s="8"/>
      <c r="B10" s="8"/>
      <c r="C10" s="7"/>
      <c r="D10" s="7"/>
      <c r="E10" s="7"/>
      <c r="F10" s="7"/>
      <c r="G10" s="7"/>
    </row>
    <row r="11" spans="1:8" ht="17.25">
      <c r="A11" s="621" t="s">
        <v>950</v>
      </c>
      <c r="B11" s="621"/>
      <c r="C11" s="621"/>
      <c r="D11" s="621"/>
      <c r="E11" s="621"/>
      <c r="F11" s="621"/>
      <c r="G11" s="621"/>
      <c r="H11" s="621"/>
    </row>
    <row r="12" spans="1:8">
      <c r="A12" s="174" t="s">
        <v>951</v>
      </c>
      <c r="B12" s="420">
        <v>2022</v>
      </c>
      <c r="C12" s="179">
        <v>2021</v>
      </c>
      <c r="D12" s="179">
        <v>2020</v>
      </c>
      <c r="E12" s="179">
        <v>2019</v>
      </c>
      <c r="F12" s="179">
        <v>2018</v>
      </c>
      <c r="G12" s="179">
        <v>2017</v>
      </c>
      <c r="H12" s="179">
        <v>2016</v>
      </c>
    </row>
    <row r="13" spans="1:8">
      <c r="A13" s="253" t="s">
        <v>952</v>
      </c>
      <c r="B13" s="253">
        <v>0</v>
      </c>
      <c r="C13" s="253">
        <v>1</v>
      </c>
      <c r="D13" s="235">
        <v>0</v>
      </c>
      <c r="E13" s="235">
        <v>5</v>
      </c>
      <c r="F13" s="419">
        <v>2</v>
      </c>
      <c r="G13" s="419">
        <v>9</v>
      </c>
      <c r="H13" s="188">
        <v>5</v>
      </c>
    </row>
    <row r="14" spans="1:8">
      <c r="A14" s="253" t="s">
        <v>953</v>
      </c>
      <c r="B14" s="254">
        <v>2</v>
      </c>
      <c r="C14" s="253">
        <v>9</v>
      </c>
      <c r="D14" s="235">
        <v>11</v>
      </c>
      <c r="E14" s="235">
        <v>2</v>
      </c>
      <c r="F14" s="419">
        <v>9</v>
      </c>
      <c r="G14" s="419">
        <v>8</v>
      </c>
      <c r="H14" s="188">
        <v>7</v>
      </c>
    </row>
    <row r="15" spans="1:8">
      <c r="A15" s="253" t="s">
        <v>19</v>
      </c>
      <c r="B15" s="253">
        <v>83</v>
      </c>
      <c r="C15" s="253">
        <v>179</v>
      </c>
      <c r="D15" s="235">
        <v>3</v>
      </c>
      <c r="E15" s="235">
        <v>33</v>
      </c>
      <c r="F15" s="419">
        <v>120</v>
      </c>
      <c r="G15" s="419">
        <v>77</v>
      </c>
      <c r="H15" s="188">
        <v>93</v>
      </c>
    </row>
    <row r="16" spans="1:8">
      <c r="A16" s="253" t="s">
        <v>954</v>
      </c>
      <c r="B16" s="253">
        <v>4</v>
      </c>
      <c r="C16" s="253">
        <v>2</v>
      </c>
      <c r="D16" s="235">
        <v>3</v>
      </c>
      <c r="E16" s="235">
        <v>29</v>
      </c>
      <c r="F16" s="419">
        <v>16</v>
      </c>
      <c r="G16" s="419">
        <v>11</v>
      </c>
      <c r="H16" s="188">
        <v>10</v>
      </c>
    </row>
    <row r="17" spans="1:8">
      <c r="A17" s="253" t="s">
        <v>955</v>
      </c>
      <c r="B17" s="253">
        <v>7</v>
      </c>
      <c r="C17" s="253">
        <v>17</v>
      </c>
      <c r="D17" s="235">
        <v>0</v>
      </c>
      <c r="E17" s="235">
        <v>19</v>
      </c>
      <c r="F17" s="419">
        <v>8</v>
      </c>
      <c r="G17" s="419">
        <v>10</v>
      </c>
      <c r="H17" s="188">
        <v>5</v>
      </c>
    </row>
    <row r="18" spans="1:8">
      <c r="A18" s="253" t="s">
        <v>956</v>
      </c>
      <c r="B18" s="253">
        <v>8</v>
      </c>
      <c r="C18" s="253">
        <v>104</v>
      </c>
      <c r="D18" s="235">
        <v>110</v>
      </c>
      <c r="E18" s="235">
        <v>35</v>
      </c>
      <c r="F18" s="342">
        <v>7</v>
      </c>
      <c r="G18" s="342">
        <v>8</v>
      </c>
      <c r="H18" s="188">
        <v>6</v>
      </c>
    </row>
    <row r="19" spans="1:8">
      <c r="A19" s="253" t="s">
        <v>957</v>
      </c>
      <c r="B19" s="253">
        <v>113</v>
      </c>
      <c r="C19" s="253">
        <v>52</v>
      </c>
      <c r="D19" s="235">
        <v>45</v>
      </c>
      <c r="E19" s="235">
        <v>274</v>
      </c>
      <c r="F19" s="419">
        <v>4</v>
      </c>
      <c r="G19" s="419">
        <v>14</v>
      </c>
      <c r="H19" s="188">
        <v>12</v>
      </c>
    </row>
    <row r="20" spans="1:8">
      <c r="A20" s="253" t="s">
        <v>958</v>
      </c>
      <c r="B20" s="253">
        <v>2</v>
      </c>
      <c r="C20" s="253">
        <v>3</v>
      </c>
      <c r="D20" s="235">
        <v>6</v>
      </c>
      <c r="E20" s="235">
        <v>5</v>
      </c>
      <c r="F20" s="419">
        <v>50</v>
      </c>
      <c r="G20" s="419">
        <v>6</v>
      </c>
      <c r="H20" s="188">
        <v>2</v>
      </c>
    </row>
    <row r="21" spans="1:8">
      <c r="A21" s="270" t="s">
        <v>173</v>
      </c>
      <c r="B21" s="270">
        <v>219</v>
      </c>
      <c r="C21" s="270">
        <v>367</v>
      </c>
      <c r="D21" s="252">
        <f>SUM(D13:D20)</f>
        <v>178</v>
      </c>
      <c r="E21" s="252">
        <f>SUM(E13:E20)</f>
        <v>402</v>
      </c>
      <c r="F21" s="252">
        <v>220</v>
      </c>
      <c r="G21" s="252">
        <v>147</v>
      </c>
      <c r="H21" s="270">
        <v>140</v>
      </c>
    </row>
    <row r="22" spans="1:8" ht="26.65" customHeight="1">
      <c r="A22" s="622" t="s">
        <v>959</v>
      </c>
      <c r="B22" s="622"/>
      <c r="C22" s="622"/>
      <c r="D22" s="622"/>
      <c r="E22" s="622"/>
      <c r="F22" s="622"/>
      <c r="G22" s="622"/>
      <c r="H22" s="622"/>
    </row>
    <row r="24" spans="1:8" ht="16.5">
      <c r="A24" s="619" t="s">
        <v>960</v>
      </c>
      <c r="B24" s="619"/>
      <c r="C24" s="619"/>
      <c r="D24" s="619"/>
      <c r="E24" s="619"/>
      <c r="F24" s="619"/>
      <c r="G24" s="619"/>
      <c r="H24" s="619"/>
    </row>
    <row r="25" spans="1:8">
      <c r="A25" s="178"/>
      <c r="B25" s="421">
        <v>2022</v>
      </c>
      <c r="C25" s="178">
        <v>2021</v>
      </c>
      <c r="D25" s="179">
        <v>2020</v>
      </c>
      <c r="E25" s="179">
        <v>2019</v>
      </c>
      <c r="F25" s="179">
        <v>2018</v>
      </c>
      <c r="G25" s="179">
        <v>2017</v>
      </c>
      <c r="H25" s="179">
        <v>2016</v>
      </c>
    </row>
    <row r="26" spans="1:8">
      <c r="A26" s="223" t="s">
        <v>961</v>
      </c>
      <c r="B26" s="223">
        <v>1</v>
      </c>
      <c r="C26" s="223">
        <v>1</v>
      </c>
      <c r="D26" s="219">
        <v>1</v>
      </c>
      <c r="E26" s="219">
        <v>3</v>
      </c>
      <c r="F26" s="219">
        <v>0</v>
      </c>
      <c r="G26" s="219">
        <v>0</v>
      </c>
      <c r="H26" s="219">
        <v>4</v>
      </c>
    </row>
    <row r="27" spans="1:8">
      <c r="A27" s="640" t="s">
        <v>962</v>
      </c>
      <c r="B27" s="640"/>
      <c r="C27" s="640"/>
      <c r="D27" s="640"/>
      <c r="E27" s="640"/>
      <c r="F27" s="640"/>
      <c r="G27" s="640"/>
      <c r="H27" s="640"/>
    </row>
    <row r="28" spans="1:8">
      <c r="A28" s="640" t="s">
        <v>963</v>
      </c>
      <c r="B28" s="640"/>
      <c r="C28" s="640"/>
      <c r="D28" s="640"/>
      <c r="E28" s="640"/>
      <c r="F28" s="640"/>
      <c r="G28" s="640"/>
      <c r="H28" s="640"/>
    </row>
  </sheetData>
  <sheetProtection algorithmName="SHA-512" hashValue="WiuSoF5SMJEK40APGd2rto5cikaaH0xFdAwKlIJlWHJe8XCTE4gYR5KTzlakTc3Eym48c5J+ViLACHRve4qkdQ==" saltValue="qbbbUofQLui0sM8pT3xnkA==" spinCount="100000" sheet="1" objects="1" scenarios="1"/>
  <mergeCells count="7">
    <mergeCell ref="A28:H28"/>
    <mergeCell ref="A7:C7"/>
    <mergeCell ref="A22:H22"/>
    <mergeCell ref="A24:H24"/>
    <mergeCell ref="A27:H27"/>
    <mergeCell ref="A11:H11"/>
    <mergeCell ref="A9:H9"/>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rgb="FF93E3FF"/>
  </sheetPr>
  <dimension ref="A2:I131"/>
  <sheetViews>
    <sheetView showGridLines="0" zoomScaleNormal="100" workbookViewId="0"/>
  </sheetViews>
  <sheetFormatPr baseColWidth="10" defaultColWidth="8.7109375" defaultRowHeight="15"/>
  <cols>
    <col min="1" max="1" width="23.42578125" customWidth="1"/>
    <col min="2" max="2" width="19" customWidth="1"/>
    <col min="3" max="3" width="21.5703125" customWidth="1"/>
    <col min="4" max="4" width="18.7109375" customWidth="1"/>
    <col min="5" max="5" width="23.42578125" customWidth="1"/>
    <col min="6" max="6" width="29.42578125" customWidth="1"/>
    <col min="7" max="7" width="22" customWidth="1"/>
    <col min="8" max="8" width="20.28515625" customWidth="1"/>
    <col min="9" max="9" width="21.28515625" customWidth="1"/>
  </cols>
  <sheetData>
    <row r="2" spans="1:9">
      <c r="H2" s="116"/>
    </row>
    <row r="7" spans="1:9" ht="20.25">
      <c r="A7" s="617" t="s">
        <v>0</v>
      </c>
      <c r="B7" s="617"/>
      <c r="C7" s="617"/>
      <c r="D7" s="617"/>
      <c r="E7" s="617"/>
      <c r="F7" s="617"/>
      <c r="G7" s="617"/>
      <c r="H7" s="617"/>
    </row>
    <row r="8" spans="1:9" ht="21" thickBot="1">
      <c r="A8" s="167"/>
      <c r="B8" s="165"/>
      <c r="C8" s="165"/>
      <c r="D8" s="165"/>
      <c r="E8" s="165"/>
      <c r="F8" s="165"/>
      <c r="G8" s="165"/>
      <c r="H8" s="165"/>
    </row>
    <row r="9" spans="1:9" ht="19.5" thickTop="1" thickBot="1">
      <c r="A9" s="610" t="s">
        <v>964</v>
      </c>
      <c r="B9" s="610"/>
      <c r="C9" s="610"/>
      <c r="D9" s="610"/>
      <c r="E9" s="610"/>
      <c r="F9" s="610"/>
      <c r="G9" s="610"/>
      <c r="H9" s="610"/>
    </row>
    <row r="10" spans="1:9" ht="20.65" customHeight="1" thickTop="1">
      <c r="A10" s="55"/>
      <c r="B10" s="56"/>
      <c r="C10" s="56"/>
      <c r="D10" s="56"/>
      <c r="E10" s="56"/>
      <c r="F10" s="56"/>
      <c r="G10" s="56"/>
    </row>
    <row r="11" spans="1:9" ht="15.6" customHeight="1">
      <c r="A11" s="753" t="s">
        <v>663</v>
      </c>
      <c r="B11" s="753"/>
      <c r="C11" s="753"/>
      <c r="D11" s="753"/>
      <c r="E11" s="753"/>
      <c r="F11" s="753"/>
      <c r="G11" s="753"/>
      <c r="H11" s="753"/>
    </row>
    <row r="12" spans="1:9">
      <c r="A12" s="432"/>
      <c r="B12" s="179">
        <v>2022</v>
      </c>
      <c r="C12" s="179">
        <v>2021</v>
      </c>
      <c r="D12" s="179">
        <v>2020</v>
      </c>
      <c r="E12" s="177">
        <v>2019</v>
      </c>
      <c r="F12" s="177">
        <v>2018</v>
      </c>
      <c r="G12" s="177">
        <v>2017</v>
      </c>
      <c r="H12" s="179">
        <v>2016</v>
      </c>
      <c r="I12" s="4"/>
    </row>
    <row r="13" spans="1:9">
      <c r="A13" s="186" t="s">
        <v>965</v>
      </c>
      <c r="B13" s="422">
        <v>345</v>
      </c>
      <c r="C13" s="422">
        <v>267</v>
      </c>
      <c r="D13" s="422">
        <v>192</v>
      </c>
      <c r="E13" s="423">
        <v>225</v>
      </c>
      <c r="F13" s="423">
        <v>209</v>
      </c>
      <c r="G13" s="423">
        <v>138</v>
      </c>
      <c r="H13" s="375">
        <v>128</v>
      </c>
      <c r="I13" s="4"/>
    </row>
    <row r="14" spans="1:9" ht="18" customHeight="1">
      <c r="A14" s="6"/>
      <c r="B14" s="4"/>
      <c r="C14" s="4"/>
      <c r="D14" s="4"/>
      <c r="E14" s="4"/>
      <c r="F14" s="4"/>
      <c r="G14" s="4"/>
    </row>
    <row r="15" spans="1:9">
      <c r="A15" s="621" t="s">
        <v>664</v>
      </c>
      <c r="B15" s="621"/>
      <c r="C15" s="621"/>
      <c r="D15" s="621"/>
      <c r="E15" s="621"/>
      <c r="F15" s="621"/>
      <c r="G15" s="621"/>
      <c r="H15" s="621"/>
    </row>
    <row r="16" spans="1:9">
      <c r="A16" s="179"/>
      <c r="B16" s="179">
        <v>2022</v>
      </c>
      <c r="C16" s="179">
        <v>2021</v>
      </c>
      <c r="D16" s="179">
        <v>2020</v>
      </c>
      <c r="E16" s="177">
        <v>2019</v>
      </c>
      <c r="F16" s="179">
        <v>2018</v>
      </c>
      <c r="G16" s="179">
        <v>2017</v>
      </c>
      <c r="H16" s="179">
        <v>2016</v>
      </c>
      <c r="I16" s="4"/>
    </row>
    <row r="17" spans="1:9" ht="25.5">
      <c r="A17" s="186" t="s">
        <v>966</v>
      </c>
      <c r="B17" s="424">
        <v>0.13</v>
      </c>
      <c r="C17" s="424">
        <v>0.11</v>
      </c>
      <c r="D17" s="424">
        <v>0.18</v>
      </c>
      <c r="E17" s="425">
        <v>0.12</v>
      </c>
      <c r="F17" s="426">
        <v>0.13</v>
      </c>
      <c r="G17" s="426">
        <v>0.18</v>
      </c>
      <c r="H17" s="371">
        <v>0.37</v>
      </c>
      <c r="I17" s="4"/>
    </row>
    <row r="18" spans="1:9" ht="18" customHeight="1">
      <c r="G18" s="4"/>
    </row>
    <row r="19" spans="1:9" ht="17.25">
      <c r="A19" s="621" t="s">
        <v>967</v>
      </c>
      <c r="B19" s="621"/>
      <c r="C19" s="621"/>
      <c r="D19" s="621"/>
      <c r="E19" s="621"/>
      <c r="F19" s="621"/>
      <c r="G19" s="621"/>
      <c r="H19" s="621"/>
    </row>
    <row r="20" spans="1:9">
      <c r="A20" s="179"/>
      <c r="B20" s="179">
        <v>2022</v>
      </c>
      <c r="C20" s="179">
        <v>2021</v>
      </c>
      <c r="D20" s="179">
        <v>2020</v>
      </c>
      <c r="E20" s="177">
        <v>2019</v>
      </c>
      <c r="F20" s="177">
        <v>2018</v>
      </c>
      <c r="G20" s="177">
        <v>2017</v>
      </c>
      <c r="H20" s="179">
        <v>2016</v>
      </c>
      <c r="I20" s="4"/>
    </row>
    <row r="21" spans="1:9">
      <c r="A21" s="186" t="s">
        <v>968</v>
      </c>
      <c r="B21" s="188" t="s">
        <v>969</v>
      </c>
      <c r="C21" s="188" t="s">
        <v>970</v>
      </c>
      <c r="D21" s="188" t="s">
        <v>971</v>
      </c>
      <c r="E21" s="188" t="s">
        <v>972</v>
      </c>
      <c r="F21" s="188" t="s">
        <v>973</v>
      </c>
      <c r="G21" s="188" t="s">
        <v>974</v>
      </c>
      <c r="H21" s="188">
        <v>54</v>
      </c>
      <c r="I21" s="4"/>
    </row>
    <row r="22" spans="1:9">
      <c r="A22" s="754" t="s">
        <v>975</v>
      </c>
      <c r="B22" s="754"/>
      <c r="C22" s="754"/>
      <c r="D22" s="754"/>
      <c r="E22" s="754"/>
      <c r="F22" s="754"/>
      <c r="G22" s="754"/>
      <c r="H22" s="754"/>
    </row>
    <row r="23" spans="1:9">
      <c r="A23" s="754" t="s">
        <v>976</v>
      </c>
      <c r="B23" s="754"/>
      <c r="C23" s="754"/>
      <c r="D23" s="754"/>
      <c r="E23" s="754"/>
      <c r="F23" s="754"/>
      <c r="G23" s="754"/>
      <c r="H23" s="754"/>
    </row>
    <row r="24" spans="1:9">
      <c r="A24" s="754" t="s">
        <v>977</v>
      </c>
      <c r="B24" s="754"/>
      <c r="C24" s="754"/>
      <c r="D24" s="754"/>
      <c r="E24" s="754"/>
      <c r="F24" s="754"/>
      <c r="G24" s="754"/>
      <c r="H24" s="754"/>
    </row>
    <row r="25" spans="1:9">
      <c r="A25" s="754" t="s">
        <v>978</v>
      </c>
      <c r="B25" s="754"/>
      <c r="C25" s="754"/>
      <c r="D25" s="754"/>
      <c r="E25" s="754"/>
      <c r="F25" s="754"/>
      <c r="G25" s="754"/>
      <c r="H25" s="754"/>
    </row>
    <row r="26" spans="1:9">
      <c r="A26" s="754" t="s">
        <v>979</v>
      </c>
      <c r="B26" s="754"/>
      <c r="C26" s="754"/>
      <c r="D26" s="754"/>
      <c r="E26" s="754"/>
      <c r="F26" s="754"/>
      <c r="G26" s="754"/>
      <c r="H26" s="754"/>
    </row>
    <row r="27" spans="1:9" ht="16.149999999999999" customHeight="1"/>
    <row r="28" spans="1:9">
      <c r="A28" s="755" t="s">
        <v>667</v>
      </c>
      <c r="B28" s="755"/>
      <c r="C28" s="755"/>
      <c r="D28" s="755"/>
      <c r="E28" s="755"/>
      <c r="F28" s="755"/>
      <c r="G28" s="755"/>
    </row>
    <row r="29" spans="1:9" ht="15" customHeight="1">
      <c r="A29" s="173" t="s">
        <v>379</v>
      </c>
      <c r="B29" s="173" t="s">
        <v>980</v>
      </c>
      <c r="C29" s="202" t="s">
        <v>789</v>
      </c>
      <c r="D29" s="173" t="s">
        <v>981</v>
      </c>
      <c r="E29" s="178" t="s">
        <v>982</v>
      </c>
      <c r="F29" s="178" t="s">
        <v>983</v>
      </c>
      <c r="G29" s="178" t="s">
        <v>984</v>
      </c>
    </row>
    <row r="30" spans="1:9" ht="25.5">
      <c r="A30" s="222" t="s">
        <v>985</v>
      </c>
      <c r="B30" s="222" t="s">
        <v>986</v>
      </c>
      <c r="C30" s="222" t="s">
        <v>987</v>
      </c>
      <c r="D30" s="222" t="s">
        <v>988</v>
      </c>
      <c r="E30" s="223" t="s">
        <v>989</v>
      </c>
      <c r="F30" s="223" t="s">
        <v>990</v>
      </c>
      <c r="G30" s="305" t="s">
        <v>991</v>
      </c>
    </row>
    <row r="31" spans="1:9" ht="25.5">
      <c r="A31" s="222" t="s">
        <v>985</v>
      </c>
      <c r="B31" s="222" t="s">
        <v>992</v>
      </c>
      <c r="C31" s="222" t="s">
        <v>987</v>
      </c>
      <c r="D31" s="222" t="s">
        <v>993</v>
      </c>
      <c r="E31" s="223" t="s">
        <v>994</v>
      </c>
      <c r="F31" s="223" t="s">
        <v>995</v>
      </c>
      <c r="G31" s="305" t="s">
        <v>991</v>
      </c>
    </row>
    <row r="32" spans="1:9" ht="25.5">
      <c r="A32" s="222" t="s">
        <v>985</v>
      </c>
      <c r="B32" s="222" t="s">
        <v>992</v>
      </c>
      <c r="C32" s="222" t="s">
        <v>987</v>
      </c>
      <c r="D32" s="222" t="s">
        <v>993</v>
      </c>
      <c r="E32" s="223" t="s">
        <v>994</v>
      </c>
      <c r="F32" s="223" t="s">
        <v>996</v>
      </c>
      <c r="G32" s="305" t="s">
        <v>991</v>
      </c>
    </row>
    <row r="33" spans="1:7" ht="25.5">
      <c r="A33" s="222" t="s">
        <v>985</v>
      </c>
      <c r="B33" s="222" t="s">
        <v>992</v>
      </c>
      <c r="C33" s="222" t="s">
        <v>997</v>
      </c>
      <c r="D33" s="222" t="s">
        <v>998</v>
      </c>
      <c r="E33" s="223" t="s">
        <v>999</v>
      </c>
      <c r="F33" s="223" t="s">
        <v>1000</v>
      </c>
      <c r="G33" s="305" t="s">
        <v>991</v>
      </c>
    </row>
    <row r="34" spans="1:7" ht="25.5">
      <c r="A34" s="222" t="s">
        <v>985</v>
      </c>
      <c r="B34" s="222" t="s">
        <v>992</v>
      </c>
      <c r="C34" s="222" t="s">
        <v>997</v>
      </c>
      <c r="D34" s="222" t="s">
        <v>998</v>
      </c>
      <c r="E34" s="223" t="s">
        <v>1001</v>
      </c>
      <c r="F34" s="223" t="s">
        <v>1002</v>
      </c>
      <c r="G34" s="305" t="s">
        <v>991</v>
      </c>
    </row>
    <row r="35" spans="1:7" ht="25.5">
      <c r="A35" s="222" t="s">
        <v>1003</v>
      </c>
      <c r="B35" s="222" t="s">
        <v>986</v>
      </c>
      <c r="C35" s="222" t="s">
        <v>987</v>
      </c>
      <c r="D35" s="222" t="s">
        <v>1004</v>
      </c>
      <c r="E35" s="223" t="s">
        <v>1005</v>
      </c>
      <c r="F35" s="223" t="s">
        <v>1006</v>
      </c>
      <c r="G35" s="305" t="s">
        <v>991</v>
      </c>
    </row>
    <row r="36" spans="1:7" ht="25.5">
      <c r="A36" s="222" t="s">
        <v>1007</v>
      </c>
      <c r="B36" s="222" t="s">
        <v>1007</v>
      </c>
      <c r="C36" s="222" t="s">
        <v>1008</v>
      </c>
      <c r="D36" s="222" t="s">
        <v>1009</v>
      </c>
      <c r="E36" s="223" t="s">
        <v>1010</v>
      </c>
      <c r="F36" s="223" t="s">
        <v>1011</v>
      </c>
      <c r="G36" s="305" t="s">
        <v>991</v>
      </c>
    </row>
    <row r="37" spans="1:7" ht="25.5">
      <c r="A37" s="222" t="s">
        <v>1007</v>
      </c>
      <c r="B37" s="222" t="s">
        <v>1007</v>
      </c>
      <c r="C37" s="222" t="s">
        <v>1012</v>
      </c>
      <c r="D37" s="222" t="s">
        <v>1009</v>
      </c>
      <c r="E37" s="223" t="s">
        <v>1013</v>
      </c>
      <c r="F37" s="223" t="s">
        <v>1011</v>
      </c>
      <c r="G37" s="305" t="s">
        <v>1014</v>
      </c>
    </row>
    <row r="38" spans="1:7" ht="25.5">
      <c r="A38" s="222" t="s">
        <v>1007</v>
      </c>
      <c r="B38" s="222" t="s">
        <v>1007</v>
      </c>
      <c r="C38" s="222" t="s">
        <v>1015</v>
      </c>
      <c r="D38" s="222" t="s">
        <v>1016</v>
      </c>
      <c r="E38" s="223" t="s">
        <v>1017</v>
      </c>
      <c r="F38" s="223" t="s">
        <v>1011</v>
      </c>
      <c r="G38" s="305" t="s">
        <v>1014</v>
      </c>
    </row>
    <row r="39" spans="1:7" ht="38.25">
      <c r="A39" s="222" t="s">
        <v>1007</v>
      </c>
      <c r="B39" s="222" t="s">
        <v>1007</v>
      </c>
      <c r="C39" s="222" t="s">
        <v>1015</v>
      </c>
      <c r="D39" s="222" t="s">
        <v>1018</v>
      </c>
      <c r="E39" s="223" t="s">
        <v>1018</v>
      </c>
      <c r="F39" s="223" t="s">
        <v>1019</v>
      </c>
      <c r="G39" s="305" t="s">
        <v>1014</v>
      </c>
    </row>
    <row r="40" spans="1:7" ht="63.75">
      <c r="A40" s="222" t="s">
        <v>1007</v>
      </c>
      <c r="B40" s="222" t="s">
        <v>1007</v>
      </c>
      <c r="C40" s="222" t="s">
        <v>997</v>
      </c>
      <c r="D40" s="222" t="s">
        <v>1020</v>
      </c>
      <c r="E40" s="223" t="s">
        <v>1021</v>
      </c>
      <c r="F40" s="223" t="s">
        <v>1022</v>
      </c>
      <c r="G40" s="305" t="s">
        <v>1014</v>
      </c>
    </row>
    <row r="41" spans="1:7">
      <c r="A41" s="222" t="s">
        <v>1007</v>
      </c>
      <c r="B41" s="222" t="s">
        <v>1007</v>
      </c>
      <c r="C41" s="222" t="s">
        <v>997</v>
      </c>
      <c r="D41" s="222" t="s">
        <v>1023</v>
      </c>
      <c r="E41" s="223" t="s">
        <v>1024</v>
      </c>
      <c r="F41" s="223" t="s">
        <v>1022</v>
      </c>
      <c r="G41" s="305" t="s">
        <v>991</v>
      </c>
    </row>
    <row r="42" spans="1:7">
      <c r="A42" s="222" t="s">
        <v>1007</v>
      </c>
      <c r="B42" s="222" t="s">
        <v>1007</v>
      </c>
      <c r="C42" s="222" t="s">
        <v>997</v>
      </c>
      <c r="D42" s="222" t="s">
        <v>1023</v>
      </c>
      <c r="E42" s="223" t="s">
        <v>1025</v>
      </c>
      <c r="F42" s="223" t="s">
        <v>1022</v>
      </c>
      <c r="G42" s="305" t="s">
        <v>991</v>
      </c>
    </row>
    <row r="43" spans="1:7">
      <c r="A43" s="222" t="s">
        <v>1007</v>
      </c>
      <c r="B43" s="222" t="s">
        <v>1007</v>
      </c>
      <c r="C43" s="222" t="s">
        <v>997</v>
      </c>
      <c r="D43" s="222" t="s">
        <v>1023</v>
      </c>
      <c r="E43" s="223" t="s">
        <v>1026</v>
      </c>
      <c r="F43" s="223" t="s">
        <v>1022</v>
      </c>
      <c r="G43" s="305" t="s">
        <v>991</v>
      </c>
    </row>
    <row r="44" spans="1:7" ht="25.5">
      <c r="A44" s="222" t="s">
        <v>1027</v>
      </c>
      <c r="B44" s="222" t="s">
        <v>1027</v>
      </c>
      <c r="C44" s="222" t="s">
        <v>798</v>
      </c>
      <c r="D44" s="222" t="s">
        <v>1028</v>
      </c>
      <c r="E44" s="223" t="s">
        <v>1029</v>
      </c>
      <c r="F44" s="223" t="s">
        <v>1030</v>
      </c>
      <c r="G44" s="427">
        <v>2021</v>
      </c>
    </row>
    <row r="45" spans="1:7">
      <c r="A45" s="222" t="s">
        <v>1027</v>
      </c>
      <c r="B45" s="222" t="s">
        <v>1027</v>
      </c>
      <c r="C45" s="222" t="s">
        <v>794</v>
      </c>
      <c r="D45" s="222" t="s">
        <v>1031</v>
      </c>
      <c r="E45" s="223" t="s">
        <v>1032</v>
      </c>
      <c r="F45" s="223" t="s">
        <v>1033</v>
      </c>
      <c r="G45" s="427">
        <v>2021</v>
      </c>
    </row>
    <row r="46" spans="1:7" ht="25.5">
      <c r="A46" s="222" t="s">
        <v>1027</v>
      </c>
      <c r="B46" s="222" t="s">
        <v>1027</v>
      </c>
      <c r="C46" s="222" t="s">
        <v>1034</v>
      </c>
      <c r="D46" s="222" t="s">
        <v>1035</v>
      </c>
      <c r="E46" s="223" t="s">
        <v>1036</v>
      </c>
      <c r="F46" s="223" t="s">
        <v>1037</v>
      </c>
      <c r="G46" s="427">
        <v>2021</v>
      </c>
    </row>
    <row r="47" spans="1:7">
      <c r="A47" s="222" t="s">
        <v>158</v>
      </c>
      <c r="B47" s="222" t="s">
        <v>325</v>
      </c>
      <c r="C47" s="222" t="s">
        <v>256</v>
      </c>
      <c r="D47" s="222" t="s">
        <v>165</v>
      </c>
      <c r="E47" s="223" t="s">
        <v>1038</v>
      </c>
      <c r="F47" s="223" t="s">
        <v>1039</v>
      </c>
      <c r="G47" s="427">
        <v>2021</v>
      </c>
    </row>
    <row r="48" spans="1:7">
      <c r="A48" s="222" t="s">
        <v>158</v>
      </c>
      <c r="B48" s="222" t="s">
        <v>325</v>
      </c>
      <c r="C48" s="222" t="s">
        <v>256</v>
      </c>
      <c r="D48" s="222" t="s">
        <v>165</v>
      </c>
      <c r="E48" s="223" t="s">
        <v>1040</v>
      </c>
      <c r="F48" s="223" t="s">
        <v>1039</v>
      </c>
      <c r="G48" s="427">
        <v>2021</v>
      </c>
    </row>
    <row r="49" spans="1:8">
      <c r="A49" s="222" t="s">
        <v>158</v>
      </c>
      <c r="B49" s="222" t="s">
        <v>325</v>
      </c>
      <c r="C49" s="222" t="s">
        <v>256</v>
      </c>
      <c r="D49" s="222" t="s">
        <v>165</v>
      </c>
      <c r="E49" s="223" t="s">
        <v>1041</v>
      </c>
      <c r="F49" s="223" t="s">
        <v>1039</v>
      </c>
      <c r="G49" s="427">
        <v>2021</v>
      </c>
    </row>
    <row r="50" spans="1:8">
      <c r="A50" s="222" t="s">
        <v>158</v>
      </c>
      <c r="B50" s="222" t="s">
        <v>325</v>
      </c>
      <c r="C50" s="222" t="s">
        <v>256</v>
      </c>
      <c r="D50" s="222" t="s">
        <v>165</v>
      </c>
      <c r="E50" s="223" t="s">
        <v>1042</v>
      </c>
      <c r="F50" s="223" t="s">
        <v>1039</v>
      </c>
      <c r="G50" s="427">
        <v>2021</v>
      </c>
    </row>
    <row r="51" spans="1:8" ht="25.5">
      <c r="A51" s="222" t="s">
        <v>158</v>
      </c>
      <c r="B51" s="222" t="s">
        <v>263</v>
      </c>
      <c r="C51" s="222" t="s">
        <v>256</v>
      </c>
      <c r="D51" s="222" t="s">
        <v>182</v>
      </c>
      <c r="E51" s="223" t="s">
        <v>1043</v>
      </c>
      <c r="F51" s="223" t="s">
        <v>1044</v>
      </c>
      <c r="G51" s="427">
        <v>2021</v>
      </c>
    </row>
    <row r="52" spans="1:8" ht="25.5">
      <c r="A52" s="222" t="s">
        <v>158</v>
      </c>
      <c r="B52" s="222" t="s">
        <v>263</v>
      </c>
      <c r="C52" s="222" t="s">
        <v>256</v>
      </c>
      <c r="D52" s="222" t="s">
        <v>182</v>
      </c>
      <c r="E52" s="223" t="s">
        <v>1045</v>
      </c>
      <c r="F52" s="223" t="s">
        <v>1046</v>
      </c>
      <c r="G52" s="427">
        <v>2021</v>
      </c>
    </row>
    <row r="53" spans="1:8" ht="63.75">
      <c r="A53" s="222" t="s">
        <v>1047</v>
      </c>
      <c r="B53" s="222" t="s">
        <v>263</v>
      </c>
      <c r="C53" s="222" t="s">
        <v>944</v>
      </c>
      <c r="D53" s="222" t="s">
        <v>1048</v>
      </c>
      <c r="E53" s="223" t="s">
        <v>1049</v>
      </c>
      <c r="F53" s="223" t="s">
        <v>1050</v>
      </c>
      <c r="G53" s="427">
        <v>2021</v>
      </c>
    </row>
    <row r="54" spans="1:8">
      <c r="A54" s="222" t="s">
        <v>158</v>
      </c>
      <c r="B54" s="222" t="s">
        <v>325</v>
      </c>
      <c r="C54" s="222" t="s">
        <v>256</v>
      </c>
      <c r="D54" s="222" t="s">
        <v>1051</v>
      </c>
      <c r="E54" s="223" t="s">
        <v>1052</v>
      </c>
      <c r="F54" s="223" t="s">
        <v>1053</v>
      </c>
      <c r="G54" s="305">
        <v>2020</v>
      </c>
    </row>
    <row r="55" spans="1:8" ht="51">
      <c r="A55" s="222" t="s">
        <v>1027</v>
      </c>
      <c r="B55" s="222" t="s">
        <v>1027</v>
      </c>
      <c r="C55" s="222" t="s">
        <v>256</v>
      </c>
      <c r="D55" s="222" t="s">
        <v>1054</v>
      </c>
      <c r="E55" s="222" t="s">
        <v>1055</v>
      </c>
      <c r="F55" s="222" t="s">
        <v>1056</v>
      </c>
      <c r="G55" s="305">
        <v>2020</v>
      </c>
    </row>
    <row r="56" spans="1:8" ht="25.5">
      <c r="A56" s="222" t="s">
        <v>1047</v>
      </c>
      <c r="B56" s="222" t="s">
        <v>263</v>
      </c>
      <c r="C56" s="215" t="s">
        <v>256</v>
      </c>
      <c r="D56" s="222" t="s">
        <v>1057</v>
      </c>
      <c r="E56" s="222" t="s">
        <v>1058</v>
      </c>
      <c r="F56" s="222" t="s">
        <v>1059</v>
      </c>
      <c r="G56" s="200">
        <v>2020</v>
      </c>
      <c r="H56" s="292"/>
    </row>
    <row r="57" spans="1:8" ht="25.5">
      <c r="A57" s="222" t="s">
        <v>1047</v>
      </c>
      <c r="B57" s="222" t="s">
        <v>263</v>
      </c>
      <c r="C57" s="215" t="s">
        <v>256</v>
      </c>
      <c r="D57" s="222" t="s">
        <v>1057</v>
      </c>
      <c r="E57" s="222" t="s">
        <v>1058</v>
      </c>
      <c r="F57" s="222" t="s">
        <v>1060</v>
      </c>
      <c r="G57" s="200">
        <v>2020</v>
      </c>
      <c r="H57" s="209"/>
    </row>
    <row r="58" spans="1:8" ht="25.5">
      <c r="A58" s="223" t="s">
        <v>1047</v>
      </c>
      <c r="B58" s="223" t="s">
        <v>263</v>
      </c>
      <c r="C58" s="223" t="s">
        <v>271</v>
      </c>
      <c r="D58" s="223" t="s">
        <v>1061</v>
      </c>
      <c r="E58" s="223" t="s">
        <v>1062</v>
      </c>
      <c r="F58" s="223" t="s">
        <v>1063</v>
      </c>
      <c r="G58" s="427">
        <v>2020</v>
      </c>
    </row>
    <row r="59" spans="1:8" ht="38.25">
      <c r="A59" s="223" t="s">
        <v>1047</v>
      </c>
      <c r="B59" s="223" t="s">
        <v>263</v>
      </c>
      <c r="C59" s="223" t="s">
        <v>271</v>
      </c>
      <c r="D59" s="223" t="s">
        <v>1064</v>
      </c>
      <c r="E59" s="223" t="s">
        <v>1065</v>
      </c>
      <c r="F59" s="223" t="s">
        <v>1063</v>
      </c>
      <c r="G59" s="427">
        <v>2020</v>
      </c>
    </row>
    <row r="60" spans="1:8" ht="51">
      <c r="A60" s="223" t="s">
        <v>1047</v>
      </c>
      <c r="B60" s="223" t="s">
        <v>263</v>
      </c>
      <c r="C60" s="223" t="s">
        <v>271</v>
      </c>
      <c r="D60" s="223" t="s">
        <v>1048</v>
      </c>
      <c r="E60" s="223" t="s">
        <v>1066</v>
      </c>
      <c r="F60" s="223" t="s">
        <v>1063</v>
      </c>
      <c r="G60" s="427">
        <v>2020</v>
      </c>
    </row>
    <row r="61" spans="1:8" ht="25.5">
      <c r="A61" s="223" t="s">
        <v>1047</v>
      </c>
      <c r="B61" s="223" t="s">
        <v>263</v>
      </c>
      <c r="C61" s="223" t="s">
        <v>271</v>
      </c>
      <c r="D61" s="223" t="s">
        <v>555</v>
      </c>
      <c r="E61" s="223" t="s">
        <v>1067</v>
      </c>
      <c r="F61" s="223" t="s">
        <v>1063</v>
      </c>
      <c r="G61" s="427">
        <v>2020</v>
      </c>
    </row>
    <row r="62" spans="1:8" ht="25.5">
      <c r="A62" s="223" t="s">
        <v>1027</v>
      </c>
      <c r="B62" s="223" t="s">
        <v>1027</v>
      </c>
      <c r="C62" s="223" t="s">
        <v>798</v>
      </c>
      <c r="D62" s="223" t="s">
        <v>1068</v>
      </c>
      <c r="E62" s="223" t="s">
        <v>1069</v>
      </c>
      <c r="F62" s="223" t="s">
        <v>1030</v>
      </c>
      <c r="G62" s="427">
        <v>2020</v>
      </c>
    </row>
    <row r="63" spans="1:8" ht="38.25">
      <c r="A63" s="223" t="s">
        <v>1027</v>
      </c>
      <c r="B63" s="223" t="s">
        <v>1027</v>
      </c>
      <c r="C63" s="223" t="s">
        <v>798</v>
      </c>
      <c r="D63" s="223" t="s">
        <v>1068</v>
      </c>
      <c r="E63" s="223" t="s">
        <v>1070</v>
      </c>
      <c r="F63" s="223" t="s">
        <v>1030</v>
      </c>
      <c r="G63" s="427">
        <v>2020</v>
      </c>
    </row>
    <row r="64" spans="1:8" ht="25.5">
      <c r="A64" s="223" t="s">
        <v>1027</v>
      </c>
      <c r="B64" s="223" t="s">
        <v>1027</v>
      </c>
      <c r="C64" s="223" t="s">
        <v>794</v>
      </c>
      <c r="D64" s="223" t="s">
        <v>1071</v>
      </c>
      <c r="E64" s="222" t="s">
        <v>1072</v>
      </c>
      <c r="F64" s="223" t="s">
        <v>1073</v>
      </c>
      <c r="G64" s="305">
        <v>2019</v>
      </c>
    </row>
    <row r="65" spans="1:7" ht="25.5">
      <c r="A65" s="223" t="s">
        <v>1027</v>
      </c>
      <c r="B65" s="223" t="s">
        <v>1027</v>
      </c>
      <c r="C65" s="223" t="s">
        <v>794</v>
      </c>
      <c r="D65" s="223" t="s">
        <v>1074</v>
      </c>
      <c r="E65" s="223" t="s">
        <v>1075</v>
      </c>
      <c r="F65" s="223" t="s">
        <v>1076</v>
      </c>
      <c r="G65" s="305">
        <v>2019</v>
      </c>
    </row>
    <row r="66" spans="1:7" ht="38.25">
      <c r="A66" s="222" t="s">
        <v>1027</v>
      </c>
      <c r="B66" s="222" t="s">
        <v>1027</v>
      </c>
      <c r="C66" s="222" t="s">
        <v>271</v>
      </c>
      <c r="D66" s="222" t="s">
        <v>1077</v>
      </c>
      <c r="E66" s="222" t="s">
        <v>1078</v>
      </c>
      <c r="F66" s="222" t="s">
        <v>1030</v>
      </c>
      <c r="G66" s="305">
        <v>2019</v>
      </c>
    </row>
    <row r="67" spans="1:7" ht="38.25">
      <c r="A67" s="222" t="s">
        <v>1027</v>
      </c>
      <c r="B67" s="222" t="s">
        <v>1027</v>
      </c>
      <c r="C67" s="222" t="s">
        <v>271</v>
      </c>
      <c r="D67" s="222" t="s">
        <v>1077</v>
      </c>
      <c r="E67" s="222" t="s">
        <v>1079</v>
      </c>
      <c r="F67" s="222" t="s">
        <v>1030</v>
      </c>
      <c r="G67" s="305">
        <v>2019</v>
      </c>
    </row>
    <row r="68" spans="1:7" ht="38.25">
      <c r="A68" s="222" t="s">
        <v>1027</v>
      </c>
      <c r="B68" s="222" t="s">
        <v>1027</v>
      </c>
      <c r="C68" s="222" t="s">
        <v>271</v>
      </c>
      <c r="D68" s="222" t="s">
        <v>1077</v>
      </c>
      <c r="E68" s="222" t="s">
        <v>1080</v>
      </c>
      <c r="F68" s="222" t="s">
        <v>1030</v>
      </c>
      <c r="G68" s="305">
        <v>2019</v>
      </c>
    </row>
    <row r="69" spans="1:7" ht="38.25">
      <c r="A69" s="222" t="s">
        <v>1027</v>
      </c>
      <c r="B69" s="222" t="s">
        <v>1027</v>
      </c>
      <c r="C69" s="222" t="s">
        <v>271</v>
      </c>
      <c r="D69" s="222" t="s">
        <v>1077</v>
      </c>
      <c r="E69" s="222" t="s">
        <v>1081</v>
      </c>
      <c r="F69" s="222" t="s">
        <v>1030</v>
      </c>
      <c r="G69" s="305">
        <v>2019</v>
      </c>
    </row>
    <row r="70" spans="1:7" ht="38.25">
      <c r="A70" s="222" t="s">
        <v>1027</v>
      </c>
      <c r="B70" s="222" t="s">
        <v>1027</v>
      </c>
      <c r="C70" s="222" t="s">
        <v>271</v>
      </c>
      <c r="D70" s="222" t="s">
        <v>1077</v>
      </c>
      <c r="E70" s="222" t="s">
        <v>1082</v>
      </c>
      <c r="F70" s="222" t="s">
        <v>1030</v>
      </c>
      <c r="G70" s="305">
        <v>2019</v>
      </c>
    </row>
    <row r="71" spans="1:7" ht="38.25">
      <c r="A71" s="222" t="s">
        <v>1027</v>
      </c>
      <c r="B71" s="222" t="s">
        <v>1027</v>
      </c>
      <c r="C71" s="222" t="s">
        <v>271</v>
      </c>
      <c r="D71" s="222" t="s">
        <v>1077</v>
      </c>
      <c r="E71" s="222" t="s">
        <v>1083</v>
      </c>
      <c r="F71" s="222" t="s">
        <v>1030</v>
      </c>
      <c r="G71" s="305">
        <v>2019</v>
      </c>
    </row>
    <row r="72" spans="1:7" ht="38.25">
      <c r="A72" s="222" t="s">
        <v>1027</v>
      </c>
      <c r="B72" s="222" t="s">
        <v>1027</v>
      </c>
      <c r="C72" s="222" t="s">
        <v>271</v>
      </c>
      <c r="D72" s="222" t="s">
        <v>1077</v>
      </c>
      <c r="E72" s="222" t="s">
        <v>1084</v>
      </c>
      <c r="F72" s="222" t="s">
        <v>1030</v>
      </c>
      <c r="G72" s="305">
        <v>2019</v>
      </c>
    </row>
    <row r="73" spans="1:7" ht="38.25">
      <c r="A73" s="222" t="s">
        <v>1027</v>
      </c>
      <c r="B73" s="222" t="s">
        <v>1027</v>
      </c>
      <c r="C73" s="222" t="s">
        <v>271</v>
      </c>
      <c r="D73" s="222" t="s">
        <v>1077</v>
      </c>
      <c r="E73" s="222" t="s">
        <v>1085</v>
      </c>
      <c r="F73" s="222" t="s">
        <v>1030</v>
      </c>
      <c r="G73" s="305">
        <v>2019</v>
      </c>
    </row>
    <row r="74" spans="1:7" ht="25.5">
      <c r="A74" s="239" t="s">
        <v>158</v>
      </c>
      <c r="B74" s="239" t="s">
        <v>263</v>
      </c>
      <c r="C74" s="239" t="s">
        <v>256</v>
      </c>
      <c r="D74" s="186" t="s">
        <v>182</v>
      </c>
      <c r="E74" s="186" t="s">
        <v>1086</v>
      </c>
      <c r="F74" s="186" t="s">
        <v>1087</v>
      </c>
      <c r="G74" s="260">
        <v>2019</v>
      </c>
    </row>
    <row r="75" spans="1:7" ht="25.5">
      <c r="A75" s="222" t="s">
        <v>1027</v>
      </c>
      <c r="B75" s="222" t="s">
        <v>1027</v>
      </c>
      <c r="C75" s="222" t="s">
        <v>271</v>
      </c>
      <c r="D75" s="222" t="s">
        <v>1088</v>
      </c>
      <c r="E75" s="222" t="s">
        <v>1089</v>
      </c>
      <c r="F75" s="222" t="s">
        <v>1090</v>
      </c>
      <c r="G75" s="305">
        <v>2019</v>
      </c>
    </row>
    <row r="76" spans="1:7" ht="25.5">
      <c r="A76" s="222" t="s">
        <v>1027</v>
      </c>
      <c r="B76" s="222" t="s">
        <v>1027</v>
      </c>
      <c r="C76" s="222" t="s">
        <v>271</v>
      </c>
      <c r="D76" s="222" t="s">
        <v>1088</v>
      </c>
      <c r="E76" s="222" t="s">
        <v>1091</v>
      </c>
      <c r="F76" s="222" t="s">
        <v>1092</v>
      </c>
      <c r="G76" s="305">
        <v>2019</v>
      </c>
    </row>
    <row r="77" spans="1:7" ht="25.5">
      <c r="A77" s="222" t="s">
        <v>158</v>
      </c>
      <c r="B77" s="222" t="s">
        <v>263</v>
      </c>
      <c r="C77" s="215" t="s">
        <v>256</v>
      </c>
      <c r="D77" s="222" t="s">
        <v>182</v>
      </c>
      <c r="E77" s="222" t="s">
        <v>1045</v>
      </c>
      <c r="F77" s="222" t="s">
        <v>1093</v>
      </c>
      <c r="G77" s="305">
        <v>2018</v>
      </c>
    </row>
    <row r="78" spans="1:7" ht="38.25">
      <c r="A78" s="199" t="s">
        <v>1047</v>
      </c>
      <c r="B78" s="222" t="s">
        <v>263</v>
      </c>
      <c r="C78" s="215" t="s">
        <v>271</v>
      </c>
      <c r="D78" s="222" t="s">
        <v>1094</v>
      </c>
      <c r="E78" s="222" t="s">
        <v>1095</v>
      </c>
      <c r="F78" s="223" t="s">
        <v>1096</v>
      </c>
      <c r="G78" s="260">
        <v>2018</v>
      </c>
    </row>
    <row r="79" spans="1:7" ht="25.5">
      <c r="A79" s="199" t="s">
        <v>1047</v>
      </c>
      <c r="B79" s="222" t="s">
        <v>263</v>
      </c>
      <c r="C79" s="215" t="s">
        <v>271</v>
      </c>
      <c r="D79" s="222" t="s">
        <v>1048</v>
      </c>
      <c r="E79" s="222" t="s">
        <v>1097</v>
      </c>
      <c r="F79" s="223" t="s">
        <v>1096</v>
      </c>
      <c r="G79" s="260">
        <v>2018</v>
      </c>
    </row>
    <row r="80" spans="1:7" ht="38.25">
      <c r="A80" s="199" t="s">
        <v>1047</v>
      </c>
      <c r="B80" s="222" t="s">
        <v>263</v>
      </c>
      <c r="C80" s="215" t="s">
        <v>271</v>
      </c>
      <c r="D80" s="222" t="s">
        <v>1048</v>
      </c>
      <c r="E80" s="222" t="s">
        <v>1098</v>
      </c>
      <c r="F80" s="223" t="s">
        <v>1096</v>
      </c>
      <c r="G80" s="260">
        <v>2018</v>
      </c>
    </row>
    <row r="81" spans="1:7" ht="25.5">
      <c r="A81" s="199" t="s">
        <v>1047</v>
      </c>
      <c r="B81" s="222" t="s">
        <v>263</v>
      </c>
      <c r="C81" s="215" t="s">
        <v>271</v>
      </c>
      <c r="D81" s="222" t="s">
        <v>1048</v>
      </c>
      <c r="E81" s="222" t="s">
        <v>1099</v>
      </c>
      <c r="F81" s="223" t="s">
        <v>1096</v>
      </c>
      <c r="G81" s="260">
        <v>2018</v>
      </c>
    </row>
    <row r="82" spans="1:7" ht="76.5">
      <c r="A82" s="199" t="s">
        <v>1047</v>
      </c>
      <c r="B82" s="222" t="s">
        <v>263</v>
      </c>
      <c r="C82" s="215" t="s">
        <v>271</v>
      </c>
      <c r="D82" s="222" t="s">
        <v>1048</v>
      </c>
      <c r="E82" s="222" t="s">
        <v>1100</v>
      </c>
      <c r="F82" s="223" t="s">
        <v>1101</v>
      </c>
      <c r="G82" s="260">
        <v>2018</v>
      </c>
    </row>
    <row r="83" spans="1:7" ht="76.5">
      <c r="A83" s="199" t="s">
        <v>1047</v>
      </c>
      <c r="B83" s="222" t="s">
        <v>263</v>
      </c>
      <c r="C83" s="215" t="s">
        <v>271</v>
      </c>
      <c r="D83" s="222" t="s">
        <v>1048</v>
      </c>
      <c r="E83" s="222" t="s">
        <v>1102</v>
      </c>
      <c r="F83" s="223" t="s">
        <v>1101</v>
      </c>
      <c r="G83" s="260">
        <v>2018</v>
      </c>
    </row>
    <row r="84" spans="1:7" ht="89.25">
      <c r="A84" s="199" t="s">
        <v>1047</v>
      </c>
      <c r="B84" s="222" t="s">
        <v>263</v>
      </c>
      <c r="C84" s="215" t="s">
        <v>271</v>
      </c>
      <c r="D84" s="222" t="s">
        <v>1048</v>
      </c>
      <c r="E84" s="222" t="s">
        <v>1103</v>
      </c>
      <c r="F84" s="223" t="s">
        <v>1101</v>
      </c>
      <c r="G84" s="260">
        <v>2018</v>
      </c>
    </row>
    <row r="85" spans="1:7" ht="25.5">
      <c r="A85" s="199" t="s">
        <v>1047</v>
      </c>
      <c r="B85" s="222" t="s">
        <v>1104</v>
      </c>
      <c r="C85" s="215" t="s">
        <v>256</v>
      </c>
      <c r="D85" s="222" t="s">
        <v>1105</v>
      </c>
      <c r="E85" s="222" t="s">
        <v>1106</v>
      </c>
      <c r="F85" s="222" t="s">
        <v>1107</v>
      </c>
      <c r="G85" s="200">
        <v>2018</v>
      </c>
    </row>
    <row r="86" spans="1:7" ht="25.5">
      <c r="A86" s="199" t="s">
        <v>1047</v>
      </c>
      <c r="B86" s="222" t="s">
        <v>1104</v>
      </c>
      <c r="C86" s="215" t="s">
        <v>256</v>
      </c>
      <c r="D86" s="222" t="s">
        <v>1105</v>
      </c>
      <c r="E86" s="222" t="s">
        <v>1108</v>
      </c>
      <c r="F86" s="222" t="s">
        <v>1107</v>
      </c>
      <c r="G86" s="200">
        <v>2018</v>
      </c>
    </row>
    <row r="87" spans="1:7" ht="25.5">
      <c r="A87" s="199" t="s">
        <v>1047</v>
      </c>
      <c r="B87" s="222" t="s">
        <v>1104</v>
      </c>
      <c r="C87" s="215" t="s">
        <v>256</v>
      </c>
      <c r="D87" s="222" t="s">
        <v>1105</v>
      </c>
      <c r="E87" s="222" t="s">
        <v>1109</v>
      </c>
      <c r="F87" s="222" t="s">
        <v>1107</v>
      </c>
      <c r="G87" s="200">
        <v>2018</v>
      </c>
    </row>
    <row r="88" spans="1:7" ht="25.5">
      <c r="A88" s="199" t="s">
        <v>1047</v>
      </c>
      <c r="B88" s="222" t="s">
        <v>1104</v>
      </c>
      <c r="C88" s="215" t="s">
        <v>256</v>
      </c>
      <c r="D88" s="222" t="s">
        <v>1105</v>
      </c>
      <c r="E88" s="222" t="s">
        <v>1110</v>
      </c>
      <c r="F88" s="222" t="s">
        <v>1107</v>
      </c>
      <c r="G88" s="200">
        <v>2018</v>
      </c>
    </row>
    <row r="89" spans="1:7" ht="25.5">
      <c r="A89" s="199" t="s">
        <v>1047</v>
      </c>
      <c r="B89" s="222" t="s">
        <v>1104</v>
      </c>
      <c r="C89" s="215" t="s">
        <v>256</v>
      </c>
      <c r="D89" s="222" t="s">
        <v>1105</v>
      </c>
      <c r="E89" s="222" t="s">
        <v>1111</v>
      </c>
      <c r="F89" s="222" t="s">
        <v>1107</v>
      </c>
      <c r="G89" s="200">
        <v>2018</v>
      </c>
    </row>
    <row r="90" spans="1:7" ht="25.5">
      <c r="A90" s="199" t="s">
        <v>1047</v>
      </c>
      <c r="B90" s="222" t="s">
        <v>1104</v>
      </c>
      <c r="C90" s="215" t="s">
        <v>256</v>
      </c>
      <c r="D90" s="222" t="s">
        <v>1105</v>
      </c>
      <c r="E90" s="222" t="s">
        <v>1112</v>
      </c>
      <c r="F90" s="222" t="s">
        <v>1107</v>
      </c>
      <c r="G90" s="200">
        <v>2018</v>
      </c>
    </row>
    <row r="91" spans="1:7" ht="25.5">
      <c r="A91" s="199" t="s">
        <v>1047</v>
      </c>
      <c r="B91" s="222" t="s">
        <v>1104</v>
      </c>
      <c r="C91" s="215" t="s">
        <v>256</v>
      </c>
      <c r="D91" s="222" t="s">
        <v>1105</v>
      </c>
      <c r="E91" s="222" t="s">
        <v>1113</v>
      </c>
      <c r="F91" s="222" t="s">
        <v>1087</v>
      </c>
      <c r="G91" s="200">
        <v>2018</v>
      </c>
    </row>
    <row r="92" spans="1:7">
      <c r="A92" s="199" t="s">
        <v>1047</v>
      </c>
      <c r="B92" s="222" t="s">
        <v>1104</v>
      </c>
      <c r="C92" s="215" t="s">
        <v>256</v>
      </c>
      <c r="D92" s="222" t="s">
        <v>1105</v>
      </c>
      <c r="E92" s="222" t="s">
        <v>1114</v>
      </c>
      <c r="F92" s="222" t="s">
        <v>1087</v>
      </c>
      <c r="G92" s="200">
        <v>2018</v>
      </c>
    </row>
    <row r="93" spans="1:7" ht="25.5">
      <c r="A93" s="199" t="s">
        <v>1027</v>
      </c>
      <c r="B93" s="222" t="s">
        <v>1027</v>
      </c>
      <c r="C93" s="215" t="s">
        <v>271</v>
      </c>
      <c r="D93" s="222" t="s">
        <v>1115</v>
      </c>
      <c r="E93" s="222" t="s">
        <v>1116</v>
      </c>
      <c r="F93" s="222" t="s">
        <v>1090</v>
      </c>
      <c r="G93" s="200">
        <v>2018</v>
      </c>
    </row>
    <row r="94" spans="1:7" ht="25.5">
      <c r="A94" s="199" t="s">
        <v>1027</v>
      </c>
      <c r="B94" s="222" t="s">
        <v>1027</v>
      </c>
      <c r="C94" s="215" t="s">
        <v>271</v>
      </c>
      <c r="D94" s="222" t="s">
        <v>1115</v>
      </c>
      <c r="E94" s="222" t="s">
        <v>1117</v>
      </c>
      <c r="F94" s="222" t="s">
        <v>1090</v>
      </c>
      <c r="G94" s="200">
        <v>2018</v>
      </c>
    </row>
    <row r="95" spans="1:7" ht="25.5">
      <c r="A95" s="222" t="s">
        <v>1027</v>
      </c>
      <c r="B95" s="222" t="s">
        <v>1027</v>
      </c>
      <c r="C95" s="215" t="s">
        <v>794</v>
      </c>
      <c r="D95" s="222" t="s">
        <v>1071</v>
      </c>
      <c r="E95" s="222" t="s">
        <v>1072</v>
      </c>
      <c r="F95" s="222" t="s">
        <v>1118</v>
      </c>
      <c r="G95" s="200">
        <v>2017</v>
      </c>
    </row>
    <row r="96" spans="1:7" ht="25.5">
      <c r="A96" s="222" t="s">
        <v>158</v>
      </c>
      <c r="B96" s="222" t="s">
        <v>325</v>
      </c>
      <c r="C96" s="215" t="s">
        <v>256</v>
      </c>
      <c r="D96" s="222" t="s">
        <v>159</v>
      </c>
      <c r="E96" s="222" t="s">
        <v>1119</v>
      </c>
      <c r="F96" s="222" t="s">
        <v>1039</v>
      </c>
      <c r="G96" s="200">
        <v>2017</v>
      </c>
    </row>
    <row r="97" spans="1:8">
      <c r="A97" s="222" t="s">
        <v>158</v>
      </c>
      <c r="B97" s="222" t="s">
        <v>325</v>
      </c>
      <c r="C97" s="215" t="s">
        <v>256</v>
      </c>
      <c r="D97" s="222" t="s">
        <v>159</v>
      </c>
      <c r="E97" s="222" t="s">
        <v>1120</v>
      </c>
      <c r="F97" s="222" t="s">
        <v>1039</v>
      </c>
      <c r="G97" s="200">
        <v>2017</v>
      </c>
    </row>
    <row r="98" spans="1:8" ht="25.5">
      <c r="A98" s="222" t="s">
        <v>1047</v>
      </c>
      <c r="B98" s="222" t="s">
        <v>263</v>
      </c>
      <c r="C98" s="215" t="s">
        <v>256</v>
      </c>
      <c r="D98" s="222" t="s">
        <v>1057</v>
      </c>
      <c r="E98" s="222" t="s">
        <v>1058</v>
      </c>
      <c r="F98" s="222" t="s">
        <v>1121</v>
      </c>
      <c r="G98" s="200">
        <v>2017</v>
      </c>
      <c r="H98" s="292"/>
    </row>
    <row r="99" spans="1:8" ht="38.25">
      <c r="A99" s="222" t="s">
        <v>158</v>
      </c>
      <c r="B99" s="222" t="s">
        <v>263</v>
      </c>
      <c r="C99" s="215" t="s">
        <v>271</v>
      </c>
      <c r="D99" s="222" t="s">
        <v>555</v>
      </c>
      <c r="E99" s="222" t="s">
        <v>1122</v>
      </c>
      <c r="F99" s="222" t="s">
        <v>1123</v>
      </c>
      <c r="G99" s="200">
        <v>2017</v>
      </c>
    </row>
    <row r="100" spans="1:8" ht="38.25">
      <c r="A100" s="222" t="s">
        <v>158</v>
      </c>
      <c r="B100" s="222" t="s">
        <v>263</v>
      </c>
      <c r="C100" s="215" t="s">
        <v>271</v>
      </c>
      <c r="D100" s="222" t="s">
        <v>555</v>
      </c>
      <c r="E100" s="222" t="s">
        <v>1124</v>
      </c>
      <c r="F100" s="222" t="s">
        <v>1125</v>
      </c>
      <c r="G100" s="200">
        <v>2017</v>
      </c>
    </row>
    <row r="101" spans="1:8">
      <c r="A101" s="222" t="s">
        <v>158</v>
      </c>
      <c r="B101" s="222" t="s">
        <v>270</v>
      </c>
      <c r="C101" s="215" t="s">
        <v>737</v>
      </c>
      <c r="D101" s="222" t="s">
        <v>183</v>
      </c>
      <c r="E101" s="222" t="s">
        <v>1126</v>
      </c>
      <c r="F101" s="222" t="s">
        <v>1127</v>
      </c>
      <c r="G101" s="200">
        <v>2017</v>
      </c>
    </row>
    <row r="102" spans="1:8" ht="25.5">
      <c r="A102" s="199" t="s">
        <v>1047</v>
      </c>
      <c r="B102" s="222" t="s">
        <v>263</v>
      </c>
      <c r="C102" s="215" t="s">
        <v>271</v>
      </c>
      <c r="D102" s="222" t="s">
        <v>1048</v>
      </c>
      <c r="E102" s="222" t="s">
        <v>1124</v>
      </c>
      <c r="F102" s="222" t="s">
        <v>1096</v>
      </c>
      <c r="G102" s="200">
        <v>2017</v>
      </c>
    </row>
    <row r="103" spans="1:8" ht="293.25">
      <c r="A103" s="199" t="s">
        <v>1047</v>
      </c>
      <c r="B103" s="222" t="s">
        <v>263</v>
      </c>
      <c r="C103" s="215" t="s">
        <v>271</v>
      </c>
      <c r="D103" s="222" t="s">
        <v>1048</v>
      </c>
      <c r="E103" s="222" t="s">
        <v>1128</v>
      </c>
      <c r="F103" s="222" t="s">
        <v>1129</v>
      </c>
      <c r="G103" s="200">
        <v>2017</v>
      </c>
    </row>
    <row r="104" spans="1:8" ht="51">
      <c r="A104" s="199" t="s">
        <v>1047</v>
      </c>
      <c r="B104" s="222" t="s">
        <v>263</v>
      </c>
      <c r="C104" s="215" t="s">
        <v>271</v>
      </c>
      <c r="D104" s="222" t="s">
        <v>1048</v>
      </c>
      <c r="E104" s="222" t="s">
        <v>1130</v>
      </c>
      <c r="F104" s="222" t="s">
        <v>1096</v>
      </c>
      <c r="G104" s="200">
        <v>2017</v>
      </c>
    </row>
    <row r="105" spans="1:8" ht="38.25">
      <c r="A105" s="199" t="s">
        <v>1047</v>
      </c>
      <c r="B105" s="222" t="s">
        <v>263</v>
      </c>
      <c r="C105" s="215" t="s">
        <v>271</v>
      </c>
      <c r="D105" s="222" t="s">
        <v>1048</v>
      </c>
      <c r="E105" s="222" t="s">
        <v>1122</v>
      </c>
      <c r="F105" s="222" t="s">
        <v>1096</v>
      </c>
      <c r="G105" s="200">
        <v>2017</v>
      </c>
    </row>
    <row r="106" spans="1:8" ht="25.5">
      <c r="A106" s="199" t="s">
        <v>1047</v>
      </c>
      <c r="B106" s="222" t="s">
        <v>1104</v>
      </c>
      <c r="C106" s="215" t="s">
        <v>256</v>
      </c>
      <c r="D106" s="222" t="s">
        <v>1105</v>
      </c>
      <c r="E106" s="222" t="s">
        <v>1131</v>
      </c>
      <c r="F106" s="222" t="s">
        <v>1132</v>
      </c>
      <c r="G106" s="200">
        <v>2017</v>
      </c>
    </row>
    <row r="107" spans="1:8" ht="51">
      <c r="A107" s="199" t="s">
        <v>1047</v>
      </c>
      <c r="B107" s="222" t="s">
        <v>1104</v>
      </c>
      <c r="C107" s="215" t="s">
        <v>256</v>
      </c>
      <c r="D107" s="222" t="s">
        <v>1105</v>
      </c>
      <c r="E107" s="222" t="s">
        <v>1133</v>
      </c>
      <c r="F107" s="222" t="s">
        <v>1039</v>
      </c>
      <c r="G107" s="200">
        <v>2017</v>
      </c>
    </row>
    <row r="108" spans="1:8" ht="38.25">
      <c r="A108" s="199" t="s">
        <v>1047</v>
      </c>
      <c r="B108" s="222" t="s">
        <v>1104</v>
      </c>
      <c r="C108" s="215" t="s">
        <v>256</v>
      </c>
      <c r="D108" s="222" t="s">
        <v>1105</v>
      </c>
      <c r="E108" s="222" t="s">
        <v>1134</v>
      </c>
      <c r="F108" s="222" t="s">
        <v>1039</v>
      </c>
      <c r="G108" s="200">
        <v>2017</v>
      </c>
    </row>
    <row r="109" spans="1:8">
      <c r="A109" s="222" t="s">
        <v>1027</v>
      </c>
      <c r="B109" s="222" t="s">
        <v>1027</v>
      </c>
      <c r="C109" s="215" t="s">
        <v>794</v>
      </c>
      <c r="D109" s="222" t="s">
        <v>1135</v>
      </c>
      <c r="E109" s="222" t="s">
        <v>1136</v>
      </c>
      <c r="F109" s="222" t="s">
        <v>1033</v>
      </c>
      <c r="G109" s="305">
        <v>2016</v>
      </c>
    </row>
    <row r="110" spans="1:8">
      <c r="A110" s="222" t="s">
        <v>158</v>
      </c>
      <c r="B110" s="222" t="s">
        <v>325</v>
      </c>
      <c r="C110" s="215" t="s">
        <v>256</v>
      </c>
      <c r="D110" s="222" t="s">
        <v>159</v>
      </c>
      <c r="E110" s="222" t="s">
        <v>1137</v>
      </c>
      <c r="F110" s="222" t="s">
        <v>1056</v>
      </c>
      <c r="G110" s="305">
        <v>2016</v>
      </c>
    </row>
    <row r="111" spans="1:8" ht="25.5">
      <c r="A111" s="222" t="s">
        <v>158</v>
      </c>
      <c r="B111" s="222" t="s">
        <v>325</v>
      </c>
      <c r="C111" s="215" t="s">
        <v>256</v>
      </c>
      <c r="D111" s="222" t="s">
        <v>1051</v>
      </c>
      <c r="E111" s="222" t="s">
        <v>1138</v>
      </c>
      <c r="F111" s="222" t="s">
        <v>1139</v>
      </c>
      <c r="G111" s="305">
        <v>2016</v>
      </c>
    </row>
    <row r="112" spans="1:8" ht="25.5">
      <c r="A112" s="222" t="s">
        <v>158</v>
      </c>
      <c r="B112" s="222" t="s">
        <v>263</v>
      </c>
      <c r="C112" s="215" t="s">
        <v>256</v>
      </c>
      <c r="D112" s="222" t="s">
        <v>182</v>
      </c>
      <c r="E112" s="222" t="s">
        <v>1140</v>
      </c>
      <c r="F112" s="222" t="s">
        <v>1141</v>
      </c>
      <c r="G112" s="305">
        <v>2016</v>
      </c>
    </row>
    <row r="113" spans="1:7" ht="25.5">
      <c r="A113" s="199" t="s">
        <v>1047</v>
      </c>
      <c r="B113" s="222" t="s">
        <v>1104</v>
      </c>
      <c r="C113" s="215" t="s">
        <v>256</v>
      </c>
      <c r="D113" s="222" t="s">
        <v>1105</v>
      </c>
      <c r="E113" s="222" t="s">
        <v>1142</v>
      </c>
      <c r="F113" s="222" t="s">
        <v>1143</v>
      </c>
      <c r="G113" s="305">
        <v>2016</v>
      </c>
    </row>
    <row r="114" spans="1:7" ht="38.25">
      <c r="A114" s="199" t="s">
        <v>1047</v>
      </c>
      <c r="B114" s="222" t="s">
        <v>1104</v>
      </c>
      <c r="C114" s="215" t="s">
        <v>256</v>
      </c>
      <c r="D114" s="222" t="s">
        <v>1105</v>
      </c>
      <c r="E114" s="222" t="s">
        <v>1144</v>
      </c>
      <c r="F114" s="222" t="s">
        <v>1143</v>
      </c>
      <c r="G114" s="305">
        <v>2016</v>
      </c>
    </row>
    <row r="115" spans="1:7" ht="25.5">
      <c r="A115" s="199" t="s">
        <v>1047</v>
      </c>
      <c r="B115" s="222" t="s">
        <v>1104</v>
      </c>
      <c r="C115" s="215" t="s">
        <v>256</v>
      </c>
      <c r="D115" s="222" t="s">
        <v>1105</v>
      </c>
      <c r="E115" s="222" t="s">
        <v>1145</v>
      </c>
      <c r="F115" s="222" t="s">
        <v>1146</v>
      </c>
      <c r="G115" s="200">
        <v>2016</v>
      </c>
    </row>
    <row r="116" spans="1:7">
      <c r="A116" s="222" t="s">
        <v>1047</v>
      </c>
      <c r="B116" s="222" t="s">
        <v>325</v>
      </c>
      <c r="C116" s="215" t="s">
        <v>256</v>
      </c>
      <c r="D116" s="222" t="s">
        <v>264</v>
      </c>
      <c r="E116" s="222" t="s">
        <v>1147</v>
      </c>
      <c r="F116" s="222" t="s">
        <v>1056</v>
      </c>
      <c r="G116" s="305">
        <v>2015</v>
      </c>
    </row>
    <row r="117" spans="1:7" s="11" customFormat="1">
      <c r="A117" s="222" t="s">
        <v>1027</v>
      </c>
      <c r="B117" s="222" t="s">
        <v>1027</v>
      </c>
      <c r="C117" s="215" t="s">
        <v>256</v>
      </c>
      <c r="D117" s="222" t="s">
        <v>1148</v>
      </c>
      <c r="E117" s="222" t="s">
        <v>1149</v>
      </c>
      <c r="F117" s="222" t="s">
        <v>1150</v>
      </c>
      <c r="G117" s="305">
        <v>2014</v>
      </c>
    </row>
    <row r="118" spans="1:7">
      <c r="A118" s="222" t="s">
        <v>1027</v>
      </c>
      <c r="B118" s="222" t="s">
        <v>1027</v>
      </c>
      <c r="C118" s="215" t="s">
        <v>256</v>
      </c>
      <c r="D118" s="222" t="s">
        <v>1148</v>
      </c>
      <c r="E118" s="222" t="s">
        <v>1151</v>
      </c>
      <c r="F118" s="222" t="s">
        <v>1150</v>
      </c>
      <c r="G118" s="305">
        <v>2014</v>
      </c>
    </row>
    <row r="119" spans="1:7">
      <c r="A119" s="222" t="s">
        <v>1027</v>
      </c>
      <c r="B119" s="222" t="s">
        <v>1027</v>
      </c>
      <c r="C119" s="215" t="s">
        <v>256</v>
      </c>
      <c r="D119" s="222" t="s">
        <v>1148</v>
      </c>
      <c r="E119" s="222" t="s">
        <v>1152</v>
      </c>
      <c r="F119" s="222" t="s">
        <v>1150</v>
      </c>
      <c r="G119" s="305">
        <v>2014</v>
      </c>
    </row>
    <row r="120" spans="1:7" ht="25.5">
      <c r="A120" s="222" t="s">
        <v>158</v>
      </c>
      <c r="B120" s="222" t="s">
        <v>263</v>
      </c>
      <c r="C120" s="215" t="s">
        <v>256</v>
      </c>
      <c r="D120" s="222" t="s">
        <v>182</v>
      </c>
      <c r="E120" s="222" t="s">
        <v>1153</v>
      </c>
      <c r="F120" s="222" t="s">
        <v>1154</v>
      </c>
      <c r="G120" s="305">
        <v>2014</v>
      </c>
    </row>
    <row r="121" spans="1:7" ht="25.5">
      <c r="A121" s="222" t="s">
        <v>1047</v>
      </c>
      <c r="B121" s="222" t="s">
        <v>325</v>
      </c>
      <c r="C121" s="215" t="s">
        <v>256</v>
      </c>
      <c r="D121" s="222" t="s">
        <v>264</v>
      </c>
      <c r="E121" s="222" t="s">
        <v>1155</v>
      </c>
      <c r="F121" s="222" t="s">
        <v>1039</v>
      </c>
      <c r="G121" s="305">
        <v>2014</v>
      </c>
    </row>
    <row r="122" spans="1:7">
      <c r="A122" s="222" t="s">
        <v>1047</v>
      </c>
      <c r="B122" s="222" t="s">
        <v>325</v>
      </c>
      <c r="C122" s="215" t="s">
        <v>256</v>
      </c>
      <c r="D122" s="222" t="s">
        <v>264</v>
      </c>
      <c r="E122" s="222" t="s">
        <v>1156</v>
      </c>
      <c r="F122" s="222" t="s">
        <v>1039</v>
      </c>
      <c r="G122" s="305">
        <v>2014</v>
      </c>
    </row>
    <row r="123" spans="1:7">
      <c r="A123" s="428" t="s">
        <v>1027</v>
      </c>
      <c r="B123" s="428" t="s">
        <v>1027</v>
      </c>
      <c r="C123" s="428" t="s">
        <v>256</v>
      </c>
      <c r="D123" s="428" t="s">
        <v>1157</v>
      </c>
      <c r="E123" s="428" t="s">
        <v>1158</v>
      </c>
      <c r="F123" s="428" t="s">
        <v>1033</v>
      </c>
      <c r="G123" s="429">
        <v>2013</v>
      </c>
    </row>
    <row r="124" spans="1:7">
      <c r="A124" s="222" t="s">
        <v>158</v>
      </c>
      <c r="B124" s="222" t="s">
        <v>325</v>
      </c>
      <c r="C124" s="215" t="s">
        <v>256</v>
      </c>
      <c r="D124" s="222" t="s">
        <v>1051</v>
      </c>
      <c r="E124" s="222" t="s">
        <v>1040</v>
      </c>
      <c r="F124" s="222" t="s">
        <v>1056</v>
      </c>
      <c r="G124" s="305">
        <v>2013</v>
      </c>
    </row>
    <row r="125" spans="1:7" ht="25.5">
      <c r="A125" s="222" t="s">
        <v>158</v>
      </c>
      <c r="B125" s="222" t="s">
        <v>263</v>
      </c>
      <c r="C125" s="215" t="s">
        <v>256</v>
      </c>
      <c r="D125" s="222" t="s">
        <v>182</v>
      </c>
      <c r="E125" s="222" t="s">
        <v>1159</v>
      </c>
      <c r="F125" s="222" t="s">
        <v>1039</v>
      </c>
      <c r="G125" s="305">
        <v>2013</v>
      </c>
    </row>
    <row r="126" spans="1:7">
      <c r="A126" s="222" t="s">
        <v>1047</v>
      </c>
      <c r="B126" s="222" t="s">
        <v>325</v>
      </c>
      <c r="C126" s="215" t="s">
        <v>256</v>
      </c>
      <c r="D126" s="222" t="s">
        <v>264</v>
      </c>
      <c r="E126" s="222" t="s">
        <v>1160</v>
      </c>
      <c r="F126" s="222" t="s">
        <v>1056</v>
      </c>
      <c r="G126" s="305">
        <v>2013</v>
      </c>
    </row>
    <row r="127" spans="1:7">
      <c r="A127" s="430" t="s">
        <v>158</v>
      </c>
      <c r="B127" s="430" t="s">
        <v>325</v>
      </c>
      <c r="C127" s="431" t="s">
        <v>256</v>
      </c>
      <c r="D127" s="430" t="s">
        <v>159</v>
      </c>
      <c r="E127" s="430" t="s">
        <v>1161</v>
      </c>
      <c r="F127" s="430" t="s">
        <v>1162</v>
      </c>
      <c r="G127" s="427">
        <v>2012</v>
      </c>
    </row>
    <row r="128" spans="1:7">
      <c r="A128" s="430" t="s">
        <v>158</v>
      </c>
      <c r="B128" s="430" t="s">
        <v>270</v>
      </c>
      <c r="C128" s="431" t="s">
        <v>737</v>
      </c>
      <c r="D128" s="430" t="s">
        <v>183</v>
      </c>
      <c r="E128" s="430" t="s">
        <v>1163</v>
      </c>
      <c r="F128" s="430" t="s">
        <v>1056</v>
      </c>
      <c r="G128" s="427">
        <v>2008</v>
      </c>
    </row>
    <row r="129" spans="1:7">
      <c r="A129" s="430" t="s">
        <v>158</v>
      </c>
      <c r="B129" s="430" t="s">
        <v>270</v>
      </c>
      <c r="C129" s="431" t="s">
        <v>737</v>
      </c>
      <c r="D129" s="430" t="s">
        <v>183</v>
      </c>
      <c r="E129" s="430" t="s">
        <v>1164</v>
      </c>
      <c r="F129" s="430" t="s">
        <v>1127</v>
      </c>
      <c r="G129" s="427">
        <v>2008</v>
      </c>
    </row>
    <row r="130" spans="1:7" ht="25.5">
      <c r="A130" s="430" t="s">
        <v>158</v>
      </c>
      <c r="B130" s="430" t="s">
        <v>270</v>
      </c>
      <c r="C130" s="431" t="s">
        <v>737</v>
      </c>
      <c r="D130" s="430" t="s">
        <v>183</v>
      </c>
      <c r="E130" s="430" t="s">
        <v>1165</v>
      </c>
      <c r="F130" s="430" t="s">
        <v>1166</v>
      </c>
      <c r="G130" s="427">
        <v>1996</v>
      </c>
    </row>
    <row r="131" spans="1:7" ht="25.5">
      <c r="A131" s="430" t="s">
        <v>158</v>
      </c>
      <c r="B131" s="430" t="s">
        <v>270</v>
      </c>
      <c r="C131" s="431" t="s">
        <v>737</v>
      </c>
      <c r="D131" s="430" t="s">
        <v>183</v>
      </c>
      <c r="E131" s="430" t="s">
        <v>1167</v>
      </c>
      <c r="F131" s="430" t="s">
        <v>1168</v>
      </c>
      <c r="G131" s="427">
        <v>1982</v>
      </c>
    </row>
  </sheetData>
  <sheetProtection algorithmName="SHA-512" hashValue="woHpPPMOlvO9WRcorMbZUi3V7g4C8HqdEEYXPasSOudSTX71pKYPDVk85i0JiM4ubO2ZM2OCcEMEA5GXnDKrvA==" saltValue="QU1YqF9ikxK0sLcy2dKn4g==" spinCount="100000" sheet="1" objects="1" scenarios="1"/>
  <mergeCells count="11">
    <mergeCell ref="A28:G28"/>
    <mergeCell ref="A19:H19"/>
    <mergeCell ref="A22:H22"/>
    <mergeCell ref="A23:H23"/>
    <mergeCell ref="A24:H24"/>
    <mergeCell ref="A25:H25"/>
    <mergeCell ref="A7:H7"/>
    <mergeCell ref="A9:H9"/>
    <mergeCell ref="A11:H11"/>
    <mergeCell ref="A15:H15"/>
    <mergeCell ref="A26:H2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1CC9-007D-405B-9A60-E603EF8B5524}">
  <sheetPr>
    <tabColor rgb="FF000F7B"/>
  </sheetPr>
  <dimension ref="A2:B128"/>
  <sheetViews>
    <sheetView showGridLines="0" zoomScaleNormal="100" workbookViewId="0"/>
  </sheetViews>
  <sheetFormatPr baseColWidth="10" defaultColWidth="8.7109375" defaultRowHeight="14.25"/>
  <cols>
    <col min="1" max="1" width="75.7109375" style="148" customWidth="1"/>
    <col min="2" max="2" width="21.42578125" style="148" customWidth="1"/>
    <col min="3" max="16384" width="8.7109375" style="148"/>
  </cols>
  <sheetData>
    <row r="2" spans="1:2">
      <c r="B2" s="150" t="s">
        <v>87</v>
      </c>
    </row>
    <row r="6" spans="1:2" ht="18">
      <c r="A6" s="598" t="s">
        <v>1169</v>
      </c>
      <c r="B6" s="598"/>
    </row>
    <row r="7" spans="1:2" ht="18">
      <c r="A7" s="145"/>
      <c r="B7" s="145"/>
    </row>
    <row r="8" spans="1:2" ht="15.75">
      <c r="A8" s="162" t="s">
        <v>89</v>
      </c>
      <c r="B8" s="162" t="s">
        <v>90</v>
      </c>
    </row>
    <row r="9" spans="1:2" ht="15.6" customHeight="1">
      <c r="A9" s="602" t="s">
        <v>1170</v>
      </c>
      <c r="B9" s="602"/>
    </row>
    <row r="10" spans="1:2" ht="15" customHeight="1">
      <c r="A10" s="535" t="s">
        <v>1171</v>
      </c>
      <c r="B10" s="294" t="s">
        <v>1172</v>
      </c>
    </row>
    <row r="11" spans="1:2" ht="15" customHeight="1">
      <c r="A11" s="535" t="s">
        <v>1173</v>
      </c>
      <c r="B11" s="294" t="s">
        <v>1172</v>
      </c>
    </row>
    <row r="12" spans="1:2" ht="15" customHeight="1">
      <c r="A12" s="535" t="s">
        <v>1174</v>
      </c>
      <c r="B12" s="294" t="s">
        <v>1172</v>
      </c>
    </row>
    <row r="13" spans="1:2" ht="15" customHeight="1">
      <c r="A13" s="535" t="s">
        <v>1175</v>
      </c>
      <c r="B13" s="294" t="s">
        <v>1172</v>
      </c>
    </row>
    <row r="14" spans="1:2" ht="15" customHeight="1">
      <c r="A14" s="535" t="s">
        <v>1176</v>
      </c>
      <c r="B14" s="294" t="s">
        <v>1172</v>
      </c>
    </row>
    <row r="15" spans="1:2" ht="15" customHeight="1">
      <c r="A15" s="535" t="s">
        <v>1177</v>
      </c>
      <c r="B15" s="294" t="s">
        <v>1172</v>
      </c>
    </row>
    <row r="16" spans="1:2" ht="15" customHeight="1">
      <c r="A16" s="535" t="s">
        <v>1178</v>
      </c>
      <c r="B16" s="294" t="s">
        <v>1172</v>
      </c>
    </row>
    <row r="17" spans="1:2" ht="15" customHeight="1">
      <c r="A17" s="293" t="s">
        <v>1179</v>
      </c>
      <c r="B17" s="294" t="s">
        <v>1180</v>
      </c>
    </row>
    <row r="18" spans="1:2" ht="15" customHeight="1">
      <c r="A18" s="536" t="s">
        <v>1181</v>
      </c>
      <c r="B18" s="294" t="s">
        <v>1182</v>
      </c>
    </row>
    <row r="19" spans="1:2" ht="15" customHeight="1">
      <c r="A19" s="536" t="s">
        <v>1183</v>
      </c>
      <c r="B19" s="294" t="s">
        <v>1184</v>
      </c>
    </row>
    <row r="20" spans="1:2" ht="15" customHeight="1">
      <c r="A20" s="536" t="s">
        <v>1185</v>
      </c>
      <c r="B20" s="294"/>
    </row>
    <row r="21" spans="1:2" ht="15" customHeight="1">
      <c r="A21" s="536" t="s">
        <v>1186</v>
      </c>
      <c r="B21" s="294" t="s">
        <v>1187</v>
      </c>
    </row>
    <row r="22" spans="1:2" ht="15" customHeight="1">
      <c r="A22" s="536" t="s">
        <v>1188</v>
      </c>
      <c r="B22" s="294" t="s">
        <v>1189</v>
      </c>
    </row>
    <row r="23" spans="1:2" ht="19.899999999999999" customHeight="1">
      <c r="A23" s="326"/>
      <c r="B23" s="325"/>
    </row>
    <row r="24" spans="1:2" ht="15.6" customHeight="1">
      <c r="A24" s="756" t="s">
        <v>33</v>
      </c>
      <c r="B24" s="756"/>
    </row>
    <row r="25" spans="1:2">
      <c r="A25" s="293" t="s">
        <v>1190</v>
      </c>
      <c r="B25" s="294" t="s">
        <v>1191</v>
      </c>
    </row>
    <row r="26" spans="1:2">
      <c r="A26" s="293" t="s">
        <v>1192</v>
      </c>
      <c r="B26" s="294" t="s">
        <v>1191</v>
      </c>
    </row>
    <row r="27" spans="1:2">
      <c r="A27" s="293" t="s">
        <v>1193</v>
      </c>
      <c r="B27" s="294" t="s">
        <v>1191</v>
      </c>
    </row>
    <row r="28" spans="1:2" ht="25.5">
      <c r="A28" s="293" t="s">
        <v>1194</v>
      </c>
      <c r="B28" s="294" t="s">
        <v>1191</v>
      </c>
    </row>
    <row r="29" spans="1:2" ht="25.5">
      <c r="A29" s="293" t="s">
        <v>1195</v>
      </c>
      <c r="B29" s="294" t="s">
        <v>1191</v>
      </c>
    </row>
    <row r="30" spans="1:2" ht="25.5">
      <c r="A30" s="293" t="s">
        <v>1196</v>
      </c>
      <c r="B30" s="294" t="s">
        <v>1191</v>
      </c>
    </row>
    <row r="31" spans="1:2" ht="35.25" customHeight="1">
      <c r="A31" s="293" t="s">
        <v>1197</v>
      </c>
      <c r="B31" s="294" t="s">
        <v>1191</v>
      </c>
    </row>
    <row r="32" spans="1:2" ht="37.5" customHeight="1">
      <c r="A32" s="293" t="s">
        <v>1198</v>
      </c>
      <c r="B32" s="294" t="s">
        <v>1191</v>
      </c>
    </row>
    <row r="33" spans="1:2" ht="35.25" customHeight="1">
      <c r="A33" s="293" t="s">
        <v>1199</v>
      </c>
      <c r="B33" s="294" t="s">
        <v>1191</v>
      </c>
    </row>
    <row r="34" spans="1:2" ht="19.899999999999999" customHeight="1">
      <c r="A34" s="326"/>
      <c r="B34" s="325"/>
    </row>
    <row r="35" spans="1:2" ht="15.6" customHeight="1">
      <c r="A35" s="756" t="s">
        <v>34</v>
      </c>
      <c r="B35" s="756"/>
    </row>
    <row r="36" spans="1:2">
      <c r="A36" s="293" t="s">
        <v>1200</v>
      </c>
      <c r="B36" s="294" t="s">
        <v>1191</v>
      </c>
    </row>
    <row r="37" spans="1:2">
      <c r="A37" s="293" t="s">
        <v>1201</v>
      </c>
      <c r="B37" s="294" t="s">
        <v>1191</v>
      </c>
    </row>
    <row r="38" spans="1:2">
      <c r="A38" s="293" t="s">
        <v>1202</v>
      </c>
      <c r="B38" s="294" t="s">
        <v>1191</v>
      </c>
    </row>
    <row r="39" spans="1:2">
      <c r="A39" s="151"/>
      <c r="B39" s="151"/>
    </row>
    <row r="40" spans="1:2">
      <c r="A40" s="151"/>
      <c r="B40" s="151"/>
    </row>
    <row r="41" spans="1:2">
      <c r="A41" s="151"/>
      <c r="B41" s="151"/>
    </row>
    <row r="42" spans="1:2">
      <c r="A42" s="151"/>
      <c r="B42" s="151"/>
    </row>
    <row r="43" spans="1:2">
      <c r="A43" s="151"/>
      <c r="B43" s="151"/>
    </row>
    <row r="44" spans="1:2">
      <c r="A44" s="151"/>
      <c r="B44" s="151"/>
    </row>
    <row r="45" spans="1:2">
      <c r="A45" s="151"/>
      <c r="B45" s="151"/>
    </row>
    <row r="46" spans="1:2">
      <c r="A46" s="151"/>
      <c r="B46" s="151"/>
    </row>
    <row r="47" spans="1:2">
      <c r="A47" s="149"/>
      <c r="B47" s="149"/>
    </row>
    <row r="48" spans="1:2">
      <c r="A48" s="149"/>
      <c r="B48" s="149"/>
    </row>
    <row r="49" spans="1:2">
      <c r="A49" s="149"/>
      <c r="B49" s="149"/>
    </row>
    <row r="50" spans="1:2">
      <c r="A50" s="149"/>
      <c r="B50" s="149"/>
    </row>
    <row r="51" spans="1:2">
      <c r="A51" s="149"/>
      <c r="B51" s="149"/>
    </row>
    <row r="52" spans="1:2">
      <c r="A52" s="149"/>
      <c r="B52" s="149"/>
    </row>
    <row r="53" spans="1:2">
      <c r="A53" s="149"/>
      <c r="B53" s="149"/>
    </row>
    <row r="54" spans="1:2">
      <c r="A54" s="149"/>
      <c r="B54" s="149"/>
    </row>
    <row r="55" spans="1:2">
      <c r="A55" s="149"/>
      <c r="B55" s="149"/>
    </row>
    <row r="56" spans="1:2">
      <c r="A56" s="149"/>
      <c r="B56" s="149"/>
    </row>
    <row r="57" spans="1:2">
      <c r="A57" s="149"/>
      <c r="B57" s="149"/>
    </row>
    <row r="58" spans="1:2">
      <c r="A58" s="149"/>
      <c r="B58" s="149"/>
    </row>
    <row r="59" spans="1:2">
      <c r="A59" s="149"/>
      <c r="B59" s="149"/>
    </row>
    <row r="60" spans="1:2">
      <c r="A60" s="149"/>
      <c r="B60" s="149"/>
    </row>
    <row r="61" spans="1:2">
      <c r="A61" s="149"/>
      <c r="B61" s="149"/>
    </row>
    <row r="62" spans="1:2">
      <c r="A62" s="149"/>
      <c r="B62" s="149"/>
    </row>
    <row r="63" spans="1:2">
      <c r="A63" s="149"/>
      <c r="B63" s="149"/>
    </row>
    <row r="64" spans="1:2">
      <c r="A64" s="149"/>
      <c r="B64" s="149"/>
    </row>
    <row r="65" spans="1:2">
      <c r="A65" s="149"/>
      <c r="B65" s="149"/>
    </row>
    <row r="66" spans="1:2">
      <c r="A66" s="149"/>
      <c r="B66" s="149"/>
    </row>
    <row r="67" spans="1:2">
      <c r="A67" s="149"/>
      <c r="B67" s="149"/>
    </row>
    <row r="68" spans="1:2">
      <c r="A68" s="149"/>
      <c r="B68" s="149"/>
    </row>
    <row r="69" spans="1:2">
      <c r="A69" s="149"/>
      <c r="B69" s="149"/>
    </row>
    <row r="70" spans="1:2">
      <c r="A70" s="149"/>
      <c r="B70" s="149"/>
    </row>
    <row r="71" spans="1:2">
      <c r="A71" s="149"/>
      <c r="B71" s="149"/>
    </row>
    <row r="72" spans="1:2">
      <c r="A72" s="149"/>
      <c r="B72" s="149"/>
    </row>
    <row r="73" spans="1:2">
      <c r="A73" s="149"/>
      <c r="B73" s="149"/>
    </row>
    <row r="74" spans="1:2">
      <c r="A74" s="149"/>
      <c r="B74" s="149"/>
    </row>
    <row r="75" spans="1:2">
      <c r="A75" s="149"/>
      <c r="B75" s="149"/>
    </row>
    <row r="76" spans="1:2">
      <c r="A76" s="149"/>
      <c r="B76" s="149"/>
    </row>
    <row r="77" spans="1:2">
      <c r="A77" s="149"/>
      <c r="B77" s="149"/>
    </row>
    <row r="78" spans="1:2">
      <c r="A78" s="149"/>
      <c r="B78" s="149"/>
    </row>
    <row r="79" spans="1:2">
      <c r="A79" s="149"/>
      <c r="B79" s="149"/>
    </row>
    <row r="80" spans="1:2">
      <c r="A80" s="149"/>
      <c r="B80" s="149"/>
    </row>
    <row r="81" spans="1:2">
      <c r="A81" s="149"/>
      <c r="B81" s="149"/>
    </row>
    <row r="82" spans="1:2">
      <c r="A82" s="149"/>
      <c r="B82" s="149"/>
    </row>
    <row r="83" spans="1:2">
      <c r="A83" s="149"/>
      <c r="B83" s="149"/>
    </row>
    <row r="84" spans="1:2">
      <c r="A84" s="149"/>
      <c r="B84" s="149"/>
    </row>
    <row r="85" spans="1:2">
      <c r="A85" s="149"/>
      <c r="B85" s="149"/>
    </row>
    <row r="86" spans="1:2">
      <c r="A86" s="149"/>
      <c r="B86" s="149"/>
    </row>
    <row r="87" spans="1:2">
      <c r="A87" s="149"/>
      <c r="B87" s="149"/>
    </row>
    <row r="88" spans="1:2">
      <c r="A88" s="149"/>
      <c r="B88" s="149"/>
    </row>
    <row r="89" spans="1:2">
      <c r="A89" s="149"/>
      <c r="B89" s="149"/>
    </row>
    <row r="90" spans="1:2">
      <c r="A90" s="149"/>
      <c r="B90" s="149"/>
    </row>
    <row r="91" spans="1:2">
      <c r="A91" s="149"/>
      <c r="B91" s="149"/>
    </row>
    <row r="92" spans="1:2">
      <c r="A92" s="149"/>
      <c r="B92" s="149"/>
    </row>
    <row r="93" spans="1:2">
      <c r="A93" s="149"/>
      <c r="B93" s="149"/>
    </row>
    <row r="94" spans="1:2">
      <c r="A94" s="149"/>
      <c r="B94" s="149"/>
    </row>
    <row r="95" spans="1:2">
      <c r="A95" s="149"/>
      <c r="B95" s="149"/>
    </row>
    <row r="96" spans="1:2">
      <c r="A96" s="149"/>
      <c r="B96" s="149"/>
    </row>
    <row r="97" spans="1:2">
      <c r="A97" s="149"/>
      <c r="B97" s="149"/>
    </row>
    <row r="98" spans="1:2">
      <c r="A98" s="149"/>
      <c r="B98" s="149"/>
    </row>
    <row r="99" spans="1:2">
      <c r="A99" s="149"/>
      <c r="B99" s="149"/>
    </row>
    <row r="100" spans="1:2">
      <c r="A100" s="149"/>
      <c r="B100" s="149"/>
    </row>
    <row r="101" spans="1:2">
      <c r="A101" s="149"/>
      <c r="B101" s="149"/>
    </row>
    <row r="102" spans="1:2">
      <c r="A102" s="149"/>
      <c r="B102" s="149"/>
    </row>
    <row r="103" spans="1:2">
      <c r="A103" s="149"/>
      <c r="B103" s="149"/>
    </row>
    <row r="104" spans="1:2">
      <c r="A104" s="149"/>
      <c r="B104" s="149"/>
    </row>
    <row r="105" spans="1:2">
      <c r="A105" s="149"/>
      <c r="B105" s="149"/>
    </row>
    <row r="106" spans="1:2">
      <c r="A106" s="149"/>
      <c r="B106" s="149"/>
    </row>
    <row r="107" spans="1:2">
      <c r="A107" s="149"/>
      <c r="B107" s="149"/>
    </row>
    <row r="108" spans="1:2">
      <c r="A108" s="149"/>
      <c r="B108" s="149"/>
    </row>
    <row r="109" spans="1:2">
      <c r="A109" s="149"/>
      <c r="B109" s="149"/>
    </row>
    <row r="110" spans="1:2">
      <c r="A110" s="149"/>
      <c r="B110" s="149"/>
    </row>
    <row r="111" spans="1:2">
      <c r="A111" s="149"/>
      <c r="B111" s="149"/>
    </row>
    <row r="112" spans="1:2">
      <c r="A112" s="149"/>
      <c r="B112" s="149"/>
    </row>
    <row r="113" spans="1:2">
      <c r="A113" s="149"/>
      <c r="B113" s="149"/>
    </row>
    <row r="114" spans="1:2">
      <c r="A114" s="149"/>
      <c r="B114" s="149"/>
    </row>
    <row r="115" spans="1:2">
      <c r="A115" s="149"/>
      <c r="B115" s="149"/>
    </row>
    <row r="116" spans="1:2">
      <c r="A116" s="149"/>
      <c r="B116" s="149"/>
    </row>
    <row r="117" spans="1:2">
      <c r="A117" s="149"/>
      <c r="B117" s="149"/>
    </row>
    <row r="118" spans="1:2">
      <c r="A118" s="149"/>
      <c r="B118" s="149"/>
    </row>
    <row r="119" spans="1:2">
      <c r="A119" s="149"/>
      <c r="B119" s="149"/>
    </row>
    <row r="120" spans="1:2">
      <c r="A120" s="149"/>
      <c r="B120" s="149"/>
    </row>
    <row r="121" spans="1:2">
      <c r="A121" s="149"/>
      <c r="B121" s="149"/>
    </row>
    <row r="122" spans="1:2">
      <c r="A122" s="149"/>
      <c r="B122" s="149"/>
    </row>
    <row r="123" spans="1:2">
      <c r="A123" s="149"/>
      <c r="B123" s="149"/>
    </row>
    <row r="124" spans="1:2">
      <c r="A124" s="149"/>
      <c r="B124" s="149"/>
    </row>
    <row r="125" spans="1:2">
      <c r="A125" s="149"/>
      <c r="B125" s="149"/>
    </row>
    <row r="126" spans="1:2">
      <c r="A126" s="149"/>
      <c r="B126" s="149"/>
    </row>
    <row r="127" spans="1:2">
      <c r="A127" s="149"/>
      <c r="B127" s="149"/>
    </row>
    <row r="128" spans="1:2">
      <c r="A128" s="149"/>
      <c r="B128" s="149"/>
    </row>
  </sheetData>
  <sheetProtection algorithmName="SHA-512" hashValue="lZGKKkA+l7Q/i9dcApS+5ByhTyfgEF1oyzlwSYwuXbvBcc8YslmU18o0eEenptAxlWc3tAmdZ0H3tWHhRFLgpA==" saltValue="LLfw4It9aV89JG+x+6d0ig==" spinCount="100000" sheet="1" objects="1" scenarios="1"/>
  <mergeCells count="4">
    <mergeCell ref="A6:B6"/>
    <mergeCell ref="A9:B9"/>
    <mergeCell ref="A24:B24"/>
    <mergeCell ref="A35:B35"/>
  </mergeCells>
  <phoneticPr fontId="87" type="noConversion"/>
  <hyperlinks>
    <hyperlink ref="A9" location="'Economic Performance &amp; Contribu'!A1" display="Economic Performance and Contributions" xr:uid="{1D59A162-8172-438B-82E4-16375568E352}"/>
    <hyperlink ref="A24" location="Tax!A1" display="Tax" xr:uid="{6436573B-9CEC-4C81-A777-9B423B7BDE57}"/>
    <hyperlink ref="A35" location="Tax!A1" display="Tax" xr:uid="{59A0E303-1B48-4E00-A70A-2C2A96506228}"/>
    <hyperlink ref="A35:B35" location="'Tax Entities'!A1" display="Tax Entities" xr:uid="{DCEEB34E-4071-41A6-BCB7-5780B72E2F5E}"/>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tabColor rgb="FF93E3FF"/>
  </sheetPr>
  <dimension ref="A2:W220"/>
  <sheetViews>
    <sheetView showGridLines="0" zoomScaleNormal="100" workbookViewId="0"/>
  </sheetViews>
  <sheetFormatPr baseColWidth="10" defaultColWidth="8.7109375" defaultRowHeight="15"/>
  <cols>
    <col min="1" max="1" width="27.42578125" customWidth="1"/>
    <col min="2" max="11" width="16.7109375" customWidth="1"/>
    <col min="12" max="12" width="4.140625" customWidth="1"/>
    <col min="13" max="23" width="17.28515625" customWidth="1"/>
  </cols>
  <sheetData>
    <row r="2" spans="1:11">
      <c r="K2" s="116"/>
    </row>
    <row r="7" spans="1:11" ht="20.25">
      <c r="A7" s="617" t="s">
        <v>0</v>
      </c>
      <c r="B7" s="617"/>
      <c r="C7" s="617"/>
      <c r="D7" s="617"/>
      <c r="E7" s="617"/>
      <c r="F7" s="617"/>
      <c r="G7" s="617"/>
      <c r="H7" s="617"/>
      <c r="I7" s="617"/>
      <c r="J7" s="617"/>
      <c r="K7" s="617"/>
    </row>
    <row r="8" spans="1:11" ht="21" thickBot="1">
      <c r="A8" s="167"/>
      <c r="B8" s="167"/>
      <c r="C8" s="167"/>
      <c r="D8" s="167"/>
      <c r="E8" s="167"/>
      <c r="F8" s="165"/>
      <c r="G8" s="165"/>
      <c r="H8" s="165"/>
      <c r="I8" s="165"/>
      <c r="J8" s="165"/>
      <c r="K8" s="165"/>
    </row>
    <row r="9" spans="1:11" ht="19.5" thickTop="1" thickBot="1">
      <c r="A9" s="610" t="s">
        <v>32</v>
      </c>
      <c r="B9" s="610"/>
      <c r="C9" s="610"/>
      <c r="D9" s="610"/>
      <c r="E9" s="610"/>
      <c r="F9" s="610"/>
      <c r="G9" s="610"/>
      <c r="H9" s="610"/>
      <c r="I9" s="610"/>
      <c r="J9" s="610"/>
      <c r="K9" s="610"/>
    </row>
    <row r="10" spans="1:11" ht="18" customHeight="1" thickTop="1">
      <c r="A10" s="170"/>
      <c r="B10" s="170"/>
      <c r="C10" s="170"/>
      <c r="D10" s="170"/>
      <c r="E10" s="170"/>
      <c r="F10" s="170"/>
      <c r="G10" s="170"/>
      <c r="H10" s="170"/>
      <c r="I10" s="170"/>
    </row>
    <row r="11" spans="1:11" ht="14.65" customHeight="1">
      <c r="A11" s="621" t="s">
        <v>1203</v>
      </c>
      <c r="B11" s="621"/>
      <c r="C11" s="621"/>
      <c r="D11" s="621"/>
      <c r="E11" s="621"/>
      <c r="F11" s="621"/>
      <c r="G11" s="621"/>
      <c r="H11" s="621"/>
      <c r="I11" s="621"/>
      <c r="J11" s="621"/>
      <c r="K11" s="621"/>
    </row>
    <row r="12" spans="1:11" ht="27.6" customHeight="1">
      <c r="A12" s="757"/>
      <c r="B12" s="174" t="s">
        <v>1204</v>
      </c>
      <c r="C12" s="624" t="s">
        <v>1205</v>
      </c>
      <c r="D12" s="624"/>
      <c r="E12" s="624"/>
      <c r="F12" s="624"/>
      <c r="G12" s="624"/>
      <c r="H12" s="624"/>
      <c r="I12" s="624"/>
      <c r="J12" s="624"/>
      <c r="K12" s="624" t="s">
        <v>1206</v>
      </c>
    </row>
    <row r="13" spans="1:11" ht="14.65" customHeight="1">
      <c r="A13" s="757"/>
      <c r="B13" s="743" t="s">
        <v>1604</v>
      </c>
      <c r="C13" s="743" t="s">
        <v>1611</v>
      </c>
      <c r="D13" s="743"/>
      <c r="E13" s="743" t="s">
        <v>1612</v>
      </c>
      <c r="F13" s="743"/>
      <c r="G13" s="743" t="s">
        <v>1613</v>
      </c>
      <c r="H13" s="743" t="s">
        <v>1614</v>
      </c>
      <c r="I13" s="743" t="s">
        <v>1615</v>
      </c>
      <c r="J13" s="743" t="s">
        <v>173</v>
      </c>
      <c r="K13" s="624"/>
    </row>
    <row r="14" spans="1:11" ht="25.5">
      <c r="A14" s="757"/>
      <c r="B14" s="743"/>
      <c r="C14" s="433" t="s">
        <v>1213</v>
      </c>
      <c r="D14" s="433" t="s">
        <v>1214</v>
      </c>
      <c r="E14" s="433" t="s">
        <v>1213</v>
      </c>
      <c r="F14" s="433" t="s">
        <v>1214</v>
      </c>
      <c r="G14" s="743"/>
      <c r="H14" s="743"/>
      <c r="I14" s="743"/>
      <c r="J14" s="743"/>
      <c r="K14" s="624"/>
    </row>
    <row r="15" spans="1:11">
      <c r="A15" s="223" t="s">
        <v>256</v>
      </c>
      <c r="B15" s="434">
        <v>13854</v>
      </c>
      <c r="C15" s="434">
        <v>5537</v>
      </c>
      <c r="D15" s="434">
        <v>774</v>
      </c>
      <c r="E15" s="434">
        <v>1523</v>
      </c>
      <c r="F15" s="434">
        <v>24</v>
      </c>
      <c r="G15" s="434">
        <v>1959</v>
      </c>
      <c r="H15" s="434">
        <v>714</v>
      </c>
      <c r="I15" s="434">
        <v>19</v>
      </c>
      <c r="J15" s="434">
        <v>10550</v>
      </c>
      <c r="K15" s="434">
        <v>3304</v>
      </c>
    </row>
    <row r="16" spans="1:11">
      <c r="A16" s="223" t="s">
        <v>737</v>
      </c>
      <c r="B16" s="435">
        <v>2122</v>
      </c>
      <c r="C16" s="435">
        <v>1101</v>
      </c>
      <c r="D16" s="435">
        <v>133</v>
      </c>
      <c r="E16" s="435">
        <v>162</v>
      </c>
      <c r="F16" s="435">
        <v>2</v>
      </c>
      <c r="G16" s="435">
        <v>9</v>
      </c>
      <c r="H16" s="435">
        <v>118</v>
      </c>
      <c r="I16" s="435">
        <v>2</v>
      </c>
      <c r="J16" s="435">
        <v>1527</v>
      </c>
      <c r="K16" s="435">
        <v>595</v>
      </c>
    </row>
    <row r="17" spans="1:23">
      <c r="A17" s="223" t="s">
        <v>271</v>
      </c>
      <c r="B17" s="435">
        <v>504</v>
      </c>
      <c r="C17" s="435">
        <v>428</v>
      </c>
      <c r="D17" s="435">
        <v>3207</v>
      </c>
      <c r="E17" s="435">
        <v>117</v>
      </c>
      <c r="F17" s="435">
        <v>120</v>
      </c>
      <c r="G17" s="435">
        <v>172</v>
      </c>
      <c r="H17" s="435">
        <v>76</v>
      </c>
      <c r="I17" s="435">
        <v>3</v>
      </c>
      <c r="J17" s="435">
        <v>4123</v>
      </c>
      <c r="K17" s="435">
        <v>-3619</v>
      </c>
    </row>
    <row r="18" spans="1:23">
      <c r="A18" s="223" t="s">
        <v>798</v>
      </c>
      <c r="B18" s="435">
        <v>1491</v>
      </c>
      <c r="C18" s="435">
        <v>415</v>
      </c>
      <c r="D18" s="435">
        <v>143</v>
      </c>
      <c r="E18" s="435">
        <v>130</v>
      </c>
      <c r="F18" s="435">
        <v>2</v>
      </c>
      <c r="G18" s="435">
        <v>9</v>
      </c>
      <c r="H18" s="435">
        <v>309</v>
      </c>
      <c r="I18" s="435" t="s">
        <v>181</v>
      </c>
      <c r="J18" s="435">
        <v>1008</v>
      </c>
      <c r="K18" s="435">
        <v>483</v>
      </c>
    </row>
    <row r="19" spans="1:23">
      <c r="A19" s="223" t="s">
        <v>328</v>
      </c>
      <c r="B19" s="435" t="s">
        <v>181</v>
      </c>
      <c r="C19" s="435" t="s">
        <v>181</v>
      </c>
      <c r="D19" s="435">
        <v>18</v>
      </c>
      <c r="E19" s="435">
        <v>6</v>
      </c>
      <c r="F19" s="435" t="s">
        <v>181</v>
      </c>
      <c r="G19" s="435" t="s">
        <v>181</v>
      </c>
      <c r="H19" s="435" t="s">
        <v>181</v>
      </c>
      <c r="I19" s="435">
        <v>1</v>
      </c>
      <c r="J19" s="435">
        <v>25</v>
      </c>
      <c r="K19" s="435">
        <v>-25</v>
      </c>
    </row>
    <row r="20" spans="1:23" ht="15" customHeight="1">
      <c r="A20" s="223" t="s">
        <v>1597</v>
      </c>
      <c r="B20" s="436">
        <v>-655</v>
      </c>
      <c r="C20" s="436">
        <v>-655</v>
      </c>
      <c r="D20" s="436" t="s">
        <v>181</v>
      </c>
      <c r="E20" s="436" t="s">
        <v>181</v>
      </c>
      <c r="F20" s="436" t="s">
        <v>181</v>
      </c>
      <c r="G20" s="436" t="s">
        <v>181</v>
      </c>
      <c r="H20" s="436" t="s">
        <v>181</v>
      </c>
      <c r="I20" s="436" t="s">
        <v>181</v>
      </c>
      <c r="J20" s="436">
        <v>-655</v>
      </c>
      <c r="K20" s="436" t="s">
        <v>181</v>
      </c>
      <c r="M20" s="563"/>
    </row>
    <row r="21" spans="1:23">
      <c r="A21" s="191" t="s">
        <v>173</v>
      </c>
      <c r="B21" s="453">
        <v>17316</v>
      </c>
      <c r="C21" s="453">
        <v>6826</v>
      </c>
      <c r="D21" s="453">
        <v>4275</v>
      </c>
      <c r="E21" s="453">
        <v>1938</v>
      </c>
      <c r="F21" s="453">
        <v>148</v>
      </c>
      <c r="G21" s="453">
        <v>2149</v>
      </c>
      <c r="H21" s="453">
        <v>1217</v>
      </c>
      <c r="I21" s="453">
        <v>25</v>
      </c>
      <c r="J21" s="453">
        <v>16578</v>
      </c>
      <c r="K21" s="453">
        <v>738</v>
      </c>
    </row>
    <row r="22" spans="1:23" s="12" customFormat="1" ht="12.75">
      <c r="A22" s="640" t="s">
        <v>1215</v>
      </c>
      <c r="B22" s="640"/>
      <c r="C22" s="640"/>
      <c r="D22" s="640"/>
      <c r="E22" s="640"/>
      <c r="F22" s="640"/>
      <c r="G22" s="640"/>
      <c r="H22" s="640"/>
      <c r="I22" s="640"/>
      <c r="J22" s="640"/>
      <c r="K22" s="640"/>
      <c r="L22" s="562"/>
    </row>
    <row r="23" spans="1:23" s="12" customFormat="1">
      <c r="A23" s="663" t="s">
        <v>1601</v>
      </c>
      <c r="B23" s="640"/>
      <c r="C23" s="640"/>
      <c r="D23" s="640"/>
      <c r="E23" s="640"/>
      <c r="F23" s="640"/>
      <c r="G23" s="640"/>
      <c r="H23" s="640"/>
      <c r="I23" s="640"/>
      <c r="J23" s="640"/>
      <c r="K23" s="640"/>
      <c r="L23"/>
    </row>
    <row r="24" spans="1:23" s="12" customFormat="1">
      <c r="A24" s="758" t="s">
        <v>1602</v>
      </c>
      <c r="B24" s="758"/>
      <c r="C24" s="758"/>
      <c r="D24" s="758"/>
      <c r="E24" s="758"/>
      <c r="F24" s="758"/>
      <c r="G24" s="758"/>
      <c r="H24" s="758"/>
      <c r="I24" s="758"/>
      <c r="J24" s="758"/>
      <c r="K24" s="758"/>
      <c r="L24"/>
    </row>
    <row r="25" spans="1:23" ht="36" customHeight="1">
      <c r="A25" s="622" t="s">
        <v>1605</v>
      </c>
      <c r="B25" s="622"/>
      <c r="C25" s="622"/>
      <c r="D25" s="622"/>
      <c r="E25" s="622"/>
      <c r="F25" s="622"/>
      <c r="G25" s="622"/>
      <c r="H25" s="622"/>
      <c r="I25" s="622"/>
      <c r="J25" s="622"/>
      <c r="K25" s="622"/>
      <c r="L25" s="31"/>
      <c r="M25" s="563"/>
    </row>
    <row r="26" spans="1:23" ht="14.65" customHeight="1">
      <c r="A26" s="640" t="s">
        <v>1606</v>
      </c>
      <c r="B26" s="640"/>
      <c r="C26" s="640"/>
      <c r="D26" s="640"/>
      <c r="E26" s="640"/>
      <c r="F26" s="640"/>
      <c r="G26" s="640"/>
      <c r="H26" s="640"/>
      <c r="I26" s="640"/>
      <c r="J26" s="640"/>
      <c r="K26" s="640"/>
      <c r="M26" s="563"/>
    </row>
    <row r="27" spans="1:23" ht="13.15" customHeight="1">
      <c r="A27" s="640" t="s">
        <v>1607</v>
      </c>
      <c r="B27" s="640"/>
      <c r="C27" s="640"/>
      <c r="D27" s="640"/>
      <c r="E27" s="640"/>
      <c r="F27" s="640"/>
      <c r="G27" s="640"/>
      <c r="H27" s="640"/>
      <c r="I27" s="640"/>
      <c r="J27" s="640"/>
      <c r="K27" s="640"/>
    </row>
    <row r="28" spans="1:23">
      <c r="A28" s="640" t="s">
        <v>1608</v>
      </c>
      <c r="B28" s="640"/>
      <c r="C28" s="640"/>
      <c r="D28" s="640"/>
      <c r="E28" s="640"/>
      <c r="F28" s="640"/>
      <c r="G28" s="640"/>
      <c r="H28" s="640"/>
      <c r="I28" s="640"/>
      <c r="J28" s="640"/>
      <c r="K28" s="640"/>
    </row>
    <row r="29" spans="1:23">
      <c r="A29" s="640" t="s">
        <v>1609</v>
      </c>
      <c r="B29" s="640"/>
      <c r="C29" s="640"/>
      <c r="D29" s="640"/>
      <c r="E29" s="640"/>
      <c r="F29" s="640"/>
      <c r="G29" s="640"/>
      <c r="H29" s="640"/>
      <c r="I29" s="640"/>
      <c r="J29" s="640"/>
      <c r="K29" s="640"/>
    </row>
    <row r="30" spans="1:23">
      <c r="A30" s="65"/>
      <c r="B30" s="157"/>
      <c r="C30" s="157"/>
      <c r="D30" s="157"/>
      <c r="E30" s="157"/>
      <c r="F30" s="157"/>
      <c r="G30" s="157"/>
      <c r="H30" s="157"/>
      <c r="I30" s="157"/>
      <c r="J30" s="157"/>
      <c r="K30" s="157"/>
    </row>
    <row r="31" spans="1:23" ht="15" customHeight="1">
      <c r="A31" s="621" t="s">
        <v>1222</v>
      </c>
      <c r="B31" s="621"/>
      <c r="C31" s="621"/>
      <c r="D31" s="621"/>
      <c r="E31" s="621"/>
      <c r="F31" s="621"/>
      <c r="G31" s="621"/>
      <c r="H31" s="621"/>
      <c r="I31" s="621"/>
      <c r="J31" s="621"/>
      <c r="K31" s="621"/>
      <c r="M31" s="621"/>
      <c r="N31" s="621"/>
      <c r="O31" s="621"/>
      <c r="P31" s="621"/>
      <c r="Q31" s="621"/>
      <c r="R31" s="621"/>
      <c r="S31" s="621"/>
      <c r="T31" s="621"/>
      <c r="U31" s="621"/>
      <c r="V31" s="621"/>
      <c r="W31" s="621"/>
    </row>
    <row r="32" spans="1:23" ht="25.5">
      <c r="A32" s="757"/>
      <c r="B32" s="174" t="s">
        <v>1204</v>
      </c>
      <c r="C32" s="624" t="s">
        <v>1205</v>
      </c>
      <c r="D32" s="624"/>
      <c r="E32" s="624"/>
      <c r="F32" s="624"/>
      <c r="G32" s="624"/>
      <c r="H32" s="624"/>
      <c r="I32" s="624"/>
      <c r="J32" s="624"/>
      <c r="K32" s="624" t="s">
        <v>1206</v>
      </c>
    </row>
    <row r="33" spans="1:13" ht="14.65" customHeight="1">
      <c r="A33" s="757"/>
      <c r="B33" s="743" t="s">
        <v>1604</v>
      </c>
      <c r="C33" s="743" t="s">
        <v>1611</v>
      </c>
      <c r="D33" s="743"/>
      <c r="E33" s="743" t="s">
        <v>1612</v>
      </c>
      <c r="F33" s="743"/>
      <c r="G33" s="743" t="s">
        <v>1613</v>
      </c>
      <c r="H33" s="743" t="s">
        <v>1614</v>
      </c>
      <c r="I33" s="743" t="s">
        <v>1615</v>
      </c>
      <c r="J33" s="743" t="s">
        <v>173</v>
      </c>
      <c r="K33" s="624"/>
    </row>
    <row r="34" spans="1:13" ht="26.45" customHeight="1">
      <c r="A34" s="757"/>
      <c r="B34" s="743"/>
      <c r="C34" s="433" t="s">
        <v>1213</v>
      </c>
      <c r="D34" s="433" t="s">
        <v>1214</v>
      </c>
      <c r="E34" s="433" t="s">
        <v>1213</v>
      </c>
      <c r="F34" s="433" t="s">
        <v>1214</v>
      </c>
      <c r="G34" s="743"/>
      <c r="H34" s="743"/>
      <c r="I34" s="743"/>
      <c r="J34" s="743"/>
      <c r="K34" s="624"/>
    </row>
    <row r="35" spans="1:13">
      <c r="A35" s="223" t="s">
        <v>256</v>
      </c>
      <c r="B35" s="435">
        <v>10061</v>
      </c>
      <c r="C35" s="435">
        <v>5207</v>
      </c>
      <c r="D35" s="435">
        <v>1128</v>
      </c>
      <c r="E35" s="435">
        <v>1341</v>
      </c>
      <c r="F35" s="435">
        <v>18</v>
      </c>
      <c r="G35" s="435">
        <v>370.67702013766802</v>
      </c>
      <c r="H35" s="435">
        <v>399</v>
      </c>
      <c r="I35" s="437">
        <v>15</v>
      </c>
      <c r="J35" s="438">
        <f t="shared" ref="J35:J41" si="0">SUM(C35:I35)</f>
        <v>8478.6770201376676</v>
      </c>
      <c r="K35" s="438">
        <f>B35-J35</f>
        <v>1582.3229798623324</v>
      </c>
    </row>
    <row r="36" spans="1:13">
      <c r="A36" s="223" t="s">
        <v>737</v>
      </c>
      <c r="B36" s="435">
        <v>1851</v>
      </c>
      <c r="C36" s="435">
        <v>1059</v>
      </c>
      <c r="D36" s="435">
        <v>112</v>
      </c>
      <c r="E36" s="435">
        <v>136</v>
      </c>
      <c r="F36" s="435">
        <v>3</v>
      </c>
      <c r="G36" s="435">
        <v>9.9418960608099987</v>
      </c>
      <c r="H36" s="435">
        <v>74</v>
      </c>
      <c r="I36" s="437">
        <v>1</v>
      </c>
      <c r="J36" s="438">
        <f t="shared" si="0"/>
        <v>1394.94189606081</v>
      </c>
      <c r="K36" s="438">
        <f>B36-J36</f>
        <v>456.05810393919</v>
      </c>
    </row>
    <row r="37" spans="1:13">
      <c r="A37" s="223" t="s">
        <v>271</v>
      </c>
      <c r="B37" s="435">
        <v>629</v>
      </c>
      <c r="C37" s="435">
        <v>322</v>
      </c>
      <c r="D37" s="435">
        <v>2561</v>
      </c>
      <c r="E37" s="435">
        <v>93</v>
      </c>
      <c r="F37" s="435">
        <v>69</v>
      </c>
      <c r="G37" s="435">
        <v>72.356697105958716</v>
      </c>
      <c r="H37" s="435">
        <v>52</v>
      </c>
      <c r="I37" s="435">
        <v>4</v>
      </c>
      <c r="J37" s="438">
        <f t="shared" si="0"/>
        <v>3173.3566971059586</v>
      </c>
      <c r="K37" s="438">
        <f t="shared" ref="K37:K40" si="1">B37-J37</f>
        <v>-2544.3566971059586</v>
      </c>
    </row>
    <row r="38" spans="1:13">
      <c r="A38" s="223" t="s">
        <v>798</v>
      </c>
      <c r="B38" s="435">
        <v>1451</v>
      </c>
      <c r="C38" s="435">
        <v>339</v>
      </c>
      <c r="D38" s="435">
        <v>141</v>
      </c>
      <c r="E38" s="435">
        <v>158</v>
      </c>
      <c r="F38" s="435">
        <v>2</v>
      </c>
      <c r="G38" s="435">
        <v>3.4762372414930001</v>
      </c>
      <c r="H38" s="435">
        <v>324</v>
      </c>
      <c r="I38" s="435">
        <v>1</v>
      </c>
      <c r="J38" s="438">
        <f t="shared" si="0"/>
        <v>968.47623724149298</v>
      </c>
      <c r="K38" s="438">
        <f t="shared" si="1"/>
        <v>482.52376275850702</v>
      </c>
    </row>
    <row r="39" spans="1:13">
      <c r="A39" s="223" t="s">
        <v>328</v>
      </c>
      <c r="B39" s="435">
        <v>0</v>
      </c>
      <c r="C39" s="435">
        <v>17</v>
      </c>
      <c r="D39" s="435">
        <v>12</v>
      </c>
      <c r="E39" s="435">
        <v>4</v>
      </c>
      <c r="F39" s="435">
        <v>0</v>
      </c>
      <c r="G39" s="435">
        <v>0</v>
      </c>
      <c r="H39" s="435">
        <v>0</v>
      </c>
      <c r="I39" s="435">
        <v>3</v>
      </c>
      <c r="J39" s="438">
        <f t="shared" si="0"/>
        <v>36</v>
      </c>
      <c r="K39" s="438">
        <f t="shared" si="1"/>
        <v>-36</v>
      </c>
    </row>
    <row r="40" spans="1:13" ht="16.899999999999999" customHeight="1">
      <c r="A40" s="223" t="s">
        <v>1597</v>
      </c>
      <c r="B40" s="435">
        <v>-511</v>
      </c>
      <c r="C40" s="435">
        <v>-511</v>
      </c>
      <c r="D40" s="435">
        <v>0</v>
      </c>
      <c r="E40" s="435">
        <v>0</v>
      </c>
      <c r="F40" s="435"/>
      <c r="G40" s="440"/>
      <c r="H40" s="441"/>
      <c r="I40" s="441"/>
      <c r="J40" s="438">
        <f t="shared" si="0"/>
        <v>-511</v>
      </c>
      <c r="K40" s="438">
        <f t="shared" si="1"/>
        <v>0</v>
      </c>
    </row>
    <row r="41" spans="1:13" ht="15" customHeight="1">
      <c r="A41" s="191" t="s">
        <v>173</v>
      </c>
      <c r="B41" s="454">
        <f>SUM(B35:B40)</f>
        <v>13481</v>
      </c>
      <c r="C41" s="453">
        <f t="shared" ref="C41:H41" si="2">SUM(C35:C40)</f>
        <v>6433</v>
      </c>
      <c r="D41" s="453">
        <f t="shared" si="2"/>
        <v>3954</v>
      </c>
      <c r="E41" s="453">
        <f t="shared" si="2"/>
        <v>1732</v>
      </c>
      <c r="F41" s="453">
        <f t="shared" si="2"/>
        <v>92</v>
      </c>
      <c r="G41" s="565">
        <f>SUM(G35:G40)</f>
        <v>456.45185054592969</v>
      </c>
      <c r="H41" s="453">
        <f t="shared" si="2"/>
        <v>849</v>
      </c>
      <c r="I41" s="453">
        <f>24</f>
        <v>24</v>
      </c>
      <c r="J41" s="455">
        <f t="shared" si="0"/>
        <v>13540.451850545929</v>
      </c>
      <c r="K41" s="453">
        <f>B41-J41</f>
        <v>-59.451850545929119</v>
      </c>
    </row>
    <row r="42" spans="1:13" s="12" customFormat="1" ht="12.75">
      <c r="A42" s="640" t="s">
        <v>1215</v>
      </c>
      <c r="B42" s="640"/>
      <c r="C42" s="640"/>
      <c r="D42" s="640"/>
      <c r="E42" s="640"/>
      <c r="F42" s="640"/>
      <c r="G42" s="640"/>
      <c r="H42" s="640"/>
      <c r="I42" s="640"/>
      <c r="J42" s="640"/>
      <c r="K42" s="640"/>
      <c r="L42" s="562"/>
    </row>
    <row r="43" spans="1:13" s="12" customFormat="1">
      <c r="A43" s="663" t="s">
        <v>1603</v>
      </c>
      <c r="B43" s="640"/>
      <c r="C43" s="640"/>
      <c r="D43" s="640"/>
      <c r="E43" s="640"/>
      <c r="F43" s="640"/>
      <c r="G43" s="640"/>
      <c r="H43" s="640"/>
      <c r="I43" s="640"/>
      <c r="J43" s="640"/>
      <c r="K43" s="640"/>
      <c r="L43" s="563"/>
      <c r="M43" s="143"/>
    </row>
    <row r="44" spans="1:13" s="12" customFormat="1">
      <c r="A44" s="758" t="s">
        <v>1610</v>
      </c>
      <c r="B44" s="758"/>
      <c r="C44" s="758"/>
      <c r="D44" s="758"/>
      <c r="E44" s="758"/>
      <c r="F44" s="758"/>
      <c r="G44" s="758"/>
      <c r="H44" s="758"/>
      <c r="I44" s="758"/>
      <c r="J44" s="758"/>
      <c r="K44" s="758"/>
      <c r="L44" s="563"/>
      <c r="M44" s="143"/>
    </row>
    <row r="45" spans="1:13" ht="36" customHeight="1">
      <c r="A45" s="622" t="s">
        <v>1605</v>
      </c>
      <c r="B45" s="622"/>
      <c r="C45" s="622"/>
      <c r="D45" s="622"/>
      <c r="E45" s="622"/>
      <c r="F45" s="622"/>
      <c r="G45" s="622"/>
      <c r="H45" s="622"/>
      <c r="I45" s="622"/>
      <c r="J45" s="622"/>
      <c r="K45" s="622"/>
      <c r="L45" s="31"/>
    </row>
    <row r="46" spans="1:13" ht="14.65" customHeight="1">
      <c r="A46" s="640" t="s">
        <v>1606</v>
      </c>
      <c r="B46" s="640"/>
      <c r="C46" s="640"/>
      <c r="D46" s="640"/>
      <c r="E46" s="640"/>
      <c r="F46" s="640"/>
      <c r="G46" s="640"/>
      <c r="H46" s="640"/>
      <c r="I46" s="640"/>
      <c r="J46" s="640"/>
      <c r="K46" s="640"/>
    </row>
    <row r="47" spans="1:13" ht="13.15" customHeight="1">
      <c r="A47" s="640" t="s">
        <v>1607</v>
      </c>
      <c r="B47" s="640"/>
      <c r="C47" s="640"/>
      <c r="D47" s="640"/>
      <c r="E47" s="640"/>
      <c r="F47" s="640"/>
      <c r="G47" s="640"/>
      <c r="H47" s="640"/>
      <c r="I47" s="640"/>
      <c r="J47" s="640"/>
      <c r="K47" s="640"/>
    </row>
    <row r="48" spans="1:13">
      <c r="A48" s="640" t="s">
        <v>1608</v>
      </c>
      <c r="B48" s="640"/>
      <c r="C48" s="640"/>
      <c r="D48" s="640"/>
      <c r="E48" s="640"/>
      <c r="F48" s="640"/>
      <c r="G48" s="640"/>
      <c r="H48" s="640"/>
      <c r="I48" s="640"/>
      <c r="J48" s="640"/>
      <c r="K48" s="640"/>
    </row>
    <row r="49" spans="1:12">
      <c r="A49" s="640" t="s">
        <v>1609</v>
      </c>
      <c r="B49" s="640"/>
      <c r="C49" s="640"/>
      <c r="D49" s="640"/>
      <c r="E49" s="640"/>
      <c r="F49" s="640"/>
      <c r="G49" s="640"/>
      <c r="H49" s="640"/>
      <c r="I49" s="640"/>
      <c r="J49" s="640"/>
      <c r="K49" s="640"/>
    </row>
    <row r="50" spans="1:12" ht="15" customHeight="1">
      <c r="A50" s="65"/>
      <c r="B50" s="157"/>
      <c r="C50" s="157"/>
      <c r="D50" s="157"/>
      <c r="E50" s="157"/>
      <c r="F50" s="157"/>
      <c r="G50" s="158"/>
      <c r="H50" s="157"/>
      <c r="I50" s="157"/>
      <c r="J50" s="159"/>
      <c r="K50" s="158"/>
      <c r="L50" s="31"/>
    </row>
    <row r="51" spans="1:12" ht="15.6" customHeight="1">
      <c r="A51" s="621" t="s">
        <v>1223</v>
      </c>
      <c r="B51" s="621"/>
      <c r="C51" s="621"/>
      <c r="D51" s="621"/>
      <c r="E51" s="621"/>
      <c r="F51" s="621"/>
      <c r="G51" s="621"/>
      <c r="H51" s="621"/>
      <c r="I51" s="621"/>
      <c r="J51" s="621"/>
      <c r="K51" s="621"/>
    </row>
    <row r="52" spans="1:12" ht="25.5">
      <c r="A52" s="757"/>
      <c r="B52" s="174" t="s">
        <v>1204</v>
      </c>
      <c r="C52" s="624" t="s">
        <v>1205</v>
      </c>
      <c r="D52" s="624"/>
      <c r="E52" s="624"/>
      <c r="F52" s="624"/>
      <c r="G52" s="624"/>
      <c r="H52" s="624"/>
      <c r="I52" s="624"/>
      <c r="J52" s="624"/>
      <c r="K52" s="624" t="s">
        <v>1206</v>
      </c>
    </row>
    <row r="53" spans="1:12" s="12" customFormat="1" ht="39.6" customHeight="1">
      <c r="A53" s="757"/>
      <c r="B53" s="743" t="s">
        <v>1207</v>
      </c>
      <c r="C53" s="743" t="s">
        <v>1208</v>
      </c>
      <c r="D53" s="743"/>
      <c r="E53" s="743" t="s">
        <v>1209</v>
      </c>
      <c r="F53" s="743"/>
      <c r="G53" s="743" t="s">
        <v>1210</v>
      </c>
      <c r="H53" s="743" t="s">
        <v>1211</v>
      </c>
      <c r="I53" s="743" t="s">
        <v>1212</v>
      </c>
      <c r="J53" s="743" t="s">
        <v>173</v>
      </c>
      <c r="K53" s="624"/>
    </row>
    <row r="54" spans="1:12" s="12" customFormat="1" ht="25.5">
      <c r="A54" s="757"/>
      <c r="B54" s="743"/>
      <c r="C54" s="433" t="s">
        <v>1213</v>
      </c>
      <c r="D54" s="433" t="s">
        <v>1214</v>
      </c>
      <c r="E54" s="433" t="s">
        <v>1213</v>
      </c>
      <c r="F54" s="433" t="s">
        <v>1214</v>
      </c>
      <c r="G54" s="743"/>
      <c r="H54" s="743"/>
      <c r="I54" s="743"/>
      <c r="J54" s="743"/>
      <c r="K54" s="624"/>
    </row>
    <row r="55" spans="1:12" s="12" customFormat="1" ht="12.75">
      <c r="A55" s="223" t="s">
        <v>256</v>
      </c>
      <c r="B55" s="439">
        <v>6436.855985203918</v>
      </c>
      <c r="C55" s="439">
        <v>4440.8584703635552</v>
      </c>
      <c r="D55" s="439">
        <v>1161</v>
      </c>
      <c r="E55" s="439">
        <v>1161</v>
      </c>
      <c r="F55" s="439">
        <v>15</v>
      </c>
      <c r="G55" s="439">
        <v>606</v>
      </c>
      <c r="H55" s="439">
        <v>41</v>
      </c>
      <c r="I55" s="439">
        <v>10</v>
      </c>
      <c r="J55" s="439">
        <f>SUM(C55:I55)</f>
        <v>7434.8584703635552</v>
      </c>
      <c r="K55" s="439">
        <f>B55-J55</f>
        <v>-998.00248515963722</v>
      </c>
    </row>
    <row r="56" spans="1:12" s="12" customFormat="1" ht="12.75">
      <c r="A56" s="223" t="s">
        <v>737</v>
      </c>
      <c r="B56" s="439">
        <v>1521.0606343938641</v>
      </c>
      <c r="C56" s="439">
        <v>781.8698934749807</v>
      </c>
      <c r="D56" s="439">
        <v>161</v>
      </c>
      <c r="E56" s="439">
        <v>140</v>
      </c>
      <c r="F56" s="439">
        <v>4</v>
      </c>
      <c r="G56" s="439">
        <v>8</v>
      </c>
      <c r="H56" s="439">
        <v>53</v>
      </c>
      <c r="I56" s="439">
        <v>1</v>
      </c>
      <c r="J56" s="439">
        <f t="shared" ref="J56:J60" si="3">SUM(C56:I56)</f>
        <v>1148.8698934749807</v>
      </c>
      <c r="K56" s="439">
        <f t="shared" ref="K56:K60" si="4">B56-J56</f>
        <v>372.19074091888342</v>
      </c>
    </row>
    <row r="57" spans="1:12" s="12" customFormat="1" ht="12.75">
      <c r="A57" s="223" t="s">
        <v>271</v>
      </c>
      <c r="B57" s="439">
        <v>558.49528913721804</v>
      </c>
      <c r="C57" s="439">
        <v>273.73253919612904</v>
      </c>
      <c r="D57" s="439">
        <v>1629</v>
      </c>
      <c r="E57" s="439">
        <v>90</v>
      </c>
      <c r="F57" s="439">
        <v>47</v>
      </c>
      <c r="G57" s="439">
        <v>50</v>
      </c>
      <c r="H57" s="439">
        <v>21.4</v>
      </c>
      <c r="I57" s="439">
        <v>6</v>
      </c>
      <c r="J57" s="439">
        <f t="shared" si="3"/>
        <v>2117.1325391961291</v>
      </c>
      <c r="K57" s="439">
        <f t="shared" si="4"/>
        <v>-1558.6372500589109</v>
      </c>
    </row>
    <row r="58" spans="1:12" s="12" customFormat="1" ht="12.75">
      <c r="A58" s="223" t="s">
        <v>798</v>
      </c>
      <c r="B58" s="439">
        <v>895.66036016868861</v>
      </c>
      <c r="C58" s="439">
        <v>253.48274740718693</v>
      </c>
      <c r="D58" s="439">
        <v>100</v>
      </c>
      <c r="E58" s="439">
        <v>100</v>
      </c>
      <c r="F58" s="439" t="s">
        <v>181</v>
      </c>
      <c r="G58" s="439">
        <v>2.4</v>
      </c>
      <c r="H58" s="439">
        <v>118</v>
      </c>
      <c r="I58" s="443">
        <v>0.5</v>
      </c>
      <c r="J58" s="439">
        <v>573</v>
      </c>
      <c r="K58" s="439">
        <f t="shared" si="4"/>
        <v>322.66036016868861</v>
      </c>
    </row>
    <row r="59" spans="1:12" s="12" customFormat="1" ht="15.6" customHeight="1">
      <c r="A59" s="223" t="s">
        <v>328</v>
      </c>
      <c r="B59" s="439">
        <v>0</v>
      </c>
      <c r="C59" s="439">
        <v>15.711574053163801</v>
      </c>
      <c r="D59" s="439">
        <v>12</v>
      </c>
      <c r="E59" s="439">
        <v>4</v>
      </c>
      <c r="F59" s="439" t="s">
        <v>181</v>
      </c>
      <c r="G59" s="439">
        <v>1</v>
      </c>
      <c r="H59" s="439" t="s">
        <v>181</v>
      </c>
      <c r="I59" s="439">
        <v>1</v>
      </c>
      <c r="J59" s="439">
        <f t="shared" si="3"/>
        <v>33.711574053163801</v>
      </c>
      <c r="K59" s="439">
        <f>B59-J59</f>
        <v>-33.711574053163801</v>
      </c>
    </row>
    <row r="60" spans="1:12" s="12" customFormat="1" ht="14.25">
      <c r="A60" s="223" t="s">
        <v>1597</v>
      </c>
      <c r="B60" s="439">
        <v>-464.36830006449088</v>
      </c>
      <c r="C60" s="439">
        <v>-464</v>
      </c>
      <c r="D60" s="439" t="s">
        <v>181</v>
      </c>
      <c r="E60" s="439" t="s">
        <v>181</v>
      </c>
      <c r="F60" s="444"/>
      <c r="G60" s="444"/>
      <c r="H60" s="444"/>
      <c r="I60" s="444"/>
      <c r="J60" s="439">
        <f t="shared" si="3"/>
        <v>-464</v>
      </c>
      <c r="K60" s="439">
        <f t="shared" si="4"/>
        <v>-0.3683000644908816</v>
      </c>
    </row>
    <row r="61" spans="1:12" s="12" customFormat="1" ht="12.75">
      <c r="A61" s="191" t="s">
        <v>173</v>
      </c>
      <c r="B61" s="453">
        <f t="shared" ref="B61:K61" si="5">SUM(B55:B60)</f>
        <v>8947.7039688391997</v>
      </c>
      <c r="C61" s="453">
        <f t="shared" si="5"/>
        <v>5301.6552244950162</v>
      </c>
      <c r="D61" s="453">
        <f t="shared" si="5"/>
        <v>3063</v>
      </c>
      <c r="E61" s="453">
        <f t="shared" si="5"/>
        <v>1495</v>
      </c>
      <c r="F61" s="453">
        <f t="shared" si="5"/>
        <v>66</v>
      </c>
      <c r="G61" s="453">
        <f t="shared" si="5"/>
        <v>667.4</v>
      </c>
      <c r="H61" s="453">
        <f t="shared" si="5"/>
        <v>233.4</v>
      </c>
      <c r="I61" s="453">
        <f t="shared" si="5"/>
        <v>18.5</v>
      </c>
      <c r="J61" s="453">
        <f t="shared" si="5"/>
        <v>10843.57247708783</v>
      </c>
      <c r="K61" s="453">
        <f t="shared" si="5"/>
        <v>-1895.8685082486309</v>
      </c>
    </row>
    <row r="62" spans="1:12" s="12" customFormat="1" ht="12.75">
      <c r="A62" s="640" t="s">
        <v>1215</v>
      </c>
      <c r="B62" s="640"/>
      <c r="C62" s="640"/>
      <c r="D62" s="640"/>
      <c r="E62" s="640"/>
      <c r="F62" s="640"/>
      <c r="G62" s="640"/>
      <c r="H62" s="640"/>
      <c r="I62" s="640"/>
      <c r="J62" s="640"/>
      <c r="K62" s="640"/>
    </row>
    <row r="63" spans="1:12" s="12" customFormat="1">
      <c r="A63" s="640" t="s">
        <v>1596</v>
      </c>
      <c r="B63" s="640"/>
      <c r="C63" s="640"/>
      <c r="D63" s="640"/>
      <c r="E63" s="640"/>
      <c r="F63" s="640"/>
      <c r="G63" s="640"/>
      <c r="H63" s="640"/>
      <c r="I63" s="640"/>
      <c r="J63" s="640"/>
      <c r="K63" s="640"/>
      <c r="L63"/>
    </row>
    <row r="64" spans="1:12" ht="36" customHeight="1">
      <c r="A64" s="622" t="s">
        <v>1217</v>
      </c>
      <c r="B64" s="622"/>
      <c r="C64" s="622"/>
      <c r="D64" s="622"/>
      <c r="E64" s="622"/>
      <c r="F64" s="622"/>
      <c r="G64" s="622"/>
      <c r="H64" s="622"/>
      <c r="I64" s="622"/>
      <c r="J64" s="622"/>
      <c r="K64" s="622"/>
      <c r="L64" s="31"/>
    </row>
    <row r="65" spans="1:11" ht="14.65" customHeight="1">
      <c r="A65" s="640" t="s">
        <v>1218</v>
      </c>
      <c r="B65" s="640"/>
      <c r="C65" s="640"/>
      <c r="D65" s="640"/>
      <c r="E65" s="640"/>
      <c r="F65" s="640"/>
      <c r="G65" s="640"/>
      <c r="H65" s="640"/>
      <c r="I65" s="640"/>
      <c r="J65" s="640"/>
      <c r="K65" s="640"/>
    </row>
    <row r="66" spans="1:11" ht="13.15" customHeight="1">
      <c r="A66" s="640" t="s">
        <v>1219</v>
      </c>
      <c r="B66" s="640"/>
      <c r="C66" s="640"/>
      <c r="D66" s="640"/>
      <c r="E66" s="640"/>
      <c r="F66" s="640"/>
      <c r="G66" s="640"/>
      <c r="H66" s="640"/>
      <c r="I66" s="640"/>
      <c r="J66" s="640"/>
      <c r="K66" s="640"/>
    </row>
    <row r="67" spans="1:11">
      <c r="A67" s="640" t="s">
        <v>1220</v>
      </c>
      <c r="B67" s="640"/>
      <c r="C67" s="640"/>
      <c r="D67" s="640"/>
      <c r="E67" s="640"/>
      <c r="F67" s="640"/>
      <c r="G67" s="640"/>
      <c r="H67" s="640"/>
      <c r="I67" s="640"/>
      <c r="J67" s="640"/>
      <c r="K67" s="640"/>
    </row>
    <row r="68" spans="1:11">
      <c r="A68" s="640" t="s">
        <v>1221</v>
      </c>
      <c r="B68" s="640"/>
      <c r="C68" s="640"/>
      <c r="D68" s="640"/>
      <c r="E68" s="640"/>
      <c r="F68" s="640"/>
      <c r="G68" s="640"/>
      <c r="H68" s="640"/>
      <c r="I68" s="640"/>
      <c r="J68" s="640"/>
      <c r="K68" s="640"/>
    </row>
    <row r="69" spans="1:11" ht="18">
      <c r="A69" s="8"/>
      <c r="B69" s="7"/>
      <c r="C69" s="7"/>
      <c r="D69" s="7"/>
      <c r="E69" s="7"/>
      <c r="F69" s="7"/>
      <c r="G69" s="7"/>
      <c r="H69" s="7"/>
    </row>
    <row r="70" spans="1:11" ht="17.25">
      <c r="A70" s="621" t="s">
        <v>1224</v>
      </c>
      <c r="B70" s="621"/>
      <c r="C70" s="621"/>
      <c r="D70" s="621"/>
      <c r="E70" s="621"/>
      <c r="F70" s="621"/>
      <c r="G70" s="621"/>
      <c r="H70" s="621"/>
      <c r="I70" s="621"/>
      <c r="J70" s="621"/>
      <c r="K70" s="621"/>
    </row>
    <row r="71" spans="1:11" s="12" customFormat="1" ht="39.6" customHeight="1">
      <c r="A71" s="757"/>
      <c r="B71" s="174" t="s">
        <v>1204</v>
      </c>
      <c r="C71" s="624" t="s">
        <v>1205</v>
      </c>
      <c r="D71" s="624"/>
      <c r="E71" s="624"/>
      <c r="F71" s="624"/>
      <c r="G71" s="624"/>
      <c r="H71" s="624"/>
      <c r="I71" s="624"/>
      <c r="J71" s="624"/>
      <c r="K71" s="624" t="s">
        <v>1206</v>
      </c>
    </row>
    <row r="72" spans="1:11" s="12" customFormat="1" ht="15" customHeight="1">
      <c r="A72" s="757"/>
      <c r="B72" s="743" t="s">
        <v>1207</v>
      </c>
      <c r="C72" s="743" t="s">
        <v>1208</v>
      </c>
      <c r="D72" s="743"/>
      <c r="E72" s="743" t="s">
        <v>1209</v>
      </c>
      <c r="F72" s="743"/>
      <c r="G72" s="743" t="s">
        <v>1210</v>
      </c>
      <c r="H72" s="743" t="s">
        <v>1211</v>
      </c>
      <c r="I72" s="743" t="s">
        <v>1212</v>
      </c>
      <c r="J72" s="743" t="s">
        <v>173</v>
      </c>
      <c r="K72" s="624"/>
    </row>
    <row r="73" spans="1:11" s="12" customFormat="1" ht="25.5">
      <c r="A73" s="757"/>
      <c r="B73" s="743"/>
      <c r="C73" s="433" t="s">
        <v>1213</v>
      </c>
      <c r="D73" s="433" t="s">
        <v>1214</v>
      </c>
      <c r="E73" s="433" t="s">
        <v>1213</v>
      </c>
      <c r="F73" s="433" t="s">
        <v>1214</v>
      </c>
      <c r="G73" s="743"/>
      <c r="H73" s="743"/>
      <c r="I73" s="743"/>
      <c r="J73" s="743"/>
      <c r="K73" s="624"/>
    </row>
    <row r="74" spans="1:11" s="12" customFormat="1" ht="12.75">
      <c r="A74" s="223" t="s">
        <v>256</v>
      </c>
      <c r="B74" s="439">
        <v>1973</v>
      </c>
      <c r="C74" s="439">
        <v>947</v>
      </c>
      <c r="D74" s="439">
        <v>215</v>
      </c>
      <c r="E74" s="439">
        <v>178</v>
      </c>
      <c r="F74" s="439">
        <v>3</v>
      </c>
      <c r="G74" s="439" t="s">
        <v>1225</v>
      </c>
      <c r="H74" s="439">
        <v>96</v>
      </c>
      <c r="I74" s="439" t="s">
        <v>1226</v>
      </c>
      <c r="J74" s="439">
        <v>1439</v>
      </c>
      <c r="K74" s="439">
        <v>534</v>
      </c>
    </row>
    <row r="75" spans="1:11" s="12" customFormat="1" ht="12.75">
      <c r="A75" s="223" t="s">
        <v>737</v>
      </c>
      <c r="B75" s="439">
        <v>9503</v>
      </c>
      <c r="C75" s="439">
        <v>5080</v>
      </c>
      <c r="D75" s="439">
        <v>1091</v>
      </c>
      <c r="E75" s="439">
        <v>1163</v>
      </c>
      <c r="F75" s="439">
        <v>15</v>
      </c>
      <c r="G75" s="439">
        <v>714</v>
      </c>
      <c r="H75" s="439">
        <v>360</v>
      </c>
      <c r="I75" s="439">
        <v>10</v>
      </c>
      <c r="J75" s="439">
        <v>8423</v>
      </c>
      <c r="K75" s="439">
        <v>1080</v>
      </c>
    </row>
    <row r="76" spans="1:11" s="12" customFormat="1" ht="12.75">
      <c r="A76" s="223" t="s">
        <v>271</v>
      </c>
      <c r="B76" s="439">
        <v>711</v>
      </c>
      <c r="C76" s="439">
        <v>397</v>
      </c>
      <c r="D76" s="439">
        <v>424</v>
      </c>
      <c r="E76" s="439">
        <v>104</v>
      </c>
      <c r="F76" s="439">
        <v>28</v>
      </c>
      <c r="G76" s="439" t="s">
        <v>1227</v>
      </c>
      <c r="H76" s="439">
        <v>76</v>
      </c>
      <c r="I76" s="439">
        <v>5</v>
      </c>
      <c r="J76" s="439">
        <v>1029</v>
      </c>
      <c r="K76" s="439">
        <v>-318</v>
      </c>
    </row>
    <row r="77" spans="1:11" s="12" customFormat="1" ht="15.6" customHeight="1">
      <c r="A77" s="223" t="s">
        <v>798</v>
      </c>
      <c r="B77" s="439">
        <v>1027</v>
      </c>
      <c r="C77" s="439">
        <v>272</v>
      </c>
      <c r="D77" s="439">
        <v>107</v>
      </c>
      <c r="E77" s="439">
        <v>103</v>
      </c>
      <c r="F77" s="439" t="s">
        <v>1228</v>
      </c>
      <c r="G77" s="439" t="s">
        <v>1227</v>
      </c>
      <c r="H77" s="439">
        <v>248</v>
      </c>
      <c r="I77" s="439">
        <v>2</v>
      </c>
      <c r="J77" s="439">
        <v>730</v>
      </c>
      <c r="K77" s="439">
        <v>297</v>
      </c>
    </row>
    <row r="78" spans="1:11" s="12" customFormat="1" ht="12.75">
      <c r="A78" s="223" t="s">
        <v>328</v>
      </c>
      <c r="B78" s="439" t="s">
        <v>1226</v>
      </c>
      <c r="C78" s="439">
        <v>9</v>
      </c>
      <c r="D78" s="439">
        <v>23</v>
      </c>
      <c r="E78" s="439">
        <v>7</v>
      </c>
      <c r="F78" s="439" t="s">
        <v>1228</v>
      </c>
      <c r="G78" s="439" t="s">
        <v>1227</v>
      </c>
      <c r="H78" s="439" t="s">
        <v>1229</v>
      </c>
      <c r="I78" s="439">
        <v>3</v>
      </c>
      <c r="J78" s="439">
        <v>39</v>
      </c>
      <c r="K78" s="439">
        <v>-39</v>
      </c>
    </row>
    <row r="79" spans="1:11" s="12" customFormat="1" ht="14.25">
      <c r="A79" s="223" t="s">
        <v>1597</v>
      </c>
      <c r="B79" s="439">
        <v>-650</v>
      </c>
      <c r="C79" s="439">
        <v>-650</v>
      </c>
      <c r="D79" s="439" t="s">
        <v>1227</v>
      </c>
      <c r="E79" s="439" t="s">
        <v>1230</v>
      </c>
      <c r="F79" s="444"/>
      <c r="G79" s="444"/>
      <c r="H79" s="444"/>
      <c r="I79" s="444"/>
      <c r="J79" s="439">
        <v>-650</v>
      </c>
      <c r="K79" s="439" t="s">
        <v>1231</v>
      </c>
    </row>
    <row r="80" spans="1:11" s="12" customFormat="1" ht="15.6" customHeight="1">
      <c r="A80" s="191" t="s">
        <v>173</v>
      </c>
      <c r="B80" s="453">
        <v>12564</v>
      </c>
      <c r="C80" s="453">
        <v>6055</v>
      </c>
      <c r="D80" s="453">
        <v>1860</v>
      </c>
      <c r="E80" s="453">
        <v>1555</v>
      </c>
      <c r="F80" s="453">
        <v>46</v>
      </c>
      <c r="G80" s="453">
        <v>714</v>
      </c>
      <c r="H80" s="453">
        <v>780</v>
      </c>
      <c r="I80" s="453">
        <v>22</v>
      </c>
      <c r="J80" s="453">
        <v>11010</v>
      </c>
      <c r="K80" s="453">
        <v>1554</v>
      </c>
    </row>
    <row r="81" spans="1:12" s="12" customFormat="1" ht="15.6" customHeight="1">
      <c r="A81" s="640" t="s">
        <v>1215</v>
      </c>
      <c r="B81" s="640"/>
      <c r="C81" s="640"/>
      <c r="D81" s="640"/>
      <c r="E81" s="640"/>
      <c r="F81" s="640"/>
      <c r="G81" s="640"/>
      <c r="H81" s="640"/>
      <c r="I81" s="640"/>
      <c r="J81" s="640"/>
      <c r="K81" s="640"/>
    </row>
    <row r="82" spans="1:12">
      <c r="A82" s="640" t="s">
        <v>1216</v>
      </c>
      <c r="B82" s="640"/>
      <c r="C82" s="640"/>
      <c r="D82" s="640"/>
      <c r="E82" s="640"/>
      <c r="F82" s="640"/>
      <c r="G82" s="640"/>
      <c r="H82" s="640"/>
      <c r="I82" s="640"/>
      <c r="J82" s="640"/>
      <c r="K82" s="640"/>
    </row>
    <row r="83" spans="1:12" ht="38.65" customHeight="1">
      <c r="A83" s="622" t="s">
        <v>1217</v>
      </c>
      <c r="B83" s="622"/>
      <c r="C83" s="622"/>
      <c r="D83" s="622"/>
      <c r="E83" s="622"/>
      <c r="F83" s="622"/>
      <c r="G83" s="622"/>
      <c r="H83" s="622"/>
      <c r="I83" s="622"/>
      <c r="J83" s="622"/>
      <c r="K83" s="622"/>
      <c r="L83" s="31"/>
    </row>
    <row r="84" spans="1:12">
      <c r="A84" s="640" t="s">
        <v>1218</v>
      </c>
      <c r="B84" s="640"/>
      <c r="C84" s="640"/>
      <c r="D84" s="640"/>
      <c r="E84" s="640"/>
      <c r="F84" s="640"/>
      <c r="G84" s="640"/>
      <c r="H84" s="640"/>
      <c r="I84" s="640"/>
      <c r="J84" s="640"/>
      <c r="K84" s="640"/>
    </row>
    <row r="85" spans="1:12">
      <c r="A85" s="640" t="s">
        <v>1219</v>
      </c>
      <c r="B85" s="640"/>
      <c r="C85" s="640"/>
      <c r="D85" s="640"/>
      <c r="E85" s="640"/>
      <c r="F85" s="640"/>
      <c r="G85" s="640"/>
      <c r="H85" s="640"/>
      <c r="I85" s="640"/>
      <c r="J85" s="640"/>
      <c r="K85" s="640"/>
    </row>
    <row r="86" spans="1:12">
      <c r="A86" s="640" t="s">
        <v>1220</v>
      </c>
      <c r="B86" s="640"/>
      <c r="C86" s="640"/>
      <c r="D86" s="640"/>
      <c r="E86" s="640"/>
      <c r="F86" s="640"/>
      <c r="G86" s="640"/>
      <c r="H86" s="640"/>
      <c r="I86" s="640"/>
      <c r="J86" s="640"/>
      <c r="K86" s="640"/>
    </row>
    <row r="87" spans="1:12">
      <c r="A87" s="640" t="s">
        <v>1221</v>
      </c>
      <c r="B87" s="640"/>
      <c r="C87" s="640"/>
      <c r="D87" s="640"/>
      <c r="E87" s="640"/>
      <c r="F87" s="640"/>
      <c r="G87" s="640"/>
      <c r="H87" s="640"/>
      <c r="I87" s="640"/>
      <c r="J87" s="640"/>
      <c r="K87" s="640"/>
    </row>
    <row r="88" spans="1:12" ht="18">
      <c r="A88" s="8"/>
      <c r="B88" s="7"/>
      <c r="C88" s="7"/>
      <c r="D88" s="7"/>
      <c r="E88" s="7"/>
      <c r="F88" s="7"/>
      <c r="G88" s="7"/>
      <c r="H88" s="7"/>
    </row>
    <row r="89" spans="1:12" ht="17.25">
      <c r="A89" s="619" t="s">
        <v>1232</v>
      </c>
      <c r="B89" s="619"/>
      <c r="C89" s="619"/>
      <c r="D89" s="619"/>
      <c r="E89" s="619"/>
      <c r="F89" s="619"/>
      <c r="G89" s="619"/>
      <c r="H89" s="619"/>
      <c r="I89" s="619"/>
      <c r="J89" s="619"/>
      <c r="K89" s="619"/>
    </row>
    <row r="90" spans="1:12" ht="42" customHeight="1">
      <c r="A90" s="757"/>
      <c r="B90" s="174" t="s">
        <v>1204</v>
      </c>
      <c r="C90" s="624" t="s">
        <v>1205</v>
      </c>
      <c r="D90" s="624"/>
      <c r="E90" s="624"/>
      <c r="F90" s="624"/>
      <c r="G90" s="624"/>
      <c r="H90" s="624"/>
      <c r="I90" s="624"/>
      <c r="J90" s="624"/>
      <c r="K90" s="624" t="s">
        <v>1206</v>
      </c>
    </row>
    <row r="91" spans="1:12" ht="29.65" customHeight="1">
      <c r="A91" s="757"/>
      <c r="B91" s="743" t="s">
        <v>1207</v>
      </c>
      <c r="C91" s="743" t="s">
        <v>1208</v>
      </c>
      <c r="D91" s="743"/>
      <c r="E91" s="743" t="s">
        <v>1209</v>
      </c>
      <c r="F91" s="743"/>
      <c r="G91" s="743" t="s">
        <v>1210</v>
      </c>
      <c r="H91" s="743" t="s">
        <v>1211</v>
      </c>
      <c r="I91" s="743" t="s">
        <v>1212</v>
      </c>
      <c r="J91" s="743" t="s">
        <v>173</v>
      </c>
      <c r="K91" s="624"/>
    </row>
    <row r="92" spans="1:12" ht="25.5">
      <c r="A92" s="757"/>
      <c r="B92" s="743"/>
      <c r="C92" s="433" t="s">
        <v>1213</v>
      </c>
      <c r="D92" s="433" t="s">
        <v>1214</v>
      </c>
      <c r="E92" s="433" t="s">
        <v>1213</v>
      </c>
      <c r="F92" s="433" t="s">
        <v>1214</v>
      </c>
      <c r="G92" s="743"/>
      <c r="H92" s="743"/>
      <c r="I92" s="743"/>
      <c r="J92" s="743"/>
      <c r="K92" s="624"/>
    </row>
    <row r="93" spans="1:12">
      <c r="A93" s="223" t="s">
        <v>256</v>
      </c>
      <c r="B93" s="445">
        <v>9182</v>
      </c>
      <c r="C93" s="445">
        <v>4573</v>
      </c>
      <c r="D93" s="445">
        <v>1287.0134685800001</v>
      </c>
      <c r="E93" s="445">
        <v>1073</v>
      </c>
      <c r="F93" s="445">
        <v>8.9865314200000022</v>
      </c>
      <c r="G93" s="445">
        <v>987.81439411923498</v>
      </c>
      <c r="H93" s="445">
        <v>396</v>
      </c>
      <c r="I93" s="445">
        <v>7</v>
      </c>
      <c r="J93" s="445">
        <v>8332.8143941192357</v>
      </c>
      <c r="K93" s="439">
        <v>545</v>
      </c>
    </row>
    <row r="94" spans="1:12">
      <c r="A94" s="223" t="s">
        <v>737</v>
      </c>
      <c r="B94" s="445">
        <v>1865</v>
      </c>
      <c r="C94" s="445">
        <v>792</v>
      </c>
      <c r="D94" s="445">
        <v>76.34178453941</v>
      </c>
      <c r="E94" s="445">
        <v>161</v>
      </c>
      <c r="F94" s="445">
        <v>5.6582154605899992</v>
      </c>
      <c r="G94" s="445">
        <v>0</v>
      </c>
      <c r="H94" s="445">
        <v>284</v>
      </c>
      <c r="I94" s="445">
        <v>1</v>
      </c>
      <c r="J94" s="445">
        <v>1320.0000000000002</v>
      </c>
      <c r="K94" s="439">
        <v>849</v>
      </c>
    </row>
    <row r="95" spans="1:12">
      <c r="A95" s="223" t="s">
        <v>271</v>
      </c>
      <c r="B95" s="445">
        <v>731</v>
      </c>
      <c r="C95" s="445">
        <v>407</v>
      </c>
      <c r="D95" s="445">
        <v>172.65714120154001</v>
      </c>
      <c r="E95" s="445">
        <v>106</v>
      </c>
      <c r="F95" s="445">
        <v>12.34285879846</v>
      </c>
      <c r="G95" s="445">
        <v>0</v>
      </c>
      <c r="H95" s="445">
        <v>1</v>
      </c>
      <c r="I95" s="445">
        <v>4</v>
      </c>
      <c r="J95" s="445">
        <v>703.00000000000011</v>
      </c>
      <c r="K95" s="439">
        <v>28</v>
      </c>
    </row>
    <row r="96" spans="1:12">
      <c r="A96" s="223" t="s">
        <v>798</v>
      </c>
      <c r="B96" s="445">
        <v>905</v>
      </c>
      <c r="C96" s="445">
        <v>253</v>
      </c>
      <c r="D96" s="445">
        <v>58</v>
      </c>
      <c r="E96" s="445">
        <v>101</v>
      </c>
      <c r="F96" s="445">
        <v>0</v>
      </c>
      <c r="G96" s="445">
        <v>0</v>
      </c>
      <c r="H96" s="445">
        <v>198</v>
      </c>
      <c r="I96" s="445">
        <v>0</v>
      </c>
      <c r="J96" s="445">
        <v>610</v>
      </c>
      <c r="K96" s="439">
        <v>295</v>
      </c>
    </row>
    <row r="97" spans="1:11">
      <c r="A97" s="223" t="s">
        <v>328</v>
      </c>
      <c r="B97" s="445">
        <v>0</v>
      </c>
      <c r="C97" s="445">
        <v>8</v>
      </c>
      <c r="D97" s="445">
        <v>0</v>
      </c>
      <c r="E97" s="445">
        <v>8</v>
      </c>
      <c r="F97" s="445">
        <v>0</v>
      </c>
      <c r="G97" s="445">
        <v>0</v>
      </c>
      <c r="H97" s="445">
        <v>0</v>
      </c>
      <c r="I97" s="445">
        <v>1</v>
      </c>
      <c r="J97" s="445">
        <v>17</v>
      </c>
      <c r="K97" s="439">
        <v>-17</v>
      </c>
    </row>
    <row r="98" spans="1:11">
      <c r="A98" s="223" t="s">
        <v>1597</v>
      </c>
      <c r="B98" s="445">
        <v>-635</v>
      </c>
      <c r="C98" s="445">
        <v>-635</v>
      </c>
      <c r="D98" s="445">
        <v>0</v>
      </c>
      <c r="E98" s="445">
        <v>0</v>
      </c>
      <c r="F98" s="445"/>
      <c r="G98" s="445"/>
      <c r="H98" s="445"/>
      <c r="I98" s="445"/>
      <c r="J98" s="445">
        <v>-635</v>
      </c>
      <c r="K98" s="439" t="s">
        <v>1231</v>
      </c>
    </row>
    <row r="99" spans="1:11">
      <c r="A99" s="191" t="s">
        <v>173</v>
      </c>
      <c r="B99" s="456">
        <f t="shared" ref="B99:J99" si="6">SUM(B93:B98)</f>
        <v>12048</v>
      </c>
      <c r="C99" s="456">
        <f t="shared" si="6"/>
        <v>5398</v>
      </c>
      <c r="D99" s="456">
        <f t="shared" si="6"/>
        <v>1594.0123943209501</v>
      </c>
      <c r="E99" s="456">
        <f t="shared" si="6"/>
        <v>1449</v>
      </c>
      <c r="F99" s="456">
        <f t="shared" si="6"/>
        <v>26.987605679050002</v>
      </c>
      <c r="G99" s="456">
        <f t="shared" si="6"/>
        <v>987.81439411923498</v>
      </c>
      <c r="H99" s="456">
        <f t="shared" si="6"/>
        <v>879</v>
      </c>
      <c r="I99" s="456">
        <f t="shared" si="6"/>
        <v>13</v>
      </c>
      <c r="J99" s="456">
        <f t="shared" si="6"/>
        <v>10347.814394119236</v>
      </c>
      <c r="K99" s="457">
        <v>1700</v>
      </c>
    </row>
    <row r="100" spans="1:11">
      <c r="A100" s="640" t="s">
        <v>1215</v>
      </c>
      <c r="B100" s="640"/>
      <c r="C100" s="640"/>
      <c r="D100" s="640"/>
      <c r="E100" s="640"/>
      <c r="F100" s="640"/>
      <c r="G100" s="640"/>
      <c r="H100" s="640"/>
      <c r="I100" s="640"/>
      <c r="J100" s="640"/>
      <c r="K100" s="640"/>
    </row>
    <row r="101" spans="1:11">
      <c r="A101" s="640" t="s">
        <v>1216</v>
      </c>
      <c r="B101" s="640"/>
      <c r="C101" s="640"/>
      <c r="D101" s="640"/>
      <c r="E101" s="640"/>
      <c r="F101" s="640"/>
      <c r="G101" s="640"/>
      <c r="H101" s="640"/>
      <c r="I101" s="640"/>
      <c r="J101" s="640"/>
      <c r="K101" s="640"/>
    </row>
    <row r="102" spans="1:11" ht="33.6" customHeight="1">
      <c r="A102" s="622" t="s">
        <v>1217</v>
      </c>
      <c r="B102" s="622"/>
      <c r="C102" s="622"/>
      <c r="D102" s="622"/>
      <c r="E102" s="622"/>
      <c r="F102" s="622"/>
      <c r="G102" s="622"/>
      <c r="H102" s="622"/>
      <c r="I102" s="622"/>
      <c r="J102" s="622"/>
      <c r="K102" s="622"/>
    </row>
    <row r="103" spans="1:11" ht="13.5" customHeight="1">
      <c r="A103" s="640" t="s">
        <v>1218</v>
      </c>
      <c r="B103" s="640"/>
      <c r="C103" s="640"/>
      <c r="D103" s="640"/>
      <c r="E103" s="640"/>
      <c r="F103" s="640"/>
      <c r="G103" s="640"/>
      <c r="H103" s="640"/>
      <c r="I103" s="640"/>
      <c r="J103" s="640"/>
      <c r="K103" s="640"/>
    </row>
    <row r="104" spans="1:11">
      <c r="A104" s="640" t="s">
        <v>1219</v>
      </c>
      <c r="B104" s="640"/>
      <c r="C104" s="640"/>
      <c r="D104" s="640"/>
      <c r="E104" s="640"/>
      <c r="F104" s="640"/>
      <c r="G104" s="640"/>
      <c r="H104" s="640"/>
      <c r="I104" s="640"/>
      <c r="J104" s="640"/>
      <c r="K104" s="640"/>
    </row>
    <row r="105" spans="1:11">
      <c r="A105" s="640" t="s">
        <v>1220</v>
      </c>
      <c r="B105" s="640"/>
      <c r="C105" s="640"/>
      <c r="D105" s="640"/>
      <c r="E105" s="640"/>
      <c r="F105" s="640"/>
      <c r="G105" s="640"/>
      <c r="H105" s="640"/>
      <c r="I105" s="640"/>
      <c r="J105" s="640"/>
      <c r="K105" s="640"/>
    </row>
    <row r="106" spans="1:11">
      <c r="A106" s="640" t="s">
        <v>1221</v>
      </c>
      <c r="B106" s="640"/>
      <c r="C106" s="640"/>
      <c r="D106" s="640"/>
      <c r="E106" s="640"/>
      <c r="F106" s="640"/>
      <c r="G106" s="640"/>
      <c r="H106" s="640"/>
      <c r="I106" s="640"/>
      <c r="J106" s="640"/>
      <c r="K106" s="640"/>
    </row>
    <row r="107" spans="1:11" ht="18">
      <c r="A107" s="8"/>
      <c r="B107" s="7"/>
      <c r="C107" s="7"/>
      <c r="D107" s="7"/>
      <c r="E107" s="7"/>
      <c r="F107" s="7"/>
      <c r="G107" s="7"/>
      <c r="H107" s="7"/>
    </row>
    <row r="108" spans="1:11" ht="17.25">
      <c r="A108" s="619" t="s">
        <v>1233</v>
      </c>
      <c r="B108" s="619"/>
      <c r="C108" s="619"/>
      <c r="D108" s="619"/>
      <c r="E108" s="619"/>
      <c r="F108" s="619"/>
      <c r="G108" s="619"/>
      <c r="H108" s="619"/>
      <c r="I108" s="619"/>
      <c r="J108" s="619"/>
      <c r="K108" s="619"/>
    </row>
    <row r="109" spans="1:11" ht="42.4" customHeight="1">
      <c r="A109" s="757"/>
      <c r="B109" s="174" t="s">
        <v>1204</v>
      </c>
      <c r="C109" s="624" t="s">
        <v>1205</v>
      </c>
      <c r="D109" s="624"/>
      <c r="E109" s="624"/>
      <c r="F109" s="624"/>
      <c r="G109" s="624"/>
      <c r="H109" s="624"/>
      <c r="I109" s="624"/>
      <c r="J109" s="624"/>
      <c r="K109" s="624" t="s">
        <v>1206</v>
      </c>
    </row>
    <row r="110" spans="1:11" ht="27.4" customHeight="1">
      <c r="A110" s="757"/>
      <c r="B110" s="743" t="s">
        <v>1207</v>
      </c>
      <c r="C110" s="743" t="s">
        <v>1208</v>
      </c>
      <c r="D110" s="743"/>
      <c r="E110" s="743" t="s">
        <v>1209</v>
      </c>
      <c r="F110" s="743"/>
      <c r="G110" s="743" t="s">
        <v>1210</v>
      </c>
      <c r="H110" s="743" t="s">
        <v>1211</v>
      </c>
      <c r="I110" s="743" t="s">
        <v>1212</v>
      </c>
      <c r="J110" s="743" t="s">
        <v>173</v>
      </c>
      <c r="K110" s="624"/>
    </row>
    <row r="111" spans="1:11" ht="28.15" customHeight="1">
      <c r="A111" s="757"/>
      <c r="B111" s="743"/>
      <c r="C111" s="433" t="s">
        <v>1213</v>
      </c>
      <c r="D111" s="433" t="s">
        <v>1214</v>
      </c>
      <c r="E111" s="433" t="s">
        <v>1213</v>
      </c>
      <c r="F111" s="433" t="s">
        <v>1214</v>
      </c>
      <c r="G111" s="743"/>
      <c r="H111" s="743"/>
      <c r="I111" s="743"/>
      <c r="J111" s="743"/>
      <c r="K111" s="624"/>
    </row>
    <row r="112" spans="1:11">
      <c r="A112" s="223" t="s">
        <v>256</v>
      </c>
      <c r="B112" s="445">
        <v>1527</v>
      </c>
      <c r="C112" s="445">
        <v>732</v>
      </c>
      <c r="D112" s="445">
        <v>56.016068575360002</v>
      </c>
      <c r="E112" s="445">
        <v>158</v>
      </c>
      <c r="F112" s="445">
        <v>4.9839314246399997</v>
      </c>
      <c r="G112" s="446" t="s">
        <v>181</v>
      </c>
      <c r="H112" s="445">
        <v>120</v>
      </c>
      <c r="I112" s="445">
        <v>1</v>
      </c>
      <c r="J112" s="445">
        <v>1072</v>
      </c>
      <c r="K112" s="439">
        <v>455</v>
      </c>
    </row>
    <row r="113" spans="1:11">
      <c r="A113" s="223" t="s">
        <v>737</v>
      </c>
      <c r="B113" s="445">
        <v>6982</v>
      </c>
      <c r="C113" s="445">
        <v>3967</v>
      </c>
      <c r="D113" s="445">
        <v>1177.8141991499999</v>
      </c>
      <c r="E113" s="445">
        <v>1056</v>
      </c>
      <c r="F113" s="445">
        <v>9.1858008499999997</v>
      </c>
      <c r="G113" s="445">
        <v>629</v>
      </c>
      <c r="H113" s="445">
        <v>124</v>
      </c>
      <c r="I113" s="445">
        <v>5</v>
      </c>
      <c r="J113" s="445">
        <v>6968</v>
      </c>
      <c r="K113" s="439">
        <v>14</v>
      </c>
    </row>
    <row r="114" spans="1:11">
      <c r="A114" s="223" t="s">
        <v>271</v>
      </c>
      <c r="B114" s="445">
        <v>630</v>
      </c>
      <c r="C114" s="445">
        <v>430</v>
      </c>
      <c r="D114" s="445">
        <v>94.401034559999999</v>
      </c>
      <c r="E114" s="445">
        <v>81</v>
      </c>
      <c r="F114" s="445">
        <v>10.598965440000001</v>
      </c>
      <c r="G114" s="446" t="s">
        <v>181</v>
      </c>
      <c r="H114" s="445">
        <v>-60</v>
      </c>
      <c r="I114" s="445">
        <v>4</v>
      </c>
      <c r="J114" s="445">
        <v>560</v>
      </c>
      <c r="K114" s="439">
        <v>70</v>
      </c>
    </row>
    <row r="115" spans="1:11">
      <c r="A115" s="223" t="s">
        <v>798</v>
      </c>
      <c r="B115" s="445">
        <v>591</v>
      </c>
      <c r="C115" s="445">
        <v>228</v>
      </c>
      <c r="D115" s="445">
        <v>63</v>
      </c>
      <c r="E115" s="445">
        <v>85</v>
      </c>
      <c r="F115" s="446" t="s">
        <v>181</v>
      </c>
      <c r="G115" s="446" t="s">
        <v>181</v>
      </c>
      <c r="H115" s="445">
        <v>88</v>
      </c>
      <c r="I115" s="446" t="s">
        <v>181</v>
      </c>
      <c r="J115" s="445">
        <v>464</v>
      </c>
      <c r="K115" s="439">
        <v>127</v>
      </c>
    </row>
    <row r="116" spans="1:11">
      <c r="A116" s="223" t="s">
        <v>328</v>
      </c>
      <c r="B116" s="446" t="s">
        <v>181</v>
      </c>
      <c r="C116" s="445">
        <v>4</v>
      </c>
      <c r="D116" s="446" t="s">
        <v>181</v>
      </c>
      <c r="E116" s="445">
        <v>2</v>
      </c>
      <c r="F116" s="446" t="s">
        <v>181</v>
      </c>
      <c r="G116" s="446" t="s">
        <v>181</v>
      </c>
      <c r="H116" s="446" t="s">
        <v>181</v>
      </c>
      <c r="I116" s="445">
        <v>2</v>
      </c>
      <c r="J116" s="445">
        <v>8.1609999999999996</v>
      </c>
      <c r="K116" s="439">
        <v>-8</v>
      </c>
    </row>
    <row r="117" spans="1:11">
      <c r="A117" s="223" t="s">
        <v>1597</v>
      </c>
      <c r="B117" s="445">
        <v>-430</v>
      </c>
      <c r="C117" s="445">
        <v>-430</v>
      </c>
      <c r="D117" s="446" t="s">
        <v>181</v>
      </c>
      <c r="E117" s="446" t="s">
        <v>181</v>
      </c>
      <c r="F117" s="446" t="s">
        <v>181</v>
      </c>
      <c r="G117" s="446" t="s">
        <v>181</v>
      </c>
      <c r="H117" s="446" t="s">
        <v>181</v>
      </c>
      <c r="I117" s="446" t="s">
        <v>181</v>
      </c>
      <c r="J117" s="445">
        <v>-430</v>
      </c>
      <c r="K117" s="439" t="s">
        <v>1231</v>
      </c>
    </row>
    <row r="118" spans="1:11">
      <c r="A118" s="458" t="s">
        <v>173</v>
      </c>
      <c r="B118" s="459">
        <v>9300</v>
      </c>
      <c r="C118" s="456">
        <v>4931</v>
      </c>
      <c r="D118" s="456">
        <v>1391.2313022853598</v>
      </c>
      <c r="E118" s="456">
        <v>1382</v>
      </c>
      <c r="F118" s="460">
        <v>24.768697714639998</v>
      </c>
      <c r="G118" s="456">
        <v>629</v>
      </c>
      <c r="H118" s="456">
        <v>272.161</v>
      </c>
      <c r="I118" s="456">
        <v>12</v>
      </c>
      <c r="J118" s="456">
        <v>8642.1610000000001</v>
      </c>
      <c r="K118" s="453">
        <v>658</v>
      </c>
    </row>
    <row r="119" spans="1:11" ht="13.15" customHeight="1">
      <c r="A119" s="640" t="s">
        <v>1215</v>
      </c>
      <c r="B119" s="640"/>
      <c r="C119" s="640"/>
      <c r="D119" s="640"/>
      <c r="E119" s="640"/>
      <c r="F119" s="640"/>
      <c r="G119" s="640"/>
      <c r="H119" s="640"/>
      <c r="I119" s="640"/>
      <c r="J119" s="640"/>
      <c r="K119" s="640"/>
    </row>
    <row r="120" spans="1:11" ht="12" customHeight="1">
      <c r="A120" s="640" t="s">
        <v>1216</v>
      </c>
      <c r="B120" s="640"/>
      <c r="C120" s="640"/>
      <c r="D120" s="640"/>
      <c r="E120" s="640"/>
      <c r="F120" s="640"/>
      <c r="G120" s="640"/>
      <c r="H120" s="640"/>
      <c r="I120" s="640"/>
      <c r="J120" s="640"/>
      <c r="K120" s="640"/>
    </row>
    <row r="121" spans="1:11" ht="36" customHeight="1">
      <c r="A121" s="622" t="s">
        <v>1217</v>
      </c>
      <c r="B121" s="622"/>
      <c r="C121" s="622"/>
      <c r="D121" s="622"/>
      <c r="E121" s="622"/>
      <c r="F121" s="622"/>
      <c r="G121" s="622"/>
      <c r="H121" s="622"/>
      <c r="I121" s="622"/>
      <c r="J121" s="622"/>
      <c r="K121" s="622"/>
    </row>
    <row r="122" spans="1:11" ht="14.65" customHeight="1">
      <c r="A122" s="640" t="s">
        <v>1218</v>
      </c>
      <c r="B122" s="640"/>
      <c r="C122" s="640"/>
      <c r="D122" s="640"/>
      <c r="E122" s="640"/>
      <c r="F122" s="640"/>
      <c r="G122" s="640"/>
      <c r="H122" s="640"/>
      <c r="I122" s="640"/>
      <c r="J122" s="640"/>
      <c r="K122" s="640"/>
    </row>
    <row r="123" spans="1:11" ht="14.65" customHeight="1">
      <c r="A123" s="640" t="s">
        <v>1219</v>
      </c>
      <c r="B123" s="640"/>
      <c r="C123" s="640"/>
      <c r="D123" s="640"/>
      <c r="E123" s="640"/>
      <c r="F123" s="640"/>
      <c r="G123" s="640"/>
      <c r="H123" s="640"/>
      <c r="I123" s="640"/>
      <c r="J123" s="640"/>
      <c r="K123" s="640"/>
    </row>
    <row r="124" spans="1:11" ht="14.65" customHeight="1">
      <c r="A124" s="640" t="s">
        <v>1220</v>
      </c>
      <c r="B124" s="640"/>
      <c r="C124" s="640"/>
      <c r="D124" s="640"/>
      <c r="E124" s="640"/>
      <c r="F124" s="640"/>
      <c r="G124" s="640"/>
      <c r="H124" s="640"/>
      <c r="I124" s="640"/>
      <c r="J124" s="640"/>
      <c r="K124" s="640"/>
    </row>
    <row r="125" spans="1:11" ht="14.65" customHeight="1">
      <c r="A125" s="640" t="s">
        <v>1221</v>
      </c>
      <c r="B125" s="640"/>
      <c r="C125" s="640"/>
      <c r="D125" s="640"/>
      <c r="E125" s="640"/>
      <c r="F125" s="640"/>
      <c r="G125" s="640"/>
      <c r="H125" s="640"/>
      <c r="I125" s="640"/>
      <c r="J125" s="640"/>
      <c r="K125" s="640"/>
    </row>
    <row r="127" spans="1:11" ht="17.25">
      <c r="A127" s="619" t="s">
        <v>1234</v>
      </c>
      <c r="B127" s="619"/>
      <c r="C127" s="619"/>
      <c r="D127" s="619"/>
      <c r="E127" s="619"/>
      <c r="F127" s="619"/>
      <c r="G127" s="619"/>
      <c r="H127" s="619"/>
    </row>
    <row r="128" spans="1:11">
      <c r="A128" s="177" t="s">
        <v>158</v>
      </c>
      <c r="B128" s="317" t="s">
        <v>1235</v>
      </c>
      <c r="C128" s="317" t="s">
        <v>1236</v>
      </c>
      <c r="D128" s="317" t="s">
        <v>1237</v>
      </c>
      <c r="E128" s="317" t="s">
        <v>1238</v>
      </c>
      <c r="F128" s="317" t="s">
        <v>1239</v>
      </c>
      <c r="G128" s="317" t="s">
        <v>1240</v>
      </c>
      <c r="H128" s="317" t="s">
        <v>1241</v>
      </c>
    </row>
    <row r="129" spans="1:9">
      <c r="A129" s="215" t="s">
        <v>1242</v>
      </c>
      <c r="B129" s="235" t="s">
        <v>815</v>
      </c>
      <c r="C129" s="235" t="s">
        <v>815</v>
      </c>
      <c r="D129" s="253">
        <v>54</v>
      </c>
      <c r="E129" s="219">
        <v>280</v>
      </c>
      <c r="F129" s="219">
        <v>310</v>
      </c>
      <c r="G129" s="219">
        <v>340</v>
      </c>
      <c r="H129" s="219">
        <v>307</v>
      </c>
    </row>
    <row r="130" spans="1:9">
      <c r="A130" s="215" t="s">
        <v>161</v>
      </c>
      <c r="B130" s="235">
        <v>321</v>
      </c>
      <c r="C130" s="235">
        <v>279</v>
      </c>
      <c r="D130" s="253">
        <v>281</v>
      </c>
      <c r="E130" s="219">
        <v>340</v>
      </c>
      <c r="F130" s="219">
        <v>418</v>
      </c>
      <c r="G130" s="219">
        <v>378</v>
      </c>
      <c r="H130" s="219">
        <v>386</v>
      </c>
    </row>
    <row r="131" spans="1:9">
      <c r="A131" s="215" t="s">
        <v>1243</v>
      </c>
      <c r="B131" s="235" t="s">
        <v>815</v>
      </c>
      <c r="C131" s="235" t="s">
        <v>815</v>
      </c>
      <c r="D131" s="218" t="s">
        <v>815</v>
      </c>
      <c r="E131" s="219">
        <v>16</v>
      </c>
      <c r="F131" s="219">
        <v>55</v>
      </c>
      <c r="G131" s="219">
        <v>113</v>
      </c>
      <c r="H131" s="219">
        <v>195</v>
      </c>
    </row>
    <row r="132" spans="1:9">
      <c r="A132" s="215" t="s">
        <v>164</v>
      </c>
      <c r="B132" s="235">
        <v>777</v>
      </c>
      <c r="C132" s="235">
        <v>638</v>
      </c>
      <c r="D132" s="253">
        <v>652</v>
      </c>
      <c r="E132" s="219">
        <v>681</v>
      </c>
      <c r="F132" s="219">
        <v>635</v>
      </c>
      <c r="G132" s="219">
        <v>638</v>
      </c>
      <c r="H132" s="219">
        <v>651</v>
      </c>
    </row>
    <row r="133" spans="1:9">
      <c r="A133" s="215" t="s">
        <v>165</v>
      </c>
      <c r="B133" s="233">
        <v>1146</v>
      </c>
      <c r="C133" s="235">
        <v>704</v>
      </c>
      <c r="D133" s="253">
        <v>780</v>
      </c>
      <c r="E133" s="219">
        <v>763</v>
      </c>
      <c r="F133" s="219">
        <v>735</v>
      </c>
      <c r="G133" s="219">
        <v>711</v>
      </c>
      <c r="H133" s="219">
        <v>729</v>
      </c>
    </row>
    <row r="134" spans="1:9">
      <c r="A134" s="215" t="s">
        <v>166</v>
      </c>
      <c r="B134" s="235">
        <v>487</v>
      </c>
      <c r="C134" s="235">
        <v>417</v>
      </c>
      <c r="D134" s="253">
        <v>404</v>
      </c>
      <c r="E134" s="219">
        <v>442</v>
      </c>
      <c r="F134" s="219">
        <v>438</v>
      </c>
      <c r="G134" s="219">
        <v>422</v>
      </c>
      <c r="H134" s="219">
        <v>415</v>
      </c>
    </row>
    <row r="135" spans="1:9">
      <c r="A135" s="215" t="s">
        <v>182</v>
      </c>
      <c r="B135" s="233">
        <v>1340</v>
      </c>
      <c r="C135" s="235">
        <v>1275</v>
      </c>
      <c r="D135" s="303">
        <v>1262</v>
      </c>
      <c r="E135" s="217">
        <v>1300</v>
      </c>
      <c r="F135" s="217">
        <v>1282</v>
      </c>
      <c r="G135" s="217">
        <v>1260</v>
      </c>
      <c r="H135" s="217">
        <v>1013</v>
      </c>
    </row>
    <row r="136" spans="1:9">
      <c r="A136" s="215" t="s">
        <v>168</v>
      </c>
      <c r="B136" s="235">
        <v>443</v>
      </c>
      <c r="C136" s="235">
        <v>388</v>
      </c>
      <c r="D136" s="253">
        <v>402</v>
      </c>
      <c r="E136" s="219">
        <v>427</v>
      </c>
      <c r="F136" s="219">
        <v>393</v>
      </c>
      <c r="G136" s="219">
        <v>337</v>
      </c>
      <c r="H136" s="219">
        <v>319</v>
      </c>
    </row>
    <row r="137" spans="1:9">
      <c r="A137" s="215" t="s">
        <v>1244</v>
      </c>
      <c r="B137" s="235" t="s">
        <v>815</v>
      </c>
      <c r="C137" s="235" t="s">
        <v>815</v>
      </c>
      <c r="D137" s="218" t="s">
        <v>815</v>
      </c>
      <c r="E137" s="219">
        <v>11</v>
      </c>
      <c r="F137" s="219">
        <v>181</v>
      </c>
      <c r="G137" s="219">
        <v>197</v>
      </c>
      <c r="H137" s="219">
        <v>163</v>
      </c>
    </row>
    <row r="138" spans="1:9">
      <c r="A138" s="215" t="s">
        <v>170</v>
      </c>
      <c r="B138" s="235">
        <v>471</v>
      </c>
      <c r="C138" s="235">
        <v>87</v>
      </c>
      <c r="D138" s="253">
        <v>198</v>
      </c>
      <c r="E138" s="219">
        <v>176</v>
      </c>
      <c r="F138" s="219">
        <v>195</v>
      </c>
      <c r="G138" s="219">
        <v>215</v>
      </c>
      <c r="H138" s="219">
        <v>316</v>
      </c>
    </row>
    <row r="139" spans="1:9">
      <c r="A139" s="215" t="s">
        <v>183</v>
      </c>
      <c r="B139" s="235">
        <v>423</v>
      </c>
      <c r="C139" s="235">
        <v>344</v>
      </c>
      <c r="D139" s="253">
        <v>419</v>
      </c>
      <c r="E139" s="219">
        <v>415</v>
      </c>
      <c r="F139" s="219">
        <v>372</v>
      </c>
      <c r="G139" s="219">
        <v>492</v>
      </c>
      <c r="H139" s="219">
        <v>226</v>
      </c>
    </row>
    <row r="140" spans="1:9">
      <c r="A140" s="215" t="s">
        <v>1245</v>
      </c>
      <c r="B140" s="233">
        <v>1570</v>
      </c>
      <c r="C140" s="235">
        <v>2164</v>
      </c>
      <c r="D140" s="303">
        <v>1416</v>
      </c>
      <c r="E140" s="217">
        <v>1429</v>
      </c>
      <c r="F140" s="217">
        <v>1446</v>
      </c>
      <c r="G140" s="217">
        <v>1410</v>
      </c>
      <c r="H140" s="217">
        <v>1455</v>
      </c>
    </row>
    <row r="141" spans="1:9">
      <c r="A141" s="190" t="s">
        <v>173</v>
      </c>
      <c r="B141" s="409">
        <v>6978</v>
      </c>
      <c r="C141" s="461">
        <f>SUM(C129:C140)</f>
        <v>6296</v>
      </c>
      <c r="D141" s="462">
        <v>5868</v>
      </c>
      <c r="E141" s="396">
        <f>SUM(E129:E140)</f>
        <v>6280</v>
      </c>
      <c r="F141" s="396">
        <f t="shared" ref="F141:H141" si="7">SUM(F129:F140)</f>
        <v>6460</v>
      </c>
      <c r="G141" s="396">
        <f t="shared" si="7"/>
        <v>6513</v>
      </c>
      <c r="H141" s="396">
        <f t="shared" si="7"/>
        <v>6175</v>
      </c>
    </row>
    <row r="142" spans="1:9">
      <c r="A142" s="190" t="s">
        <v>867</v>
      </c>
      <c r="B142" s="463">
        <v>0.55000000000000004</v>
      </c>
      <c r="C142" s="463">
        <v>0.69</v>
      </c>
      <c r="D142" s="464">
        <v>0.72</v>
      </c>
      <c r="E142" s="464">
        <v>0.72</v>
      </c>
      <c r="F142" s="464">
        <v>0.71</v>
      </c>
      <c r="G142" s="464">
        <v>0.72</v>
      </c>
      <c r="H142" s="464">
        <v>0.73083333333333311</v>
      </c>
    </row>
    <row r="143" spans="1:9" ht="45" customHeight="1">
      <c r="A143" s="622" t="s">
        <v>1246</v>
      </c>
      <c r="B143" s="622"/>
      <c r="C143" s="622"/>
      <c r="D143" s="622"/>
      <c r="E143" s="622"/>
      <c r="F143" s="622"/>
      <c r="G143" s="622"/>
      <c r="H143" s="622"/>
      <c r="I143" s="31"/>
    </row>
    <row r="144" spans="1:9" ht="15.6" customHeight="1">
      <c r="A144" s="622" t="s">
        <v>1247</v>
      </c>
      <c r="B144" s="622"/>
      <c r="C144" s="622"/>
      <c r="D144" s="622"/>
      <c r="E144" s="622"/>
      <c r="F144" s="622"/>
      <c r="G144" s="622"/>
      <c r="H144" s="622"/>
      <c r="I144" s="31"/>
    </row>
    <row r="145" spans="1:9" ht="14.65" customHeight="1">
      <c r="A145" s="622" t="s">
        <v>1248</v>
      </c>
      <c r="B145" s="622"/>
      <c r="C145" s="622"/>
      <c r="D145" s="622"/>
      <c r="E145" s="622"/>
      <c r="F145" s="622"/>
      <c r="G145" s="622"/>
      <c r="H145" s="622"/>
      <c r="I145" s="31"/>
    </row>
    <row r="146" spans="1:9" ht="13.9" customHeight="1">
      <c r="A146" s="622" t="s">
        <v>1249</v>
      </c>
      <c r="B146" s="622"/>
      <c r="C146" s="622"/>
      <c r="D146" s="622"/>
      <c r="E146" s="622"/>
      <c r="F146" s="622"/>
      <c r="G146" s="622"/>
      <c r="H146" s="622"/>
      <c r="I146" s="68"/>
    </row>
    <row r="147" spans="1:9" ht="20.65" customHeight="1">
      <c r="A147" s="68"/>
      <c r="B147" s="68"/>
      <c r="C147" s="68"/>
      <c r="D147" s="68"/>
      <c r="E147" s="68"/>
      <c r="F147" s="68"/>
      <c r="G147" s="68"/>
      <c r="H147" s="68"/>
      <c r="I147" s="68"/>
    </row>
    <row r="148" spans="1:9" ht="17.25">
      <c r="A148" s="619" t="s">
        <v>1250</v>
      </c>
      <c r="B148" s="619"/>
      <c r="C148" s="619"/>
      <c r="D148" s="619"/>
      <c r="E148" s="619"/>
    </row>
    <row r="149" spans="1:9">
      <c r="A149" s="202" t="s">
        <v>158</v>
      </c>
      <c r="B149" s="203">
        <v>2022</v>
      </c>
      <c r="C149" s="203">
        <v>2021</v>
      </c>
      <c r="D149" s="177">
        <v>2020</v>
      </c>
      <c r="E149" s="177">
        <v>2019</v>
      </c>
      <c r="F149" s="3"/>
      <c r="G149" s="3"/>
      <c r="H149" s="65"/>
      <c r="I149" s="65"/>
    </row>
    <row r="150" spans="1:9">
      <c r="A150" s="215" t="s">
        <v>1242</v>
      </c>
      <c r="B150" s="235" t="s">
        <v>815</v>
      </c>
      <c r="C150" s="235" t="s">
        <v>815</v>
      </c>
      <c r="D150" s="447">
        <v>2</v>
      </c>
      <c r="E150" s="187">
        <v>12</v>
      </c>
      <c r="F150" s="84"/>
      <c r="G150" s="136"/>
      <c r="H150" s="136"/>
      <c r="I150" s="60"/>
    </row>
    <row r="151" spans="1:9">
      <c r="A151" s="215" t="s">
        <v>161</v>
      </c>
      <c r="B151" s="235">
        <v>0</v>
      </c>
      <c r="C151" s="235">
        <v>0</v>
      </c>
      <c r="D151" s="447">
        <v>0</v>
      </c>
      <c r="E151" s="187">
        <v>18</v>
      </c>
      <c r="F151" s="84"/>
      <c r="G151" s="136"/>
      <c r="H151" s="136"/>
      <c r="I151" s="60"/>
    </row>
    <row r="152" spans="1:9">
      <c r="A152" s="215" t="s">
        <v>1243</v>
      </c>
      <c r="B152" s="235" t="s">
        <v>815</v>
      </c>
      <c r="C152" s="235" t="s">
        <v>815</v>
      </c>
      <c r="D152" s="254"/>
      <c r="E152" s="187">
        <v>2</v>
      </c>
      <c r="F152" s="84"/>
      <c r="G152" s="136"/>
      <c r="H152" s="136"/>
      <c r="I152" s="60"/>
    </row>
    <row r="153" spans="1:9">
      <c r="A153" s="215" t="s">
        <v>164</v>
      </c>
      <c r="B153" s="235">
        <v>27</v>
      </c>
      <c r="C153" s="218">
        <v>22</v>
      </c>
      <c r="D153" s="447">
        <v>24</v>
      </c>
      <c r="E153" s="187">
        <v>29</v>
      </c>
      <c r="F153" s="84"/>
      <c r="G153" s="136"/>
      <c r="H153" s="136"/>
      <c r="I153" s="60"/>
    </row>
    <row r="154" spans="1:9">
      <c r="A154" s="215" t="s">
        <v>165</v>
      </c>
      <c r="B154" s="235">
        <v>26</v>
      </c>
      <c r="C154" s="235">
        <v>19</v>
      </c>
      <c r="D154" s="447">
        <v>14</v>
      </c>
      <c r="E154" s="187">
        <v>29</v>
      </c>
      <c r="F154" s="84"/>
      <c r="G154" s="136"/>
      <c r="H154" s="136"/>
      <c r="I154" s="60"/>
    </row>
    <row r="155" spans="1:9">
      <c r="A155" s="215" t="s">
        <v>166</v>
      </c>
      <c r="B155" s="235">
        <v>29</v>
      </c>
      <c r="C155" s="235">
        <v>20</v>
      </c>
      <c r="D155" s="447">
        <v>20</v>
      </c>
      <c r="E155" s="187">
        <v>21</v>
      </c>
      <c r="F155" s="84"/>
      <c r="G155" s="136"/>
      <c r="H155" s="136"/>
      <c r="I155" s="60"/>
    </row>
    <row r="156" spans="1:9">
      <c r="A156" s="215" t="s">
        <v>182</v>
      </c>
      <c r="B156" s="235">
        <v>34</v>
      </c>
      <c r="C156" s="235">
        <v>21</v>
      </c>
      <c r="D156" s="447">
        <v>16</v>
      </c>
      <c r="E156" s="187">
        <v>37</v>
      </c>
      <c r="F156" s="84"/>
      <c r="G156" s="136"/>
      <c r="H156" s="136"/>
      <c r="I156" s="60"/>
    </row>
    <row r="157" spans="1:9">
      <c r="A157" s="215" t="s">
        <v>168</v>
      </c>
      <c r="B157" s="235">
        <v>16</v>
      </c>
      <c r="C157" s="235">
        <v>13</v>
      </c>
      <c r="D157" s="447">
        <v>11</v>
      </c>
      <c r="E157" s="187">
        <v>22</v>
      </c>
      <c r="F157" s="84"/>
      <c r="G157" s="136"/>
      <c r="H157" s="136"/>
      <c r="I157" s="60"/>
    </row>
    <row r="158" spans="1:9">
      <c r="A158" s="215" t="s">
        <v>1244</v>
      </c>
      <c r="B158" s="235" t="s">
        <v>815</v>
      </c>
      <c r="C158" s="235" t="s">
        <v>815</v>
      </c>
      <c r="D158" s="254"/>
      <c r="E158" s="187">
        <v>7</v>
      </c>
      <c r="F158" s="84"/>
      <c r="G158" s="136"/>
      <c r="H158" s="136"/>
      <c r="I158" s="60"/>
    </row>
    <row r="159" spans="1:9">
      <c r="A159" s="215" t="s">
        <v>1251</v>
      </c>
      <c r="B159" s="235">
        <v>6</v>
      </c>
      <c r="C159" s="235">
        <v>8</v>
      </c>
      <c r="D159" s="447">
        <v>5</v>
      </c>
      <c r="E159" s="187">
        <v>14</v>
      </c>
      <c r="F159" s="84"/>
      <c r="G159" s="136"/>
      <c r="H159" s="136"/>
      <c r="I159" s="60"/>
    </row>
    <row r="160" spans="1:9">
      <c r="A160" s="215" t="s">
        <v>183</v>
      </c>
      <c r="B160" s="235">
        <v>13</v>
      </c>
      <c r="C160" s="235">
        <v>19</v>
      </c>
      <c r="D160" s="447">
        <v>12</v>
      </c>
      <c r="E160" s="187">
        <v>30</v>
      </c>
      <c r="F160" s="84"/>
      <c r="G160" s="136"/>
      <c r="H160" s="136"/>
      <c r="I160" s="60"/>
    </row>
    <row r="161" spans="1:9">
      <c r="A161" s="215" t="s">
        <v>1245</v>
      </c>
      <c r="B161" s="235">
        <v>17</v>
      </c>
      <c r="C161" s="235">
        <v>69</v>
      </c>
      <c r="D161" s="447">
        <v>60</v>
      </c>
      <c r="E161" s="187">
        <v>82</v>
      </c>
      <c r="F161" s="84"/>
      <c r="G161" s="136"/>
      <c r="H161" s="136"/>
      <c r="I161" s="60"/>
    </row>
    <row r="162" spans="1:9">
      <c r="A162" s="190" t="s">
        <v>173</v>
      </c>
      <c r="B162" s="190">
        <v>168</v>
      </c>
      <c r="C162" s="190">
        <f>SUM(C150:C161)</f>
        <v>191</v>
      </c>
      <c r="D162" s="465">
        <f>SUM(D150:D161)</f>
        <v>164</v>
      </c>
      <c r="E162" s="465">
        <f>SUM(E150:E161)</f>
        <v>303</v>
      </c>
      <c r="F162" s="85"/>
      <c r="G162" s="85"/>
      <c r="H162" s="85"/>
      <c r="I162" s="85"/>
    </row>
    <row r="163" spans="1:9" ht="56.65" customHeight="1">
      <c r="A163" s="622" t="s">
        <v>1246</v>
      </c>
      <c r="B163" s="622"/>
      <c r="C163" s="622"/>
      <c r="D163" s="622"/>
      <c r="E163" s="622"/>
      <c r="F163" s="31"/>
      <c r="G163" s="31"/>
      <c r="H163" s="31"/>
      <c r="I163" s="31"/>
    </row>
    <row r="164" spans="1:9" ht="14.65" customHeight="1">
      <c r="A164" s="671" t="s">
        <v>1252</v>
      </c>
      <c r="B164" s="671"/>
      <c r="C164" s="671"/>
      <c r="D164" s="671"/>
      <c r="E164" s="671"/>
      <c r="F164" s="69"/>
      <c r="G164" s="69"/>
      <c r="H164" s="69"/>
      <c r="I164" s="69"/>
    </row>
    <row r="165" spans="1:9" ht="14.65" customHeight="1">
      <c r="A165" s="671" t="s">
        <v>1253</v>
      </c>
      <c r="B165" s="671"/>
      <c r="C165" s="671"/>
      <c r="D165" s="671"/>
      <c r="E165" s="671"/>
      <c r="F165" s="69"/>
      <c r="G165" s="69"/>
      <c r="H165" s="69"/>
      <c r="I165" s="69"/>
    </row>
    <row r="166" spans="1:9" ht="14.65" customHeight="1">
      <c r="A166" s="671" t="s">
        <v>1249</v>
      </c>
      <c r="B166" s="671"/>
      <c r="C166" s="671"/>
      <c r="D166" s="671"/>
      <c r="E166" s="671"/>
      <c r="F166" s="16"/>
      <c r="G166" s="16"/>
      <c r="H166" s="16"/>
      <c r="I166" s="16"/>
    </row>
    <row r="167" spans="1:9" ht="14.65" customHeight="1">
      <c r="A167" s="622" t="s">
        <v>1254</v>
      </c>
      <c r="B167" s="622"/>
      <c r="C167" s="622"/>
      <c r="D167" s="622"/>
      <c r="E167" s="622"/>
      <c r="F167" s="31"/>
      <c r="G167" s="31"/>
      <c r="H167" s="31"/>
      <c r="I167" s="31"/>
    </row>
    <row r="168" spans="1:9">
      <c r="A168" s="68"/>
      <c r="B168" s="68"/>
      <c r="C168" s="68"/>
      <c r="D168" s="68"/>
      <c r="E168" s="68"/>
      <c r="F168" s="68"/>
      <c r="G168" s="68"/>
      <c r="H168" s="68"/>
    </row>
    <row r="169" spans="1:9" ht="17.25">
      <c r="A169" s="619" t="s">
        <v>1255</v>
      </c>
      <c r="B169" s="619"/>
      <c r="C169" s="619"/>
      <c r="D169" s="619"/>
      <c r="E169" s="619"/>
      <c r="F169" s="619"/>
      <c r="G169" s="619"/>
      <c r="H169" s="619"/>
    </row>
    <row r="170" spans="1:9">
      <c r="A170" s="202" t="s">
        <v>158</v>
      </c>
      <c r="B170" s="203" t="s">
        <v>1235</v>
      </c>
      <c r="C170" s="203" t="s">
        <v>1236</v>
      </c>
      <c r="D170" s="203" t="s">
        <v>1237</v>
      </c>
      <c r="E170" s="203" t="s">
        <v>1238</v>
      </c>
      <c r="F170" s="203" t="s">
        <v>1239</v>
      </c>
      <c r="G170" s="203" t="s">
        <v>1240</v>
      </c>
      <c r="H170" s="203" t="s">
        <v>1241</v>
      </c>
    </row>
    <row r="171" spans="1:9">
      <c r="A171" s="215" t="s">
        <v>1242</v>
      </c>
      <c r="B171" s="448" t="s">
        <v>815</v>
      </c>
      <c r="C171" s="448" t="s">
        <v>815</v>
      </c>
      <c r="D171" s="372">
        <v>0.16</v>
      </c>
      <c r="E171" s="372">
        <v>0.14000000000000001</v>
      </c>
      <c r="F171" s="372">
        <v>0.14000000000000001</v>
      </c>
      <c r="G171" s="372">
        <v>0.12</v>
      </c>
      <c r="H171" s="372">
        <v>0.09</v>
      </c>
    </row>
    <row r="172" spans="1:9">
      <c r="A172" s="215" t="s">
        <v>161</v>
      </c>
      <c r="B172" s="426">
        <v>0.14000000000000001</v>
      </c>
      <c r="C172" s="372">
        <v>0.14000000000000001</v>
      </c>
      <c r="D172" s="372">
        <v>0.18</v>
      </c>
      <c r="E172" s="372">
        <v>0.16</v>
      </c>
      <c r="F172" s="372">
        <v>0.14000000000000001</v>
      </c>
      <c r="G172" s="372">
        <v>0.13</v>
      </c>
      <c r="H172" s="372">
        <v>0.18</v>
      </c>
    </row>
    <row r="173" spans="1:9" ht="26.25">
      <c r="A173" s="315" t="s">
        <v>1256</v>
      </c>
      <c r="B173" s="449">
        <v>0.62</v>
      </c>
      <c r="C173" s="372">
        <v>0.54</v>
      </c>
      <c r="D173" s="372">
        <v>0.46</v>
      </c>
      <c r="E173" s="372">
        <v>0.36</v>
      </c>
      <c r="F173" s="372">
        <v>0.41</v>
      </c>
      <c r="G173" s="372">
        <v>0.26</v>
      </c>
      <c r="H173" s="372">
        <v>0.41</v>
      </c>
    </row>
    <row r="174" spans="1:9">
      <c r="A174" s="215" t="s">
        <v>182</v>
      </c>
      <c r="B174" s="449">
        <v>0.66</v>
      </c>
      <c r="C174" s="372">
        <v>0.31</v>
      </c>
      <c r="D174" s="372">
        <v>0.42</v>
      </c>
      <c r="E174" s="372">
        <v>0.28000000000000003</v>
      </c>
      <c r="F174" s="372">
        <v>0.32</v>
      </c>
      <c r="G174" s="372">
        <v>0.37</v>
      </c>
      <c r="H174" s="372">
        <v>0.3</v>
      </c>
    </row>
    <row r="175" spans="1:9">
      <c r="A175" s="215" t="s">
        <v>1244</v>
      </c>
      <c r="B175" s="448" t="s">
        <v>815</v>
      </c>
      <c r="C175" s="448" t="s">
        <v>815</v>
      </c>
      <c r="D175" s="372">
        <v>0.4</v>
      </c>
      <c r="E175" s="372">
        <v>0.18</v>
      </c>
      <c r="F175" s="372">
        <v>0.14000000000000001</v>
      </c>
      <c r="G175" s="372">
        <v>0.14000000000000001</v>
      </c>
      <c r="H175" s="372">
        <v>0.2</v>
      </c>
    </row>
    <row r="176" spans="1:9">
      <c r="A176" s="215" t="s">
        <v>170</v>
      </c>
      <c r="B176" s="426">
        <v>0.17</v>
      </c>
      <c r="C176" s="372">
        <v>0.08</v>
      </c>
      <c r="D176" s="372">
        <v>0.2</v>
      </c>
      <c r="E176" s="372">
        <v>0.17</v>
      </c>
      <c r="F176" s="372">
        <v>0.05</v>
      </c>
      <c r="G176" s="372">
        <v>0.12</v>
      </c>
      <c r="H176" s="372">
        <v>0.33</v>
      </c>
    </row>
    <row r="177" spans="1:9">
      <c r="A177" s="215" t="s">
        <v>183</v>
      </c>
      <c r="B177" s="426">
        <v>0.7</v>
      </c>
      <c r="C177" s="372">
        <v>0.68</v>
      </c>
      <c r="D177" s="372">
        <v>0.66</v>
      </c>
      <c r="E177" s="372">
        <v>0.71</v>
      </c>
      <c r="F177" s="372">
        <v>0.75</v>
      </c>
      <c r="G177" s="372">
        <v>0.41</v>
      </c>
      <c r="H177" s="372">
        <v>0.59</v>
      </c>
    </row>
    <row r="178" spans="1:9">
      <c r="A178" s="215" t="s">
        <v>1245</v>
      </c>
      <c r="B178" s="426">
        <v>0.38</v>
      </c>
      <c r="C178" s="372">
        <v>0.35</v>
      </c>
      <c r="D178" s="372">
        <v>0.47</v>
      </c>
      <c r="E178" s="372">
        <v>0.38</v>
      </c>
      <c r="F178" s="372">
        <v>0.28999999999999998</v>
      </c>
      <c r="G178" s="372">
        <v>0.28999999999999998</v>
      </c>
      <c r="H178" s="372">
        <v>0.27</v>
      </c>
    </row>
    <row r="179" spans="1:9">
      <c r="A179" s="190" t="s">
        <v>173</v>
      </c>
      <c r="B179" s="463">
        <v>0.48</v>
      </c>
      <c r="C179" s="463">
        <v>0.28999999999999998</v>
      </c>
      <c r="D179" s="464">
        <v>0.24</v>
      </c>
      <c r="E179" s="464">
        <v>0.36</v>
      </c>
      <c r="F179" s="464">
        <v>0.33</v>
      </c>
      <c r="G179" s="464">
        <v>0.26</v>
      </c>
      <c r="H179" s="464">
        <v>0.3</v>
      </c>
    </row>
    <row r="180" spans="1:9" ht="43.9" customHeight="1">
      <c r="A180" s="622" t="s">
        <v>1246</v>
      </c>
      <c r="B180" s="622"/>
      <c r="C180" s="622"/>
      <c r="D180" s="622"/>
      <c r="E180" s="622"/>
      <c r="F180" s="622"/>
      <c r="G180" s="622"/>
      <c r="H180" s="622"/>
      <c r="I180" s="31"/>
    </row>
    <row r="181" spans="1:9" ht="13.9" customHeight="1">
      <c r="A181" s="622" t="s">
        <v>1257</v>
      </c>
      <c r="B181" s="622"/>
      <c r="C181" s="622"/>
      <c r="D181" s="622"/>
      <c r="E181" s="622"/>
      <c r="F181" s="622"/>
      <c r="G181" s="622"/>
      <c r="H181" s="622"/>
      <c r="I181" s="31"/>
    </row>
    <row r="182" spans="1:9" ht="14.65" customHeight="1">
      <c r="A182" s="622" t="s">
        <v>1258</v>
      </c>
      <c r="B182" s="622"/>
      <c r="C182" s="622"/>
      <c r="D182" s="622"/>
      <c r="E182" s="622"/>
      <c r="F182" s="622"/>
      <c r="G182" s="622"/>
      <c r="H182" s="622"/>
      <c r="I182" s="31"/>
    </row>
    <row r="183" spans="1:9" ht="14.65" customHeight="1">
      <c r="A183" s="622" t="s">
        <v>1249</v>
      </c>
      <c r="B183" s="622"/>
      <c r="C183" s="622"/>
      <c r="D183" s="622"/>
      <c r="E183" s="622"/>
      <c r="F183" s="622"/>
      <c r="G183" s="622"/>
      <c r="H183" s="622"/>
    </row>
    <row r="185" spans="1:9" ht="17.25">
      <c r="A185" s="619" t="s">
        <v>1259</v>
      </c>
      <c r="B185" s="619"/>
      <c r="C185" s="619"/>
      <c r="D185" s="619"/>
      <c r="E185" s="619"/>
      <c r="F185" s="619"/>
      <c r="G185" s="619"/>
      <c r="H185" s="619"/>
    </row>
    <row r="186" spans="1:9">
      <c r="A186" s="204" t="s">
        <v>158</v>
      </c>
      <c r="B186" s="204">
        <v>2022</v>
      </c>
      <c r="C186" s="204">
        <v>2021</v>
      </c>
      <c r="D186" s="177">
        <v>2020</v>
      </c>
      <c r="E186" s="177">
        <v>2019</v>
      </c>
      <c r="F186" s="177">
        <v>2018</v>
      </c>
      <c r="G186" s="177">
        <v>2017</v>
      </c>
      <c r="H186" s="203">
        <v>2016</v>
      </c>
    </row>
    <row r="187" spans="1:9">
      <c r="A187" s="327" t="s">
        <v>1260</v>
      </c>
      <c r="B187" s="450">
        <v>15601000</v>
      </c>
      <c r="C187" s="450">
        <v>17725000</v>
      </c>
      <c r="D187" s="450">
        <v>11784000</v>
      </c>
      <c r="E187" s="450">
        <v>12102000</v>
      </c>
      <c r="F187" s="450">
        <v>13399000</v>
      </c>
      <c r="G187" s="450">
        <v>8956000</v>
      </c>
      <c r="H187" s="451">
        <v>6844000</v>
      </c>
    </row>
    <row r="188" spans="1:9">
      <c r="A188" s="327" t="s">
        <v>161</v>
      </c>
      <c r="B188" s="450">
        <v>2054000</v>
      </c>
      <c r="C188" s="450">
        <v>2136000</v>
      </c>
      <c r="D188" s="450">
        <v>2110000</v>
      </c>
      <c r="E188" s="450">
        <v>2569000</v>
      </c>
      <c r="F188" s="450">
        <v>2264000</v>
      </c>
      <c r="G188" s="450">
        <v>1773000</v>
      </c>
      <c r="H188" s="451">
        <v>1929000</v>
      </c>
    </row>
    <row r="189" spans="1:9">
      <c r="A189" s="327" t="s">
        <v>1261</v>
      </c>
      <c r="B189" s="450">
        <v>3923000</v>
      </c>
      <c r="C189" s="450">
        <v>1170000</v>
      </c>
      <c r="D189" s="450">
        <v>1421000</v>
      </c>
      <c r="E189" s="450">
        <v>1038000</v>
      </c>
      <c r="F189" s="450">
        <v>2134000</v>
      </c>
      <c r="G189" s="450">
        <v>675000</v>
      </c>
      <c r="H189" s="451">
        <v>679000</v>
      </c>
    </row>
    <row r="190" spans="1:9">
      <c r="A190" s="327" t="s">
        <v>261</v>
      </c>
      <c r="B190" s="448" t="s">
        <v>181</v>
      </c>
      <c r="C190" s="448" t="s">
        <v>181</v>
      </c>
      <c r="D190" s="448" t="s">
        <v>181</v>
      </c>
      <c r="E190" s="448" t="s">
        <v>181</v>
      </c>
      <c r="F190" s="448" t="s">
        <v>181</v>
      </c>
      <c r="G190" s="450">
        <v>180000</v>
      </c>
      <c r="H190" s="451">
        <v>263000</v>
      </c>
    </row>
    <row r="191" spans="1:9">
      <c r="A191" s="327" t="s">
        <v>182</v>
      </c>
      <c r="B191" s="448">
        <v>509000</v>
      </c>
      <c r="C191" s="450">
        <v>515000</v>
      </c>
      <c r="D191" s="450">
        <v>650000</v>
      </c>
      <c r="E191" s="450">
        <v>501000</v>
      </c>
      <c r="F191" s="450">
        <v>713000</v>
      </c>
      <c r="G191" s="450">
        <v>391000</v>
      </c>
      <c r="H191" s="451">
        <v>410000</v>
      </c>
    </row>
    <row r="192" spans="1:9">
      <c r="A192" s="327" t="s">
        <v>169</v>
      </c>
      <c r="B192" s="450">
        <v>33000</v>
      </c>
      <c r="C192" s="450">
        <v>35000</v>
      </c>
      <c r="D192" s="450">
        <v>58000</v>
      </c>
      <c r="E192" s="450">
        <v>87000</v>
      </c>
      <c r="F192" s="450">
        <v>20000</v>
      </c>
      <c r="G192" s="450">
        <v>16000</v>
      </c>
      <c r="H192" s="451">
        <v>25000</v>
      </c>
    </row>
    <row r="193" spans="1:8">
      <c r="A193" s="327" t="s">
        <v>170</v>
      </c>
      <c r="B193" s="450">
        <v>973000</v>
      </c>
      <c r="C193" s="450">
        <v>960000</v>
      </c>
      <c r="D193" s="452">
        <v>988000</v>
      </c>
      <c r="E193" s="450">
        <v>1241000</v>
      </c>
      <c r="F193" s="452">
        <v>1857000</v>
      </c>
      <c r="G193" s="450">
        <v>256000</v>
      </c>
      <c r="H193" s="451">
        <v>368000</v>
      </c>
    </row>
    <row r="194" spans="1:8">
      <c r="A194" s="327" t="s">
        <v>183</v>
      </c>
      <c r="B194" s="450">
        <v>1260000</v>
      </c>
      <c r="C194" s="450">
        <v>900000</v>
      </c>
      <c r="D194" s="452">
        <v>996000</v>
      </c>
      <c r="E194" s="450">
        <v>707000</v>
      </c>
      <c r="F194" s="452">
        <v>686000</v>
      </c>
      <c r="G194" s="450">
        <v>541000</v>
      </c>
      <c r="H194" s="451">
        <v>948000</v>
      </c>
    </row>
    <row r="195" spans="1:8">
      <c r="A195" s="327" t="s">
        <v>1245</v>
      </c>
      <c r="B195" s="450">
        <v>333000</v>
      </c>
      <c r="C195" s="450">
        <v>400000</v>
      </c>
      <c r="D195" s="452">
        <v>845000</v>
      </c>
      <c r="E195" s="450">
        <v>947000</v>
      </c>
      <c r="F195" s="452">
        <v>326000</v>
      </c>
      <c r="G195" s="450">
        <v>338000</v>
      </c>
      <c r="H195" s="451">
        <v>339000</v>
      </c>
    </row>
    <row r="196" spans="1:8">
      <c r="A196" s="327" t="s">
        <v>1262</v>
      </c>
      <c r="B196" s="450">
        <v>196000</v>
      </c>
      <c r="C196" s="450">
        <v>100000</v>
      </c>
      <c r="D196" s="452">
        <v>201000</v>
      </c>
      <c r="E196" s="450">
        <v>91000</v>
      </c>
      <c r="F196" s="452">
        <v>146000</v>
      </c>
      <c r="G196" s="450">
        <v>80000</v>
      </c>
      <c r="H196" s="451">
        <v>35000</v>
      </c>
    </row>
    <row r="197" spans="1:8">
      <c r="A197" s="359" t="s">
        <v>173</v>
      </c>
      <c r="B197" s="466">
        <v>24882000</v>
      </c>
      <c r="C197" s="466">
        <f>SUM(C187:C196)</f>
        <v>23941000</v>
      </c>
      <c r="D197" s="467">
        <f t="shared" ref="D197:H197" si="8">SUM(D187:D196)</f>
        <v>19053000</v>
      </c>
      <c r="E197" s="467">
        <f t="shared" si="8"/>
        <v>19283000</v>
      </c>
      <c r="F197" s="467">
        <f t="shared" si="8"/>
        <v>21545000</v>
      </c>
      <c r="G197" s="467">
        <f t="shared" si="8"/>
        <v>13206000</v>
      </c>
      <c r="H197" s="466">
        <f t="shared" si="8"/>
        <v>11840000</v>
      </c>
    </row>
    <row r="198" spans="1:8">
      <c r="A198" s="640" t="s">
        <v>1263</v>
      </c>
      <c r="B198" s="640"/>
      <c r="C198" s="640"/>
      <c r="D198" s="640"/>
      <c r="E198" s="640"/>
      <c r="F198" s="640"/>
      <c r="G198" s="640"/>
      <c r="H198" s="640"/>
    </row>
    <row r="199" spans="1:8" ht="35.65" customHeight="1">
      <c r="A199" s="622" t="s">
        <v>1264</v>
      </c>
      <c r="B199" s="622"/>
      <c r="C199" s="622"/>
      <c r="D199" s="622"/>
      <c r="E199" s="622"/>
      <c r="F199" s="622"/>
      <c r="G199" s="622"/>
      <c r="H199" s="622"/>
    </row>
    <row r="200" spans="1:8" ht="13.15" customHeight="1">
      <c r="A200" s="640" t="s">
        <v>1265</v>
      </c>
      <c r="B200" s="640"/>
      <c r="C200" s="640"/>
      <c r="D200" s="640"/>
      <c r="E200" s="640"/>
      <c r="F200" s="640"/>
      <c r="G200" s="640"/>
      <c r="H200" s="640"/>
    </row>
    <row r="201" spans="1:8" ht="13.15" customHeight="1">
      <c r="A201" s="754" t="s">
        <v>1266</v>
      </c>
      <c r="B201" s="754"/>
      <c r="C201" s="754"/>
      <c r="D201" s="754"/>
      <c r="E201" s="754"/>
      <c r="F201" s="754"/>
      <c r="G201" s="754"/>
      <c r="H201" s="754"/>
    </row>
    <row r="203" spans="1:8" ht="17.25">
      <c r="A203" s="621" t="s">
        <v>1267</v>
      </c>
      <c r="B203" s="621"/>
      <c r="C203" s="621"/>
      <c r="D203" s="621"/>
      <c r="E203" s="621"/>
      <c r="F203" s="621"/>
      <c r="G203" s="621"/>
      <c r="H203" s="621"/>
    </row>
    <row r="204" spans="1:8">
      <c r="A204" s="178" t="s">
        <v>1268</v>
      </c>
      <c r="B204" s="178">
        <v>2022</v>
      </c>
      <c r="C204" s="178">
        <v>2021</v>
      </c>
      <c r="D204" s="177">
        <v>2020</v>
      </c>
      <c r="E204" s="177">
        <v>2019</v>
      </c>
      <c r="F204" s="177">
        <v>2018</v>
      </c>
      <c r="G204" s="177">
        <v>2017</v>
      </c>
      <c r="H204" s="179">
        <v>2016</v>
      </c>
    </row>
    <row r="205" spans="1:8" s="17" customFormat="1" ht="14.65" customHeight="1">
      <c r="A205" s="245" t="s">
        <v>1269</v>
      </c>
      <c r="B205" s="759" t="s">
        <v>1270</v>
      </c>
      <c r="C205" s="759"/>
      <c r="D205" s="759"/>
      <c r="E205" s="759"/>
      <c r="F205" s="759"/>
      <c r="G205" s="451">
        <v>15500</v>
      </c>
      <c r="H205" s="452">
        <v>147900</v>
      </c>
    </row>
    <row r="206" spans="1:8" s="17" customFormat="1" ht="14.65" customHeight="1">
      <c r="A206" s="245" t="s">
        <v>1271</v>
      </c>
      <c r="B206" s="759"/>
      <c r="C206" s="759"/>
      <c r="D206" s="759"/>
      <c r="E206" s="759"/>
      <c r="F206" s="759"/>
      <c r="G206" s="451">
        <v>50790</v>
      </c>
      <c r="H206" s="452">
        <v>650</v>
      </c>
    </row>
    <row r="207" spans="1:8" s="17" customFormat="1" ht="28.15" customHeight="1">
      <c r="A207" s="223" t="s">
        <v>1272</v>
      </c>
      <c r="B207" s="759"/>
      <c r="C207" s="759"/>
      <c r="D207" s="759"/>
      <c r="E207" s="759"/>
      <c r="F207" s="759"/>
      <c r="G207" s="448" t="s">
        <v>181</v>
      </c>
      <c r="H207" s="448" t="s">
        <v>181</v>
      </c>
    </row>
    <row r="208" spans="1:8" s="17" customFormat="1" ht="28.15" customHeight="1">
      <c r="A208" s="223" t="s">
        <v>1273</v>
      </c>
      <c r="B208" s="759"/>
      <c r="C208" s="759"/>
      <c r="D208" s="759"/>
      <c r="E208" s="759"/>
      <c r="F208" s="759"/>
      <c r="G208" s="448" t="s">
        <v>181</v>
      </c>
      <c r="H208" s="448" t="s">
        <v>181</v>
      </c>
    </row>
    <row r="209" spans="1:8" s="17" customFormat="1" ht="15" customHeight="1">
      <c r="A209" s="223" t="s">
        <v>328</v>
      </c>
      <c r="B209" s="759"/>
      <c r="C209" s="759"/>
      <c r="D209" s="759"/>
      <c r="E209" s="759"/>
      <c r="F209" s="759"/>
      <c r="G209" s="448" t="s">
        <v>181</v>
      </c>
      <c r="H209" s="448" t="s">
        <v>181</v>
      </c>
    </row>
    <row r="210" spans="1:8" s="17" customFormat="1" ht="15" customHeight="1">
      <c r="A210" s="190" t="s">
        <v>173</v>
      </c>
      <c r="B210" s="759"/>
      <c r="C210" s="759"/>
      <c r="D210" s="759"/>
      <c r="E210" s="759"/>
      <c r="F210" s="759"/>
      <c r="G210" s="466">
        <v>66290</v>
      </c>
      <c r="H210" s="468">
        <f>SUM(H205:H207)</f>
        <v>148550</v>
      </c>
    </row>
    <row r="211" spans="1:8" ht="14.65" customHeight="1">
      <c r="A211" s="640" t="s">
        <v>1274</v>
      </c>
      <c r="B211" s="640"/>
      <c r="C211" s="640"/>
      <c r="D211" s="640"/>
      <c r="E211" s="640"/>
      <c r="F211" s="640"/>
      <c r="G211" s="640"/>
      <c r="H211" s="640"/>
    </row>
    <row r="212" spans="1:8" ht="24.4" customHeight="1">
      <c r="A212" s="748"/>
      <c r="B212" s="622"/>
      <c r="C212" s="622"/>
      <c r="D212" s="622"/>
      <c r="E212" s="622"/>
      <c r="F212" s="622"/>
      <c r="G212" s="622"/>
    </row>
    <row r="213" spans="1:8" ht="17.25">
      <c r="A213" s="621" t="s">
        <v>1275</v>
      </c>
      <c r="B213" s="621"/>
      <c r="C213" s="621"/>
      <c r="D213" s="621"/>
    </row>
    <row r="214" spans="1:8">
      <c r="A214" s="178" t="s">
        <v>789</v>
      </c>
      <c r="B214" s="179" t="s">
        <v>1276</v>
      </c>
      <c r="C214" s="317" t="s">
        <v>1236</v>
      </c>
      <c r="D214" s="317" t="s">
        <v>215</v>
      </c>
    </row>
    <row r="215" spans="1:8">
      <c r="A215" s="253" t="s">
        <v>256</v>
      </c>
      <c r="B215" s="423">
        <v>935100</v>
      </c>
      <c r="C215" s="448">
        <v>636225</v>
      </c>
      <c r="D215" s="451">
        <v>2332994</v>
      </c>
    </row>
    <row r="216" spans="1:8">
      <c r="A216" s="192" t="s">
        <v>173</v>
      </c>
      <c r="B216" s="469">
        <v>935100</v>
      </c>
      <c r="C216" s="470">
        <f>SUM(C215)</f>
        <v>636225</v>
      </c>
      <c r="D216" s="466">
        <f>SUM(D215)</f>
        <v>2332994</v>
      </c>
    </row>
    <row r="217" spans="1:8" ht="14.65" customHeight="1">
      <c r="A217" s="674" t="s">
        <v>1277</v>
      </c>
      <c r="B217" s="674"/>
      <c r="C217" s="674"/>
      <c r="D217" s="674"/>
    </row>
    <row r="218" spans="1:8" ht="26.65" customHeight="1">
      <c r="A218" s="674" t="s">
        <v>1278</v>
      </c>
      <c r="B218" s="674"/>
      <c r="C218" s="674"/>
      <c r="D218" s="674"/>
    </row>
    <row r="219" spans="1:8" ht="22.15" customHeight="1">
      <c r="A219" s="674" t="s">
        <v>1279</v>
      </c>
      <c r="B219" s="674"/>
      <c r="C219" s="674"/>
      <c r="D219" s="674"/>
    </row>
    <row r="220" spans="1:8" ht="25.15" customHeight="1">
      <c r="A220" s="674" t="s">
        <v>1280</v>
      </c>
      <c r="B220" s="674"/>
      <c r="C220" s="674"/>
      <c r="D220" s="674"/>
    </row>
  </sheetData>
  <sheetProtection algorithmName="SHA-512" hashValue="dgNA7VEQcLQDCNAlprFtgXY+QS7Hxl9qm+GNfpXHHTPcflzCynxzH8pzPC/xYR3hoU1/D2GZMSepBjfAnXWt3Q==" saltValue="rjEeirqJmWI9eD5M9VYe6g==" spinCount="100000" sheet="1" objects="1" scenarios="1"/>
  <mergeCells count="143">
    <mergeCell ref="A201:H201"/>
    <mergeCell ref="A203:H203"/>
    <mergeCell ref="A213:D213"/>
    <mergeCell ref="A183:H183"/>
    <mergeCell ref="A185:H185"/>
    <mergeCell ref="A198:H198"/>
    <mergeCell ref="A199:H199"/>
    <mergeCell ref="A200:H200"/>
    <mergeCell ref="A166:E166"/>
    <mergeCell ref="A167:E167"/>
    <mergeCell ref="A169:H169"/>
    <mergeCell ref="A180:H180"/>
    <mergeCell ref="A182:H182"/>
    <mergeCell ref="A211:H211"/>
    <mergeCell ref="A101:K101"/>
    <mergeCell ref="A100:K100"/>
    <mergeCell ref="A145:H145"/>
    <mergeCell ref="A146:H146"/>
    <mergeCell ref="A148:E148"/>
    <mergeCell ref="A163:E163"/>
    <mergeCell ref="A124:K124"/>
    <mergeCell ref="A125:K125"/>
    <mergeCell ref="A127:H127"/>
    <mergeCell ref="A143:H143"/>
    <mergeCell ref="A119:K119"/>
    <mergeCell ref="A120:K120"/>
    <mergeCell ref="A121:K121"/>
    <mergeCell ref="A122:K122"/>
    <mergeCell ref="A123:K123"/>
    <mergeCell ref="A144:H144"/>
    <mergeCell ref="A7:K7"/>
    <mergeCell ref="A9:K9"/>
    <mergeCell ref="A12:A14"/>
    <mergeCell ref="C12:J12"/>
    <mergeCell ref="K12:K14"/>
    <mergeCell ref="B13:B14"/>
    <mergeCell ref="C13:D13"/>
    <mergeCell ref="E13:F13"/>
    <mergeCell ref="G13:G14"/>
    <mergeCell ref="H13:H14"/>
    <mergeCell ref="I13:I14"/>
    <mergeCell ref="J13:J14"/>
    <mergeCell ref="A11:K11"/>
    <mergeCell ref="A220:D220"/>
    <mergeCell ref="A219:D219"/>
    <mergeCell ref="A212:G212"/>
    <mergeCell ref="A218:D218"/>
    <mergeCell ref="B205:F210"/>
    <mergeCell ref="A164:E164"/>
    <mergeCell ref="C53:D53"/>
    <mergeCell ref="K71:K73"/>
    <mergeCell ref="B91:B92"/>
    <mergeCell ref="B72:B73"/>
    <mergeCell ref="A90:A92"/>
    <mergeCell ref="J91:J92"/>
    <mergeCell ref="K90:K92"/>
    <mergeCell ref="C90:J90"/>
    <mergeCell ref="C91:D91"/>
    <mergeCell ref="G91:G92"/>
    <mergeCell ref="H91:H92"/>
    <mergeCell ref="I91:I92"/>
    <mergeCell ref="E91:F91"/>
    <mergeCell ref="A66:K66"/>
    <mergeCell ref="A67:K67"/>
    <mergeCell ref="I53:I54"/>
    <mergeCell ref="J53:J54"/>
    <mergeCell ref="B53:B54"/>
    <mergeCell ref="A217:D217"/>
    <mergeCell ref="A165:E165"/>
    <mergeCell ref="A68:K68"/>
    <mergeCell ref="A62:K62"/>
    <mergeCell ref="A81:K81"/>
    <mergeCell ref="K109:K111"/>
    <mergeCell ref="C109:J109"/>
    <mergeCell ref="C110:D110"/>
    <mergeCell ref="E110:F110"/>
    <mergeCell ref="G110:G111"/>
    <mergeCell ref="H110:H111"/>
    <mergeCell ref="I110:I111"/>
    <mergeCell ref="J110:J111"/>
    <mergeCell ref="B110:B111"/>
    <mergeCell ref="A70:K70"/>
    <mergeCell ref="A82:K82"/>
    <mergeCell ref="A83:K83"/>
    <mergeCell ref="A84:K84"/>
    <mergeCell ref="A63:K63"/>
    <mergeCell ref="A64:K64"/>
    <mergeCell ref="A65:K65"/>
    <mergeCell ref="A71:A73"/>
    <mergeCell ref="C71:J71"/>
    <mergeCell ref="A102:K102"/>
    <mergeCell ref="A52:A54"/>
    <mergeCell ref="C52:J52"/>
    <mergeCell ref="K52:K54"/>
    <mergeCell ref="E53:F53"/>
    <mergeCell ref="G53:G54"/>
    <mergeCell ref="H53:H54"/>
    <mergeCell ref="A51:K51"/>
    <mergeCell ref="A109:A111"/>
    <mergeCell ref="A181:H181"/>
    <mergeCell ref="C72:D72"/>
    <mergeCell ref="E72:F72"/>
    <mergeCell ref="G72:G73"/>
    <mergeCell ref="H72:H73"/>
    <mergeCell ref="I72:I73"/>
    <mergeCell ref="J72:J73"/>
    <mergeCell ref="A103:K103"/>
    <mergeCell ref="A104:K104"/>
    <mergeCell ref="A105:K105"/>
    <mergeCell ref="A106:K106"/>
    <mergeCell ref="A108:K108"/>
    <mergeCell ref="A85:K85"/>
    <mergeCell ref="A86:K86"/>
    <mergeCell ref="A87:K87"/>
    <mergeCell ref="A89:K89"/>
    <mergeCell ref="A42:K42"/>
    <mergeCell ref="A43:K43"/>
    <mergeCell ref="A45:K45"/>
    <mergeCell ref="A46:K46"/>
    <mergeCell ref="A47:K47"/>
    <mergeCell ref="A48:K48"/>
    <mergeCell ref="A49:K49"/>
    <mergeCell ref="A22:K22"/>
    <mergeCell ref="A23:K23"/>
    <mergeCell ref="A25:K25"/>
    <mergeCell ref="A26:K26"/>
    <mergeCell ref="A27:K27"/>
    <mergeCell ref="A28:K28"/>
    <mergeCell ref="A29:K29"/>
    <mergeCell ref="A24:K24"/>
    <mergeCell ref="A44:K44"/>
    <mergeCell ref="M31:W31"/>
    <mergeCell ref="A32:A34"/>
    <mergeCell ref="C32:J32"/>
    <mergeCell ref="K32:K34"/>
    <mergeCell ref="B33:B34"/>
    <mergeCell ref="C33:D33"/>
    <mergeCell ref="E33:F33"/>
    <mergeCell ref="G33:G34"/>
    <mergeCell ref="H33:H34"/>
    <mergeCell ref="I33:I34"/>
    <mergeCell ref="J33:J34"/>
    <mergeCell ref="A31:K31"/>
  </mergeCells>
  <phoneticPr fontId="87" type="noConversion"/>
  <pageMargins left="0.7" right="0.7" top="0.75" bottom="0.75" header="0.3" footer="0.3"/>
  <pageSetup orientation="portrait" r:id="rId1"/>
  <ignoredErrors>
    <ignoredError sqref="J35:J40" formulaRange="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46B9A-8D6A-4667-875C-ED1A5113469D}">
  <sheetPr codeName="Sheet14">
    <tabColor rgb="FF93E3FF"/>
  </sheetPr>
  <dimension ref="A2:O337"/>
  <sheetViews>
    <sheetView showGridLines="0" zoomScaleNormal="100" workbookViewId="0"/>
  </sheetViews>
  <sheetFormatPr baseColWidth="10" defaultColWidth="8.7109375" defaultRowHeight="14.25"/>
  <cols>
    <col min="1" max="1" width="28.7109375" style="4" customWidth="1"/>
    <col min="2" max="2" width="19.5703125" style="75" customWidth="1"/>
    <col min="3" max="6" width="14.28515625" style="4" customWidth="1"/>
    <col min="7" max="7" width="12.7109375" style="4" customWidth="1"/>
    <col min="8" max="8" width="14.28515625" style="4" customWidth="1"/>
    <col min="9" max="13" width="12.7109375" style="4" customWidth="1"/>
    <col min="14" max="14" width="15.7109375" style="4" customWidth="1"/>
    <col min="15" max="15" width="5.7109375" style="4" customWidth="1"/>
    <col min="16" max="16384" width="8.7109375" style="4"/>
  </cols>
  <sheetData>
    <row r="2" spans="1:11">
      <c r="K2" s="116"/>
    </row>
    <row r="7" spans="1:11" ht="20.25">
      <c r="A7" s="617" t="s">
        <v>0</v>
      </c>
      <c r="B7" s="617"/>
      <c r="C7" s="617"/>
    </row>
    <row r="8" spans="1:11" ht="21" thickBot="1">
      <c r="A8" s="167"/>
      <c r="B8" s="171"/>
      <c r="C8" s="166"/>
      <c r="D8" s="166"/>
      <c r="E8" s="166"/>
      <c r="F8" s="166"/>
      <c r="G8" s="166"/>
      <c r="H8" s="166"/>
      <c r="I8" s="166"/>
      <c r="J8" s="166"/>
      <c r="K8" s="166"/>
    </row>
    <row r="9" spans="1:11" ht="19.5" thickTop="1" thickBot="1">
      <c r="A9" s="610" t="s">
        <v>33</v>
      </c>
      <c r="B9" s="610"/>
      <c r="C9" s="610"/>
      <c r="D9" s="610"/>
      <c r="E9" s="610"/>
      <c r="F9" s="610"/>
      <c r="G9" s="610"/>
      <c r="H9" s="610"/>
      <c r="I9" s="610"/>
      <c r="J9" s="610"/>
      <c r="K9" s="610"/>
    </row>
    <row r="10" spans="1:11" ht="14.65" customHeight="1" thickTop="1">
      <c r="A10" s="55"/>
      <c r="B10" s="160"/>
      <c r="C10" s="122"/>
      <c r="D10" s="122"/>
      <c r="E10" s="122"/>
      <c r="F10" s="122"/>
      <c r="G10" s="122"/>
      <c r="H10" s="122"/>
      <c r="I10" s="122"/>
      <c r="J10" s="122"/>
      <c r="K10" s="122"/>
    </row>
    <row r="11" spans="1:11" ht="14.65" customHeight="1">
      <c r="A11" s="763" t="s">
        <v>1281</v>
      </c>
      <c r="B11" s="763"/>
      <c r="C11" s="122"/>
      <c r="D11" s="122"/>
      <c r="E11" s="122"/>
      <c r="F11" s="122"/>
      <c r="G11" s="122"/>
      <c r="H11" s="122"/>
      <c r="I11" s="122"/>
      <c r="J11" s="122"/>
      <c r="K11" s="122"/>
    </row>
    <row r="12" spans="1:11" ht="24" customHeight="1">
      <c r="A12" s="55"/>
      <c r="B12" s="160"/>
      <c r="C12" s="122"/>
      <c r="D12" s="122"/>
      <c r="E12" s="122"/>
      <c r="F12" s="122"/>
      <c r="G12" s="122"/>
      <c r="H12" s="122"/>
      <c r="I12" s="122"/>
      <c r="J12" s="122"/>
      <c r="K12" s="122"/>
    </row>
    <row r="13" spans="1:11" s="12" customFormat="1" ht="17.25">
      <c r="A13" s="621" t="s">
        <v>1282</v>
      </c>
      <c r="B13" s="621"/>
      <c r="C13" s="621"/>
      <c r="D13" s="621"/>
      <c r="E13" s="621"/>
      <c r="F13" s="621"/>
      <c r="G13" s="621"/>
      <c r="H13" s="621"/>
      <c r="I13" s="621"/>
      <c r="J13" s="621"/>
      <c r="K13" s="621"/>
    </row>
    <row r="14" spans="1:11" s="12" customFormat="1" ht="63.75">
      <c r="A14" s="202" t="s">
        <v>1283</v>
      </c>
      <c r="B14" s="174" t="s">
        <v>1284</v>
      </c>
      <c r="C14" s="174" t="s">
        <v>1285</v>
      </c>
      <c r="D14" s="174" t="s">
        <v>1286</v>
      </c>
      <c r="E14" s="174" t="s">
        <v>1287</v>
      </c>
      <c r="F14" s="174" t="s">
        <v>1288</v>
      </c>
      <c r="G14" s="174" t="s">
        <v>1289</v>
      </c>
      <c r="H14" s="174" t="s">
        <v>1290</v>
      </c>
      <c r="I14" s="174" t="s">
        <v>1291</v>
      </c>
      <c r="J14" s="174" t="s">
        <v>1292</v>
      </c>
      <c r="K14" s="174" t="s">
        <v>1293</v>
      </c>
    </row>
    <row r="15" spans="1:11" s="12" customFormat="1" ht="12.6" customHeight="1">
      <c r="A15" s="253" t="s">
        <v>1294</v>
      </c>
      <c r="B15" s="471">
        <v>0</v>
      </c>
      <c r="C15" s="472" t="s">
        <v>181</v>
      </c>
      <c r="D15" s="471">
        <v>0</v>
      </c>
      <c r="E15" s="471">
        <v>0</v>
      </c>
      <c r="F15" s="473" t="s">
        <v>181</v>
      </c>
      <c r="G15" s="473" t="s">
        <v>181</v>
      </c>
      <c r="H15" s="473" t="s">
        <v>181</v>
      </c>
      <c r="I15" s="473">
        <v>-15</v>
      </c>
      <c r="J15" s="473" t="s">
        <v>181</v>
      </c>
      <c r="K15" s="474">
        <v>0</v>
      </c>
    </row>
    <row r="16" spans="1:11" s="12" customFormat="1" ht="12.6" customHeight="1">
      <c r="A16" s="253" t="s">
        <v>1295</v>
      </c>
      <c r="B16" s="472">
        <v>3</v>
      </c>
      <c r="C16" s="472">
        <v>1</v>
      </c>
      <c r="D16" s="473">
        <v>4</v>
      </c>
      <c r="E16" s="473">
        <v>-2</v>
      </c>
      <c r="F16" s="471">
        <v>0</v>
      </c>
      <c r="G16" s="474">
        <v>0</v>
      </c>
      <c r="H16" s="473">
        <v>90</v>
      </c>
      <c r="I16" s="473">
        <v>-52</v>
      </c>
      <c r="J16" s="473">
        <v>15</v>
      </c>
      <c r="K16" s="473">
        <v>20</v>
      </c>
    </row>
    <row r="17" spans="1:11" s="12" customFormat="1" ht="12.6" customHeight="1">
      <c r="A17" s="253" t="s">
        <v>1296</v>
      </c>
      <c r="B17" s="472">
        <v>2</v>
      </c>
      <c r="C17" s="472">
        <v>46</v>
      </c>
      <c r="D17" s="473">
        <v>48</v>
      </c>
      <c r="E17" s="473">
        <v>21</v>
      </c>
      <c r="F17" s="471">
        <v>0</v>
      </c>
      <c r="G17" s="474">
        <v>0</v>
      </c>
      <c r="H17" s="473">
        <v>124</v>
      </c>
      <c r="I17" s="473">
        <v>63</v>
      </c>
      <c r="J17" s="473" t="s">
        <v>181</v>
      </c>
      <c r="K17" s="473" t="s">
        <v>181</v>
      </c>
    </row>
    <row r="18" spans="1:11" s="12" customFormat="1" ht="12.6" customHeight="1">
      <c r="A18" s="253" t="s">
        <v>1297</v>
      </c>
      <c r="B18" s="472" t="s">
        <v>181</v>
      </c>
      <c r="C18" s="472" t="s">
        <v>181</v>
      </c>
      <c r="D18" s="473" t="s">
        <v>181</v>
      </c>
      <c r="E18" s="473" t="s">
        <v>181</v>
      </c>
      <c r="F18" s="473" t="s">
        <v>181</v>
      </c>
      <c r="G18" s="473" t="s">
        <v>181</v>
      </c>
      <c r="H18" s="473">
        <v>2</v>
      </c>
      <c r="I18" s="473" t="s">
        <v>181</v>
      </c>
      <c r="J18" s="473" t="s">
        <v>181</v>
      </c>
      <c r="K18" s="473">
        <v>2</v>
      </c>
    </row>
    <row r="19" spans="1:11" s="12" customFormat="1" ht="12.6" customHeight="1">
      <c r="A19" s="253" t="s">
        <v>1298</v>
      </c>
      <c r="B19" s="472" t="s">
        <v>181</v>
      </c>
      <c r="C19" s="472" t="s">
        <v>181</v>
      </c>
      <c r="D19" s="473" t="s">
        <v>181</v>
      </c>
      <c r="E19" s="471">
        <v>0</v>
      </c>
      <c r="F19" s="473" t="s">
        <v>181</v>
      </c>
      <c r="G19" s="473" t="s">
        <v>181</v>
      </c>
      <c r="H19" s="473">
        <v>29</v>
      </c>
      <c r="I19" s="474">
        <v>0</v>
      </c>
      <c r="J19" s="473" t="s">
        <v>181</v>
      </c>
      <c r="K19" s="473">
        <v>13</v>
      </c>
    </row>
    <row r="20" spans="1:11" s="12" customFormat="1" ht="12.6" customHeight="1">
      <c r="A20" s="253" t="s">
        <v>1299</v>
      </c>
      <c r="B20" s="472" t="s">
        <v>181</v>
      </c>
      <c r="C20" s="472" t="s">
        <v>181</v>
      </c>
      <c r="D20" s="473" t="s">
        <v>181</v>
      </c>
      <c r="E20" s="473" t="s">
        <v>181</v>
      </c>
      <c r="F20" s="473" t="s">
        <v>181</v>
      </c>
      <c r="G20" s="473" t="s">
        <v>181</v>
      </c>
      <c r="H20" s="473">
        <v>7</v>
      </c>
      <c r="I20" s="474">
        <v>0</v>
      </c>
      <c r="J20" s="473" t="s">
        <v>181</v>
      </c>
      <c r="K20" s="473" t="s">
        <v>1300</v>
      </c>
    </row>
    <row r="21" spans="1:11" s="12" customFormat="1" ht="12.6" customHeight="1">
      <c r="A21" s="253" t="s">
        <v>1301</v>
      </c>
      <c r="B21" s="472">
        <v>9712</v>
      </c>
      <c r="C21" s="472">
        <v>3170</v>
      </c>
      <c r="D21" s="473">
        <v>12882</v>
      </c>
      <c r="E21" s="473">
        <v>2766</v>
      </c>
      <c r="F21" s="473">
        <v>399</v>
      </c>
      <c r="G21" s="473">
        <v>404</v>
      </c>
      <c r="H21" s="473">
        <v>46287</v>
      </c>
      <c r="I21" s="473">
        <v>19673</v>
      </c>
      <c r="J21" s="473">
        <v>8174</v>
      </c>
      <c r="K21" s="473">
        <v>14365</v>
      </c>
    </row>
    <row r="22" spans="1:11" s="12" customFormat="1" ht="12.6" customHeight="1">
      <c r="A22" s="253" t="s">
        <v>1302</v>
      </c>
      <c r="B22" s="472">
        <v>555</v>
      </c>
      <c r="C22" s="472">
        <v>90</v>
      </c>
      <c r="D22" s="473">
        <v>645</v>
      </c>
      <c r="E22" s="473">
        <v>31</v>
      </c>
      <c r="F22" s="473">
        <v>52</v>
      </c>
      <c r="G22" s="473">
        <v>65</v>
      </c>
      <c r="H22" s="473">
        <v>3981</v>
      </c>
      <c r="I22" s="473">
        <v>980</v>
      </c>
      <c r="J22" s="473">
        <v>1188</v>
      </c>
      <c r="K22" s="473">
        <v>5598</v>
      </c>
    </row>
    <row r="23" spans="1:11" s="12" customFormat="1" ht="12.6" customHeight="1">
      <c r="A23" s="253" t="s">
        <v>1303</v>
      </c>
      <c r="B23" s="471">
        <v>0</v>
      </c>
      <c r="C23" s="472">
        <v>6</v>
      </c>
      <c r="D23" s="473">
        <v>6</v>
      </c>
      <c r="E23" s="473">
        <v>0</v>
      </c>
      <c r="F23" s="471">
        <v>0</v>
      </c>
      <c r="G23" s="474">
        <v>0</v>
      </c>
      <c r="H23" s="473">
        <v>1</v>
      </c>
      <c r="I23" s="473">
        <v>2</v>
      </c>
      <c r="J23" s="473">
        <v>13</v>
      </c>
      <c r="K23" s="473">
        <v>1</v>
      </c>
    </row>
    <row r="24" spans="1:11" s="12" customFormat="1" ht="12.6" customHeight="1">
      <c r="A24" s="253" t="s">
        <v>1304</v>
      </c>
      <c r="B24" s="472" t="s">
        <v>181</v>
      </c>
      <c r="C24" s="472" t="s">
        <v>181</v>
      </c>
      <c r="D24" s="473" t="s">
        <v>181</v>
      </c>
      <c r="E24" s="473" t="s">
        <v>1300</v>
      </c>
      <c r="F24" s="473" t="s">
        <v>181</v>
      </c>
      <c r="G24" s="473" t="s">
        <v>181</v>
      </c>
      <c r="H24" s="474">
        <v>0</v>
      </c>
      <c r="I24" s="473" t="s">
        <v>181</v>
      </c>
      <c r="J24" s="473" t="s">
        <v>181</v>
      </c>
      <c r="K24" s="473" t="s">
        <v>181</v>
      </c>
    </row>
    <row r="25" spans="1:11" s="12" customFormat="1" ht="12.6" customHeight="1">
      <c r="A25" s="253" t="s">
        <v>1305</v>
      </c>
      <c r="B25" s="472" t="s">
        <v>181</v>
      </c>
      <c r="C25" s="472" t="s">
        <v>181</v>
      </c>
      <c r="D25" s="473" t="s">
        <v>181</v>
      </c>
      <c r="E25" s="473">
        <v>-3</v>
      </c>
      <c r="F25" s="473" t="s">
        <v>181</v>
      </c>
      <c r="G25" s="473" t="s">
        <v>181</v>
      </c>
      <c r="H25" s="473" t="s">
        <v>181</v>
      </c>
      <c r="I25" s="473">
        <v>-51</v>
      </c>
      <c r="J25" s="473">
        <v>12</v>
      </c>
      <c r="K25" s="473">
        <v>0</v>
      </c>
    </row>
    <row r="26" spans="1:11" s="12" customFormat="1" ht="12.6" customHeight="1">
      <c r="A26" s="253" t="s">
        <v>1306</v>
      </c>
      <c r="B26" s="472" t="s">
        <v>181</v>
      </c>
      <c r="C26" s="472">
        <v>1</v>
      </c>
      <c r="D26" s="473">
        <v>1</v>
      </c>
      <c r="E26" s="473">
        <v>0</v>
      </c>
      <c r="F26" s="471">
        <v>0</v>
      </c>
      <c r="G26" s="474">
        <v>0</v>
      </c>
      <c r="H26" s="474">
        <v>0</v>
      </c>
      <c r="I26" s="473">
        <v>0</v>
      </c>
      <c r="J26" s="473">
        <v>1</v>
      </c>
      <c r="K26" s="474">
        <v>0</v>
      </c>
    </row>
    <row r="27" spans="1:11" s="12" customFormat="1" ht="12.6" customHeight="1">
      <c r="A27" s="253" t="s">
        <v>1307</v>
      </c>
      <c r="B27" s="472">
        <v>2</v>
      </c>
      <c r="C27" s="472" t="s">
        <v>181</v>
      </c>
      <c r="D27" s="473">
        <v>2</v>
      </c>
      <c r="E27" s="473">
        <v>-2</v>
      </c>
      <c r="F27" s="473" t="s">
        <v>181</v>
      </c>
      <c r="G27" s="474">
        <v>0</v>
      </c>
      <c r="H27" s="473">
        <v>326</v>
      </c>
      <c r="I27" s="473">
        <v>-185</v>
      </c>
      <c r="J27" s="473">
        <v>23</v>
      </c>
      <c r="K27" s="473">
        <v>67</v>
      </c>
    </row>
    <row r="28" spans="1:11" s="12" customFormat="1" ht="12.6" customHeight="1">
      <c r="A28" s="253" t="s">
        <v>1308</v>
      </c>
      <c r="B28" s="472" t="s">
        <v>181</v>
      </c>
      <c r="C28" s="472" t="s">
        <v>181</v>
      </c>
      <c r="D28" s="472" t="s">
        <v>181</v>
      </c>
      <c r="E28" s="472" t="s">
        <v>181</v>
      </c>
      <c r="F28" s="472" t="s">
        <v>181</v>
      </c>
      <c r="G28" s="472" t="s">
        <v>181</v>
      </c>
      <c r="H28" s="472" t="s">
        <v>181</v>
      </c>
      <c r="I28" s="472" t="s">
        <v>181</v>
      </c>
      <c r="J28" s="472" t="s">
        <v>181</v>
      </c>
      <c r="K28" s="472" t="s">
        <v>181</v>
      </c>
    </row>
    <row r="29" spans="1:11" s="12" customFormat="1" ht="12.6" customHeight="1">
      <c r="A29" s="253" t="s">
        <v>1309</v>
      </c>
      <c r="B29" s="472" t="s">
        <v>181</v>
      </c>
      <c r="C29" s="472" t="s">
        <v>181</v>
      </c>
      <c r="D29" s="473" t="s">
        <v>181</v>
      </c>
      <c r="E29" s="471">
        <v>0</v>
      </c>
      <c r="F29" s="473" t="s">
        <v>181</v>
      </c>
      <c r="G29" s="473" t="s">
        <v>181</v>
      </c>
      <c r="H29" s="473" t="s">
        <v>181</v>
      </c>
      <c r="I29" s="473">
        <v>-20</v>
      </c>
      <c r="J29" s="473">
        <v>1</v>
      </c>
      <c r="K29" s="474">
        <v>0</v>
      </c>
    </row>
    <row r="30" spans="1:11" s="12" customFormat="1" ht="12.6" customHeight="1">
      <c r="A30" s="253" t="s">
        <v>1310</v>
      </c>
      <c r="B30" s="472" t="s">
        <v>181</v>
      </c>
      <c r="C30" s="472" t="s">
        <v>181</v>
      </c>
      <c r="D30" s="473" t="s">
        <v>181</v>
      </c>
      <c r="E30" s="473" t="s">
        <v>181</v>
      </c>
      <c r="F30" s="473" t="s">
        <v>181</v>
      </c>
      <c r="G30" s="473" t="s">
        <v>181</v>
      </c>
      <c r="H30" s="473">
        <v>3</v>
      </c>
      <c r="I30" s="473">
        <v>-4</v>
      </c>
      <c r="J30" s="473" t="s">
        <v>181</v>
      </c>
      <c r="K30" s="473" t="s">
        <v>181</v>
      </c>
    </row>
    <row r="31" spans="1:11" s="12" customFormat="1" ht="12.6" customHeight="1">
      <c r="A31" s="253" t="s">
        <v>1311</v>
      </c>
      <c r="B31" s="472">
        <v>1476</v>
      </c>
      <c r="C31" s="472" t="s">
        <v>181</v>
      </c>
      <c r="D31" s="473">
        <v>1476</v>
      </c>
      <c r="E31" s="473">
        <v>983</v>
      </c>
      <c r="F31" s="473">
        <v>299</v>
      </c>
      <c r="G31" s="473">
        <v>388</v>
      </c>
      <c r="H31" s="473">
        <v>700</v>
      </c>
      <c r="I31" s="473">
        <v>693</v>
      </c>
      <c r="J31" s="473">
        <v>655</v>
      </c>
      <c r="K31" s="473">
        <v>1692</v>
      </c>
    </row>
    <row r="32" spans="1:11" s="12" customFormat="1" ht="12.6" customHeight="1">
      <c r="A32" s="253" t="s">
        <v>1312</v>
      </c>
      <c r="B32" s="472">
        <v>1</v>
      </c>
      <c r="C32" s="472" t="s">
        <v>181</v>
      </c>
      <c r="D32" s="473">
        <v>1</v>
      </c>
      <c r="E32" s="473">
        <v>19</v>
      </c>
      <c r="F32" s="471">
        <v>0</v>
      </c>
      <c r="G32" s="473">
        <v>5</v>
      </c>
      <c r="H32" s="473">
        <v>27</v>
      </c>
      <c r="I32" s="473">
        <v>43</v>
      </c>
      <c r="J32" s="473">
        <v>15</v>
      </c>
      <c r="K32" s="473">
        <v>17</v>
      </c>
    </row>
    <row r="33" spans="1:14" s="12" customFormat="1" ht="12.6" customHeight="1">
      <c r="A33" s="253" t="s">
        <v>1313</v>
      </c>
      <c r="B33" s="472">
        <v>2436</v>
      </c>
      <c r="C33" s="472">
        <v>516</v>
      </c>
      <c r="D33" s="473">
        <v>2952</v>
      </c>
      <c r="E33" s="473">
        <v>663</v>
      </c>
      <c r="F33" s="473">
        <v>56</v>
      </c>
      <c r="G33" s="473">
        <v>83</v>
      </c>
      <c r="H33" s="473">
        <v>1203</v>
      </c>
      <c r="I33" s="473">
        <v>865</v>
      </c>
      <c r="J33" s="473">
        <v>630</v>
      </c>
      <c r="K33" s="473">
        <v>1689</v>
      </c>
    </row>
    <row r="34" spans="1:14" s="12" customFormat="1" ht="12.75">
      <c r="A34" s="198" t="s">
        <v>173</v>
      </c>
      <c r="B34" s="490">
        <v>14188</v>
      </c>
      <c r="C34" s="490">
        <v>3829</v>
      </c>
      <c r="D34" s="490">
        <v>18017</v>
      </c>
      <c r="E34" s="490">
        <v>4477</v>
      </c>
      <c r="F34" s="490">
        <v>807</v>
      </c>
      <c r="G34" s="490">
        <v>946</v>
      </c>
      <c r="H34" s="490">
        <v>52780</v>
      </c>
      <c r="I34" s="490">
        <v>21993</v>
      </c>
      <c r="J34" s="490">
        <v>10727</v>
      </c>
      <c r="K34" s="490">
        <v>23464</v>
      </c>
    </row>
    <row r="35" spans="1:14" s="12" customFormat="1" ht="22.9" customHeight="1">
      <c r="A35" s="4"/>
      <c r="B35" s="75"/>
      <c r="C35" s="4"/>
      <c r="D35" s="4"/>
      <c r="E35" s="4"/>
      <c r="F35" s="4"/>
      <c r="G35" s="4"/>
      <c r="H35" s="4"/>
      <c r="I35" s="4"/>
      <c r="J35" s="4"/>
      <c r="K35" s="4"/>
    </row>
    <row r="36" spans="1:14" ht="17.25">
      <c r="A36" s="730" t="s">
        <v>1314</v>
      </c>
      <c r="B36" s="730"/>
      <c r="C36" s="730"/>
      <c r="D36" s="730"/>
      <c r="E36" s="730"/>
      <c r="F36" s="730"/>
      <c r="G36" s="730"/>
      <c r="H36" s="730"/>
      <c r="I36" s="730"/>
      <c r="J36" s="730"/>
      <c r="K36" s="730"/>
    </row>
    <row r="37" spans="1:14" s="12" customFormat="1" ht="63.75">
      <c r="A37" s="202" t="s">
        <v>1283</v>
      </c>
      <c r="B37" s="174" t="s">
        <v>1284</v>
      </c>
      <c r="C37" s="174" t="s">
        <v>1285</v>
      </c>
      <c r="D37" s="174" t="s">
        <v>1286</v>
      </c>
      <c r="E37" s="174" t="s">
        <v>1287</v>
      </c>
      <c r="F37" s="174" t="s">
        <v>1288</v>
      </c>
      <c r="G37" s="174" t="s">
        <v>1289</v>
      </c>
      <c r="H37" s="174" t="s">
        <v>1290</v>
      </c>
      <c r="I37" s="174" t="s">
        <v>1291</v>
      </c>
      <c r="J37" s="174" t="s">
        <v>1292</v>
      </c>
      <c r="K37" s="174" t="s">
        <v>1293</v>
      </c>
    </row>
    <row r="38" spans="1:14" s="12" customFormat="1" ht="12.75">
      <c r="A38" s="253" t="s">
        <v>1294</v>
      </c>
      <c r="B38" s="475">
        <v>0.474051</v>
      </c>
      <c r="C38" s="476">
        <v>0</v>
      </c>
      <c r="D38" s="477">
        <v>0.474051</v>
      </c>
      <c r="E38" s="477">
        <v>-463.23700000000002</v>
      </c>
      <c r="F38" s="477">
        <v>0</v>
      </c>
      <c r="G38" s="477">
        <v>0</v>
      </c>
      <c r="H38" s="477">
        <v>0</v>
      </c>
      <c r="I38" s="477">
        <v>-15.164021999999999</v>
      </c>
      <c r="J38" s="477">
        <v>0</v>
      </c>
      <c r="K38" s="477">
        <v>1.9886000000000001E-2</v>
      </c>
      <c r="L38" s="77"/>
      <c r="M38" s="77"/>
      <c r="N38" s="77"/>
    </row>
    <row r="39" spans="1:14" s="12" customFormat="1" ht="12.75">
      <c r="A39" s="253" t="s">
        <v>1295</v>
      </c>
      <c r="B39" s="476">
        <v>1.8608856986999998</v>
      </c>
      <c r="C39" s="476">
        <v>0</v>
      </c>
      <c r="D39" s="477">
        <v>1.8608856986999998</v>
      </c>
      <c r="E39" s="477">
        <v>-4669.1607612999996</v>
      </c>
      <c r="F39" s="477">
        <v>0</v>
      </c>
      <c r="G39" s="477">
        <v>0</v>
      </c>
      <c r="H39" s="477">
        <v>88.100817466899997</v>
      </c>
      <c r="I39" s="477">
        <v>-49.320693384899997</v>
      </c>
      <c r="J39" s="477">
        <v>10</v>
      </c>
      <c r="K39" s="477">
        <v>19.627754326600002</v>
      </c>
    </row>
    <row r="40" spans="1:14" s="12" customFormat="1" ht="12.75">
      <c r="A40" s="253" t="s">
        <v>1296</v>
      </c>
      <c r="B40" s="476">
        <v>2.3785023725749999</v>
      </c>
      <c r="C40" s="476">
        <v>21.073653442279998</v>
      </c>
      <c r="D40" s="477">
        <v>23.452155814854997</v>
      </c>
      <c r="E40" s="477">
        <v>20546.803035000001</v>
      </c>
      <c r="F40" s="477">
        <v>0.46549299999999999</v>
      </c>
      <c r="G40" s="477">
        <v>0.43459770599999997</v>
      </c>
      <c r="H40" s="477">
        <v>132.51597787599999</v>
      </c>
      <c r="I40" s="477">
        <v>45.524286781499995</v>
      </c>
      <c r="J40" s="477">
        <v>0</v>
      </c>
      <c r="K40" s="477">
        <v>0</v>
      </c>
    </row>
    <row r="41" spans="1:14" s="12" customFormat="1" ht="12.75">
      <c r="A41" s="253" t="s">
        <v>1297</v>
      </c>
      <c r="B41" s="476">
        <v>0</v>
      </c>
      <c r="C41" s="476">
        <v>0</v>
      </c>
      <c r="D41" s="477">
        <v>0</v>
      </c>
      <c r="E41" s="477">
        <v>0</v>
      </c>
      <c r="F41" s="477">
        <v>0</v>
      </c>
      <c r="G41" s="477">
        <v>0</v>
      </c>
      <c r="H41" s="477">
        <v>2.6279193514999997</v>
      </c>
      <c r="I41" s="477">
        <v>0</v>
      </c>
      <c r="J41" s="477">
        <v>0</v>
      </c>
      <c r="K41" s="477">
        <v>2.5245406784999997</v>
      </c>
    </row>
    <row r="42" spans="1:14" s="12" customFormat="1" ht="12.75">
      <c r="A42" s="253" t="s">
        <v>1298</v>
      </c>
      <c r="B42" s="476">
        <v>0</v>
      </c>
      <c r="C42" s="476">
        <v>0</v>
      </c>
      <c r="D42" s="477">
        <v>0</v>
      </c>
      <c r="E42" s="477">
        <v>-89.77447500000001</v>
      </c>
      <c r="F42" s="477">
        <v>0</v>
      </c>
      <c r="G42" s="477">
        <v>0</v>
      </c>
      <c r="H42" s="477">
        <v>32.356636462499999</v>
      </c>
      <c r="I42" s="477">
        <v>0.11924298750000001</v>
      </c>
      <c r="J42" s="477">
        <v>0</v>
      </c>
      <c r="K42" s="477">
        <v>15.0510115875</v>
      </c>
    </row>
    <row r="43" spans="1:14" s="12" customFormat="1" ht="12.75">
      <c r="A43" s="253" t="s">
        <v>1299</v>
      </c>
      <c r="B43" s="476">
        <v>1.3415E-6</v>
      </c>
      <c r="C43" s="476">
        <v>0</v>
      </c>
      <c r="D43" s="477">
        <v>1.3415E-6</v>
      </c>
      <c r="E43" s="477">
        <v>1.3414999999999998E-3</v>
      </c>
      <c r="F43" s="477">
        <v>0</v>
      </c>
      <c r="G43" s="477">
        <v>0</v>
      </c>
      <c r="H43" s="477">
        <v>7.496858722499999</v>
      </c>
      <c r="I43" s="477">
        <v>-0.35082907999999996</v>
      </c>
      <c r="J43" s="477">
        <v>0</v>
      </c>
      <c r="K43" s="477">
        <v>0</v>
      </c>
    </row>
    <row r="44" spans="1:14" s="12" customFormat="1" ht="12.75">
      <c r="A44" s="253" t="s">
        <v>1301</v>
      </c>
      <c r="B44" s="476">
        <v>5707.4100933157324</v>
      </c>
      <c r="C44" s="476">
        <v>1237.033239319501</v>
      </c>
      <c r="D44" s="477">
        <v>6944.4433326352337</v>
      </c>
      <c r="E44" s="477">
        <v>-1880147.7134469547</v>
      </c>
      <c r="F44" s="477">
        <v>33.682529000000002</v>
      </c>
      <c r="G44" s="477">
        <v>65.529586064500009</v>
      </c>
      <c r="H44" s="477">
        <v>43897.475084862002</v>
      </c>
      <c r="I44" s="477">
        <v>16267.97408872139</v>
      </c>
      <c r="J44" s="477">
        <v>7851</v>
      </c>
      <c r="K44" s="477">
        <v>13398.537957007427</v>
      </c>
    </row>
    <row r="45" spans="1:14" s="12" customFormat="1" ht="12.75">
      <c r="A45" s="253" t="s">
        <v>1302</v>
      </c>
      <c r="B45" s="476">
        <v>519.00878099159002</v>
      </c>
      <c r="C45" s="476">
        <v>99.58714325599999</v>
      </c>
      <c r="D45" s="477">
        <v>618.59592424759001</v>
      </c>
      <c r="E45" s="477">
        <v>-60555.780039867677</v>
      </c>
      <c r="F45" s="477">
        <v>19.568496</v>
      </c>
      <c r="G45" s="477">
        <v>56.651438033619399</v>
      </c>
      <c r="H45" s="477">
        <v>3740.2128825120835</v>
      </c>
      <c r="I45" s="477">
        <v>1076.0500612865926</v>
      </c>
      <c r="J45" s="477">
        <v>1092</v>
      </c>
      <c r="K45" s="477">
        <v>4137.0713273726487</v>
      </c>
    </row>
    <row r="46" spans="1:14" s="12" customFormat="1" ht="12.75">
      <c r="A46" s="253" t="s">
        <v>1303</v>
      </c>
      <c r="B46" s="476">
        <v>6.2857295999999993E-2</v>
      </c>
      <c r="C46" s="476">
        <v>5.9227709975999998</v>
      </c>
      <c r="D46" s="477">
        <v>5.9856282935999996</v>
      </c>
      <c r="E46" s="477">
        <v>404.96202719999997</v>
      </c>
      <c r="F46" s="477">
        <v>4.6894917600000002E-2</v>
      </c>
      <c r="G46" s="477">
        <v>4.4784122400000001E-2</v>
      </c>
      <c r="H46" s="477">
        <v>0.66128250960000001</v>
      </c>
      <c r="I46" s="477">
        <v>1.7519899535999999</v>
      </c>
      <c r="J46" s="477">
        <v>15</v>
      </c>
      <c r="K46" s="477">
        <v>0.22349351519999999</v>
      </c>
    </row>
    <row r="47" spans="1:14" s="12" customFormat="1" ht="12.75">
      <c r="A47" s="253" t="s">
        <v>1304</v>
      </c>
      <c r="B47" s="476">
        <v>0</v>
      </c>
      <c r="C47" s="476">
        <v>0</v>
      </c>
      <c r="D47" s="477">
        <v>0</v>
      </c>
      <c r="E47" s="477">
        <v>0</v>
      </c>
      <c r="F47" s="477">
        <v>0</v>
      </c>
      <c r="G47" s="477">
        <v>0</v>
      </c>
      <c r="H47" s="477">
        <v>1.167E-2</v>
      </c>
      <c r="I47" s="477">
        <v>0</v>
      </c>
      <c r="J47" s="477">
        <v>0</v>
      </c>
      <c r="K47" s="477">
        <v>0</v>
      </c>
    </row>
    <row r="48" spans="1:14" s="12" customFormat="1" ht="12.75">
      <c r="A48" s="253" t="s">
        <v>1305</v>
      </c>
      <c r="B48" s="476">
        <v>0</v>
      </c>
      <c r="C48" s="476">
        <v>0</v>
      </c>
      <c r="D48" s="477">
        <v>0</v>
      </c>
      <c r="E48" s="477">
        <v>-3270.93</v>
      </c>
      <c r="F48" s="477">
        <v>4.7460000000000002E-3</v>
      </c>
      <c r="G48" s="477">
        <v>0</v>
      </c>
      <c r="H48" s="477">
        <v>0</v>
      </c>
      <c r="I48" s="477">
        <v>-46.594326000000002</v>
      </c>
      <c r="J48" s="477">
        <v>10</v>
      </c>
      <c r="K48" s="477">
        <v>7.0949999999999999E-2</v>
      </c>
    </row>
    <row r="49" spans="1:11" s="12" customFormat="1" ht="12.75">
      <c r="A49" s="253" t="s">
        <v>1306</v>
      </c>
      <c r="B49" s="476">
        <v>0</v>
      </c>
      <c r="C49" s="476">
        <v>1.593893598</v>
      </c>
      <c r="D49" s="477">
        <v>1.593893598</v>
      </c>
      <c r="E49" s="477">
        <v>104.27340425999999</v>
      </c>
      <c r="F49" s="477">
        <v>5.4501006000000005E-2</v>
      </c>
      <c r="G49" s="477">
        <v>4.3712174999999999E-2</v>
      </c>
      <c r="H49" s="477">
        <v>0.20111999999999999</v>
      </c>
      <c r="I49" s="477">
        <v>0.29513747840999999</v>
      </c>
      <c r="J49" s="477">
        <v>1</v>
      </c>
      <c r="K49" s="477">
        <v>0</v>
      </c>
    </row>
    <row r="50" spans="1:11" s="12" customFormat="1" ht="12.75">
      <c r="A50" s="253" t="s">
        <v>1307</v>
      </c>
      <c r="B50" s="476">
        <v>5.9785936000500008</v>
      </c>
      <c r="C50" s="476">
        <v>0</v>
      </c>
      <c r="D50" s="477">
        <v>5.9785936000500008</v>
      </c>
      <c r="E50" s="477">
        <v>3133.7036775000001</v>
      </c>
      <c r="F50" s="477">
        <v>0</v>
      </c>
      <c r="G50" s="477">
        <v>4.09968339E-3</v>
      </c>
      <c r="H50" s="477">
        <v>299.75262113544966</v>
      </c>
      <c r="I50" s="477">
        <v>-185.29215873739804</v>
      </c>
      <c r="J50" s="477">
        <v>7</v>
      </c>
      <c r="K50" s="477">
        <v>56.245612066330679</v>
      </c>
    </row>
    <row r="51" spans="1:11" s="12" customFormat="1" ht="12.75">
      <c r="A51" s="253" t="s">
        <v>1315</v>
      </c>
      <c r="B51" s="476">
        <v>5.6730945599999991E-4</v>
      </c>
      <c r="C51" s="476">
        <v>0</v>
      </c>
      <c r="D51" s="477">
        <v>5.6730945599999991E-4</v>
      </c>
      <c r="E51" s="477">
        <v>-28.575338013</v>
      </c>
      <c r="F51" s="477">
        <v>0</v>
      </c>
      <c r="G51" s="477">
        <v>8.801127E-6</v>
      </c>
      <c r="H51" s="477">
        <v>0</v>
      </c>
      <c r="I51" s="477">
        <v>0</v>
      </c>
      <c r="J51" s="477">
        <v>0</v>
      </c>
      <c r="K51" s="477">
        <v>0</v>
      </c>
    </row>
    <row r="52" spans="1:11" s="12" customFormat="1" ht="12.75">
      <c r="A52" s="253" t="s">
        <v>1309</v>
      </c>
      <c r="B52" s="476">
        <v>0.12178799999999999</v>
      </c>
      <c r="C52" s="476">
        <v>0</v>
      </c>
      <c r="D52" s="477">
        <v>0.12178799999999999</v>
      </c>
      <c r="E52" s="477">
        <v>68.7</v>
      </c>
      <c r="F52" s="477">
        <v>0</v>
      </c>
      <c r="G52" s="477">
        <v>0</v>
      </c>
      <c r="H52" s="477">
        <v>0</v>
      </c>
      <c r="I52" s="477">
        <v>-20.263973</v>
      </c>
      <c r="J52" s="477">
        <v>1</v>
      </c>
      <c r="K52" s="477">
        <v>0</v>
      </c>
    </row>
    <row r="53" spans="1:11" s="12" customFormat="1" ht="12.75">
      <c r="A53" s="253" t="s">
        <v>1310</v>
      </c>
      <c r="B53" s="476">
        <v>0</v>
      </c>
      <c r="C53" s="476">
        <v>0</v>
      </c>
      <c r="D53" s="477">
        <v>0</v>
      </c>
      <c r="E53" s="477">
        <v>0</v>
      </c>
      <c r="F53" s="477">
        <v>0</v>
      </c>
      <c r="G53" s="477">
        <v>0</v>
      </c>
      <c r="H53" s="477">
        <v>3.7340652499999996</v>
      </c>
      <c r="I53" s="477">
        <v>-4.0888530964999994</v>
      </c>
      <c r="J53" s="477">
        <v>0</v>
      </c>
      <c r="K53" s="477">
        <v>0</v>
      </c>
    </row>
    <row r="54" spans="1:11" s="12" customFormat="1" ht="12.75">
      <c r="A54" s="253" t="s">
        <v>1311</v>
      </c>
      <c r="B54" s="476">
        <v>924.81852171441449</v>
      </c>
      <c r="C54" s="476">
        <v>0</v>
      </c>
      <c r="D54" s="477">
        <v>924.81852171441449</v>
      </c>
      <c r="E54" s="477">
        <v>484555.00794609991</v>
      </c>
      <c r="F54" s="477">
        <v>84.804199999999994</v>
      </c>
      <c r="G54" s="477">
        <v>182.73163705185476</v>
      </c>
      <c r="H54" s="477">
        <v>733.65446658859992</v>
      </c>
      <c r="I54" s="477">
        <v>755.02859680500012</v>
      </c>
      <c r="J54" s="477">
        <v>663</v>
      </c>
      <c r="K54" s="477">
        <v>1710.4276925092997</v>
      </c>
    </row>
    <row r="55" spans="1:11" s="12" customFormat="1" ht="12.75">
      <c r="A55" s="253" t="s">
        <v>1312</v>
      </c>
      <c r="B55" s="476">
        <v>28.82915026501</v>
      </c>
      <c r="C55" s="476">
        <v>0</v>
      </c>
      <c r="D55" s="477">
        <v>28.82915026501</v>
      </c>
      <c r="E55" s="477">
        <v>29231.939122710002</v>
      </c>
      <c r="F55" s="477">
        <v>6.1551799999999997</v>
      </c>
      <c r="G55" s="477">
        <v>7.0053908660000008</v>
      </c>
      <c r="H55" s="477">
        <v>69.3214825265744</v>
      </c>
      <c r="I55" s="477">
        <v>27.018685567710001</v>
      </c>
      <c r="J55" s="477">
        <v>17</v>
      </c>
      <c r="K55" s="477">
        <v>20.634466462000002</v>
      </c>
    </row>
    <row r="56" spans="1:11" s="12" customFormat="1" ht="12.75">
      <c r="A56" s="253" t="s">
        <v>1313</v>
      </c>
      <c r="B56" s="476">
        <v>1984.9604742592846</v>
      </c>
      <c r="C56" s="476">
        <v>484.54461211095497</v>
      </c>
      <c r="D56" s="477">
        <v>2469.5050863702395</v>
      </c>
      <c r="E56" s="477">
        <v>443808.69854349992</v>
      </c>
      <c r="F56" s="477">
        <v>32.790697999999999</v>
      </c>
      <c r="G56" s="477">
        <v>48.999419725999999</v>
      </c>
      <c r="H56" s="477">
        <v>1287.618456641</v>
      </c>
      <c r="I56" s="477">
        <v>797.40110756349998</v>
      </c>
      <c r="J56" s="477">
        <v>609</v>
      </c>
      <c r="K56" s="477">
        <v>1633.2323185579999</v>
      </c>
    </row>
    <row r="57" spans="1:11" s="12" customFormat="1" ht="12.75">
      <c r="A57" s="198" t="s">
        <v>173</v>
      </c>
      <c r="B57" s="491">
        <f>SUM(B38:B56)</f>
        <v>9175.9042671643128</v>
      </c>
      <c r="C57" s="491">
        <f t="shared" ref="C57:K57" si="0">SUM(C38:C56)</f>
        <v>1849.7553127243359</v>
      </c>
      <c r="D57" s="491">
        <f t="shared" si="0"/>
        <v>11025.659579888648</v>
      </c>
      <c r="E57" s="491">
        <f t="shared" si="0"/>
        <v>-967371.0819633659</v>
      </c>
      <c r="F57" s="491">
        <f t="shared" si="0"/>
        <v>177.57273792359999</v>
      </c>
      <c r="G57" s="491">
        <f t="shared" si="0"/>
        <v>361.44467422989118</v>
      </c>
      <c r="H57" s="491">
        <f t="shared" si="0"/>
        <v>50295.741341904708</v>
      </c>
      <c r="I57" s="491">
        <f t="shared" si="0"/>
        <v>18650.088341846407</v>
      </c>
      <c r="J57" s="491">
        <f t="shared" si="0"/>
        <v>10276</v>
      </c>
      <c r="K57" s="491">
        <f t="shared" si="0"/>
        <v>20993.667010083507</v>
      </c>
    </row>
    <row r="58" spans="1:11" s="12" customFormat="1" ht="21.6" customHeight="1">
      <c r="A58" s="4"/>
      <c r="B58" s="75"/>
      <c r="C58" s="4"/>
      <c r="D58" s="4"/>
      <c r="E58" s="4"/>
      <c r="F58" s="4"/>
      <c r="G58" s="4"/>
      <c r="H58" s="4"/>
      <c r="I58" s="4"/>
      <c r="J58" s="4"/>
      <c r="K58" s="4"/>
    </row>
    <row r="59" spans="1:11" s="12" customFormat="1" ht="18" customHeight="1">
      <c r="A59" s="621" t="s">
        <v>1316</v>
      </c>
      <c r="B59" s="621"/>
      <c r="C59" s="621"/>
      <c r="D59" s="621"/>
      <c r="E59" s="621"/>
      <c r="F59" s="621"/>
      <c r="G59" s="621"/>
      <c r="H59" s="621"/>
      <c r="I59" s="621"/>
      <c r="J59" s="621"/>
      <c r="K59" s="621"/>
    </row>
    <row r="60" spans="1:11" s="12" customFormat="1" ht="63.75">
      <c r="A60" s="173" t="s">
        <v>1283</v>
      </c>
      <c r="B60" s="174" t="s">
        <v>1284</v>
      </c>
      <c r="C60" s="174" t="s">
        <v>1285</v>
      </c>
      <c r="D60" s="174" t="s">
        <v>1286</v>
      </c>
      <c r="E60" s="174" t="s">
        <v>1287</v>
      </c>
      <c r="F60" s="174" t="s">
        <v>1288</v>
      </c>
      <c r="G60" s="174" t="s">
        <v>1289</v>
      </c>
      <c r="H60" s="174" t="s">
        <v>1290</v>
      </c>
      <c r="I60" s="174" t="s">
        <v>1291</v>
      </c>
      <c r="J60" s="174" t="s">
        <v>1292</v>
      </c>
      <c r="K60" s="174" t="s">
        <v>1293</v>
      </c>
    </row>
    <row r="61" spans="1:11" s="12" customFormat="1" ht="13.15" customHeight="1">
      <c r="A61" s="253" t="s">
        <v>1294</v>
      </c>
      <c r="B61" s="478">
        <v>0</v>
      </c>
      <c r="C61" s="479">
        <v>0</v>
      </c>
      <c r="D61" s="479">
        <v>0</v>
      </c>
      <c r="E61" s="479">
        <v>-4.1480999999999997E-2</v>
      </c>
      <c r="F61" s="479">
        <v>0</v>
      </c>
      <c r="G61" s="479">
        <v>0</v>
      </c>
      <c r="H61" s="479">
        <v>0</v>
      </c>
      <c r="I61" s="479">
        <v>-14.700785</v>
      </c>
      <c r="J61" s="479">
        <v>0</v>
      </c>
      <c r="K61" s="479">
        <v>0</v>
      </c>
    </row>
    <row r="62" spans="1:11" s="12" customFormat="1" ht="13.15" customHeight="1">
      <c r="A62" s="253" t="s">
        <v>1295</v>
      </c>
      <c r="B62" s="478">
        <v>15.632769069599998</v>
      </c>
      <c r="C62" s="479">
        <v>0</v>
      </c>
      <c r="D62" s="479">
        <v>15.632769069599998</v>
      </c>
      <c r="E62" s="479">
        <v>4.2622618607999998</v>
      </c>
      <c r="F62" s="479">
        <v>0</v>
      </c>
      <c r="G62" s="479">
        <v>0</v>
      </c>
      <c r="H62" s="479">
        <v>84.428842515599996</v>
      </c>
      <c r="I62" s="479">
        <v>-44.559787000007994</v>
      </c>
      <c r="J62" s="479">
        <v>14</v>
      </c>
      <c r="K62" s="479">
        <v>19.028289184799998</v>
      </c>
    </row>
    <row r="63" spans="1:11" s="12" customFormat="1" ht="13.15" customHeight="1">
      <c r="A63" s="253" t="s">
        <v>1296</v>
      </c>
      <c r="B63" s="478">
        <v>2.5978632036000002</v>
      </c>
      <c r="C63" s="479">
        <v>19.772793715500001</v>
      </c>
      <c r="D63" s="479">
        <v>22.3706569191</v>
      </c>
      <c r="E63" s="479">
        <v>20.041400736299998</v>
      </c>
      <c r="F63" s="479">
        <v>0.48982599999999998</v>
      </c>
      <c r="G63" s="479">
        <v>0.41015805900000002</v>
      </c>
      <c r="H63" s="479">
        <v>154.95796149360001</v>
      </c>
      <c r="I63" s="479">
        <v>44.240781947099997</v>
      </c>
      <c r="J63" s="479">
        <v>0</v>
      </c>
      <c r="K63" s="479">
        <v>0</v>
      </c>
    </row>
    <row r="64" spans="1:11" s="12" customFormat="1" ht="13.15" customHeight="1">
      <c r="A64" s="253" t="s">
        <v>1297</v>
      </c>
      <c r="B64" s="478">
        <v>0</v>
      </c>
      <c r="C64" s="479">
        <v>0</v>
      </c>
      <c r="D64" s="479">
        <v>0</v>
      </c>
      <c r="E64" s="479">
        <v>0</v>
      </c>
      <c r="F64" s="479">
        <v>0</v>
      </c>
      <c r="G64" s="479">
        <v>0</v>
      </c>
      <c r="H64" s="479">
        <v>2.5993188129</v>
      </c>
      <c r="I64" s="479">
        <v>0</v>
      </c>
      <c r="J64" s="479">
        <v>0</v>
      </c>
      <c r="K64" s="479">
        <v>2.4970652450999999</v>
      </c>
    </row>
    <row r="65" spans="1:11" s="12" customFormat="1" ht="13.15" customHeight="1">
      <c r="A65" s="253" t="s">
        <v>1298</v>
      </c>
      <c r="B65" s="478">
        <v>0</v>
      </c>
      <c r="C65" s="479">
        <v>0</v>
      </c>
      <c r="D65" s="479">
        <v>0</v>
      </c>
      <c r="E65" s="479">
        <v>-0.1091165732</v>
      </c>
      <c r="F65" s="479">
        <v>0</v>
      </c>
      <c r="G65" s="479">
        <v>0</v>
      </c>
      <c r="H65" s="479">
        <v>41.402805382399997</v>
      </c>
      <c r="I65" s="479">
        <v>0.26841789760000001</v>
      </c>
      <c r="J65" s="479">
        <v>0</v>
      </c>
      <c r="K65" s="479">
        <v>19.329151180700002</v>
      </c>
    </row>
    <row r="66" spans="1:11" s="12" customFormat="1" ht="13.15" customHeight="1">
      <c r="A66" s="253" t="s">
        <v>1299</v>
      </c>
      <c r="B66" s="478">
        <v>2.7068759999999997E-4</v>
      </c>
      <c r="C66" s="479">
        <v>0</v>
      </c>
      <c r="D66" s="479">
        <v>2.7068759999999997E-4</v>
      </c>
      <c r="E66" s="479">
        <v>2.7068759999999997E-4</v>
      </c>
      <c r="F66" s="479">
        <v>0</v>
      </c>
      <c r="G66" s="479">
        <v>0</v>
      </c>
      <c r="H66" s="479">
        <v>7.4152678634999996</v>
      </c>
      <c r="I66" s="479">
        <v>-0.34701221489999995</v>
      </c>
      <c r="J66" s="479">
        <v>0</v>
      </c>
      <c r="K66" s="479">
        <v>0</v>
      </c>
    </row>
    <row r="67" spans="1:11" s="12" customFormat="1" ht="13.15" customHeight="1">
      <c r="A67" s="253" t="s">
        <v>1301</v>
      </c>
      <c r="B67" s="478">
        <v>8067.3414838571998</v>
      </c>
      <c r="C67" s="479">
        <v>2772.6442000000002</v>
      </c>
      <c r="D67" s="479">
        <v>10839.9856838572</v>
      </c>
      <c r="E67" s="479">
        <v>-1757.5639241075</v>
      </c>
      <c r="F67" s="479">
        <v>349.28694000000002</v>
      </c>
      <c r="G67" s="479">
        <v>229.501959</v>
      </c>
      <c r="H67" s="479">
        <v>44075.331833195902</v>
      </c>
      <c r="I67" s="479">
        <v>17270.692541790799</v>
      </c>
      <c r="J67" s="479">
        <v>8098</v>
      </c>
      <c r="K67" s="479">
        <v>13094.368923723197</v>
      </c>
    </row>
    <row r="68" spans="1:11" s="12" customFormat="1" ht="13.15" customHeight="1">
      <c r="A68" s="253" t="s">
        <v>1302</v>
      </c>
      <c r="B68" s="478">
        <v>523.25294684703408</v>
      </c>
      <c r="C68" s="479">
        <v>103.0020641286</v>
      </c>
      <c r="D68" s="479">
        <v>626.25501097563404</v>
      </c>
      <c r="E68" s="479">
        <v>11.420865128960029</v>
      </c>
      <c r="F68" s="479">
        <v>67.076570000000004</v>
      </c>
      <c r="G68" s="479">
        <v>38.919582549000005</v>
      </c>
      <c r="H68" s="479">
        <v>3549.9856460794481</v>
      </c>
      <c r="I68" s="479">
        <v>1114.58906533253</v>
      </c>
      <c r="J68" s="479">
        <v>1151</v>
      </c>
      <c r="K68" s="479">
        <v>2890.7822316885895</v>
      </c>
    </row>
    <row r="69" spans="1:11" s="12" customFormat="1" ht="13.15" customHeight="1">
      <c r="A69" s="253" t="s">
        <v>1303</v>
      </c>
      <c r="B69" s="478">
        <v>4.2603051999999999E-3</v>
      </c>
      <c r="C69" s="479">
        <v>9.4619669834</v>
      </c>
      <c r="D69" s="479">
        <v>9.4662272886000007</v>
      </c>
      <c r="E69" s="479">
        <v>0.35473469880000003</v>
      </c>
      <c r="F69" s="479">
        <v>0</v>
      </c>
      <c r="G69" s="479">
        <v>6.3113482800000009E-2</v>
      </c>
      <c r="H69" s="479">
        <v>0.62031223820000003</v>
      </c>
      <c r="I69" s="479">
        <v>1.3947327428</v>
      </c>
      <c r="J69" s="479">
        <v>15</v>
      </c>
      <c r="K69" s="479">
        <v>1.0810973232000001</v>
      </c>
    </row>
    <row r="70" spans="1:11" s="12" customFormat="1" ht="13.15" customHeight="1">
      <c r="A70" s="253" t="s">
        <v>1304</v>
      </c>
      <c r="B70" s="478">
        <v>0</v>
      </c>
      <c r="C70" s="479">
        <v>0</v>
      </c>
      <c r="D70" s="479">
        <v>0</v>
      </c>
      <c r="E70" s="479">
        <v>0</v>
      </c>
      <c r="F70" s="479">
        <v>0</v>
      </c>
      <c r="G70" s="479">
        <v>0</v>
      </c>
      <c r="H70" s="479">
        <v>1.2185E-2</v>
      </c>
      <c r="I70" s="479">
        <v>0</v>
      </c>
      <c r="J70" s="479">
        <v>0</v>
      </c>
      <c r="K70" s="479">
        <v>0</v>
      </c>
    </row>
    <row r="71" spans="1:11" s="12" customFormat="1" ht="13.15" customHeight="1">
      <c r="A71" s="253" t="s">
        <v>1305</v>
      </c>
      <c r="B71" s="478">
        <v>0</v>
      </c>
      <c r="C71" s="479">
        <v>0</v>
      </c>
      <c r="D71" s="479">
        <v>0</v>
      </c>
      <c r="E71" s="479">
        <v>-3.1541890000000001</v>
      </c>
      <c r="F71" s="479">
        <v>3.7309999999999999E-3</v>
      </c>
      <c r="G71" s="479">
        <v>0</v>
      </c>
      <c r="H71" s="479">
        <v>0</v>
      </c>
      <c r="I71" s="479">
        <v>-43.323394999999998</v>
      </c>
      <c r="J71" s="479">
        <v>11</v>
      </c>
      <c r="K71" s="479">
        <v>0.113263</v>
      </c>
    </row>
    <row r="72" spans="1:11" s="12" customFormat="1" ht="13.15" customHeight="1">
      <c r="A72" s="253" t="s">
        <v>1306</v>
      </c>
      <c r="B72" s="478">
        <v>0</v>
      </c>
      <c r="C72" s="479">
        <v>2.0411966866300002</v>
      </c>
      <c r="D72" s="479">
        <v>2.0411966866300002</v>
      </c>
      <c r="E72" s="479">
        <v>0.13134563774999999</v>
      </c>
      <c r="F72" s="479">
        <v>4.9601269000000003E-2</v>
      </c>
      <c r="G72" s="479">
        <v>4.9877527999999997E-2</v>
      </c>
      <c r="H72" s="479">
        <v>0.19472</v>
      </c>
      <c r="I72" s="479">
        <v>0.22711148944999998</v>
      </c>
      <c r="J72" s="479">
        <v>1</v>
      </c>
      <c r="K72" s="479">
        <v>0</v>
      </c>
    </row>
    <row r="73" spans="1:11" s="12" customFormat="1" ht="13.15" customHeight="1">
      <c r="A73" s="253" t="s">
        <v>1307</v>
      </c>
      <c r="B73" s="478">
        <v>5.9381337324600008</v>
      </c>
      <c r="C73" s="479">
        <v>0</v>
      </c>
      <c r="D73" s="479">
        <v>5.9381337324600008</v>
      </c>
      <c r="E73" s="479">
        <v>2.0895867736200002</v>
      </c>
      <c r="F73" s="479">
        <v>0</v>
      </c>
      <c r="G73" s="479">
        <v>2.8558877579999999E-2</v>
      </c>
      <c r="H73" s="479">
        <v>307.5740351038512</v>
      </c>
      <c r="I73" s="479">
        <v>-207.20141431412398</v>
      </c>
      <c r="J73" s="479">
        <v>8</v>
      </c>
      <c r="K73" s="479">
        <v>49.126036914635755</v>
      </c>
    </row>
    <row r="74" spans="1:11" s="12" customFormat="1" ht="13.15" customHeight="1">
      <c r="A74" s="253" t="s">
        <v>1315</v>
      </c>
      <c r="B74" s="478">
        <v>0</v>
      </c>
      <c r="C74" s="479">
        <v>0</v>
      </c>
      <c r="D74" s="479">
        <v>0</v>
      </c>
      <c r="E74" s="479">
        <v>-1.9177959668000004E-2</v>
      </c>
      <c r="F74" s="479">
        <v>0</v>
      </c>
      <c r="G74" s="479">
        <v>0</v>
      </c>
      <c r="H74" s="479">
        <v>1.3456437673070003</v>
      </c>
      <c r="I74" s="479">
        <v>-1.314334049567</v>
      </c>
      <c r="J74" s="479">
        <v>0</v>
      </c>
      <c r="K74" s="479">
        <v>0</v>
      </c>
    </row>
    <row r="75" spans="1:11" s="12" customFormat="1" ht="13.15" customHeight="1">
      <c r="A75" s="253" t="s">
        <v>1309</v>
      </c>
      <c r="B75" s="478">
        <v>0</v>
      </c>
      <c r="C75" s="479">
        <v>0</v>
      </c>
      <c r="D75" s="479">
        <v>0</v>
      </c>
      <c r="E75" s="479">
        <v>-7.2725999999999999E-2</v>
      </c>
      <c r="F75" s="479">
        <v>0</v>
      </c>
      <c r="G75" s="479">
        <v>0</v>
      </c>
      <c r="H75" s="479">
        <v>0</v>
      </c>
      <c r="I75" s="479">
        <v>-20.308394</v>
      </c>
      <c r="J75" s="479">
        <v>1</v>
      </c>
      <c r="K75" s="479">
        <v>0</v>
      </c>
    </row>
    <row r="76" spans="1:11" s="12" customFormat="1" ht="13.15" customHeight="1">
      <c r="A76" s="253" t="s">
        <v>1310</v>
      </c>
      <c r="B76" s="478">
        <v>0</v>
      </c>
      <c r="C76" s="479">
        <v>0</v>
      </c>
      <c r="D76" s="479">
        <v>0</v>
      </c>
      <c r="E76" s="479">
        <v>0</v>
      </c>
      <c r="F76" s="479">
        <v>0</v>
      </c>
      <c r="G76" s="479">
        <v>0</v>
      </c>
      <c r="H76" s="479">
        <v>3.6934261500000001</v>
      </c>
      <c r="I76" s="479">
        <v>-4.0443527199</v>
      </c>
      <c r="J76" s="479">
        <v>0</v>
      </c>
      <c r="K76" s="479">
        <v>0</v>
      </c>
    </row>
    <row r="77" spans="1:11" s="12" customFormat="1" ht="13.15" customHeight="1">
      <c r="A77" s="253" t="s">
        <v>1311</v>
      </c>
      <c r="B77" s="478">
        <v>887.31691129879994</v>
      </c>
      <c r="C77" s="479">
        <v>0</v>
      </c>
      <c r="D77" s="479">
        <v>887.31691129879994</v>
      </c>
      <c r="E77" s="479">
        <v>480.75317060222</v>
      </c>
      <c r="F77" s="479">
        <v>157.42916199999999</v>
      </c>
      <c r="G77" s="479">
        <v>172.57211448210001</v>
      </c>
      <c r="H77" s="479">
        <v>715.5798884446599</v>
      </c>
      <c r="I77" s="479">
        <v>780.12075263810004</v>
      </c>
      <c r="J77" s="479">
        <v>649</v>
      </c>
      <c r="K77" s="479">
        <v>1684.7746090851197</v>
      </c>
    </row>
    <row r="78" spans="1:11" s="12" customFormat="1" ht="13.15" customHeight="1">
      <c r="A78" s="253" t="s">
        <v>1312</v>
      </c>
      <c r="B78" s="478">
        <v>7.1831858670000006</v>
      </c>
      <c r="C78" s="479">
        <v>0</v>
      </c>
      <c r="D78" s="479">
        <v>7.1831858670000006</v>
      </c>
      <c r="E78" s="479">
        <v>-1.1849990256</v>
      </c>
      <c r="F78" s="479">
        <v>0</v>
      </c>
      <c r="G78" s="479">
        <v>0</v>
      </c>
      <c r="H78" s="479">
        <v>52.923226739947197</v>
      </c>
      <c r="I78" s="479">
        <v>-3.8506854665682004</v>
      </c>
      <c r="J78" s="479">
        <v>18</v>
      </c>
      <c r="K78" s="479">
        <v>26.004527991</v>
      </c>
    </row>
    <row r="79" spans="1:11" s="12" customFormat="1" ht="13.15" customHeight="1">
      <c r="A79" s="253" t="s">
        <v>1313</v>
      </c>
      <c r="B79" s="478">
        <v>2451.2379060725998</v>
      </c>
      <c r="C79" s="479">
        <v>512.71733129100005</v>
      </c>
      <c r="D79" s="479">
        <v>2963.9552373635997</v>
      </c>
      <c r="E79" s="479">
        <v>570.88971004140001</v>
      </c>
      <c r="F79" s="479">
        <v>30.252281</v>
      </c>
      <c r="G79" s="479">
        <v>87.362878388400006</v>
      </c>
      <c r="H79" s="479">
        <v>1273.6054993769999</v>
      </c>
      <c r="I79" s="479">
        <v>788.09462182589994</v>
      </c>
      <c r="J79" s="479">
        <v>604</v>
      </c>
      <c r="K79" s="479">
        <v>1591.4074425020999</v>
      </c>
    </row>
    <row r="80" spans="1:11" s="12" customFormat="1" ht="13.15" customHeight="1">
      <c r="A80" s="198" t="s">
        <v>173</v>
      </c>
      <c r="B80" s="492">
        <v>11960.505730941093</v>
      </c>
      <c r="C80" s="493">
        <v>3419.6395528051303</v>
      </c>
      <c r="D80" s="493">
        <v>15380.145283746222</v>
      </c>
      <c r="E80" s="493">
        <v>-672.20226749851815</v>
      </c>
      <c r="F80" s="493">
        <v>604.58811126900002</v>
      </c>
      <c r="G80" s="493">
        <v>528.90824236688002</v>
      </c>
      <c r="H80" s="493">
        <v>50271.670612164315</v>
      </c>
      <c r="I80" s="493">
        <v>19659.977865899215</v>
      </c>
      <c r="J80" s="493">
        <v>10570</v>
      </c>
      <c r="K80" s="493">
        <v>19378.512637838445</v>
      </c>
    </row>
    <row r="81" spans="1:11" s="12" customFormat="1" ht="33" customHeight="1">
      <c r="A81" s="622" t="s">
        <v>1317</v>
      </c>
      <c r="B81" s="622"/>
      <c r="C81" s="622"/>
      <c r="D81" s="622"/>
      <c r="E81" s="622"/>
      <c r="F81" s="622"/>
      <c r="G81" s="622"/>
      <c r="H81" s="622"/>
      <c r="I81" s="622"/>
      <c r="J81" s="622"/>
      <c r="K81" s="622"/>
    </row>
    <row r="82" spans="1:11" s="12" customFormat="1" ht="14.65" customHeight="1">
      <c r="A82" s="626" t="s">
        <v>1318</v>
      </c>
      <c r="B82" s="626"/>
      <c r="C82" s="626"/>
      <c r="D82" s="626"/>
      <c r="E82" s="626"/>
      <c r="F82" s="626"/>
      <c r="G82" s="626"/>
      <c r="H82" s="626"/>
      <c r="I82" s="626"/>
      <c r="J82" s="626"/>
      <c r="K82" s="626"/>
    </row>
    <row r="83" spans="1:11" s="12" customFormat="1" ht="12.75">
      <c r="A83" s="626" t="s">
        <v>1319</v>
      </c>
      <c r="B83" s="626"/>
      <c r="C83" s="626"/>
      <c r="D83" s="626"/>
      <c r="E83" s="626"/>
      <c r="F83" s="626"/>
      <c r="G83" s="626"/>
      <c r="H83" s="626"/>
      <c r="I83" s="626"/>
      <c r="J83" s="626"/>
      <c r="K83" s="626"/>
    </row>
    <row r="84" spans="1:11" s="12" customFormat="1" ht="33.6" customHeight="1">
      <c r="A84" s="626" t="s">
        <v>1320</v>
      </c>
      <c r="B84" s="626"/>
      <c r="C84" s="626"/>
      <c r="D84" s="626"/>
      <c r="E84" s="626"/>
      <c r="F84" s="626"/>
      <c r="G84" s="626"/>
      <c r="H84" s="626"/>
      <c r="I84" s="626"/>
      <c r="J84" s="626"/>
      <c r="K84" s="626"/>
    </row>
    <row r="85" spans="1:11" s="12" customFormat="1" ht="24.6" customHeight="1">
      <c r="A85" s="626" t="s">
        <v>1321</v>
      </c>
      <c r="B85" s="626"/>
      <c r="C85" s="626"/>
      <c r="D85" s="626"/>
      <c r="E85" s="626"/>
      <c r="F85" s="626"/>
      <c r="G85" s="626"/>
      <c r="H85" s="626"/>
      <c r="I85" s="626"/>
      <c r="J85" s="626"/>
      <c r="K85" s="626"/>
    </row>
    <row r="86" spans="1:11" s="12" customFormat="1" ht="24.6" customHeight="1">
      <c r="A86" s="626" t="s">
        <v>1322</v>
      </c>
      <c r="B86" s="626"/>
      <c r="C86" s="626"/>
      <c r="D86" s="626"/>
      <c r="E86" s="626"/>
      <c r="F86" s="626"/>
      <c r="G86" s="626"/>
      <c r="H86" s="626"/>
      <c r="I86" s="626"/>
      <c r="J86" s="626"/>
      <c r="K86" s="626"/>
    </row>
    <row r="87" spans="1:11" s="12" customFormat="1" ht="24.6" customHeight="1">
      <c r="A87" s="626" t="s">
        <v>1323</v>
      </c>
      <c r="B87" s="626"/>
      <c r="C87" s="626"/>
      <c r="D87" s="626"/>
      <c r="E87" s="626"/>
      <c r="F87" s="626"/>
      <c r="G87" s="626"/>
      <c r="H87" s="626"/>
      <c r="I87" s="626"/>
      <c r="J87" s="626"/>
      <c r="K87" s="626"/>
    </row>
    <row r="88" spans="1:11" s="12" customFormat="1" ht="27" customHeight="1">
      <c r="A88" s="626" t="s">
        <v>1324</v>
      </c>
      <c r="B88" s="626"/>
      <c r="C88" s="626"/>
      <c r="D88" s="626"/>
      <c r="E88" s="626"/>
      <c r="F88" s="626"/>
      <c r="G88" s="626"/>
      <c r="H88" s="626"/>
      <c r="I88" s="626"/>
      <c r="J88" s="626"/>
      <c r="K88" s="626"/>
    </row>
    <row r="89" spans="1:11" s="12" customFormat="1" ht="12.75">
      <c r="A89" s="626" t="s">
        <v>1325</v>
      </c>
      <c r="B89" s="626"/>
      <c r="C89" s="626"/>
      <c r="D89" s="626"/>
      <c r="E89" s="626"/>
      <c r="F89" s="626"/>
      <c r="G89" s="626"/>
      <c r="H89" s="626"/>
      <c r="I89" s="626"/>
      <c r="J89" s="626"/>
      <c r="K89" s="626"/>
    </row>
    <row r="90" spans="1:11" s="12" customFormat="1" ht="12.75">
      <c r="A90" s="626" t="s">
        <v>1326</v>
      </c>
      <c r="B90" s="626"/>
      <c r="C90" s="626"/>
      <c r="D90" s="626"/>
      <c r="E90" s="626"/>
      <c r="F90" s="626"/>
      <c r="G90" s="626"/>
      <c r="H90" s="626"/>
      <c r="I90" s="626"/>
      <c r="J90" s="626"/>
      <c r="K90" s="626"/>
    </row>
    <row r="91" spans="1:11" s="12" customFormat="1" ht="25.9" customHeight="1">
      <c r="B91" s="76"/>
    </row>
    <row r="92" spans="1:11" s="12" customFormat="1" ht="17.25">
      <c r="A92" s="621" t="s">
        <v>1327</v>
      </c>
      <c r="B92" s="621"/>
      <c r="C92" s="621"/>
      <c r="D92" s="621"/>
      <c r="E92" s="621"/>
      <c r="F92" s="621"/>
      <c r="G92" s="621"/>
      <c r="H92" s="621"/>
      <c r="I92" s="621"/>
    </row>
    <row r="93" spans="1:11" s="12" customFormat="1" ht="15">
      <c r="A93" s="621" t="s">
        <v>1328</v>
      </c>
      <c r="B93" s="621"/>
      <c r="C93" s="621"/>
      <c r="D93" s="621"/>
      <c r="E93" s="621"/>
      <c r="F93" s="621"/>
      <c r="G93" s="621"/>
      <c r="H93" s="621"/>
      <c r="I93" s="621"/>
    </row>
    <row r="94" spans="1:11" s="12" customFormat="1" ht="12.75">
      <c r="A94" s="645"/>
      <c r="B94" s="645"/>
      <c r="C94" s="317" t="s">
        <v>256</v>
      </c>
      <c r="D94" s="317" t="s">
        <v>797</v>
      </c>
      <c r="E94" s="317" t="s">
        <v>271</v>
      </c>
      <c r="F94" s="317" t="s">
        <v>798</v>
      </c>
      <c r="G94" s="317" t="s">
        <v>1329</v>
      </c>
      <c r="H94" s="317" t="s">
        <v>328</v>
      </c>
      <c r="I94" s="317" t="s">
        <v>173</v>
      </c>
    </row>
    <row r="95" spans="1:11" s="12" customFormat="1" ht="27.6" customHeight="1">
      <c r="A95" s="771" t="s">
        <v>1330</v>
      </c>
      <c r="B95" s="771"/>
      <c r="C95" s="480">
        <v>758</v>
      </c>
      <c r="D95" s="480">
        <v>165</v>
      </c>
      <c r="E95" s="480">
        <v>37</v>
      </c>
      <c r="F95" s="480">
        <v>233</v>
      </c>
      <c r="G95" s="480">
        <v>6</v>
      </c>
      <c r="H95" s="480">
        <v>4</v>
      </c>
      <c r="I95" s="481">
        <v>1203</v>
      </c>
    </row>
    <row r="96" spans="1:11" s="12" customFormat="1" ht="12.75">
      <c r="A96" s="775" t="s">
        <v>1331</v>
      </c>
      <c r="B96" s="776"/>
      <c r="C96" s="776"/>
      <c r="D96" s="776"/>
      <c r="E96" s="776"/>
      <c r="F96" s="776"/>
      <c r="G96" s="776"/>
      <c r="H96" s="776"/>
      <c r="I96" s="777"/>
    </row>
    <row r="97" spans="1:11" s="12" customFormat="1" ht="12.75">
      <c r="A97" s="764" t="s">
        <v>1332</v>
      </c>
      <c r="B97" s="764"/>
      <c r="C97" s="480">
        <v>322</v>
      </c>
      <c r="D97" s="480">
        <v>18</v>
      </c>
      <c r="E97" s="480">
        <v>17</v>
      </c>
      <c r="F97" s="480">
        <v>69</v>
      </c>
      <c r="G97" s="480" t="s">
        <v>181</v>
      </c>
      <c r="H97" s="480" t="s">
        <v>181</v>
      </c>
      <c r="I97" s="481">
        <v>426</v>
      </c>
    </row>
    <row r="98" spans="1:11" s="12" customFormat="1" ht="12.75">
      <c r="A98" s="764" t="s">
        <v>1333</v>
      </c>
      <c r="B98" s="764"/>
      <c r="C98" s="480" t="s">
        <v>181</v>
      </c>
      <c r="D98" s="480">
        <v>-61</v>
      </c>
      <c r="E98" s="480" t="s">
        <v>181</v>
      </c>
      <c r="F98" s="480" t="s">
        <v>181</v>
      </c>
      <c r="G98" s="480" t="s">
        <v>181</v>
      </c>
      <c r="H98" s="480" t="s">
        <v>181</v>
      </c>
      <c r="I98" s="481">
        <v>-61</v>
      </c>
    </row>
    <row r="99" spans="1:11" s="12" customFormat="1" ht="12.75">
      <c r="A99" s="764" t="s">
        <v>1334</v>
      </c>
      <c r="B99" s="764"/>
      <c r="C99" s="480">
        <v>12</v>
      </c>
      <c r="D99" s="480">
        <v>1</v>
      </c>
      <c r="E99" s="480">
        <v>43</v>
      </c>
      <c r="F99" s="480">
        <v>16</v>
      </c>
      <c r="G99" s="480">
        <v>-3</v>
      </c>
      <c r="H99" s="480" t="s">
        <v>181</v>
      </c>
      <c r="I99" s="481">
        <v>69</v>
      </c>
    </row>
    <row r="100" spans="1:11" s="12" customFormat="1" ht="30" customHeight="1">
      <c r="A100" s="764" t="s">
        <v>1335</v>
      </c>
      <c r="B100" s="764"/>
      <c r="C100" s="482">
        <v>0</v>
      </c>
      <c r="D100" s="482">
        <v>0</v>
      </c>
      <c r="E100" s="482">
        <v>0</v>
      </c>
      <c r="F100" s="482">
        <v>0</v>
      </c>
      <c r="G100" s="482">
        <v>0</v>
      </c>
      <c r="H100" s="482">
        <v>0</v>
      </c>
      <c r="I100" s="483">
        <f t="shared" ref="I100" si="1">SUM(C100:H100)</f>
        <v>0</v>
      </c>
    </row>
    <row r="101" spans="1:11" s="12" customFormat="1" ht="26.65" customHeight="1">
      <c r="A101" s="764" t="s">
        <v>1336</v>
      </c>
      <c r="B101" s="764"/>
      <c r="C101" s="480">
        <v>-57</v>
      </c>
      <c r="D101" s="480" t="s">
        <v>181</v>
      </c>
      <c r="E101" s="480" t="s">
        <v>181</v>
      </c>
      <c r="F101" s="480">
        <v>-1</v>
      </c>
      <c r="G101" s="480" t="s">
        <v>181</v>
      </c>
      <c r="H101" s="480">
        <v>2</v>
      </c>
      <c r="I101" s="481">
        <v>-56</v>
      </c>
    </row>
    <row r="102" spans="1:11" s="12" customFormat="1" ht="12.75">
      <c r="A102" s="764" t="s">
        <v>1337</v>
      </c>
      <c r="B102" s="764"/>
      <c r="C102" s="480">
        <v>-7</v>
      </c>
      <c r="D102" s="480" t="s">
        <v>181</v>
      </c>
      <c r="E102" s="480" t="s">
        <v>181</v>
      </c>
      <c r="F102" s="480" t="s">
        <v>181</v>
      </c>
      <c r="G102" s="480" t="s">
        <v>181</v>
      </c>
      <c r="H102" s="480" t="s">
        <v>181</v>
      </c>
      <c r="I102" s="481">
        <v>-7</v>
      </c>
    </row>
    <row r="103" spans="1:11" s="12" customFormat="1" ht="12.75">
      <c r="A103" s="764" t="s">
        <v>1338</v>
      </c>
      <c r="B103" s="764"/>
      <c r="C103" s="480">
        <v>60</v>
      </c>
      <c r="D103" s="480" t="s">
        <v>181</v>
      </c>
      <c r="E103" s="480" t="s">
        <v>181</v>
      </c>
      <c r="F103" s="480" t="s">
        <v>181</v>
      </c>
      <c r="G103" s="480" t="s">
        <v>181</v>
      </c>
      <c r="H103" s="480" t="s">
        <v>181</v>
      </c>
      <c r="I103" s="481">
        <v>60</v>
      </c>
    </row>
    <row r="104" spans="1:11" s="12" customFormat="1" ht="12.75">
      <c r="A104" s="764" t="s">
        <v>1339</v>
      </c>
      <c r="B104" s="764"/>
      <c r="C104" s="480">
        <v>2</v>
      </c>
      <c r="D104" s="480">
        <v>-14</v>
      </c>
      <c r="E104" s="480">
        <v>2</v>
      </c>
      <c r="F104" s="480">
        <v>29</v>
      </c>
      <c r="G104" s="480">
        <v>-3</v>
      </c>
      <c r="H104" s="480">
        <v>-1</v>
      </c>
      <c r="I104" s="481">
        <v>15</v>
      </c>
    </row>
    <row r="105" spans="1:11" s="12" customFormat="1" ht="12.75">
      <c r="A105" s="764" t="s">
        <v>1340</v>
      </c>
      <c r="B105" s="764"/>
      <c r="C105" s="480">
        <v>-17</v>
      </c>
      <c r="D105" s="480">
        <v>1</v>
      </c>
      <c r="E105" s="480">
        <v>5</v>
      </c>
      <c r="F105" s="480">
        <v>-3</v>
      </c>
      <c r="G105" s="480" t="s">
        <v>181</v>
      </c>
      <c r="H105" s="480" t="s">
        <v>181</v>
      </c>
      <c r="I105" s="481">
        <v>-14</v>
      </c>
    </row>
    <row r="106" spans="1:11" s="12" customFormat="1" ht="12.75">
      <c r="A106" s="764" t="s">
        <v>1341</v>
      </c>
      <c r="B106" s="764"/>
      <c r="C106" s="480">
        <v>-15</v>
      </c>
      <c r="D106" s="480"/>
      <c r="E106" s="480"/>
      <c r="F106" s="480"/>
      <c r="G106" s="480"/>
      <c r="H106" s="480"/>
      <c r="I106" s="481">
        <v>-15</v>
      </c>
    </row>
    <row r="107" spans="1:11" s="12" customFormat="1" ht="12.75">
      <c r="A107" s="764" t="s">
        <v>328</v>
      </c>
      <c r="B107" s="764"/>
      <c r="C107" s="480" t="s">
        <v>181</v>
      </c>
      <c r="D107" s="480" t="s">
        <v>181</v>
      </c>
      <c r="E107" s="480">
        <v>-1</v>
      </c>
      <c r="F107" s="480" t="s">
        <v>181</v>
      </c>
      <c r="G107" s="480" t="s">
        <v>181</v>
      </c>
      <c r="H107" s="480">
        <v>-2</v>
      </c>
      <c r="I107" s="481">
        <v>-3</v>
      </c>
    </row>
    <row r="108" spans="1:11" s="12" customFormat="1" ht="12.75">
      <c r="A108" s="767" t="s">
        <v>1342</v>
      </c>
      <c r="B108" s="767"/>
      <c r="C108" s="494">
        <v>1058</v>
      </c>
      <c r="D108" s="494">
        <v>110</v>
      </c>
      <c r="E108" s="494">
        <v>103</v>
      </c>
      <c r="F108" s="494">
        <v>343</v>
      </c>
      <c r="G108" s="494" t="s">
        <v>181</v>
      </c>
      <c r="H108" s="494">
        <v>3</v>
      </c>
      <c r="I108" s="495">
        <v>1617</v>
      </c>
      <c r="J108" s="143"/>
    </row>
    <row r="109" spans="1:11" s="12" customFormat="1" ht="12.75">
      <c r="A109" s="767" t="s">
        <v>1343</v>
      </c>
      <c r="B109" s="767"/>
      <c r="C109" s="495">
        <v>1058</v>
      </c>
      <c r="D109" s="495">
        <v>110</v>
      </c>
      <c r="E109" s="495">
        <v>103</v>
      </c>
      <c r="F109" s="495">
        <v>343</v>
      </c>
      <c r="G109" s="495" t="s">
        <v>181</v>
      </c>
      <c r="H109" s="495">
        <v>3</v>
      </c>
      <c r="I109" s="495">
        <v>1617</v>
      </c>
    </row>
    <row r="110" spans="1:11" s="12" customFormat="1" ht="13.15" customHeight="1">
      <c r="A110" s="778" t="s">
        <v>1344</v>
      </c>
      <c r="B110" s="778"/>
      <c r="C110" s="778"/>
      <c r="D110" s="778"/>
      <c r="E110" s="778"/>
      <c r="F110" s="778"/>
      <c r="G110" s="778"/>
      <c r="H110" s="778"/>
      <c r="I110" s="778"/>
      <c r="J110" s="176"/>
      <c r="K110" s="176"/>
    </row>
    <row r="111" spans="1:11" s="12" customFormat="1" ht="22.15" customHeight="1">
      <c r="B111" s="76"/>
    </row>
    <row r="112" spans="1:11" s="12" customFormat="1" ht="17.25">
      <c r="A112" s="621" t="s">
        <v>1327</v>
      </c>
      <c r="B112" s="621"/>
      <c r="C112" s="621"/>
      <c r="D112" s="621"/>
      <c r="E112" s="621"/>
      <c r="F112" s="621"/>
      <c r="G112" s="621"/>
      <c r="H112" s="621"/>
      <c r="I112" s="621"/>
    </row>
    <row r="113" spans="1:9" s="12" customFormat="1" ht="15">
      <c r="A113" s="621" t="s">
        <v>1345</v>
      </c>
      <c r="B113" s="621"/>
      <c r="C113" s="621"/>
      <c r="D113" s="621"/>
      <c r="E113" s="621"/>
      <c r="F113" s="621"/>
      <c r="G113" s="621"/>
      <c r="H113" s="621"/>
      <c r="I113" s="621"/>
    </row>
    <row r="114" spans="1:9" s="12" customFormat="1" ht="12.75">
      <c r="A114" s="645"/>
      <c r="B114" s="645"/>
      <c r="C114" s="317" t="s">
        <v>256</v>
      </c>
      <c r="D114" s="317" t="s">
        <v>797</v>
      </c>
      <c r="E114" s="317" t="s">
        <v>271</v>
      </c>
      <c r="F114" s="317" t="s">
        <v>798</v>
      </c>
      <c r="G114" s="317" t="s">
        <v>1329</v>
      </c>
      <c r="H114" s="317" t="s">
        <v>328</v>
      </c>
      <c r="I114" s="317" t="s">
        <v>173</v>
      </c>
    </row>
    <row r="115" spans="1:9" s="12" customFormat="1" ht="28.15" customHeight="1">
      <c r="A115" s="771" t="s">
        <v>1330</v>
      </c>
      <c r="B115" s="771"/>
      <c r="C115" s="482">
        <v>-463</v>
      </c>
      <c r="D115" s="482">
        <v>115</v>
      </c>
      <c r="E115" s="482">
        <v>-75</v>
      </c>
      <c r="F115" s="482">
        <v>107</v>
      </c>
      <c r="G115" s="482">
        <v>6</v>
      </c>
      <c r="H115" s="482">
        <v>8</v>
      </c>
      <c r="I115" s="483">
        <f>SUM(C115:H115)</f>
        <v>-302</v>
      </c>
    </row>
    <row r="116" spans="1:9" s="12" customFormat="1" ht="12.75">
      <c r="A116" s="775" t="s">
        <v>1331</v>
      </c>
      <c r="B116" s="776"/>
      <c r="C116" s="776"/>
      <c r="D116" s="776"/>
      <c r="E116" s="776"/>
      <c r="F116" s="776"/>
      <c r="G116" s="776"/>
      <c r="H116" s="776"/>
      <c r="I116" s="777"/>
    </row>
    <row r="117" spans="1:9" s="12" customFormat="1" ht="12.75">
      <c r="A117" s="764" t="s">
        <v>1332</v>
      </c>
      <c r="B117" s="764"/>
      <c r="C117" s="482">
        <v>48</v>
      </c>
      <c r="D117" s="482">
        <v>18</v>
      </c>
      <c r="E117" s="482">
        <v>7</v>
      </c>
      <c r="F117" s="482">
        <v>33</v>
      </c>
      <c r="G117" s="482">
        <v>0</v>
      </c>
      <c r="H117" s="482">
        <v>0</v>
      </c>
      <c r="I117" s="483">
        <f>SUM(C117:H117)</f>
        <v>106</v>
      </c>
    </row>
    <row r="118" spans="1:9" s="12" customFormat="1" ht="12.75">
      <c r="A118" s="764" t="s">
        <v>1333</v>
      </c>
      <c r="B118" s="764"/>
      <c r="C118" s="482">
        <v>0</v>
      </c>
      <c r="D118" s="482">
        <v>-68</v>
      </c>
      <c r="E118" s="482">
        <v>0</v>
      </c>
      <c r="F118" s="482">
        <v>0</v>
      </c>
      <c r="G118" s="482">
        <v>0</v>
      </c>
      <c r="H118" s="482">
        <v>0</v>
      </c>
      <c r="I118" s="483">
        <f t="shared" ref="I118:I127" si="2">SUM(C118:H118)</f>
        <v>-68</v>
      </c>
    </row>
    <row r="119" spans="1:9" s="12" customFormat="1" ht="12.75">
      <c r="A119" s="764" t="s">
        <v>1334</v>
      </c>
      <c r="B119" s="764"/>
      <c r="C119" s="482">
        <v>24</v>
      </c>
      <c r="D119" s="482">
        <v>2</v>
      </c>
      <c r="E119" s="482">
        <v>-13</v>
      </c>
      <c r="F119" s="482">
        <v>22</v>
      </c>
      <c r="G119" s="482">
        <v>0</v>
      </c>
      <c r="H119" s="482">
        <v>-7</v>
      </c>
      <c r="I119" s="483">
        <f t="shared" si="2"/>
        <v>28</v>
      </c>
    </row>
    <row r="120" spans="1:9" s="12" customFormat="1" ht="30" customHeight="1">
      <c r="A120" s="764" t="s">
        <v>1335</v>
      </c>
      <c r="B120" s="764"/>
      <c r="C120" s="482">
        <v>0</v>
      </c>
      <c r="D120" s="482">
        <v>0</v>
      </c>
      <c r="E120" s="482">
        <v>0</v>
      </c>
      <c r="F120" s="482">
        <v>0</v>
      </c>
      <c r="G120" s="482">
        <v>0</v>
      </c>
      <c r="H120" s="482">
        <v>0</v>
      </c>
      <c r="I120" s="483">
        <f t="shared" si="2"/>
        <v>0</v>
      </c>
    </row>
    <row r="121" spans="1:9" s="12" customFormat="1" ht="26.65" customHeight="1">
      <c r="A121" s="764" t="s">
        <v>1336</v>
      </c>
      <c r="B121" s="764"/>
      <c r="C121" s="482">
        <v>0</v>
      </c>
      <c r="D121" s="482">
        <v>0</v>
      </c>
      <c r="E121" s="482">
        <v>0</v>
      </c>
      <c r="F121" s="482">
        <v>0</v>
      </c>
      <c r="G121" s="482">
        <v>0</v>
      </c>
      <c r="H121" s="482">
        <v>5</v>
      </c>
      <c r="I121" s="483">
        <f t="shared" si="2"/>
        <v>5</v>
      </c>
    </row>
    <row r="122" spans="1:9" s="12" customFormat="1" ht="12.75">
      <c r="A122" s="764" t="s">
        <v>1337</v>
      </c>
      <c r="B122" s="764"/>
      <c r="C122" s="482">
        <v>-5</v>
      </c>
      <c r="D122" s="482">
        <v>0</v>
      </c>
      <c r="E122" s="482">
        <v>8</v>
      </c>
      <c r="F122" s="482">
        <v>0</v>
      </c>
      <c r="G122" s="482">
        <v>0</v>
      </c>
      <c r="H122" s="482">
        <v>0</v>
      </c>
      <c r="I122" s="483">
        <f t="shared" si="2"/>
        <v>3</v>
      </c>
    </row>
    <row r="123" spans="1:9" s="12" customFormat="1" ht="12.75">
      <c r="A123" s="764" t="s">
        <v>1338</v>
      </c>
      <c r="B123" s="764"/>
      <c r="C123" s="482">
        <v>33</v>
      </c>
      <c r="D123" s="482">
        <v>0</v>
      </c>
      <c r="E123" s="482">
        <v>0</v>
      </c>
      <c r="F123" s="482">
        <v>0</v>
      </c>
      <c r="G123" s="482">
        <v>0</v>
      </c>
      <c r="H123" s="482">
        <v>7</v>
      </c>
      <c r="I123" s="483">
        <f t="shared" si="2"/>
        <v>40</v>
      </c>
    </row>
    <row r="124" spans="1:9" s="12" customFormat="1" ht="12.75">
      <c r="A124" s="764" t="s">
        <v>1339</v>
      </c>
      <c r="B124" s="764"/>
      <c r="C124" s="482">
        <v>2</v>
      </c>
      <c r="D124" s="482">
        <v>-6</v>
      </c>
      <c r="E124" s="482">
        <v>-1</v>
      </c>
      <c r="F124" s="482">
        <v>14</v>
      </c>
      <c r="G124" s="482">
        <v>-6</v>
      </c>
      <c r="H124" s="482">
        <v>-2</v>
      </c>
      <c r="I124" s="483">
        <f t="shared" si="2"/>
        <v>1</v>
      </c>
    </row>
    <row r="125" spans="1:9" s="12" customFormat="1" ht="12.75">
      <c r="A125" s="764" t="s">
        <v>1340</v>
      </c>
      <c r="B125" s="764"/>
      <c r="C125" s="482">
        <v>-8</v>
      </c>
      <c r="D125" s="482">
        <v>-2</v>
      </c>
      <c r="E125" s="482">
        <v>9</v>
      </c>
      <c r="F125" s="482">
        <v>-3</v>
      </c>
      <c r="G125" s="482">
        <v>0</v>
      </c>
      <c r="H125" s="482">
        <v>0</v>
      </c>
      <c r="I125" s="483">
        <f t="shared" si="2"/>
        <v>-4</v>
      </c>
    </row>
    <row r="126" spans="1:9" s="12" customFormat="1" ht="12.75">
      <c r="A126" s="764" t="s">
        <v>328</v>
      </c>
      <c r="B126" s="764"/>
      <c r="C126" s="482">
        <v>-3</v>
      </c>
      <c r="D126" s="482">
        <v>0</v>
      </c>
      <c r="E126" s="482">
        <v>5</v>
      </c>
      <c r="F126" s="482">
        <v>-3</v>
      </c>
      <c r="G126" s="482">
        <v>0</v>
      </c>
      <c r="H126" s="482">
        <v>0</v>
      </c>
      <c r="I126" s="483">
        <f t="shared" si="2"/>
        <v>-1</v>
      </c>
    </row>
    <row r="127" spans="1:9" s="12" customFormat="1" ht="12.75">
      <c r="A127" s="767" t="s">
        <v>1342</v>
      </c>
      <c r="B127" s="767"/>
      <c r="C127" s="496">
        <f>SUM(C115:C126)</f>
        <v>-372</v>
      </c>
      <c r="D127" s="496">
        <f t="shared" ref="D127:H127" si="3">SUM(D115:D126)</f>
        <v>59</v>
      </c>
      <c r="E127" s="496">
        <f t="shared" si="3"/>
        <v>-60</v>
      </c>
      <c r="F127" s="496">
        <f t="shared" si="3"/>
        <v>170</v>
      </c>
      <c r="G127" s="496">
        <f t="shared" si="3"/>
        <v>0</v>
      </c>
      <c r="H127" s="496">
        <f t="shared" si="3"/>
        <v>11</v>
      </c>
      <c r="I127" s="497">
        <f t="shared" si="2"/>
        <v>-192</v>
      </c>
    </row>
    <row r="128" spans="1:9" s="12" customFormat="1" ht="12.75">
      <c r="A128" s="767" t="s">
        <v>1343</v>
      </c>
      <c r="B128" s="767"/>
      <c r="C128" s="497">
        <f>C127</f>
        <v>-372</v>
      </c>
      <c r="D128" s="497">
        <f>D127</f>
        <v>59</v>
      </c>
      <c r="E128" s="497">
        <f>E127</f>
        <v>-60</v>
      </c>
      <c r="F128" s="497">
        <f t="shared" ref="F128:H128" si="4">F127</f>
        <v>170</v>
      </c>
      <c r="G128" s="497">
        <f t="shared" si="4"/>
        <v>0</v>
      </c>
      <c r="H128" s="497">
        <f t="shared" si="4"/>
        <v>11</v>
      </c>
      <c r="I128" s="497">
        <f>I127</f>
        <v>-192</v>
      </c>
    </row>
    <row r="129" spans="1:9" s="12" customFormat="1" ht="12.75">
      <c r="A129" s="778" t="s">
        <v>1344</v>
      </c>
      <c r="B129" s="778"/>
      <c r="C129" s="778"/>
      <c r="D129" s="778"/>
      <c r="E129" s="778"/>
      <c r="F129" s="778"/>
      <c r="G129" s="778"/>
      <c r="H129" s="778"/>
      <c r="I129" s="778"/>
    </row>
    <row r="130" spans="1:9" s="12" customFormat="1" ht="24" customHeight="1">
      <c r="B130" s="76"/>
    </row>
    <row r="131" spans="1:9" s="12" customFormat="1" ht="12.6" customHeight="1">
      <c r="A131" s="621" t="s">
        <v>1346</v>
      </c>
      <c r="B131" s="621"/>
      <c r="C131" s="621"/>
      <c r="D131" s="621"/>
      <c r="E131" s="621"/>
      <c r="F131" s="621"/>
      <c r="G131" s="621"/>
      <c r="H131" s="621"/>
      <c r="I131" s="621"/>
    </row>
    <row r="132" spans="1:9" s="12" customFormat="1" ht="15">
      <c r="A132" s="621" t="s">
        <v>1347</v>
      </c>
      <c r="B132" s="621"/>
      <c r="C132" s="621"/>
      <c r="D132" s="621"/>
      <c r="E132" s="621"/>
      <c r="F132" s="621"/>
      <c r="G132" s="621"/>
      <c r="H132" s="621"/>
      <c r="I132" s="621"/>
    </row>
    <row r="133" spans="1:9" s="12" customFormat="1" ht="12.75">
      <c r="A133" s="645"/>
      <c r="B133" s="645"/>
      <c r="C133" s="317" t="s">
        <v>256</v>
      </c>
      <c r="D133" s="317" t="s">
        <v>797</v>
      </c>
      <c r="E133" s="317" t="s">
        <v>271</v>
      </c>
      <c r="F133" s="317" t="s">
        <v>798</v>
      </c>
      <c r="G133" s="317" t="s">
        <v>1329</v>
      </c>
      <c r="H133" s="317" t="s">
        <v>328</v>
      </c>
      <c r="I133" s="317" t="s">
        <v>173</v>
      </c>
    </row>
    <row r="134" spans="1:9" s="12" customFormat="1" ht="28.9" customHeight="1">
      <c r="A134" s="771" t="s">
        <v>1330</v>
      </c>
      <c r="B134" s="771"/>
      <c r="C134" s="484">
        <v>-352</v>
      </c>
      <c r="D134" s="484">
        <v>158</v>
      </c>
      <c r="E134" s="484">
        <v>-53</v>
      </c>
      <c r="F134" s="484">
        <v>116</v>
      </c>
      <c r="G134" s="484">
        <v>4</v>
      </c>
      <c r="H134" s="484">
        <v>1</v>
      </c>
      <c r="I134" s="442">
        <v>-126</v>
      </c>
    </row>
    <row r="135" spans="1:9" s="12" customFormat="1" ht="12.6" customHeight="1">
      <c r="A135" s="772" t="s">
        <v>1331</v>
      </c>
      <c r="B135" s="772"/>
      <c r="C135" s="772"/>
      <c r="D135" s="772"/>
      <c r="E135" s="772"/>
      <c r="F135" s="772"/>
      <c r="G135" s="772"/>
      <c r="H135" s="772"/>
      <c r="I135" s="772"/>
    </row>
    <row r="136" spans="1:9" s="12" customFormat="1" ht="12.6" customHeight="1">
      <c r="A136" s="764" t="s">
        <v>1332</v>
      </c>
      <c r="B136" s="764"/>
      <c r="C136" s="484">
        <v>171</v>
      </c>
      <c r="D136" s="484">
        <v>25</v>
      </c>
      <c r="E136" s="484">
        <v>3</v>
      </c>
      <c r="F136" s="484">
        <v>27</v>
      </c>
      <c r="G136" s="484">
        <v>0</v>
      </c>
      <c r="H136" s="484">
        <v>0</v>
      </c>
      <c r="I136" s="442">
        <v>226</v>
      </c>
    </row>
    <row r="137" spans="1:9" s="12" customFormat="1" ht="12.6" customHeight="1">
      <c r="A137" s="764" t="s">
        <v>1333</v>
      </c>
      <c r="B137" s="764"/>
      <c r="C137" s="484">
        <v>0</v>
      </c>
      <c r="D137" s="484">
        <v>-85</v>
      </c>
      <c r="E137" s="484">
        <v>0</v>
      </c>
      <c r="F137" s="484">
        <v>0</v>
      </c>
      <c r="G137" s="484">
        <v>0</v>
      </c>
      <c r="H137" s="484">
        <v>0</v>
      </c>
      <c r="I137" s="442">
        <v>-85</v>
      </c>
    </row>
    <row r="138" spans="1:9" s="12" customFormat="1" ht="12.6" customHeight="1">
      <c r="A138" s="764" t="s">
        <v>1334</v>
      </c>
      <c r="B138" s="764"/>
      <c r="C138" s="484">
        <v>-3</v>
      </c>
      <c r="D138" s="484">
        <v>0</v>
      </c>
      <c r="E138" s="484">
        <v>-6</v>
      </c>
      <c r="F138" s="484">
        <v>3</v>
      </c>
      <c r="G138" s="484">
        <v>0</v>
      </c>
      <c r="H138" s="484">
        <v>0</v>
      </c>
      <c r="I138" s="442">
        <v>-6</v>
      </c>
    </row>
    <row r="139" spans="1:9" s="12" customFormat="1" ht="28.9" customHeight="1">
      <c r="A139" s="764" t="s">
        <v>1335</v>
      </c>
      <c r="B139" s="764"/>
      <c r="C139" s="484">
        <v>117</v>
      </c>
      <c r="D139" s="484">
        <v>0</v>
      </c>
      <c r="E139" s="484">
        <v>0</v>
      </c>
      <c r="F139" s="484">
        <v>0</v>
      </c>
      <c r="G139" s="484">
        <v>0</v>
      </c>
      <c r="H139" s="484">
        <v>0</v>
      </c>
      <c r="I139" s="442">
        <v>117</v>
      </c>
    </row>
    <row r="140" spans="1:9" s="12" customFormat="1" ht="29.65" customHeight="1">
      <c r="A140" s="764" t="s">
        <v>1336</v>
      </c>
      <c r="B140" s="764"/>
      <c r="C140" s="484">
        <v>11</v>
      </c>
      <c r="D140" s="484">
        <v>2</v>
      </c>
      <c r="E140" s="484">
        <v>-11</v>
      </c>
      <c r="F140" s="484">
        <v>0</v>
      </c>
      <c r="G140" s="484">
        <v>0</v>
      </c>
      <c r="H140" s="484">
        <v>-4</v>
      </c>
      <c r="I140" s="442">
        <v>-2</v>
      </c>
    </row>
    <row r="141" spans="1:9" s="12" customFormat="1" ht="12.6" customHeight="1">
      <c r="A141" s="764" t="s">
        <v>1337</v>
      </c>
      <c r="B141" s="764"/>
      <c r="C141" s="484">
        <v>-39</v>
      </c>
      <c r="D141" s="484">
        <v>0</v>
      </c>
      <c r="E141" s="484">
        <v>0</v>
      </c>
      <c r="F141" s="484">
        <v>0</v>
      </c>
      <c r="G141" s="484">
        <v>0</v>
      </c>
      <c r="H141" s="484">
        <v>0</v>
      </c>
      <c r="I141" s="442">
        <v>-39</v>
      </c>
    </row>
    <row r="142" spans="1:9" s="12" customFormat="1" ht="12.6" customHeight="1">
      <c r="A142" s="764" t="s">
        <v>1338</v>
      </c>
      <c r="B142" s="764"/>
      <c r="C142" s="484">
        <v>40</v>
      </c>
      <c r="D142" s="484">
        <v>0</v>
      </c>
      <c r="E142" s="484">
        <v>-1</v>
      </c>
      <c r="F142" s="484">
        <v>0</v>
      </c>
      <c r="G142" s="484">
        <v>0</v>
      </c>
      <c r="H142" s="484">
        <v>0</v>
      </c>
      <c r="I142" s="442">
        <v>39</v>
      </c>
    </row>
    <row r="143" spans="1:9" s="12" customFormat="1" ht="12.6" customHeight="1">
      <c r="A143" s="764" t="s">
        <v>1339</v>
      </c>
      <c r="B143" s="764"/>
      <c r="C143" s="484">
        <v>1</v>
      </c>
      <c r="D143" s="484">
        <v>-10</v>
      </c>
      <c r="E143" s="484">
        <v>0</v>
      </c>
      <c r="F143" s="484">
        <v>11</v>
      </c>
      <c r="G143" s="484">
        <v>-4</v>
      </c>
      <c r="H143" s="484">
        <v>0</v>
      </c>
      <c r="I143" s="442">
        <v>-2</v>
      </c>
    </row>
    <row r="144" spans="1:9" s="12" customFormat="1" ht="12.6" customHeight="1">
      <c r="A144" s="764" t="s">
        <v>1340</v>
      </c>
      <c r="B144" s="764"/>
      <c r="C144" s="484">
        <v>26</v>
      </c>
      <c r="D144" s="484">
        <v>-14</v>
      </c>
      <c r="E144" s="484">
        <v>-13</v>
      </c>
      <c r="F144" s="484">
        <v>3</v>
      </c>
      <c r="G144" s="484">
        <v>0</v>
      </c>
      <c r="H144" s="484">
        <v>0</v>
      </c>
      <c r="I144" s="442">
        <v>2</v>
      </c>
    </row>
    <row r="145" spans="1:15" s="12" customFormat="1" ht="12.6" customHeight="1">
      <c r="A145" s="764" t="s">
        <v>328</v>
      </c>
      <c r="B145" s="764"/>
      <c r="C145" s="484">
        <v>-8</v>
      </c>
      <c r="D145" s="484">
        <v>3</v>
      </c>
      <c r="E145" s="484">
        <v>1</v>
      </c>
      <c r="F145" s="484">
        <v>-4</v>
      </c>
      <c r="G145" s="484">
        <v>0</v>
      </c>
      <c r="H145" s="484">
        <v>4</v>
      </c>
      <c r="I145" s="442">
        <v>-4</v>
      </c>
    </row>
    <row r="146" spans="1:15" s="12" customFormat="1" ht="12.6" customHeight="1">
      <c r="A146" s="773" t="s">
        <v>1342</v>
      </c>
      <c r="B146" s="773"/>
      <c r="C146" s="498">
        <v>-36</v>
      </c>
      <c r="D146" s="498">
        <v>79</v>
      </c>
      <c r="E146" s="498">
        <v>-80</v>
      </c>
      <c r="F146" s="498">
        <v>156</v>
      </c>
      <c r="G146" s="498">
        <v>0</v>
      </c>
      <c r="H146" s="498">
        <v>1</v>
      </c>
      <c r="I146" s="454">
        <v>120</v>
      </c>
      <c r="J146" s="143"/>
    </row>
    <row r="147" spans="1:15" s="12" customFormat="1" ht="12.6" customHeight="1">
      <c r="A147" s="773" t="s">
        <v>1343</v>
      </c>
      <c r="B147" s="773"/>
      <c r="C147" s="454">
        <v>-36</v>
      </c>
      <c r="D147" s="454">
        <v>79</v>
      </c>
      <c r="E147" s="454">
        <v>-80</v>
      </c>
      <c r="F147" s="454">
        <v>156</v>
      </c>
      <c r="G147" s="454">
        <v>0</v>
      </c>
      <c r="H147" s="454">
        <v>1</v>
      </c>
      <c r="I147" s="454">
        <v>120</v>
      </c>
      <c r="O147" s="78"/>
    </row>
    <row r="148" spans="1:15" s="12" customFormat="1" ht="12.6" customHeight="1">
      <c r="A148" s="778" t="s">
        <v>1344</v>
      </c>
      <c r="B148" s="778"/>
      <c r="C148" s="778"/>
      <c r="D148" s="778"/>
      <c r="E148" s="778"/>
      <c r="F148" s="778"/>
      <c r="G148" s="778"/>
      <c r="H148" s="778"/>
      <c r="I148" s="778"/>
      <c r="O148" s="78"/>
    </row>
    <row r="149" spans="1:15" s="79" customFormat="1" ht="25.15" customHeight="1">
      <c r="A149" s="12"/>
      <c r="B149" s="76"/>
      <c r="C149" s="12"/>
      <c r="D149" s="12"/>
      <c r="E149" s="12"/>
      <c r="F149" s="12"/>
      <c r="G149" s="12"/>
      <c r="H149" s="12"/>
      <c r="I149" s="12"/>
      <c r="J149" s="12"/>
      <c r="K149" s="12"/>
      <c r="O149" s="78"/>
    </row>
    <row r="150" spans="1:15" s="79" customFormat="1" ht="26.65" customHeight="1">
      <c r="A150" s="770" t="s">
        <v>1348</v>
      </c>
      <c r="B150" s="770"/>
      <c r="C150" s="770"/>
      <c r="D150" s="770"/>
      <c r="E150" s="770"/>
      <c r="F150" s="770"/>
      <c r="G150" s="12"/>
      <c r="H150" s="12"/>
      <c r="I150" s="12"/>
      <c r="J150" s="12"/>
      <c r="K150" s="12"/>
      <c r="O150" s="78"/>
    </row>
    <row r="151" spans="1:15" s="79" customFormat="1" ht="63.75">
      <c r="A151" s="768"/>
      <c r="B151" s="768"/>
      <c r="C151" s="174" t="s">
        <v>1349</v>
      </c>
      <c r="D151" s="174" t="s">
        <v>1350</v>
      </c>
      <c r="E151" s="174" t="s">
        <v>1351</v>
      </c>
      <c r="F151" s="174" t="s">
        <v>1352</v>
      </c>
      <c r="G151" s="12"/>
      <c r="H151" s="12"/>
      <c r="I151" s="12"/>
      <c r="J151" s="12"/>
      <c r="K151" s="12"/>
      <c r="O151" s="78"/>
    </row>
    <row r="152" spans="1:15" s="79" customFormat="1" ht="12.75">
      <c r="A152" s="769" t="s">
        <v>1353</v>
      </c>
      <c r="B152" s="769"/>
      <c r="C152" s="769"/>
      <c r="D152" s="769"/>
      <c r="E152" s="769"/>
      <c r="F152" s="769"/>
      <c r="G152" s="12"/>
      <c r="H152" s="12"/>
      <c r="I152" s="12"/>
      <c r="J152" s="12"/>
      <c r="K152" s="12"/>
      <c r="O152" s="78"/>
    </row>
    <row r="153" spans="1:15" s="79" customFormat="1" ht="12.75">
      <c r="A153" s="766" t="s">
        <v>1354</v>
      </c>
      <c r="B153" s="766"/>
      <c r="C153" s="485">
        <v>14188</v>
      </c>
      <c r="D153" s="485">
        <v>4477</v>
      </c>
      <c r="E153" s="485">
        <v>23464</v>
      </c>
      <c r="F153" s="485">
        <v>807</v>
      </c>
      <c r="G153" s="12"/>
      <c r="H153" s="12"/>
      <c r="I153" s="12"/>
      <c r="J153" s="12"/>
      <c r="K153" s="12"/>
      <c r="O153" s="78"/>
    </row>
    <row r="154" spans="1:15" s="79" customFormat="1" ht="12.75">
      <c r="A154" s="766" t="s">
        <v>1355</v>
      </c>
      <c r="B154" s="766"/>
      <c r="C154" s="485">
        <v>13481</v>
      </c>
      <c r="D154" s="485">
        <v>4532</v>
      </c>
      <c r="E154" s="485">
        <v>39899</v>
      </c>
      <c r="F154" s="485">
        <v>849</v>
      </c>
      <c r="G154" s="12"/>
      <c r="H154" s="12"/>
      <c r="I154" s="12"/>
      <c r="J154" s="12"/>
      <c r="K154" s="12"/>
      <c r="O154" s="78"/>
    </row>
    <row r="155" spans="1:15" s="79" customFormat="1" ht="12.75">
      <c r="A155" s="767" t="s">
        <v>1356</v>
      </c>
      <c r="B155" s="767"/>
      <c r="C155" s="499">
        <v>707</v>
      </c>
      <c r="D155" s="499">
        <v>-55</v>
      </c>
      <c r="E155" s="499">
        <v>-16435</v>
      </c>
      <c r="F155" s="499">
        <v>-42</v>
      </c>
      <c r="G155" s="12"/>
      <c r="H155" s="12"/>
      <c r="I155" s="12"/>
      <c r="J155" s="12"/>
      <c r="K155" s="12"/>
      <c r="O155" s="78"/>
    </row>
    <row r="156" spans="1:15" s="79" customFormat="1" ht="13.15" customHeight="1">
      <c r="A156" s="192" t="s">
        <v>1357</v>
      </c>
      <c r="B156" s="192"/>
      <c r="C156" s="192"/>
      <c r="D156" s="192"/>
      <c r="E156" s="192"/>
      <c r="F156" s="192"/>
      <c r="G156" s="12"/>
      <c r="H156" s="12"/>
      <c r="I156" s="12"/>
      <c r="J156" s="12"/>
      <c r="K156" s="12"/>
      <c r="O156" s="78"/>
    </row>
    <row r="157" spans="1:15" s="79" customFormat="1">
      <c r="A157" s="766" t="s">
        <v>1358</v>
      </c>
      <c r="B157" s="766"/>
      <c r="C157" s="485">
        <v>-170</v>
      </c>
      <c r="D157" s="485">
        <v>272</v>
      </c>
      <c r="E157" s="485">
        <v>12799</v>
      </c>
      <c r="F157" s="485" t="s">
        <v>1359</v>
      </c>
      <c r="G157" s="12"/>
      <c r="H157" s="12"/>
      <c r="I157" s="12"/>
      <c r="J157" s="12"/>
      <c r="K157" s="12"/>
      <c r="O157" s="78"/>
    </row>
    <row r="158" spans="1:15" s="79" customFormat="1" ht="32.65" customHeight="1">
      <c r="A158" s="765" t="s">
        <v>1360</v>
      </c>
      <c r="B158" s="765"/>
      <c r="C158" s="485">
        <v>9</v>
      </c>
      <c r="D158" s="485">
        <v>3</v>
      </c>
      <c r="E158" s="485">
        <v>140</v>
      </c>
      <c r="F158" s="485">
        <v>-2</v>
      </c>
      <c r="G158" s="12"/>
      <c r="H158" s="12"/>
      <c r="I158" s="12"/>
      <c r="J158" s="12"/>
      <c r="K158" s="12"/>
      <c r="O158" s="78"/>
    </row>
    <row r="159" spans="1:15" s="79" customFormat="1">
      <c r="A159" s="766" t="s">
        <v>1361</v>
      </c>
      <c r="B159" s="766"/>
      <c r="C159" s="485">
        <v>210</v>
      </c>
      <c r="D159" s="485">
        <v>37</v>
      </c>
      <c r="E159" s="485">
        <v>3495</v>
      </c>
      <c r="F159" s="485" t="s">
        <v>1359</v>
      </c>
      <c r="G159" s="12"/>
      <c r="H159" s="12"/>
      <c r="I159" s="12"/>
      <c r="J159" s="12"/>
      <c r="K159" s="12"/>
      <c r="O159" s="78"/>
    </row>
    <row r="160" spans="1:15" s="79" customFormat="1" ht="29.65" customHeight="1">
      <c r="A160" s="765" t="s">
        <v>1362</v>
      </c>
      <c r="B160" s="765"/>
      <c r="C160" s="485">
        <v>-755</v>
      </c>
      <c r="D160" s="485">
        <v>-258</v>
      </c>
      <c r="E160" s="485" t="s">
        <v>1363</v>
      </c>
      <c r="F160" s="485">
        <v>44</v>
      </c>
      <c r="G160" s="12"/>
      <c r="H160" s="12"/>
      <c r="I160" s="12"/>
      <c r="J160" s="12"/>
      <c r="K160" s="12"/>
      <c r="O160" s="78"/>
    </row>
    <row r="161" spans="1:15" s="79" customFormat="1">
      <c r="A161" s="766" t="s">
        <v>1364</v>
      </c>
      <c r="B161" s="766"/>
      <c r="C161" s="485">
        <v>-1</v>
      </c>
      <c r="D161" s="485">
        <v>0</v>
      </c>
      <c r="E161" s="485">
        <v>0</v>
      </c>
      <c r="F161" s="485">
        <v>-1</v>
      </c>
      <c r="G161" s="12"/>
      <c r="H161" s="12"/>
      <c r="I161" s="12"/>
      <c r="J161" s="12"/>
      <c r="K161" s="12"/>
      <c r="O161" s="78"/>
    </row>
    <row r="162" spans="1:15" s="79" customFormat="1" ht="12.75">
      <c r="A162" s="767" t="s">
        <v>1365</v>
      </c>
      <c r="B162" s="767"/>
      <c r="C162" s="500">
        <v>0</v>
      </c>
      <c r="D162" s="500">
        <v>0</v>
      </c>
      <c r="E162" s="500">
        <v>0</v>
      </c>
      <c r="F162" s="500">
        <v>0</v>
      </c>
      <c r="G162" s="537"/>
      <c r="H162" s="12"/>
      <c r="I162" s="12"/>
      <c r="J162" s="12"/>
      <c r="K162" s="12"/>
      <c r="O162" s="78"/>
    </row>
    <row r="163" spans="1:15" s="79" customFormat="1" ht="27.6" customHeight="1">
      <c r="A163" s="12"/>
      <c r="B163" s="76"/>
      <c r="C163" s="12"/>
      <c r="D163" s="12"/>
      <c r="E163" s="12"/>
      <c r="F163" s="12"/>
      <c r="G163" s="12"/>
      <c r="H163" s="12"/>
      <c r="I163" s="12"/>
      <c r="J163" s="12"/>
      <c r="K163" s="12"/>
      <c r="O163" s="78"/>
    </row>
    <row r="164" spans="1:15" s="79" customFormat="1" ht="25.9" customHeight="1">
      <c r="A164" s="770" t="s">
        <v>1366</v>
      </c>
      <c r="B164" s="770"/>
      <c r="C164" s="770"/>
      <c r="D164" s="770"/>
      <c r="E164" s="770"/>
      <c r="F164" s="770"/>
      <c r="G164" s="12"/>
      <c r="H164" s="12"/>
      <c r="I164" s="12"/>
      <c r="J164" s="12"/>
      <c r="K164" s="12"/>
      <c r="O164" s="78"/>
    </row>
    <row r="165" spans="1:15" s="79" customFormat="1" ht="63.75">
      <c r="A165" s="768"/>
      <c r="B165" s="768"/>
      <c r="C165" s="174" t="s">
        <v>1349</v>
      </c>
      <c r="D165" s="174" t="s">
        <v>1350</v>
      </c>
      <c r="E165" s="174" t="s">
        <v>1351</v>
      </c>
      <c r="F165" s="174" t="s">
        <v>1352</v>
      </c>
      <c r="G165" s="12"/>
      <c r="H165" s="12"/>
      <c r="I165" s="12"/>
      <c r="J165" s="12"/>
      <c r="K165" s="12"/>
      <c r="O165" s="78"/>
    </row>
    <row r="166" spans="1:15" s="79" customFormat="1" ht="12.75">
      <c r="A166" s="769" t="s">
        <v>1353</v>
      </c>
      <c r="B166" s="769"/>
      <c r="C166" s="769"/>
      <c r="D166" s="769"/>
      <c r="E166" s="769"/>
      <c r="F166" s="769"/>
      <c r="G166" s="12"/>
      <c r="H166" s="12"/>
      <c r="I166" s="12"/>
      <c r="J166" s="12"/>
      <c r="K166" s="12"/>
      <c r="O166" s="78"/>
    </row>
    <row r="167" spans="1:15" s="79" customFormat="1" ht="12.75">
      <c r="A167" s="766" t="s">
        <v>1354</v>
      </c>
      <c r="B167" s="766"/>
      <c r="C167" s="485">
        <v>9175.904267164311</v>
      </c>
      <c r="D167" s="485">
        <v>-967.37108196336567</v>
      </c>
      <c r="E167" s="485">
        <v>20993.667010083504</v>
      </c>
      <c r="F167" s="485">
        <v>177.57273792359999</v>
      </c>
      <c r="G167" s="12"/>
      <c r="H167" s="12"/>
      <c r="I167" s="12"/>
      <c r="J167" s="12"/>
      <c r="K167" s="12"/>
      <c r="O167" s="78"/>
    </row>
    <row r="168" spans="1:15" s="79" customFormat="1" ht="12.75">
      <c r="A168" s="766" t="s">
        <v>1355</v>
      </c>
      <c r="B168" s="766"/>
      <c r="C168" s="485">
        <v>8947.7039678515248</v>
      </c>
      <c r="D168" s="485">
        <v>-1136.4669432604589</v>
      </c>
      <c r="E168" s="485">
        <v>35533.895728973461</v>
      </c>
      <c r="F168" s="485">
        <v>232.76538371999999</v>
      </c>
      <c r="G168" s="12"/>
      <c r="H168" s="12"/>
      <c r="I168" s="12"/>
      <c r="J168" s="12"/>
      <c r="K168" s="12"/>
      <c r="O168" s="78"/>
    </row>
    <row r="169" spans="1:15" s="79" customFormat="1" ht="12.75">
      <c r="A169" s="767" t="s">
        <v>1356</v>
      </c>
      <c r="B169" s="767"/>
      <c r="C169" s="499">
        <f>C167-C168</f>
        <v>228.20029931278623</v>
      </c>
      <c r="D169" s="499">
        <f>D167-D168</f>
        <v>169.09586129709328</v>
      </c>
      <c r="E169" s="499">
        <f>E167-E168</f>
        <v>-14540.228718889957</v>
      </c>
      <c r="F169" s="499">
        <f>F167-F168</f>
        <v>-55.192645796400001</v>
      </c>
      <c r="G169" s="12"/>
      <c r="H169" s="12"/>
      <c r="I169" s="12"/>
      <c r="J169" s="12"/>
      <c r="K169" s="12"/>
      <c r="O169" s="78"/>
    </row>
    <row r="170" spans="1:15" s="79" customFormat="1" ht="13.15" customHeight="1">
      <c r="A170" s="192" t="s">
        <v>1357</v>
      </c>
      <c r="B170" s="192"/>
      <c r="C170" s="192"/>
      <c r="D170" s="192"/>
      <c r="E170" s="192"/>
      <c r="F170" s="192"/>
      <c r="G170" s="12"/>
      <c r="H170" s="12"/>
      <c r="I170" s="12"/>
      <c r="J170" s="12"/>
      <c r="K170" s="12"/>
      <c r="O170" s="78"/>
    </row>
    <row r="171" spans="1:15" s="79" customFormat="1">
      <c r="A171" s="766" t="s">
        <v>1358</v>
      </c>
      <c r="B171" s="766"/>
      <c r="C171" s="485">
        <v>-107.51828597474572</v>
      </c>
      <c r="D171" s="485">
        <v>-95.285258584279433</v>
      </c>
      <c r="E171" s="485">
        <v>12546.18496485672</v>
      </c>
      <c r="F171" s="485">
        <v>0</v>
      </c>
      <c r="G171" s="12"/>
      <c r="H171" s="12"/>
      <c r="I171" s="12"/>
      <c r="J171" s="12"/>
      <c r="K171" s="12"/>
      <c r="O171" s="78"/>
    </row>
    <row r="172" spans="1:15" s="79" customFormat="1" ht="32.65" customHeight="1">
      <c r="A172" s="765" t="s">
        <v>1360</v>
      </c>
      <c r="B172" s="765"/>
      <c r="C172" s="485">
        <v>-26.282737083394668</v>
      </c>
      <c r="D172" s="485">
        <v>-27.628529843097894</v>
      </c>
      <c r="E172" s="485">
        <v>-163.4975690326296</v>
      </c>
      <c r="F172" s="485">
        <v>6.8226436394754808</v>
      </c>
      <c r="G172" s="12"/>
      <c r="H172" s="12"/>
      <c r="I172" s="12"/>
      <c r="J172" s="12"/>
      <c r="K172" s="12"/>
      <c r="O172" s="78"/>
    </row>
    <row r="173" spans="1:15" s="79" customFormat="1">
      <c r="A173" s="766" t="s">
        <v>1361</v>
      </c>
      <c r="B173" s="766"/>
      <c r="C173" s="485">
        <v>141.86079791785002</v>
      </c>
      <c r="D173" s="485">
        <v>-135.83797878204228</v>
      </c>
      <c r="E173" s="485">
        <v>1651.1239118091901</v>
      </c>
      <c r="F173" s="485">
        <v>0</v>
      </c>
      <c r="G173" s="12"/>
      <c r="H173" s="12"/>
      <c r="I173" s="12"/>
      <c r="J173" s="12"/>
      <c r="K173" s="12"/>
      <c r="O173" s="78"/>
    </row>
    <row r="174" spans="1:15" s="79" customFormat="1" ht="29.65" customHeight="1">
      <c r="A174" s="765" t="s">
        <v>1362</v>
      </c>
      <c r="B174" s="765"/>
      <c r="C174" s="485">
        <v>-233.87033202998458</v>
      </c>
      <c r="D174" s="485">
        <v>92.706123436613709</v>
      </c>
      <c r="E174" s="485">
        <v>-1.4069609999999999</v>
      </c>
      <c r="F174" s="485">
        <v>48.267672102923122</v>
      </c>
      <c r="G174" s="12"/>
      <c r="H174" s="12"/>
      <c r="I174" s="12"/>
      <c r="J174" s="12"/>
      <c r="K174" s="12"/>
      <c r="O174" s="78"/>
    </row>
    <row r="175" spans="1:15" s="79" customFormat="1">
      <c r="A175" s="766" t="s">
        <v>1364</v>
      </c>
      <c r="B175" s="766"/>
      <c r="C175" s="485">
        <v>-2.3897421425109804</v>
      </c>
      <c r="D175" s="485">
        <v>-3.0502175242869929</v>
      </c>
      <c r="E175" s="485">
        <v>0.24809084931384087</v>
      </c>
      <c r="F175" s="485">
        <v>0.12420748544697791</v>
      </c>
      <c r="G175" s="12"/>
      <c r="H175" s="12"/>
      <c r="I175" s="12"/>
      <c r="J175" s="12"/>
      <c r="K175" s="12"/>
      <c r="O175" s="78"/>
    </row>
    <row r="176" spans="1:15" s="79" customFormat="1" ht="12.75">
      <c r="A176" s="767" t="s">
        <v>1365</v>
      </c>
      <c r="B176" s="767"/>
      <c r="C176" s="500">
        <f>SUM(C169:C175)</f>
        <v>3.1485924978369439E-13</v>
      </c>
      <c r="D176" s="500">
        <f t="shared" ref="D176:F176" si="5">SUM(D169:D175)</f>
        <v>3.8324898810060404E-13</v>
      </c>
      <c r="E176" s="500">
        <f t="shared" si="5"/>
        <v>-507.57628140736256</v>
      </c>
      <c r="F176" s="500">
        <f t="shared" si="5"/>
        <v>2.1877431445578743E-2</v>
      </c>
      <c r="G176" s="12"/>
      <c r="H176" s="12"/>
      <c r="I176" s="12"/>
      <c r="J176" s="12"/>
      <c r="K176" s="12"/>
      <c r="O176" s="78"/>
    </row>
    <row r="177" spans="1:15" s="79" customFormat="1" ht="21.6" customHeight="1">
      <c r="A177" s="12"/>
      <c r="B177" s="76"/>
      <c r="C177" s="12"/>
      <c r="D177" s="12"/>
      <c r="E177" s="12"/>
      <c r="F177" s="12"/>
      <c r="G177" s="12"/>
      <c r="H177" s="12"/>
      <c r="I177" s="12"/>
      <c r="J177" s="12"/>
      <c r="K177" s="12"/>
      <c r="O177" s="78"/>
    </row>
    <row r="178" spans="1:15" s="12" customFormat="1" ht="28.15" customHeight="1">
      <c r="A178" s="770" t="s">
        <v>1367</v>
      </c>
      <c r="B178" s="770"/>
      <c r="C178" s="770"/>
      <c r="D178" s="770"/>
      <c r="E178" s="770"/>
      <c r="F178" s="770"/>
      <c r="O178" s="80"/>
    </row>
    <row r="179" spans="1:15" s="12" customFormat="1" ht="63.75">
      <c r="A179" s="768"/>
      <c r="B179" s="768"/>
      <c r="C179" s="174" t="s">
        <v>1349</v>
      </c>
      <c r="D179" s="174" t="s">
        <v>1350</v>
      </c>
      <c r="E179" s="174" t="s">
        <v>1351</v>
      </c>
      <c r="F179" s="174" t="s">
        <v>1352</v>
      </c>
      <c r="G179" s="30"/>
      <c r="H179" s="30"/>
      <c r="O179" s="78"/>
    </row>
    <row r="180" spans="1:15" s="12" customFormat="1" ht="12.75">
      <c r="A180" s="769" t="s">
        <v>1353</v>
      </c>
      <c r="B180" s="769"/>
      <c r="C180" s="769"/>
      <c r="D180" s="769"/>
      <c r="E180" s="769"/>
      <c r="F180" s="769"/>
      <c r="O180" s="78"/>
    </row>
    <row r="181" spans="1:15" s="12" customFormat="1" ht="12.75">
      <c r="A181" s="766" t="s">
        <v>1354</v>
      </c>
      <c r="B181" s="766"/>
      <c r="C181" s="485">
        <v>11960.505730941093</v>
      </c>
      <c r="D181" s="485">
        <v>-672.20226749851815</v>
      </c>
      <c r="E181" s="485">
        <v>19378.512637838448</v>
      </c>
      <c r="F181" s="485">
        <v>604.58811126900002</v>
      </c>
      <c r="O181" s="78"/>
    </row>
    <row r="182" spans="1:15" s="12" customFormat="1" ht="12.4" customHeight="1">
      <c r="A182" s="766" t="s">
        <v>1355</v>
      </c>
      <c r="B182" s="766"/>
      <c r="C182" s="485">
        <v>11933.982706511108</v>
      </c>
      <c r="D182" s="485">
        <v>-467.84508311167718</v>
      </c>
      <c r="E182" s="485">
        <v>33411.152456435622</v>
      </c>
      <c r="F182" s="485">
        <v>594.31098699999995</v>
      </c>
      <c r="O182" s="78"/>
    </row>
    <row r="183" spans="1:15" s="12" customFormat="1" ht="12.75">
      <c r="A183" s="767" t="s">
        <v>1356</v>
      </c>
      <c r="B183" s="767"/>
      <c r="C183" s="499">
        <v>26.523024429985526</v>
      </c>
      <c r="D183" s="499">
        <v>-204.35718438684097</v>
      </c>
      <c r="E183" s="499">
        <v>-14032.639818597174</v>
      </c>
      <c r="F183" s="499">
        <v>10.277124269000069</v>
      </c>
      <c r="O183" s="78"/>
    </row>
    <row r="184" spans="1:15" s="12" customFormat="1" ht="12.75">
      <c r="A184" s="774" t="s">
        <v>1357</v>
      </c>
      <c r="B184" s="774"/>
      <c r="C184" s="774"/>
      <c r="D184" s="774"/>
      <c r="E184" s="774"/>
      <c r="F184" s="774"/>
      <c r="O184" s="78"/>
    </row>
    <row r="185" spans="1:15" s="12" customFormat="1">
      <c r="A185" s="766" t="s">
        <v>1358</v>
      </c>
      <c r="B185" s="766"/>
      <c r="C185" s="485">
        <v>-1.4902210230446551</v>
      </c>
      <c r="D185" s="485">
        <v>336.829755981613</v>
      </c>
      <c r="E185" s="485">
        <v>12546.18496485672</v>
      </c>
      <c r="F185" s="485">
        <v>0</v>
      </c>
      <c r="O185" s="78"/>
    </row>
    <row r="186" spans="1:15" s="78" customFormat="1" ht="28.9" customHeight="1">
      <c r="A186" s="765" t="s">
        <v>1360</v>
      </c>
      <c r="B186" s="765"/>
      <c r="C186" s="485">
        <v>1.9447308834988419</v>
      </c>
      <c r="D186" s="485">
        <v>-0.15613838221356227</v>
      </c>
      <c r="E186" s="485">
        <v>-163.4975690326296</v>
      </c>
      <c r="F186" s="485">
        <v>0</v>
      </c>
      <c r="G186" s="12"/>
      <c r="H186" s="12"/>
      <c r="I186" s="12"/>
      <c r="J186" s="12"/>
      <c r="K186" s="12"/>
    </row>
    <row r="187" spans="1:15" s="78" customFormat="1">
      <c r="A187" s="766" t="s">
        <v>1361</v>
      </c>
      <c r="B187" s="766"/>
      <c r="C187" s="485">
        <v>188.76802847976006</v>
      </c>
      <c r="D187" s="485">
        <v>-32.765483987910009</v>
      </c>
      <c r="E187" s="485">
        <v>1651.1239118091901</v>
      </c>
      <c r="F187" s="485">
        <v>0</v>
      </c>
      <c r="G187" s="12"/>
      <c r="H187" s="12"/>
      <c r="I187" s="12"/>
      <c r="J187" s="12"/>
      <c r="K187" s="12"/>
    </row>
    <row r="188" spans="1:15" s="78" customFormat="1" ht="28.9" customHeight="1">
      <c r="A188" s="765" t="s">
        <v>1362</v>
      </c>
      <c r="B188" s="765"/>
      <c r="C188" s="485">
        <v>-213.20947446517408</v>
      </c>
      <c r="D188" s="485">
        <v>-105.13201675275</v>
      </c>
      <c r="E188" s="485">
        <v>-1.4069609999999999</v>
      </c>
      <c r="F188" s="485">
        <v>-10.330030078504999</v>
      </c>
      <c r="G188" s="12"/>
      <c r="H188" s="12"/>
      <c r="I188" s="12"/>
      <c r="J188" s="12"/>
      <c r="K188" s="12"/>
    </row>
    <row r="189" spans="1:15" s="78" customFormat="1">
      <c r="A189" s="766" t="s">
        <v>1364</v>
      </c>
      <c r="B189" s="766"/>
      <c r="C189" s="485">
        <v>-2.5360883050247578</v>
      </c>
      <c r="D189" s="485">
        <v>5.5810675281005686</v>
      </c>
      <c r="E189" s="485">
        <v>0.24809084931384087</v>
      </c>
      <c r="F189" s="485">
        <v>0</v>
      </c>
      <c r="G189" s="12"/>
      <c r="H189" s="12"/>
      <c r="I189" s="12"/>
      <c r="J189" s="12"/>
      <c r="K189" s="12"/>
    </row>
    <row r="190" spans="1:15" s="78" customFormat="1" ht="12.75">
      <c r="A190" s="767" t="s">
        <v>1365</v>
      </c>
      <c r="B190" s="767"/>
      <c r="C190" s="499">
        <v>9.2814644858663087E-13</v>
      </c>
      <c r="D190" s="499">
        <v>-9.7344354799133725E-13</v>
      </c>
      <c r="E190" s="499">
        <v>1.2618885420845688E-2</v>
      </c>
      <c r="F190" s="499">
        <v>-5.2905809504929735E-2</v>
      </c>
      <c r="G190" s="12"/>
      <c r="H190" s="12"/>
      <c r="I190" s="12"/>
      <c r="J190" s="12"/>
      <c r="K190" s="12"/>
    </row>
    <row r="191" spans="1:15" s="78" customFormat="1" ht="12.75">
      <c r="A191" s="622" t="s">
        <v>1344</v>
      </c>
      <c r="B191" s="622"/>
      <c r="C191" s="622"/>
      <c r="D191" s="622"/>
      <c r="E191" s="622"/>
      <c r="F191" s="622"/>
      <c r="G191" s="12"/>
      <c r="H191" s="12"/>
      <c r="I191" s="12"/>
      <c r="J191" s="12"/>
      <c r="K191" s="12"/>
    </row>
    <row r="192" spans="1:15" s="78" customFormat="1" ht="34.15" customHeight="1">
      <c r="A192" s="622" t="s">
        <v>1368</v>
      </c>
      <c r="B192" s="622"/>
      <c r="C192" s="622"/>
      <c r="D192" s="622"/>
      <c r="E192" s="622"/>
      <c r="F192" s="622"/>
      <c r="G192" s="31"/>
      <c r="H192" s="12"/>
      <c r="I192" s="12"/>
      <c r="J192" s="12"/>
      <c r="K192" s="12"/>
    </row>
    <row r="193" spans="1:13" s="78" customFormat="1" ht="57" customHeight="1">
      <c r="A193" s="622" t="s">
        <v>1369</v>
      </c>
      <c r="B193" s="622"/>
      <c r="C193" s="622"/>
      <c r="D193" s="622"/>
      <c r="E193" s="622"/>
      <c r="F193" s="622"/>
      <c r="G193" s="31"/>
      <c r="H193" s="12"/>
      <c r="I193" s="12"/>
      <c r="J193" s="12"/>
      <c r="K193" s="12"/>
    </row>
    <row r="194" spans="1:13" s="78" customFormat="1" ht="33.6" customHeight="1">
      <c r="A194" s="622" t="s">
        <v>1370</v>
      </c>
      <c r="B194" s="622"/>
      <c r="C194" s="622"/>
      <c r="D194" s="622"/>
      <c r="E194" s="622"/>
      <c r="F194" s="622"/>
      <c r="G194" s="31"/>
      <c r="H194" s="12"/>
      <c r="I194" s="12"/>
      <c r="J194" s="12"/>
      <c r="K194" s="12"/>
    </row>
    <row r="195" spans="1:13" s="78" customFormat="1" ht="33.6" customHeight="1">
      <c r="A195" s="622" t="s">
        <v>1371</v>
      </c>
      <c r="B195" s="622"/>
      <c r="C195" s="622"/>
      <c r="D195" s="622"/>
      <c r="E195" s="622"/>
      <c r="F195" s="622"/>
      <c r="G195" s="31"/>
      <c r="H195" s="12"/>
      <c r="I195" s="12"/>
      <c r="J195" s="12"/>
      <c r="K195" s="12"/>
    </row>
    <row r="196" spans="1:13" s="78" customFormat="1" ht="21" customHeight="1">
      <c r="A196" s="622" t="s">
        <v>1372</v>
      </c>
      <c r="B196" s="622"/>
      <c r="C196" s="622"/>
      <c r="D196" s="622"/>
      <c r="E196" s="622"/>
      <c r="F196" s="622"/>
      <c r="G196" s="31"/>
      <c r="H196" s="12"/>
      <c r="I196" s="12"/>
      <c r="J196" s="12"/>
      <c r="K196" s="12"/>
    </row>
    <row r="197" spans="1:13" s="78" customFormat="1" ht="21" customHeight="1">
      <c r="A197" s="68"/>
      <c r="B197" s="68"/>
      <c r="C197" s="68"/>
      <c r="D197" s="68"/>
      <c r="E197" s="68"/>
      <c r="F197" s="68"/>
      <c r="G197" s="68"/>
      <c r="H197" s="12"/>
      <c r="I197" s="12"/>
      <c r="J197" s="12"/>
      <c r="K197" s="12"/>
    </row>
    <row r="198" spans="1:13" s="78" customFormat="1" ht="17.25">
      <c r="A198" s="621" t="s">
        <v>1593</v>
      </c>
      <c r="B198" s="621"/>
      <c r="C198" s="621"/>
      <c r="D198" s="621"/>
      <c r="E198" s="621"/>
      <c r="F198" s="621"/>
      <c r="G198" s="621"/>
      <c r="H198" s="621"/>
      <c r="I198" s="621"/>
      <c r="J198" s="621"/>
      <c r="K198" s="621"/>
      <c r="L198" s="621"/>
      <c r="M198" s="621"/>
    </row>
    <row r="199" spans="1:13" s="78" customFormat="1" ht="12.75">
      <c r="A199" s="658" t="s">
        <v>789</v>
      </c>
      <c r="B199" s="624" t="s">
        <v>1373</v>
      </c>
      <c r="C199" s="645" t="s">
        <v>1374</v>
      </c>
      <c r="D199" s="645"/>
      <c r="E199" s="645"/>
      <c r="F199" s="645"/>
      <c r="G199" s="645"/>
      <c r="H199" s="645"/>
      <c r="I199" s="645"/>
      <c r="J199" s="645"/>
      <c r="K199" s="645"/>
      <c r="L199" s="645"/>
      <c r="M199" s="645"/>
    </row>
    <row r="200" spans="1:13" s="78" customFormat="1" ht="63.75">
      <c r="A200" s="658"/>
      <c r="B200" s="624"/>
      <c r="C200" s="174" t="s">
        <v>1375</v>
      </c>
      <c r="D200" s="174" t="s">
        <v>1376</v>
      </c>
      <c r="E200" s="174" t="s">
        <v>1027</v>
      </c>
      <c r="F200" s="174" t="s">
        <v>1377</v>
      </c>
      <c r="G200" s="174" t="s">
        <v>1378</v>
      </c>
      <c r="H200" s="174" t="s">
        <v>1379</v>
      </c>
      <c r="I200" s="174" t="s">
        <v>1380</v>
      </c>
      <c r="J200" s="174" t="s">
        <v>1381</v>
      </c>
      <c r="K200" s="174" t="s">
        <v>1382</v>
      </c>
      <c r="L200" s="174" t="s">
        <v>1383</v>
      </c>
      <c r="M200" s="174" t="s">
        <v>328</v>
      </c>
    </row>
    <row r="201" spans="1:13" ht="28.15" customHeight="1">
      <c r="A201" s="760" t="s">
        <v>1592</v>
      </c>
      <c r="B201" s="761"/>
      <c r="C201" s="761"/>
      <c r="D201" s="761"/>
      <c r="E201" s="761"/>
      <c r="F201" s="761"/>
      <c r="G201" s="761"/>
      <c r="H201" s="761"/>
      <c r="I201" s="761"/>
      <c r="J201" s="761"/>
      <c r="K201" s="761"/>
      <c r="L201" s="761"/>
      <c r="M201" s="762"/>
    </row>
    <row r="202" spans="1:13">
      <c r="B202" s="4"/>
    </row>
    <row r="203" spans="1:13">
      <c r="B203" s="4"/>
    </row>
    <row r="204" spans="1:13">
      <c r="B204" s="4"/>
    </row>
    <row r="205" spans="1:13">
      <c r="B205" s="4"/>
    </row>
    <row r="206" spans="1:13">
      <c r="B206" s="4"/>
    </row>
    <row r="207" spans="1:13">
      <c r="B207" s="4"/>
    </row>
    <row r="208" spans="1:13">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row r="239" spans="2:2">
      <c r="B239" s="4"/>
    </row>
    <row r="240" spans="2:2">
      <c r="B240" s="4"/>
    </row>
    <row r="241" spans="2:2">
      <c r="B241" s="4"/>
    </row>
    <row r="242" spans="2:2">
      <c r="B242" s="4"/>
    </row>
    <row r="243" spans="2:2">
      <c r="B243" s="4"/>
    </row>
    <row r="244" spans="2:2">
      <c r="B244" s="4"/>
    </row>
    <row r="245" spans="2:2">
      <c r="B245" s="4"/>
    </row>
    <row r="246" spans="2:2">
      <c r="B246" s="4"/>
    </row>
    <row r="247" spans="2:2">
      <c r="B247" s="4"/>
    </row>
    <row r="248" spans="2:2">
      <c r="B248" s="4"/>
    </row>
    <row r="249" spans="2:2">
      <c r="B249" s="4"/>
    </row>
    <row r="250" spans="2:2">
      <c r="B250" s="4"/>
    </row>
    <row r="251" spans="2:2">
      <c r="B251" s="4"/>
    </row>
    <row r="252" spans="2:2">
      <c r="B252" s="4"/>
    </row>
    <row r="253" spans="2:2">
      <c r="B253" s="4"/>
    </row>
    <row r="254" spans="2:2">
      <c r="B254" s="4"/>
    </row>
    <row r="255" spans="2:2">
      <c r="B255" s="4"/>
    </row>
    <row r="256" spans="2:2">
      <c r="B256" s="4"/>
    </row>
    <row r="257" spans="2:2">
      <c r="B257" s="4"/>
    </row>
    <row r="258" spans="2:2">
      <c r="B258" s="4"/>
    </row>
    <row r="259" spans="2:2">
      <c r="B259" s="4"/>
    </row>
    <row r="260" spans="2:2">
      <c r="B260" s="4"/>
    </row>
    <row r="261" spans="2:2">
      <c r="B261" s="4"/>
    </row>
    <row r="262" spans="2:2">
      <c r="B262" s="4"/>
    </row>
    <row r="263" spans="2:2">
      <c r="B263" s="4"/>
    </row>
    <row r="264" spans="2:2">
      <c r="B264" s="4"/>
    </row>
    <row r="265" spans="2:2">
      <c r="B265" s="4"/>
    </row>
    <row r="266" spans="2:2">
      <c r="B266" s="4"/>
    </row>
    <row r="267" spans="2:2">
      <c r="B267" s="4"/>
    </row>
    <row r="268" spans="2:2">
      <c r="B268" s="4"/>
    </row>
    <row r="269" spans="2:2">
      <c r="B269" s="4"/>
    </row>
    <row r="270" spans="2:2">
      <c r="B270" s="4"/>
    </row>
    <row r="271" spans="2:2">
      <c r="B271" s="4"/>
    </row>
    <row r="272" spans="2:2">
      <c r="B272" s="4"/>
    </row>
    <row r="273" spans="2:2">
      <c r="B273" s="4"/>
    </row>
    <row r="274" spans="2:2">
      <c r="B274" s="4"/>
    </row>
    <row r="275" spans="2:2">
      <c r="B275" s="4"/>
    </row>
    <row r="276" spans="2:2">
      <c r="B276" s="4"/>
    </row>
    <row r="277" spans="2:2">
      <c r="B277" s="4"/>
    </row>
    <row r="278" spans="2:2">
      <c r="B278" s="4"/>
    </row>
    <row r="279" spans="2:2">
      <c r="B279" s="4"/>
    </row>
    <row r="280" spans="2:2">
      <c r="B280" s="4"/>
    </row>
    <row r="281" spans="2:2">
      <c r="B281" s="4"/>
    </row>
    <row r="282" spans="2:2">
      <c r="B282" s="4"/>
    </row>
    <row r="283" spans="2:2">
      <c r="B283" s="4"/>
    </row>
    <row r="284" spans="2:2">
      <c r="B284" s="4"/>
    </row>
    <row r="285" spans="2:2">
      <c r="B285" s="4"/>
    </row>
    <row r="286" spans="2:2">
      <c r="B286" s="4"/>
    </row>
    <row r="287" spans="2:2">
      <c r="B287" s="4"/>
    </row>
    <row r="288" spans="2:2">
      <c r="B288" s="4"/>
    </row>
    <row r="289" spans="2:2">
      <c r="B289" s="4"/>
    </row>
    <row r="290" spans="2:2">
      <c r="B290" s="4"/>
    </row>
    <row r="291" spans="2:2">
      <c r="B291" s="4"/>
    </row>
    <row r="292" spans="2:2">
      <c r="B292" s="4"/>
    </row>
    <row r="293" spans="2:2">
      <c r="B293" s="4"/>
    </row>
    <row r="294" spans="2:2">
      <c r="B294" s="4"/>
    </row>
    <row r="295" spans="2:2">
      <c r="B295" s="4"/>
    </row>
    <row r="296" spans="2:2">
      <c r="B296" s="4"/>
    </row>
    <row r="297" spans="2:2">
      <c r="B297" s="4"/>
    </row>
    <row r="298" spans="2:2">
      <c r="B298" s="4"/>
    </row>
    <row r="299" spans="2:2">
      <c r="B299" s="4"/>
    </row>
    <row r="300" spans="2:2">
      <c r="B300" s="4"/>
    </row>
    <row r="301" spans="2:2">
      <c r="B301" s="4"/>
    </row>
    <row r="302" spans="2:2">
      <c r="B302" s="4"/>
    </row>
    <row r="303" spans="2:2">
      <c r="B303" s="4"/>
    </row>
    <row r="304" spans="2:2">
      <c r="B304" s="4"/>
    </row>
    <row r="305" spans="2:2">
      <c r="B305" s="4"/>
    </row>
    <row r="306" spans="2:2">
      <c r="B306" s="4"/>
    </row>
    <row r="307" spans="2:2">
      <c r="B307" s="4"/>
    </row>
    <row r="308" spans="2:2">
      <c r="B308" s="4"/>
    </row>
    <row r="309" spans="2:2">
      <c r="B309" s="4"/>
    </row>
    <row r="310" spans="2:2">
      <c r="B310" s="4"/>
    </row>
    <row r="311" spans="2:2">
      <c r="B311" s="4"/>
    </row>
    <row r="312" spans="2:2">
      <c r="B312" s="4"/>
    </row>
    <row r="313" spans="2:2">
      <c r="B313" s="4"/>
    </row>
    <row r="314" spans="2:2">
      <c r="B314" s="4"/>
    </row>
    <row r="315" spans="2:2">
      <c r="B315" s="4"/>
    </row>
    <row r="316" spans="2:2">
      <c r="B316" s="4"/>
    </row>
    <row r="317" spans="2:2">
      <c r="B317" s="4"/>
    </row>
    <row r="318" spans="2:2">
      <c r="B318" s="4"/>
    </row>
    <row r="319" spans="2:2">
      <c r="B319" s="4"/>
    </row>
    <row r="320" spans="2:2">
      <c r="B320" s="4"/>
    </row>
    <row r="321" spans="1:11">
      <c r="B321" s="4"/>
    </row>
    <row r="322" spans="1:11">
      <c r="B322" s="4"/>
    </row>
    <row r="323" spans="1:11">
      <c r="B323" s="4"/>
    </row>
    <row r="324" spans="1:11">
      <c r="B324" s="4"/>
    </row>
    <row r="325" spans="1:11">
      <c r="B325" s="4"/>
    </row>
    <row r="326" spans="1:11">
      <c r="B326" s="4"/>
    </row>
    <row r="327" spans="1:11">
      <c r="B327" s="4"/>
    </row>
    <row r="328" spans="1:11">
      <c r="B328" s="4"/>
    </row>
    <row r="329" spans="1:11">
      <c r="B329" s="4"/>
    </row>
    <row r="330" spans="1:11">
      <c r="B330" s="4"/>
    </row>
    <row r="331" spans="1:11">
      <c r="B331" s="4"/>
    </row>
    <row r="332" spans="1:11">
      <c r="B332" s="4"/>
    </row>
    <row r="333" spans="1:11">
      <c r="B333" s="4"/>
    </row>
    <row r="334" spans="1:11">
      <c r="B334" s="4"/>
    </row>
    <row r="335" spans="1:11" s="78" customFormat="1" ht="12.75"/>
    <row r="336" spans="1:11">
      <c r="A336" s="38"/>
      <c r="B336" s="76"/>
      <c r="C336" s="78"/>
      <c r="D336" s="82"/>
      <c r="E336" s="82"/>
      <c r="F336" s="82"/>
      <c r="G336" s="82"/>
      <c r="H336" s="82"/>
      <c r="I336" s="82"/>
      <c r="J336" s="82"/>
      <c r="K336" s="82"/>
    </row>
    <row r="337" spans="1:11">
      <c r="A337" s="12"/>
      <c r="B337" s="76"/>
      <c r="C337" s="12"/>
      <c r="D337" s="12"/>
      <c r="E337" s="12"/>
      <c r="F337" s="12"/>
      <c r="G337" s="12"/>
      <c r="H337" s="12"/>
      <c r="I337" s="12"/>
      <c r="J337" s="12"/>
      <c r="K337" s="12"/>
    </row>
  </sheetData>
  <sheetProtection algorithmName="SHA-512" hashValue="w79nD5wjSEaRxc3ZQUnsSnWldKXgyKpfwEOpImFjiv7UmKdjBQedDckYq49Mua3nViWBqTRn5T0RpQCHKNtAyQ==" saltValue="ZFUYwXAWJvgcQvqKezCREA==" spinCount="100000" sheet="1" objects="1" scenarios="1"/>
  <mergeCells count="119">
    <mergeCell ref="A194:F194"/>
    <mergeCell ref="A195:F195"/>
    <mergeCell ref="A196:F196"/>
    <mergeCell ref="A178:F178"/>
    <mergeCell ref="A164:F164"/>
    <mergeCell ref="A90:K90"/>
    <mergeCell ref="A158:B158"/>
    <mergeCell ref="A159:B159"/>
    <mergeCell ref="A160:B160"/>
    <mergeCell ref="A161:B161"/>
    <mergeCell ref="A162:B162"/>
    <mergeCell ref="A116:I116"/>
    <mergeCell ref="A92:I92"/>
    <mergeCell ref="A93:I93"/>
    <mergeCell ref="A94:B94"/>
    <mergeCell ref="A95:B95"/>
    <mergeCell ref="A97:B97"/>
    <mergeCell ref="A98:B98"/>
    <mergeCell ref="A99:B99"/>
    <mergeCell ref="A100:B100"/>
    <mergeCell ref="A96:I96"/>
    <mergeCell ref="A110:I110"/>
    <mergeCell ref="A129:I129"/>
    <mergeCell ref="A148:I148"/>
    <mergeCell ref="C199:M199"/>
    <mergeCell ref="A181:B181"/>
    <mergeCell ref="A182:B182"/>
    <mergeCell ref="A183:B183"/>
    <mergeCell ref="A168:B168"/>
    <mergeCell ref="A169:B169"/>
    <mergeCell ref="A171:B171"/>
    <mergeCell ref="A172:B172"/>
    <mergeCell ref="A173:B173"/>
    <mergeCell ref="A184:F184"/>
    <mergeCell ref="A179:B179"/>
    <mergeCell ref="A180:F180"/>
    <mergeCell ref="A191:F191"/>
    <mergeCell ref="A188:B188"/>
    <mergeCell ref="A189:B189"/>
    <mergeCell ref="A199:A200"/>
    <mergeCell ref="B199:B200"/>
    <mergeCell ref="A190:B190"/>
    <mergeCell ref="A185:B185"/>
    <mergeCell ref="A186:B186"/>
    <mergeCell ref="A187:B187"/>
    <mergeCell ref="A198:M198"/>
    <mergeCell ref="A192:F192"/>
    <mergeCell ref="A193:F193"/>
    <mergeCell ref="A81:K81"/>
    <mergeCell ref="A82:K82"/>
    <mergeCell ref="A83:K83"/>
    <mergeCell ref="A84:K84"/>
    <mergeCell ref="A89:K89"/>
    <mergeCell ref="A85:K85"/>
    <mergeCell ref="A86:K86"/>
    <mergeCell ref="A87:K87"/>
    <mergeCell ref="A88:K88"/>
    <mergeCell ref="A101:B101"/>
    <mergeCell ref="A102:B102"/>
    <mergeCell ref="A103:B103"/>
    <mergeCell ref="A104:B104"/>
    <mergeCell ref="A105:B105"/>
    <mergeCell ref="A107:B107"/>
    <mergeCell ref="A135:I135"/>
    <mergeCell ref="A146:B146"/>
    <mergeCell ref="A147:B147"/>
    <mergeCell ref="A145:B145"/>
    <mergeCell ref="A139:B139"/>
    <mergeCell ref="A140:B140"/>
    <mergeCell ref="A141:B141"/>
    <mergeCell ref="A142:B142"/>
    <mergeCell ref="A144:B144"/>
    <mergeCell ref="A108:B108"/>
    <mergeCell ref="A109:B109"/>
    <mergeCell ref="A106:B106"/>
    <mergeCell ref="A112:I112"/>
    <mergeCell ref="A113:I113"/>
    <mergeCell ref="A114:B114"/>
    <mergeCell ref="A115:B115"/>
    <mergeCell ref="A117:B117"/>
    <mergeCell ref="A118:B118"/>
    <mergeCell ref="A157:B157"/>
    <mergeCell ref="A133:B133"/>
    <mergeCell ref="A125:B125"/>
    <mergeCell ref="A126:B126"/>
    <mergeCell ref="A127:B127"/>
    <mergeCell ref="A128:B128"/>
    <mergeCell ref="A131:I131"/>
    <mergeCell ref="A132:I132"/>
    <mergeCell ref="A150:F150"/>
    <mergeCell ref="A134:B134"/>
    <mergeCell ref="A136:B136"/>
    <mergeCell ref="A137:B137"/>
    <mergeCell ref="A138:B138"/>
    <mergeCell ref="A143:B143"/>
    <mergeCell ref="A201:M201"/>
    <mergeCell ref="A13:K13"/>
    <mergeCell ref="A36:K36"/>
    <mergeCell ref="A59:K59"/>
    <mergeCell ref="A11:B11"/>
    <mergeCell ref="A9:K9"/>
    <mergeCell ref="A7:C7"/>
    <mergeCell ref="A119:B119"/>
    <mergeCell ref="A120:B120"/>
    <mergeCell ref="A121:B121"/>
    <mergeCell ref="A122:B122"/>
    <mergeCell ref="A123:B123"/>
    <mergeCell ref="A124:B124"/>
    <mergeCell ref="A174:B174"/>
    <mergeCell ref="A175:B175"/>
    <mergeCell ref="A176:B176"/>
    <mergeCell ref="A165:B165"/>
    <mergeCell ref="A166:F166"/>
    <mergeCell ref="A167:B167"/>
    <mergeCell ref="A151:B151"/>
    <mergeCell ref="A152:F152"/>
    <mergeCell ref="A153:B153"/>
    <mergeCell ref="A154:B154"/>
    <mergeCell ref="A155:B155"/>
  </mergeCells>
  <phoneticPr fontId="87" type="noConversion"/>
  <hyperlinks>
    <hyperlink ref="A201:M201" location="'Tax Entities'!A1" display="See Tax Entities tab" xr:uid="{AB58DEF4-8EE7-4D30-A62E-7A96BE749F7B}"/>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F5864-0439-432A-83F8-7B1F9D1315E9}">
  <sheetPr>
    <tabColor rgb="FF93E3FF"/>
  </sheetPr>
  <dimension ref="A1:O419"/>
  <sheetViews>
    <sheetView showGridLines="0" zoomScaleNormal="100" workbookViewId="0">
      <pane ySplit="15" topLeftCell="A16" activePane="bottomLeft" state="frozen"/>
      <selection pane="bottomLeft"/>
    </sheetView>
  </sheetViews>
  <sheetFormatPr baseColWidth="10" defaultColWidth="8.7109375" defaultRowHeight="14.25"/>
  <cols>
    <col min="1" max="1" width="18.7109375" style="4" customWidth="1"/>
    <col min="2" max="2" width="28.7109375" style="4" customWidth="1"/>
    <col min="3" max="3" width="19.5703125" style="75" customWidth="1"/>
    <col min="4" max="7" width="14.28515625" style="4" customWidth="1"/>
    <col min="8" max="8" width="12.7109375" style="4" customWidth="1"/>
    <col min="9" max="9" width="14.28515625" style="4" customWidth="1"/>
    <col min="10" max="14" width="12.7109375" style="4" customWidth="1"/>
    <col min="15" max="15" width="15.7109375" style="4" customWidth="1"/>
    <col min="16" max="16" width="5.7109375" style="4" customWidth="1"/>
    <col min="17" max="16384" width="8.7109375" style="4"/>
  </cols>
  <sheetData>
    <row r="1" spans="1:13">
      <c r="B1" s="75"/>
      <c r="C1" s="4"/>
    </row>
    <row r="2" spans="1:13">
      <c r="B2" s="75"/>
      <c r="C2" s="4"/>
      <c r="K2" s="116"/>
    </row>
    <row r="3" spans="1:13">
      <c r="B3" s="75"/>
      <c r="C3" s="4"/>
    </row>
    <row r="4" spans="1:13">
      <c r="B4" s="75"/>
      <c r="C4" s="4"/>
    </row>
    <row r="5" spans="1:13">
      <c r="B5" s="75"/>
      <c r="C5" s="4"/>
    </row>
    <row r="6" spans="1:13">
      <c r="B6" s="75"/>
      <c r="C6" s="4"/>
    </row>
    <row r="7" spans="1:13" ht="20.25">
      <c r="A7" s="617" t="s">
        <v>0</v>
      </c>
      <c r="B7" s="617"/>
      <c r="C7" s="617"/>
    </row>
    <row r="8" spans="1:13" ht="21" thickBot="1">
      <c r="A8" s="167"/>
      <c r="B8" s="171"/>
      <c r="C8" s="166"/>
      <c r="D8" s="166"/>
      <c r="E8" s="166"/>
      <c r="F8" s="166"/>
      <c r="G8" s="166"/>
      <c r="H8" s="166"/>
      <c r="I8" s="166"/>
      <c r="J8" s="166"/>
      <c r="K8" s="541"/>
      <c r="L8" s="541"/>
      <c r="M8" s="541"/>
    </row>
    <row r="9" spans="1:13" ht="19.5" thickTop="1" thickBot="1">
      <c r="A9" s="779" t="s">
        <v>1537</v>
      </c>
      <c r="B9" s="779"/>
      <c r="C9" s="779"/>
      <c r="D9" s="779"/>
      <c r="E9" s="779"/>
      <c r="F9" s="779"/>
      <c r="G9" s="779"/>
      <c r="H9" s="779"/>
      <c r="I9" s="779"/>
      <c r="J9" s="779"/>
      <c r="K9" s="779"/>
      <c r="L9" s="779"/>
      <c r="M9" s="779"/>
    </row>
    <row r="10" spans="1:13" ht="14.65" customHeight="1" thickTop="1">
      <c r="A10" s="55"/>
      <c r="B10" s="160"/>
      <c r="C10" s="122"/>
      <c r="D10" s="122"/>
      <c r="E10" s="122"/>
      <c r="F10" s="122"/>
      <c r="G10" s="122"/>
      <c r="H10" s="122"/>
      <c r="I10" s="122"/>
      <c r="J10" s="122"/>
      <c r="K10" s="122"/>
    </row>
    <row r="11" spans="1:13" ht="14.65" customHeight="1">
      <c r="A11" s="763" t="s">
        <v>1538</v>
      </c>
      <c r="B11" s="763"/>
      <c r="C11" s="763"/>
      <c r="D11" s="122"/>
      <c r="E11" s="122"/>
      <c r="F11" s="122"/>
      <c r="G11" s="122"/>
      <c r="H11" s="122"/>
      <c r="I11" s="122"/>
      <c r="J11" s="122"/>
      <c r="K11" s="122"/>
    </row>
    <row r="12" spans="1:13" ht="14.65" customHeight="1">
      <c r="A12" s="534"/>
      <c r="B12" s="534"/>
      <c r="C12" s="534"/>
      <c r="D12" s="122"/>
      <c r="E12" s="122"/>
      <c r="F12" s="122"/>
      <c r="G12" s="122"/>
      <c r="H12" s="122"/>
      <c r="I12" s="122"/>
      <c r="J12" s="122"/>
      <c r="K12" s="122"/>
    </row>
    <row r="13" spans="1:13" s="78" customFormat="1" ht="17.25">
      <c r="A13" s="621" t="s">
        <v>1539</v>
      </c>
      <c r="B13" s="621"/>
      <c r="C13" s="621"/>
      <c r="D13" s="621"/>
      <c r="E13" s="621"/>
      <c r="F13" s="621"/>
      <c r="G13" s="621"/>
      <c r="H13" s="621"/>
      <c r="I13" s="621"/>
      <c r="J13" s="621"/>
      <c r="K13" s="621"/>
      <c r="L13" s="621"/>
      <c r="M13" s="621"/>
    </row>
    <row r="14" spans="1:13" s="78" customFormat="1" ht="12.75">
      <c r="A14" s="658" t="s">
        <v>789</v>
      </c>
      <c r="B14" s="624" t="s">
        <v>1373</v>
      </c>
      <c r="C14" s="645" t="s">
        <v>1374</v>
      </c>
      <c r="D14" s="645"/>
      <c r="E14" s="645"/>
      <c r="F14" s="645"/>
      <c r="G14" s="645"/>
      <c r="H14" s="645"/>
      <c r="I14" s="645"/>
      <c r="J14" s="645"/>
      <c r="K14" s="645"/>
      <c r="L14" s="645"/>
      <c r="M14" s="645"/>
    </row>
    <row r="15" spans="1:13" s="78" customFormat="1" ht="63.75">
      <c r="A15" s="685"/>
      <c r="B15" s="721"/>
      <c r="C15" s="503" t="s">
        <v>1375</v>
      </c>
      <c r="D15" s="503" t="s">
        <v>1376</v>
      </c>
      <c r="E15" s="503" t="s">
        <v>1027</v>
      </c>
      <c r="F15" s="503" t="s">
        <v>1377</v>
      </c>
      <c r="G15" s="503" t="s">
        <v>1378</v>
      </c>
      <c r="H15" s="503" t="s">
        <v>1379</v>
      </c>
      <c r="I15" s="503" t="s">
        <v>1380</v>
      </c>
      <c r="J15" s="503" t="s">
        <v>1381</v>
      </c>
      <c r="K15" s="503" t="s">
        <v>1382</v>
      </c>
      <c r="L15" s="503" t="s">
        <v>1383</v>
      </c>
      <c r="M15" s="503" t="s">
        <v>328</v>
      </c>
    </row>
    <row r="16" spans="1:13" s="78" customFormat="1" ht="12.75">
      <c r="A16" s="781">
        <v>2021</v>
      </c>
      <c r="B16" s="782"/>
      <c r="C16" s="782"/>
      <c r="D16" s="782"/>
      <c r="E16" s="782"/>
      <c r="F16" s="782"/>
      <c r="G16" s="782"/>
      <c r="H16" s="782"/>
      <c r="I16" s="782"/>
      <c r="J16" s="782"/>
      <c r="K16" s="782"/>
      <c r="L16" s="782"/>
      <c r="M16" s="783"/>
    </row>
    <row r="17" spans="1:15" s="78" customFormat="1" ht="12.75">
      <c r="A17" s="780" t="s">
        <v>1384</v>
      </c>
      <c r="B17" s="539" t="s">
        <v>1385</v>
      </c>
      <c r="C17" s="538"/>
      <c r="D17" s="538"/>
      <c r="E17" s="538"/>
      <c r="F17" s="538"/>
      <c r="G17" s="538"/>
      <c r="H17" s="538"/>
      <c r="I17" s="538"/>
      <c r="J17" s="538"/>
      <c r="K17" s="538"/>
      <c r="L17" s="538" t="s">
        <v>1386</v>
      </c>
      <c r="M17" s="540"/>
    </row>
    <row r="18" spans="1:15" s="78" customFormat="1" ht="12.75">
      <c r="A18" s="647"/>
      <c r="B18" s="223" t="s">
        <v>1387</v>
      </c>
      <c r="C18" s="200"/>
      <c r="D18" s="200"/>
      <c r="E18" s="200"/>
      <c r="F18" s="200"/>
      <c r="G18" s="200"/>
      <c r="H18" s="200"/>
      <c r="I18" s="200"/>
      <c r="J18" s="200"/>
      <c r="K18" s="200"/>
      <c r="L18" s="200" t="s">
        <v>1386</v>
      </c>
      <c r="M18" s="305"/>
    </row>
    <row r="19" spans="1:15" s="78" customFormat="1" ht="12.75">
      <c r="A19" s="647" t="s">
        <v>794</v>
      </c>
      <c r="B19" s="223" t="s">
        <v>1388</v>
      </c>
      <c r="C19" s="200"/>
      <c r="D19" s="200"/>
      <c r="E19" s="200"/>
      <c r="F19" s="200"/>
      <c r="G19" s="200"/>
      <c r="H19" s="200"/>
      <c r="I19" s="200"/>
      <c r="J19" s="200"/>
      <c r="K19" s="200"/>
      <c r="L19" s="200" t="s">
        <v>1386</v>
      </c>
      <c r="M19" s="305"/>
    </row>
    <row r="20" spans="1:15" s="78" customFormat="1" ht="12.75">
      <c r="A20" s="647"/>
      <c r="B20" s="223" t="s">
        <v>1389</v>
      </c>
      <c r="C20" s="200"/>
      <c r="D20" s="200"/>
      <c r="E20" s="200" t="s">
        <v>1386</v>
      </c>
      <c r="F20" s="200"/>
      <c r="G20" s="200"/>
      <c r="H20" s="200"/>
      <c r="I20" s="200"/>
      <c r="J20" s="200"/>
      <c r="K20" s="200"/>
      <c r="L20" s="200"/>
      <c r="M20" s="305"/>
    </row>
    <row r="21" spans="1:15" s="78" customFormat="1" ht="12.4" customHeight="1">
      <c r="A21" s="647" t="s">
        <v>1329</v>
      </c>
      <c r="B21" s="223" t="s">
        <v>1390</v>
      </c>
      <c r="C21" s="200"/>
      <c r="D21" s="200"/>
      <c r="E21" s="200"/>
      <c r="F21" s="486"/>
      <c r="G21" s="200"/>
      <c r="H21" s="200"/>
      <c r="I21" s="200"/>
      <c r="J21" s="200" t="s">
        <v>1386</v>
      </c>
      <c r="K21" s="200"/>
      <c r="L21" s="200"/>
      <c r="M21" s="305"/>
    </row>
    <row r="22" spans="1:15" s="78" customFormat="1" ht="12.4" customHeight="1">
      <c r="A22" s="647"/>
      <c r="B22" s="223" t="s">
        <v>1391</v>
      </c>
      <c r="C22" s="200"/>
      <c r="D22" s="200"/>
      <c r="E22" s="200"/>
      <c r="F22" s="200"/>
      <c r="G22" s="200"/>
      <c r="H22" s="200"/>
      <c r="I22" s="200" t="s">
        <v>1386</v>
      </c>
      <c r="J22" s="200"/>
      <c r="K22" s="200"/>
      <c r="L22" s="200"/>
      <c r="M22" s="305"/>
    </row>
    <row r="23" spans="1:15" s="78" customFormat="1" ht="12.75">
      <c r="A23" s="200" t="s">
        <v>1392</v>
      </c>
      <c r="B23" s="223" t="s">
        <v>1393</v>
      </c>
      <c r="C23" s="200"/>
      <c r="D23" s="200"/>
      <c r="E23" s="200"/>
      <c r="F23" s="200"/>
      <c r="G23" s="200"/>
      <c r="H23" s="200"/>
      <c r="I23" s="200"/>
      <c r="J23" s="200"/>
      <c r="K23" s="200"/>
      <c r="L23" s="200" t="s">
        <v>1386</v>
      </c>
      <c r="M23" s="305"/>
    </row>
    <row r="24" spans="1:15" s="78" customFormat="1" ht="12.75">
      <c r="A24" s="647" t="s">
        <v>1394</v>
      </c>
      <c r="B24" s="223" t="s">
        <v>1395</v>
      </c>
      <c r="C24" s="200"/>
      <c r="D24" s="200"/>
      <c r="E24" s="200"/>
      <c r="F24" s="200"/>
      <c r="G24" s="200"/>
      <c r="H24" s="200"/>
      <c r="I24" s="200"/>
      <c r="J24" s="200"/>
      <c r="K24" s="200"/>
      <c r="L24" s="200" t="s">
        <v>1386</v>
      </c>
      <c r="M24" s="305"/>
    </row>
    <row r="25" spans="1:15" s="78" customFormat="1" ht="12.75">
      <c r="A25" s="647"/>
      <c r="B25" s="223" t="s">
        <v>1396</v>
      </c>
      <c r="C25" s="200"/>
      <c r="D25" s="200"/>
      <c r="E25" s="200"/>
      <c r="F25" s="200"/>
      <c r="G25" s="200"/>
      <c r="H25" s="200"/>
      <c r="I25" s="200"/>
      <c r="J25" s="200"/>
      <c r="K25" s="200"/>
      <c r="L25" s="200" t="s">
        <v>1386</v>
      </c>
      <c r="M25" s="305"/>
    </row>
    <row r="26" spans="1:15" s="78" customFormat="1" ht="12.75">
      <c r="A26" s="647" t="s">
        <v>1397</v>
      </c>
      <c r="B26" s="223" t="s">
        <v>1398</v>
      </c>
      <c r="C26" s="200"/>
      <c r="D26" s="200"/>
      <c r="E26" s="200"/>
      <c r="F26" s="200"/>
      <c r="G26" s="200"/>
      <c r="H26" s="200"/>
      <c r="I26" s="200"/>
      <c r="J26" s="200"/>
      <c r="K26" s="200"/>
      <c r="L26" s="200" t="s">
        <v>1386</v>
      </c>
      <c r="M26" s="305"/>
    </row>
    <row r="27" spans="1:15" s="78" customFormat="1" ht="12.75">
      <c r="A27" s="647"/>
      <c r="B27" s="223" t="s">
        <v>1399</v>
      </c>
      <c r="C27" s="200"/>
      <c r="D27" s="200"/>
      <c r="E27" s="200"/>
      <c r="F27" s="200"/>
      <c r="G27" s="200"/>
      <c r="H27" s="200"/>
      <c r="I27" s="200"/>
      <c r="J27" s="200"/>
      <c r="K27" s="200" t="s">
        <v>1386</v>
      </c>
      <c r="L27" s="200"/>
      <c r="M27" s="305"/>
    </row>
    <row r="28" spans="1:15" s="78" customFormat="1" ht="12.4" customHeight="1">
      <c r="A28" s="647"/>
      <c r="B28" s="223" t="s">
        <v>1400</v>
      </c>
      <c r="C28" s="200"/>
      <c r="D28" s="200"/>
      <c r="E28" s="200"/>
      <c r="F28" s="200"/>
      <c r="G28" s="200"/>
      <c r="H28" s="200"/>
      <c r="I28" s="200"/>
      <c r="J28" s="200"/>
      <c r="K28" s="200"/>
      <c r="L28" s="200" t="s">
        <v>1386</v>
      </c>
      <c r="M28" s="305"/>
    </row>
    <row r="29" spans="1:15" s="12" customFormat="1" ht="25.5">
      <c r="A29" s="647" t="s">
        <v>271</v>
      </c>
      <c r="B29" s="223" t="s">
        <v>1401</v>
      </c>
      <c r="C29" s="200"/>
      <c r="D29" s="200"/>
      <c r="E29" s="200"/>
      <c r="F29" s="200"/>
      <c r="G29" s="200"/>
      <c r="H29" s="200"/>
      <c r="I29" s="200"/>
      <c r="J29" s="200"/>
      <c r="K29" s="200" t="s">
        <v>1386</v>
      </c>
      <c r="L29" s="200"/>
      <c r="M29" s="305"/>
      <c r="O29" s="78"/>
    </row>
    <row r="30" spans="1:15" s="12" customFormat="1" ht="25.5">
      <c r="A30" s="647"/>
      <c r="B30" s="223" t="s">
        <v>1402</v>
      </c>
      <c r="C30" s="200" t="s">
        <v>1386</v>
      </c>
      <c r="D30" s="200"/>
      <c r="E30" s="200" t="s">
        <v>1386</v>
      </c>
      <c r="F30" s="200"/>
      <c r="G30" s="200"/>
      <c r="H30" s="200"/>
      <c r="I30" s="200"/>
      <c r="J30" s="200"/>
      <c r="K30" s="200"/>
      <c r="L30" s="200"/>
      <c r="M30" s="305"/>
      <c r="O30" s="78"/>
    </row>
    <row r="31" spans="1:15" s="12" customFormat="1" ht="96">
      <c r="A31" s="647"/>
      <c r="B31" s="223" t="s">
        <v>1403</v>
      </c>
      <c r="C31" s="200" t="s">
        <v>1386</v>
      </c>
      <c r="D31" s="200"/>
      <c r="E31" s="200"/>
      <c r="F31" s="200"/>
      <c r="G31" s="200"/>
      <c r="H31" s="200"/>
      <c r="I31" s="200"/>
      <c r="J31" s="200"/>
      <c r="K31" s="200"/>
      <c r="L31" s="200"/>
      <c r="M31" s="487" t="s">
        <v>1404</v>
      </c>
      <c r="O31" s="78"/>
    </row>
    <row r="32" spans="1:15" s="12" customFormat="1" ht="12.75">
      <c r="A32" s="647"/>
      <c r="B32" s="223" t="s">
        <v>1405</v>
      </c>
      <c r="C32" s="200"/>
      <c r="D32" s="200"/>
      <c r="E32" s="200"/>
      <c r="F32" s="200"/>
      <c r="G32" s="200"/>
      <c r="H32" s="200"/>
      <c r="I32" s="200"/>
      <c r="J32" s="200"/>
      <c r="K32" s="200" t="s">
        <v>1386</v>
      </c>
      <c r="L32" s="200"/>
      <c r="M32" s="305"/>
      <c r="O32" s="78"/>
    </row>
    <row r="33" spans="1:15" s="12" customFormat="1" ht="12.75">
      <c r="A33" s="647"/>
      <c r="B33" s="223" t="s">
        <v>1406</v>
      </c>
      <c r="C33" s="200"/>
      <c r="D33" s="200"/>
      <c r="E33" s="200"/>
      <c r="F33" s="200"/>
      <c r="G33" s="200"/>
      <c r="H33" s="200" t="s">
        <v>1386</v>
      </c>
      <c r="I33" s="200"/>
      <c r="J33" s="200"/>
      <c r="K33" s="200" t="s">
        <v>1386</v>
      </c>
      <c r="L33" s="200"/>
      <c r="M33" s="305"/>
      <c r="O33" s="78"/>
    </row>
    <row r="34" spans="1:15" s="12" customFormat="1" ht="12.75">
      <c r="A34" s="647"/>
      <c r="B34" s="223" t="s">
        <v>1407</v>
      </c>
      <c r="C34" s="200"/>
      <c r="D34" s="200"/>
      <c r="E34" s="200"/>
      <c r="F34" s="200"/>
      <c r="G34" s="200"/>
      <c r="H34" s="200"/>
      <c r="I34" s="200"/>
      <c r="J34" s="200"/>
      <c r="K34" s="200"/>
      <c r="L34" s="200" t="s">
        <v>1386</v>
      </c>
      <c r="M34" s="305"/>
      <c r="O34" s="78"/>
    </row>
    <row r="35" spans="1:15" s="12" customFormat="1" ht="25.15" customHeight="1">
      <c r="A35" s="647"/>
      <c r="B35" s="223" t="s">
        <v>1408</v>
      </c>
      <c r="C35" s="200" t="s">
        <v>1386</v>
      </c>
      <c r="D35" s="200"/>
      <c r="E35" s="200"/>
      <c r="F35" s="200"/>
      <c r="G35" s="200"/>
      <c r="H35" s="200"/>
      <c r="I35" s="200"/>
      <c r="J35" s="200"/>
      <c r="K35" s="200"/>
      <c r="L35" s="200"/>
      <c r="M35" s="305"/>
      <c r="O35" s="81"/>
    </row>
    <row r="36" spans="1:15" s="12" customFormat="1" ht="25.5">
      <c r="A36" s="200" t="s">
        <v>791</v>
      </c>
      <c r="B36" s="223" t="s">
        <v>1409</v>
      </c>
      <c r="C36" s="200"/>
      <c r="D36" s="200"/>
      <c r="E36" s="200"/>
      <c r="F36" s="200"/>
      <c r="G36" s="200"/>
      <c r="H36" s="200" t="s">
        <v>1386</v>
      </c>
      <c r="I36" s="200"/>
      <c r="J36" s="200"/>
      <c r="K36" s="200"/>
      <c r="L36" s="200"/>
      <c r="M36" s="305"/>
      <c r="O36" s="78"/>
    </row>
    <row r="37" spans="1:15" s="12" customFormat="1" ht="25.15" customHeight="1">
      <c r="A37" s="200" t="s">
        <v>1410</v>
      </c>
      <c r="B37" s="223" t="s">
        <v>1411</v>
      </c>
      <c r="C37" s="200"/>
      <c r="D37" s="200"/>
      <c r="E37" s="200"/>
      <c r="F37" s="200"/>
      <c r="G37" s="200"/>
      <c r="H37" s="200"/>
      <c r="I37" s="200"/>
      <c r="J37" s="200"/>
      <c r="K37" s="200"/>
      <c r="L37" s="200" t="s">
        <v>1386</v>
      </c>
      <c r="M37" s="305"/>
      <c r="O37" s="78"/>
    </row>
    <row r="38" spans="1:15" s="12" customFormat="1" ht="12.75">
      <c r="A38" s="200" t="s">
        <v>795</v>
      </c>
      <c r="B38" s="223" t="s">
        <v>1412</v>
      </c>
      <c r="C38" s="200"/>
      <c r="D38" s="200"/>
      <c r="E38" s="200"/>
      <c r="F38" s="200"/>
      <c r="G38" s="200"/>
      <c r="H38" s="200"/>
      <c r="I38" s="200"/>
      <c r="J38" s="200"/>
      <c r="K38" s="200" t="s">
        <v>1386</v>
      </c>
      <c r="L38" s="200"/>
      <c r="M38" s="305"/>
      <c r="O38" s="78"/>
    </row>
    <row r="39" spans="1:15" s="12" customFormat="1" ht="25.5">
      <c r="A39" s="200" t="s">
        <v>792</v>
      </c>
      <c r="B39" s="223" t="s">
        <v>1413</v>
      </c>
      <c r="C39" s="200"/>
      <c r="D39" s="200" t="s">
        <v>1386</v>
      </c>
      <c r="E39" s="200"/>
      <c r="F39" s="200"/>
      <c r="G39" s="200"/>
      <c r="H39" s="200"/>
      <c r="I39" s="200"/>
      <c r="J39" s="200"/>
      <c r="K39" s="200"/>
      <c r="L39" s="200"/>
      <c r="M39" s="305"/>
      <c r="O39" s="78"/>
    </row>
    <row r="40" spans="1:15" s="12" customFormat="1" ht="25.5">
      <c r="A40" s="647" t="s">
        <v>796</v>
      </c>
      <c r="B40" s="223" t="s">
        <v>1414</v>
      </c>
      <c r="C40" s="200"/>
      <c r="D40" s="200"/>
      <c r="E40" s="200"/>
      <c r="F40" s="200"/>
      <c r="G40" s="200"/>
      <c r="H40" s="200" t="s">
        <v>1386</v>
      </c>
      <c r="I40" s="200"/>
      <c r="J40" s="200"/>
      <c r="K40" s="200"/>
      <c r="L40" s="200"/>
      <c r="M40" s="305"/>
      <c r="O40" s="78"/>
    </row>
    <row r="41" spans="1:15" s="12" customFormat="1" ht="25.5">
      <c r="A41" s="647"/>
      <c r="B41" s="223" t="s">
        <v>1415</v>
      </c>
      <c r="C41" s="200" t="s">
        <v>1386</v>
      </c>
      <c r="D41" s="200"/>
      <c r="E41" s="200"/>
      <c r="F41" s="200"/>
      <c r="G41" s="200"/>
      <c r="H41" s="200"/>
      <c r="I41" s="200"/>
      <c r="J41" s="200"/>
      <c r="K41" s="200"/>
      <c r="L41" s="200"/>
      <c r="M41" s="305"/>
      <c r="O41" s="78"/>
    </row>
    <row r="42" spans="1:15" s="12" customFormat="1" ht="12.75">
      <c r="A42" s="647"/>
      <c r="B42" s="223" t="s">
        <v>1416</v>
      </c>
      <c r="C42" s="200"/>
      <c r="D42" s="200"/>
      <c r="E42" s="200"/>
      <c r="F42" s="200"/>
      <c r="G42" s="200"/>
      <c r="H42" s="200"/>
      <c r="I42" s="200"/>
      <c r="J42" s="200"/>
      <c r="K42" s="200" t="s">
        <v>1386</v>
      </c>
      <c r="L42" s="200"/>
      <c r="M42" s="305"/>
      <c r="O42" s="78"/>
    </row>
    <row r="43" spans="1:15" s="12" customFormat="1" ht="25.5">
      <c r="A43" s="647"/>
      <c r="B43" s="223" t="s">
        <v>1417</v>
      </c>
      <c r="C43" s="200"/>
      <c r="D43" s="200"/>
      <c r="E43" s="200"/>
      <c r="F43" s="200"/>
      <c r="G43" s="200"/>
      <c r="H43" s="200"/>
      <c r="I43" s="200"/>
      <c r="J43" s="200"/>
      <c r="K43" s="200"/>
      <c r="L43" s="200" t="s">
        <v>1386</v>
      </c>
      <c r="M43" s="305"/>
      <c r="O43" s="78"/>
    </row>
    <row r="44" spans="1:15" s="78" customFormat="1" ht="25.5">
      <c r="A44" s="647"/>
      <c r="B44" s="223" t="s">
        <v>1418</v>
      </c>
      <c r="C44" s="200"/>
      <c r="D44" s="200"/>
      <c r="E44" s="200"/>
      <c r="F44" s="200"/>
      <c r="G44" s="200"/>
      <c r="H44" s="200"/>
      <c r="I44" s="200"/>
      <c r="J44" s="200"/>
      <c r="K44" s="200" t="s">
        <v>1386</v>
      </c>
      <c r="L44" s="200"/>
      <c r="M44" s="305"/>
    </row>
    <row r="45" spans="1:15" s="78" customFormat="1" ht="12.75">
      <c r="A45" s="647" t="s">
        <v>790</v>
      </c>
      <c r="B45" s="223" t="s">
        <v>1419</v>
      </c>
      <c r="C45" s="200"/>
      <c r="D45" s="200"/>
      <c r="E45" s="200"/>
      <c r="F45" s="200"/>
      <c r="G45" s="200"/>
      <c r="H45" s="200"/>
      <c r="I45" s="200"/>
      <c r="J45" s="200"/>
      <c r="K45" s="200"/>
      <c r="L45" s="200" t="s">
        <v>1386</v>
      </c>
      <c r="M45" s="305"/>
    </row>
    <row r="46" spans="1:15" s="78" customFormat="1" ht="12.75">
      <c r="A46" s="647"/>
      <c r="B46" s="223" t="s">
        <v>1420</v>
      </c>
      <c r="C46" s="200"/>
      <c r="D46" s="200"/>
      <c r="E46" s="200"/>
      <c r="F46" s="200"/>
      <c r="G46" s="200"/>
      <c r="H46" s="200"/>
      <c r="I46" s="200"/>
      <c r="J46" s="200"/>
      <c r="K46" s="200"/>
      <c r="L46" s="200" t="s">
        <v>1386</v>
      </c>
      <c r="M46" s="305"/>
    </row>
    <row r="47" spans="1:15" s="78" customFormat="1" ht="12.75">
      <c r="A47" s="647" t="s">
        <v>1421</v>
      </c>
      <c r="B47" s="222" t="s">
        <v>1422</v>
      </c>
      <c r="C47" s="305"/>
      <c r="D47" s="305"/>
      <c r="E47" s="305"/>
      <c r="F47" s="305"/>
      <c r="G47" s="305"/>
      <c r="H47" s="305"/>
      <c r="I47" s="305"/>
      <c r="J47" s="305"/>
      <c r="K47" s="305"/>
      <c r="L47" s="305" t="s">
        <v>1386</v>
      </c>
      <c r="M47" s="305"/>
    </row>
    <row r="48" spans="1:15" s="78" customFormat="1" ht="12.75">
      <c r="A48" s="647"/>
      <c r="B48" s="223" t="s">
        <v>1423</v>
      </c>
      <c r="C48" s="200"/>
      <c r="D48" s="200"/>
      <c r="E48" s="200"/>
      <c r="F48" s="200"/>
      <c r="G48" s="200"/>
      <c r="H48" s="200"/>
      <c r="I48" s="200"/>
      <c r="J48" s="200"/>
      <c r="K48" s="200"/>
      <c r="L48" s="200" t="s">
        <v>1386</v>
      </c>
      <c r="M48" s="305"/>
    </row>
    <row r="49" spans="1:13" s="78" customFormat="1" ht="12.75">
      <c r="A49" s="647" t="s">
        <v>798</v>
      </c>
      <c r="B49" s="223" t="s">
        <v>1424</v>
      </c>
      <c r="C49" s="200" t="s">
        <v>1386</v>
      </c>
      <c r="D49" s="200"/>
      <c r="E49" s="200"/>
      <c r="F49" s="200"/>
      <c r="G49" s="200"/>
      <c r="H49" s="200"/>
      <c r="I49" s="200"/>
      <c r="J49" s="200"/>
      <c r="K49" s="200"/>
      <c r="L49" s="200"/>
      <c r="M49" s="305"/>
    </row>
    <row r="50" spans="1:13" s="78" customFormat="1" ht="25.5">
      <c r="A50" s="647"/>
      <c r="B50" s="223" t="s">
        <v>1425</v>
      </c>
      <c r="C50" s="200" t="s">
        <v>1386</v>
      </c>
      <c r="D50" s="200"/>
      <c r="E50" s="200"/>
      <c r="F50" s="200"/>
      <c r="G50" s="200"/>
      <c r="H50" s="200"/>
      <c r="I50" s="200"/>
      <c r="J50" s="200"/>
      <c r="K50" s="200"/>
      <c r="L50" s="200"/>
      <c r="M50" s="305"/>
    </row>
    <row r="51" spans="1:13" s="78" customFormat="1" ht="12.4" customHeight="1">
      <c r="A51" s="647"/>
      <c r="B51" s="223" t="s">
        <v>1426</v>
      </c>
      <c r="C51" s="200" t="s">
        <v>1386</v>
      </c>
      <c r="D51" s="200"/>
      <c r="E51" s="200"/>
      <c r="F51" s="200"/>
      <c r="G51" s="200"/>
      <c r="H51" s="200"/>
      <c r="I51" s="200"/>
      <c r="J51" s="200"/>
      <c r="K51" s="200"/>
      <c r="L51" s="200"/>
      <c r="M51" s="305"/>
    </row>
    <row r="52" spans="1:13" s="78" customFormat="1" ht="14.65" customHeight="1">
      <c r="A52" s="647" t="s">
        <v>793</v>
      </c>
      <c r="B52" s="223" t="s">
        <v>1427</v>
      </c>
      <c r="C52" s="200" t="s">
        <v>1386</v>
      </c>
      <c r="D52" s="200"/>
      <c r="E52" s="200"/>
      <c r="F52" s="200"/>
      <c r="G52" s="200"/>
      <c r="H52" s="200"/>
      <c r="I52" s="200"/>
      <c r="J52" s="200"/>
      <c r="K52" s="200"/>
      <c r="L52" s="200"/>
      <c r="M52" s="305"/>
    </row>
    <row r="53" spans="1:13" s="78" customFormat="1" ht="25.5">
      <c r="A53" s="647"/>
      <c r="B53" s="223" t="s">
        <v>1428</v>
      </c>
      <c r="C53" s="200" t="s">
        <v>1386</v>
      </c>
      <c r="D53" s="200"/>
      <c r="E53" s="200" t="s">
        <v>1386</v>
      </c>
      <c r="F53" s="200"/>
      <c r="G53" s="200"/>
      <c r="H53" s="200"/>
      <c r="I53" s="200"/>
      <c r="J53" s="200"/>
      <c r="K53" s="200"/>
      <c r="L53" s="200"/>
      <c r="M53" s="305"/>
    </row>
    <row r="54" spans="1:13" s="78" customFormat="1" ht="25.5">
      <c r="A54" s="647"/>
      <c r="B54" s="223" t="s">
        <v>1429</v>
      </c>
      <c r="C54" s="200" t="s">
        <v>1386</v>
      </c>
      <c r="D54" s="200"/>
      <c r="E54" s="200" t="s">
        <v>1386</v>
      </c>
      <c r="F54" s="200"/>
      <c r="G54" s="200"/>
      <c r="H54" s="200"/>
      <c r="I54" s="200"/>
      <c r="J54" s="200"/>
      <c r="K54" s="200"/>
      <c r="L54" s="200"/>
      <c r="M54" s="305"/>
    </row>
    <row r="55" spans="1:13" s="78" customFormat="1" ht="25.5">
      <c r="A55" s="647"/>
      <c r="B55" s="223" t="s">
        <v>1430</v>
      </c>
      <c r="C55" s="200"/>
      <c r="D55" s="200"/>
      <c r="E55" s="200" t="s">
        <v>1386</v>
      </c>
      <c r="F55" s="200"/>
      <c r="G55" s="200"/>
      <c r="H55" s="200"/>
      <c r="I55" s="200"/>
      <c r="J55" s="200"/>
      <c r="K55" s="200"/>
      <c r="L55" s="200"/>
      <c r="M55" s="305"/>
    </row>
    <row r="56" spans="1:13" s="78" customFormat="1" ht="25.5">
      <c r="A56" s="647"/>
      <c r="B56" s="223" t="s">
        <v>1431</v>
      </c>
      <c r="C56" s="200"/>
      <c r="D56" s="200"/>
      <c r="E56" s="200" t="s">
        <v>1386</v>
      </c>
      <c r="F56" s="200"/>
      <c r="G56" s="200"/>
      <c r="H56" s="200"/>
      <c r="I56" s="200"/>
      <c r="J56" s="200"/>
      <c r="K56" s="200"/>
      <c r="L56" s="200"/>
      <c r="M56" s="305"/>
    </row>
    <row r="57" spans="1:13" s="78" customFormat="1" ht="12.75">
      <c r="A57" s="647" t="s">
        <v>797</v>
      </c>
      <c r="B57" s="223" t="s">
        <v>1432</v>
      </c>
      <c r="C57" s="200"/>
      <c r="D57" s="200"/>
      <c r="E57" s="200"/>
      <c r="F57" s="200"/>
      <c r="G57" s="200"/>
      <c r="H57" s="200"/>
      <c r="I57" s="200"/>
      <c r="J57" s="200"/>
      <c r="K57" s="200"/>
      <c r="L57" s="200" t="s">
        <v>1386</v>
      </c>
      <c r="M57" s="305"/>
    </row>
    <row r="58" spans="1:13" s="78" customFormat="1" ht="12.75">
      <c r="A58" s="647"/>
      <c r="B58" s="223" t="s">
        <v>1433</v>
      </c>
      <c r="C58" s="200"/>
      <c r="D58" s="200"/>
      <c r="E58" s="200"/>
      <c r="F58" s="200"/>
      <c r="G58" s="200"/>
      <c r="H58" s="200"/>
      <c r="I58" s="200"/>
      <c r="J58" s="200"/>
      <c r="K58" s="200"/>
      <c r="L58" s="200" t="s">
        <v>1386</v>
      </c>
      <c r="M58" s="305"/>
    </row>
    <row r="59" spans="1:13" s="78" customFormat="1" ht="12.75">
      <c r="A59" s="647"/>
      <c r="B59" s="223" t="s">
        <v>1434</v>
      </c>
      <c r="C59" s="200"/>
      <c r="D59" s="200"/>
      <c r="E59" s="200"/>
      <c r="F59" s="200"/>
      <c r="G59" s="200"/>
      <c r="H59" s="200"/>
      <c r="I59" s="200"/>
      <c r="J59" s="200"/>
      <c r="K59" s="200"/>
      <c r="L59" s="200"/>
      <c r="M59" s="305" t="s">
        <v>1435</v>
      </c>
    </row>
    <row r="60" spans="1:13" s="78" customFormat="1" ht="12.75">
      <c r="A60" s="647"/>
      <c r="B60" s="223" t="s">
        <v>1436</v>
      </c>
      <c r="C60" s="200"/>
      <c r="D60" s="200"/>
      <c r="E60" s="200"/>
      <c r="F60" s="200"/>
      <c r="G60" s="200"/>
      <c r="H60" s="200"/>
      <c r="I60" s="200"/>
      <c r="J60" s="200"/>
      <c r="K60" s="200" t="s">
        <v>1386</v>
      </c>
      <c r="L60" s="200"/>
      <c r="M60" s="305"/>
    </row>
    <row r="61" spans="1:13" s="78" customFormat="1" ht="63.75">
      <c r="A61" s="647"/>
      <c r="B61" s="223" t="s">
        <v>1437</v>
      </c>
      <c r="C61" s="200"/>
      <c r="D61" s="200"/>
      <c r="E61" s="200"/>
      <c r="F61" s="200"/>
      <c r="G61" s="200"/>
      <c r="H61" s="200"/>
      <c r="I61" s="200"/>
      <c r="J61" s="200"/>
      <c r="K61" s="200"/>
      <c r="L61" s="200"/>
      <c r="M61" s="305" t="s">
        <v>1438</v>
      </c>
    </row>
    <row r="62" spans="1:13" s="78" customFormat="1" ht="12.75">
      <c r="A62" s="647"/>
      <c r="B62" s="223" t="s">
        <v>1439</v>
      </c>
      <c r="C62" s="200" t="s">
        <v>1386</v>
      </c>
      <c r="D62" s="200"/>
      <c r="E62" s="200"/>
      <c r="F62" s="200"/>
      <c r="G62" s="200"/>
      <c r="H62" s="200"/>
      <c r="I62" s="200"/>
      <c r="J62" s="200"/>
      <c r="K62" s="200"/>
      <c r="L62" s="200"/>
      <c r="M62" s="488"/>
    </row>
    <row r="63" spans="1:13" s="78" customFormat="1" ht="25.5">
      <c r="A63" s="647"/>
      <c r="B63" s="223" t="s">
        <v>1440</v>
      </c>
      <c r="C63" s="200"/>
      <c r="D63" s="200" t="s">
        <v>1386</v>
      </c>
      <c r="E63" s="200"/>
      <c r="F63" s="200"/>
      <c r="G63" s="200"/>
      <c r="H63" s="200"/>
      <c r="I63" s="200"/>
      <c r="J63" s="200"/>
      <c r="K63" s="200"/>
      <c r="L63" s="200"/>
      <c r="M63" s="305"/>
    </row>
    <row r="64" spans="1:13" s="78" customFormat="1" ht="12.75">
      <c r="A64" s="647"/>
      <c r="B64" s="223" t="s">
        <v>1441</v>
      </c>
      <c r="C64" s="200"/>
      <c r="D64" s="200"/>
      <c r="E64" s="200" t="s">
        <v>1386</v>
      </c>
      <c r="F64" s="200"/>
      <c r="G64" s="200"/>
      <c r="H64" s="200"/>
      <c r="I64" s="200"/>
      <c r="J64" s="200"/>
      <c r="K64" s="200"/>
      <c r="L64" s="200"/>
      <c r="M64" s="489"/>
    </row>
    <row r="65" spans="1:13" s="78" customFormat="1" ht="51">
      <c r="A65" s="647"/>
      <c r="B65" s="223" t="s">
        <v>1442</v>
      </c>
      <c r="C65" s="200"/>
      <c r="D65" s="200"/>
      <c r="E65" s="200"/>
      <c r="F65" s="200"/>
      <c r="G65" s="200"/>
      <c r="H65" s="200"/>
      <c r="I65" s="200"/>
      <c r="J65" s="200"/>
      <c r="K65" s="200"/>
      <c r="L65" s="200"/>
      <c r="M65" s="305" t="s">
        <v>1443</v>
      </c>
    </row>
    <row r="66" spans="1:13" s="78" customFormat="1" ht="25.5">
      <c r="A66" s="647"/>
      <c r="B66" s="222" t="s">
        <v>1444</v>
      </c>
      <c r="C66" s="200"/>
      <c r="D66" s="200" t="s">
        <v>1386</v>
      </c>
      <c r="E66" s="200"/>
      <c r="F66" s="200"/>
      <c r="G66" s="200"/>
      <c r="H66" s="200"/>
      <c r="I66" s="200"/>
      <c r="J66" s="200"/>
      <c r="K66" s="200"/>
      <c r="L66" s="200"/>
      <c r="M66" s="488"/>
    </row>
    <row r="67" spans="1:13" s="78" customFormat="1" ht="12.75">
      <c r="A67" s="647"/>
      <c r="B67" s="223" t="s">
        <v>1445</v>
      </c>
      <c r="C67" s="200" t="s">
        <v>1386</v>
      </c>
      <c r="D67" s="200"/>
      <c r="E67" s="200"/>
      <c r="F67" s="200"/>
      <c r="G67" s="200"/>
      <c r="H67" s="200"/>
      <c r="I67" s="200"/>
      <c r="J67" s="200"/>
      <c r="K67" s="200"/>
      <c r="L67" s="200"/>
      <c r="M67" s="305"/>
    </row>
    <row r="68" spans="1:13" s="78" customFormat="1" ht="12.75">
      <c r="A68" s="647"/>
      <c r="B68" s="223" t="s">
        <v>1446</v>
      </c>
      <c r="C68" s="200" t="s">
        <v>1386</v>
      </c>
      <c r="D68" s="200"/>
      <c r="E68" s="200"/>
      <c r="F68" s="200"/>
      <c r="G68" s="200"/>
      <c r="H68" s="200"/>
      <c r="I68" s="200"/>
      <c r="J68" s="200"/>
      <c r="K68" s="200"/>
      <c r="L68" s="200"/>
      <c r="M68" s="305"/>
    </row>
    <row r="69" spans="1:13" s="78" customFormat="1" ht="26.65" customHeight="1">
      <c r="A69" s="647" t="s">
        <v>256</v>
      </c>
      <c r="B69" s="223" t="s">
        <v>1447</v>
      </c>
      <c r="C69" s="200"/>
      <c r="D69" s="200"/>
      <c r="E69" s="200"/>
      <c r="F69" s="200"/>
      <c r="G69" s="200"/>
      <c r="H69" s="200"/>
      <c r="I69" s="200"/>
      <c r="J69" s="200"/>
      <c r="K69" s="200" t="s">
        <v>1386</v>
      </c>
      <c r="L69" s="200"/>
      <c r="M69" s="305"/>
    </row>
    <row r="70" spans="1:13" s="78" customFormat="1" ht="30.4" customHeight="1">
      <c r="A70" s="647"/>
      <c r="B70" s="223" t="s">
        <v>1448</v>
      </c>
      <c r="C70" s="200"/>
      <c r="D70" s="200"/>
      <c r="E70" s="200"/>
      <c r="F70" s="200"/>
      <c r="G70" s="200"/>
      <c r="H70" s="200"/>
      <c r="I70" s="200"/>
      <c r="J70" s="200"/>
      <c r="K70" s="200"/>
      <c r="L70" s="200" t="s">
        <v>1386</v>
      </c>
      <c r="M70" s="305"/>
    </row>
    <row r="71" spans="1:13" s="78" customFormat="1" ht="12.4" customHeight="1">
      <c r="A71" s="647"/>
      <c r="B71" s="223" t="s">
        <v>1449</v>
      </c>
      <c r="C71" s="200"/>
      <c r="D71" s="200"/>
      <c r="E71" s="200"/>
      <c r="F71" s="200"/>
      <c r="G71" s="200"/>
      <c r="H71" s="200"/>
      <c r="I71" s="200"/>
      <c r="J71" s="200"/>
      <c r="K71" s="200" t="s">
        <v>1386</v>
      </c>
      <c r="L71" s="200"/>
      <c r="M71" s="305"/>
    </row>
    <row r="72" spans="1:13" s="78" customFormat="1" ht="12.75">
      <c r="A72" s="647"/>
      <c r="B72" s="223" t="s">
        <v>1450</v>
      </c>
      <c r="C72" s="200"/>
      <c r="D72" s="200"/>
      <c r="E72" s="200"/>
      <c r="F72" s="200"/>
      <c r="G72" s="200"/>
      <c r="H72" s="200"/>
      <c r="I72" s="200"/>
      <c r="J72" s="200"/>
      <c r="K72" s="200" t="s">
        <v>1386</v>
      </c>
      <c r="L72" s="200"/>
      <c r="M72" s="305"/>
    </row>
    <row r="73" spans="1:13" s="78" customFormat="1" ht="12.75">
      <c r="A73" s="647"/>
      <c r="B73" s="223" t="s">
        <v>1451</v>
      </c>
      <c r="C73" s="200"/>
      <c r="D73" s="200"/>
      <c r="E73" s="200"/>
      <c r="F73" s="200"/>
      <c r="G73" s="200"/>
      <c r="H73" s="200"/>
      <c r="I73" s="200"/>
      <c r="J73" s="200"/>
      <c r="K73" s="200"/>
      <c r="L73" s="200" t="s">
        <v>1386</v>
      </c>
      <c r="M73" s="305"/>
    </row>
    <row r="74" spans="1:13" s="78" customFormat="1" ht="12.75">
      <c r="A74" s="647"/>
      <c r="B74" s="223" t="s">
        <v>1452</v>
      </c>
      <c r="C74" s="200"/>
      <c r="D74" s="200"/>
      <c r="E74" s="200"/>
      <c r="F74" s="200"/>
      <c r="G74" s="200"/>
      <c r="H74" s="200"/>
      <c r="I74" s="200"/>
      <c r="J74" s="200"/>
      <c r="K74" s="200"/>
      <c r="L74" s="200" t="s">
        <v>1386</v>
      </c>
      <c r="M74" s="305"/>
    </row>
    <row r="75" spans="1:13" s="78" customFormat="1" ht="12.75">
      <c r="A75" s="647"/>
      <c r="B75" s="223" t="s">
        <v>1453</v>
      </c>
      <c r="C75" s="200"/>
      <c r="D75" s="200"/>
      <c r="E75" s="200"/>
      <c r="F75" s="200"/>
      <c r="G75" s="200"/>
      <c r="H75" s="200"/>
      <c r="I75" s="200"/>
      <c r="J75" s="200"/>
      <c r="K75" s="200"/>
      <c r="L75" s="200" t="s">
        <v>1386</v>
      </c>
      <c r="M75" s="305"/>
    </row>
    <row r="76" spans="1:13" s="78" customFormat="1" ht="12.75">
      <c r="A76" s="647"/>
      <c r="B76" s="223" t="s">
        <v>1454</v>
      </c>
      <c r="C76" s="200"/>
      <c r="D76" s="200"/>
      <c r="E76" s="200"/>
      <c r="F76" s="200"/>
      <c r="G76" s="200"/>
      <c r="H76" s="200"/>
      <c r="I76" s="200"/>
      <c r="J76" s="200"/>
      <c r="K76" s="200"/>
      <c r="L76" s="200" t="s">
        <v>1386</v>
      </c>
      <c r="M76" s="305"/>
    </row>
    <row r="77" spans="1:13" s="78" customFormat="1" ht="38.25">
      <c r="A77" s="647"/>
      <c r="B77" s="223" t="s">
        <v>1455</v>
      </c>
      <c r="C77" s="200"/>
      <c r="D77" s="200"/>
      <c r="E77" s="200"/>
      <c r="F77" s="200"/>
      <c r="G77" s="200"/>
      <c r="H77" s="200"/>
      <c r="I77" s="200"/>
      <c r="J77" s="200"/>
      <c r="K77" s="200"/>
      <c r="L77" s="200"/>
      <c r="M77" s="489" t="s">
        <v>1456</v>
      </c>
    </row>
    <row r="78" spans="1:13" s="78" customFormat="1" ht="12.75">
      <c r="A78" s="647"/>
      <c r="B78" s="223" t="s">
        <v>1457</v>
      </c>
      <c r="C78" s="200"/>
      <c r="D78" s="200"/>
      <c r="E78" s="200"/>
      <c r="F78" s="200"/>
      <c r="G78" s="200"/>
      <c r="H78" s="200"/>
      <c r="I78" s="200"/>
      <c r="J78" s="200"/>
      <c r="K78" s="200"/>
      <c r="L78" s="200" t="s">
        <v>1386</v>
      </c>
      <c r="M78" s="305"/>
    </row>
    <row r="79" spans="1:13" s="78" customFormat="1" ht="12.75">
      <c r="A79" s="647"/>
      <c r="B79" s="223" t="s">
        <v>1458</v>
      </c>
      <c r="C79" s="200"/>
      <c r="D79" s="200"/>
      <c r="E79" s="200"/>
      <c r="F79" s="200"/>
      <c r="G79" s="200"/>
      <c r="H79" s="200"/>
      <c r="I79" s="200"/>
      <c r="J79" s="200"/>
      <c r="K79" s="200"/>
      <c r="L79" s="200" t="s">
        <v>1386</v>
      </c>
      <c r="M79" s="305"/>
    </row>
    <row r="80" spans="1:13" s="78" customFormat="1" ht="12.75">
      <c r="A80" s="647"/>
      <c r="B80" s="222" t="s">
        <v>1459</v>
      </c>
      <c r="C80" s="200"/>
      <c r="D80" s="200"/>
      <c r="E80" s="200"/>
      <c r="F80" s="200"/>
      <c r="G80" s="200"/>
      <c r="H80" s="200"/>
      <c r="I80" s="200"/>
      <c r="J80" s="200"/>
      <c r="K80" s="200" t="s">
        <v>1386</v>
      </c>
      <c r="L80" s="200"/>
      <c r="M80" s="489"/>
    </row>
    <row r="81" spans="1:13" s="78" customFormat="1" ht="12.75">
      <c r="A81" s="647"/>
      <c r="B81" s="223" t="s">
        <v>1460</v>
      </c>
      <c r="C81" s="200"/>
      <c r="D81" s="200"/>
      <c r="E81" s="200"/>
      <c r="F81" s="200"/>
      <c r="G81" s="200"/>
      <c r="H81" s="200"/>
      <c r="I81" s="200"/>
      <c r="J81" s="200"/>
      <c r="K81" s="200"/>
      <c r="L81" s="200" t="s">
        <v>1386</v>
      </c>
      <c r="M81" s="305"/>
    </row>
    <row r="82" spans="1:13" s="78" customFormat="1" ht="12.75">
      <c r="A82" s="647"/>
      <c r="B82" s="223" t="s">
        <v>1461</v>
      </c>
      <c r="C82" s="200"/>
      <c r="D82" s="200"/>
      <c r="E82" s="200"/>
      <c r="F82" s="200"/>
      <c r="G82" s="200"/>
      <c r="H82" s="200"/>
      <c r="I82" s="200"/>
      <c r="J82" s="200"/>
      <c r="K82" s="200"/>
      <c r="L82" s="200" t="s">
        <v>1386</v>
      </c>
      <c r="M82" s="305"/>
    </row>
    <row r="83" spans="1:13" s="78" customFormat="1" ht="12.4" customHeight="1">
      <c r="A83" s="647"/>
      <c r="B83" s="223" t="s">
        <v>1462</v>
      </c>
      <c r="C83" s="200"/>
      <c r="D83" s="200"/>
      <c r="E83" s="200"/>
      <c r="F83" s="200"/>
      <c r="G83" s="200"/>
      <c r="H83" s="200"/>
      <c r="I83" s="200"/>
      <c r="J83" s="200" t="s">
        <v>1386</v>
      </c>
      <c r="K83" s="200"/>
      <c r="L83" s="200"/>
      <c r="M83" s="305"/>
    </row>
    <row r="84" spans="1:13" s="78" customFormat="1" ht="25.15" customHeight="1">
      <c r="A84" s="647"/>
      <c r="B84" s="223" t="s">
        <v>1463</v>
      </c>
      <c r="C84" s="200" t="s">
        <v>1386</v>
      </c>
      <c r="D84" s="200"/>
      <c r="E84" s="200"/>
      <c r="F84" s="200"/>
      <c r="G84" s="200"/>
      <c r="H84" s="200"/>
      <c r="I84" s="200"/>
      <c r="J84" s="200"/>
      <c r="K84" s="200"/>
      <c r="L84" s="200"/>
      <c r="M84" s="305"/>
    </row>
    <row r="85" spans="1:13" s="78" customFormat="1" ht="12.75">
      <c r="A85" s="647"/>
      <c r="B85" s="223" t="s">
        <v>1464</v>
      </c>
      <c r="C85" s="200"/>
      <c r="D85" s="200"/>
      <c r="E85" s="200"/>
      <c r="F85" s="200"/>
      <c r="G85" s="200"/>
      <c r="H85" s="200"/>
      <c r="I85" s="200"/>
      <c r="J85" s="200"/>
      <c r="K85" s="200"/>
      <c r="L85" s="200" t="s">
        <v>1386</v>
      </c>
      <c r="M85" s="305"/>
    </row>
    <row r="86" spans="1:13" s="78" customFormat="1" ht="12.75">
      <c r="A86" s="647"/>
      <c r="B86" s="223" t="s">
        <v>1465</v>
      </c>
      <c r="C86" s="200"/>
      <c r="D86" s="200"/>
      <c r="E86" s="200"/>
      <c r="F86" s="200" t="s">
        <v>1386</v>
      </c>
      <c r="G86" s="200"/>
      <c r="H86" s="200"/>
      <c r="I86" s="200"/>
      <c r="J86" s="488"/>
      <c r="K86" s="200"/>
      <c r="L86" s="200"/>
      <c r="M86" s="305"/>
    </row>
    <row r="87" spans="1:13" s="78" customFormat="1" ht="12.75">
      <c r="A87" s="647"/>
      <c r="B87" s="223" t="s">
        <v>1466</v>
      </c>
      <c r="C87" s="200"/>
      <c r="D87" s="200"/>
      <c r="E87" s="200"/>
      <c r="F87" s="200"/>
      <c r="G87" s="200"/>
      <c r="H87" s="200"/>
      <c r="I87" s="200"/>
      <c r="J87" s="488"/>
      <c r="K87" s="200"/>
      <c r="L87" s="200" t="s">
        <v>1386</v>
      </c>
      <c r="M87" s="305"/>
    </row>
    <row r="88" spans="1:13" s="78" customFormat="1" ht="12.75">
      <c r="A88" s="647"/>
      <c r="B88" s="223" t="s">
        <v>1467</v>
      </c>
      <c r="C88" s="200"/>
      <c r="D88" s="200"/>
      <c r="E88" s="200"/>
      <c r="F88" s="200"/>
      <c r="G88" s="200"/>
      <c r="H88" s="200"/>
      <c r="I88" s="200"/>
      <c r="J88" s="200"/>
      <c r="K88" s="200"/>
      <c r="L88" s="200" t="s">
        <v>1386</v>
      </c>
      <c r="M88" s="305"/>
    </row>
    <row r="89" spans="1:13" s="78" customFormat="1" ht="12.4" customHeight="1">
      <c r="A89" s="647"/>
      <c r="B89" s="223" t="s">
        <v>1468</v>
      </c>
      <c r="C89" s="200"/>
      <c r="D89" s="200"/>
      <c r="E89" s="200"/>
      <c r="F89" s="200"/>
      <c r="G89" s="200"/>
      <c r="H89" s="200"/>
      <c r="I89" s="200"/>
      <c r="J89" s="200"/>
      <c r="K89" s="200"/>
      <c r="L89" s="200" t="s">
        <v>1386</v>
      </c>
      <c r="M89" s="305"/>
    </row>
    <row r="90" spans="1:13" s="78" customFormat="1" ht="12.75">
      <c r="A90" s="647"/>
      <c r="B90" s="223" t="s">
        <v>1469</v>
      </c>
      <c r="C90" s="200"/>
      <c r="D90" s="200"/>
      <c r="E90" s="200"/>
      <c r="F90" s="200"/>
      <c r="G90" s="200"/>
      <c r="H90" s="200"/>
      <c r="I90" s="200"/>
      <c r="J90" s="200"/>
      <c r="K90" s="200"/>
      <c r="L90" s="200" t="s">
        <v>1386</v>
      </c>
      <c r="M90" s="305"/>
    </row>
    <row r="91" spans="1:13" s="78" customFormat="1" ht="12.75">
      <c r="A91" s="647"/>
      <c r="B91" s="223" t="s">
        <v>1470</v>
      </c>
      <c r="C91" s="200"/>
      <c r="D91" s="200"/>
      <c r="E91" s="200"/>
      <c r="F91" s="200"/>
      <c r="G91" s="200"/>
      <c r="H91" s="200"/>
      <c r="I91" s="200"/>
      <c r="J91" s="200"/>
      <c r="K91" s="200" t="s">
        <v>1386</v>
      </c>
      <c r="L91" s="200"/>
      <c r="M91" s="305"/>
    </row>
    <row r="92" spans="1:13" s="78" customFormat="1" ht="12.75">
      <c r="A92" s="647"/>
      <c r="B92" s="223" t="s">
        <v>1471</v>
      </c>
      <c r="C92" s="200" t="s">
        <v>1386</v>
      </c>
      <c r="D92" s="200"/>
      <c r="E92" s="200"/>
      <c r="F92" s="200"/>
      <c r="G92" s="200"/>
      <c r="H92" s="200"/>
      <c r="I92" s="200"/>
      <c r="J92" s="200"/>
      <c r="K92" s="200"/>
      <c r="L92" s="200"/>
      <c r="M92" s="305"/>
    </row>
    <row r="93" spans="1:13" s="78" customFormat="1" ht="25.5">
      <c r="A93" s="647"/>
      <c r="B93" s="223" t="s">
        <v>1472</v>
      </c>
      <c r="C93" s="200"/>
      <c r="D93" s="200"/>
      <c r="E93" s="200"/>
      <c r="F93" s="200"/>
      <c r="G93" s="200"/>
      <c r="H93" s="200"/>
      <c r="I93" s="200"/>
      <c r="J93" s="200"/>
      <c r="K93" s="200"/>
      <c r="L93" s="200" t="s">
        <v>1386</v>
      </c>
      <c r="M93" s="305"/>
    </row>
    <row r="94" spans="1:13" s="78" customFormat="1" ht="12.75">
      <c r="A94" s="647"/>
      <c r="B94" s="223" t="s">
        <v>1473</v>
      </c>
      <c r="C94" s="200"/>
      <c r="D94" s="200"/>
      <c r="E94" s="200"/>
      <c r="F94" s="200"/>
      <c r="G94" s="200"/>
      <c r="H94" s="200"/>
      <c r="I94" s="200"/>
      <c r="J94" s="200"/>
      <c r="K94" s="200"/>
      <c r="L94" s="200" t="s">
        <v>1386</v>
      </c>
      <c r="M94" s="305"/>
    </row>
    <row r="95" spans="1:13" s="78" customFormat="1" ht="12.75">
      <c r="A95" s="647"/>
      <c r="B95" s="223" t="s">
        <v>1474</v>
      </c>
      <c r="C95" s="200"/>
      <c r="D95" s="200"/>
      <c r="E95" s="200"/>
      <c r="F95" s="200"/>
      <c r="G95" s="200"/>
      <c r="H95" s="200"/>
      <c r="I95" s="200"/>
      <c r="J95" s="200"/>
      <c r="K95" s="200" t="s">
        <v>1386</v>
      </c>
      <c r="L95" s="200"/>
      <c r="M95" s="305"/>
    </row>
    <row r="96" spans="1:13" s="78" customFormat="1" ht="12.4" customHeight="1">
      <c r="A96" s="647"/>
      <c r="B96" s="223" t="s">
        <v>1475</v>
      </c>
      <c r="C96" s="200"/>
      <c r="D96" s="200"/>
      <c r="E96" s="200"/>
      <c r="F96" s="200"/>
      <c r="G96" s="200"/>
      <c r="H96" s="200"/>
      <c r="I96" s="200"/>
      <c r="J96" s="200"/>
      <c r="K96" s="200"/>
      <c r="L96" s="200" t="s">
        <v>1386</v>
      </c>
      <c r="M96" s="305"/>
    </row>
    <row r="97" spans="1:13" s="78" customFormat="1" ht="12.75">
      <c r="A97" s="647"/>
      <c r="B97" s="223" t="s">
        <v>1476</v>
      </c>
      <c r="C97" s="200"/>
      <c r="D97" s="200"/>
      <c r="E97" s="200"/>
      <c r="F97" s="200"/>
      <c r="G97" s="200"/>
      <c r="H97" s="200"/>
      <c r="I97" s="200"/>
      <c r="J97" s="200"/>
      <c r="K97" s="200" t="s">
        <v>1386</v>
      </c>
      <c r="L97" s="200"/>
      <c r="M97" s="305"/>
    </row>
    <row r="98" spans="1:13" s="78" customFormat="1" ht="25.5">
      <c r="A98" s="647"/>
      <c r="B98" s="223" t="s">
        <v>1477</v>
      </c>
      <c r="C98" s="200" t="s">
        <v>1386</v>
      </c>
      <c r="D98" s="200"/>
      <c r="E98" s="200"/>
      <c r="F98" s="200"/>
      <c r="G98" s="200"/>
      <c r="H98" s="200"/>
      <c r="I98" s="200"/>
      <c r="J98" s="200"/>
      <c r="K98" s="200"/>
      <c r="L98" s="200"/>
      <c r="M98" s="305"/>
    </row>
    <row r="99" spans="1:13" s="78" customFormat="1" ht="25.5">
      <c r="A99" s="647"/>
      <c r="B99" s="223" t="s">
        <v>1478</v>
      </c>
      <c r="C99" s="200"/>
      <c r="D99" s="200"/>
      <c r="E99" s="200"/>
      <c r="F99" s="200"/>
      <c r="G99" s="200"/>
      <c r="H99" s="200"/>
      <c r="I99" s="200"/>
      <c r="J99" s="200"/>
      <c r="K99" s="200" t="s">
        <v>1386</v>
      </c>
      <c r="L99" s="200"/>
      <c r="M99" s="305"/>
    </row>
    <row r="100" spans="1:13" s="78" customFormat="1" ht="12.75">
      <c r="A100" s="647"/>
      <c r="B100" s="223" t="s">
        <v>1479</v>
      </c>
      <c r="C100" s="200"/>
      <c r="D100" s="200"/>
      <c r="E100" s="200"/>
      <c r="F100" s="200"/>
      <c r="G100" s="200"/>
      <c r="H100" s="200"/>
      <c r="I100" s="200"/>
      <c r="J100" s="200"/>
      <c r="K100" s="200" t="s">
        <v>1386</v>
      </c>
      <c r="L100" s="200"/>
      <c r="M100" s="305"/>
    </row>
    <row r="101" spans="1:13" s="78" customFormat="1" ht="12.75">
      <c r="A101" s="647"/>
      <c r="B101" s="223" t="s">
        <v>1480</v>
      </c>
      <c r="C101" s="200" t="s">
        <v>1386</v>
      </c>
      <c r="D101" s="200"/>
      <c r="E101" s="200"/>
      <c r="F101" s="200"/>
      <c r="G101" s="200"/>
      <c r="H101" s="200"/>
      <c r="I101" s="200"/>
      <c r="J101" s="200"/>
      <c r="K101" s="200"/>
      <c r="L101" s="200"/>
      <c r="M101" s="305"/>
    </row>
    <row r="102" spans="1:13" s="78" customFormat="1" ht="25.5">
      <c r="A102" s="647"/>
      <c r="B102" s="223" t="s">
        <v>1481</v>
      </c>
      <c r="C102" s="200"/>
      <c r="D102" s="200"/>
      <c r="E102" s="200"/>
      <c r="F102" s="200"/>
      <c r="G102" s="200"/>
      <c r="H102" s="200"/>
      <c r="I102" s="200"/>
      <c r="J102" s="200"/>
      <c r="K102" s="200" t="s">
        <v>1386</v>
      </c>
      <c r="L102" s="200"/>
      <c r="M102" s="305"/>
    </row>
    <row r="103" spans="1:13" s="78" customFormat="1" ht="12.75">
      <c r="A103" s="647"/>
      <c r="B103" s="223" t="s">
        <v>1482</v>
      </c>
      <c r="C103" s="200"/>
      <c r="D103" s="200"/>
      <c r="E103" s="200"/>
      <c r="F103" s="200"/>
      <c r="G103" s="200"/>
      <c r="H103" s="200"/>
      <c r="I103" s="200"/>
      <c r="J103" s="200"/>
      <c r="K103" s="200"/>
      <c r="L103" s="200" t="s">
        <v>1386</v>
      </c>
      <c r="M103" s="305"/>
    </row>
    <row r="104" spans="1:13" s="78" customFormat="1" ht="12.75">
      <c r="A104" s="647"/>
      <c r="B104" s="223" t="s">
        <v>1483</v>
      </c>
      <c r="C104" s="200"/>
      <c r="D104" s="200"/>
      <c r="E104" s="200"/>
      <c r="F104" s="200"/>
      <c r="G104" s="200"/>
      <c r="H104" s="200"/>
      <c r="I104" s="200"/>
      <c r="J104" s="200"/>
      <c r="K104" s="200" t="s">
        <v>1386</v>
      </c>
      <c r="L104" s="200"/>
      <c r="M104" s="305"/>
    </row>
    <row r="105" spans="1:13" s="78" customFormat="1" ht="12.75">
      <c r="A105" s="647"/>
      <c r="B105" s="223" t="s">
        <v>1484</v>
      </c>
      <c r="C105" s="200"/>
      <c r="D105" s="200"/>
      <c r="E105" s="200"/>
      <c r="F105" s="200"/>
      <c r="G105" s="200"/>
      <c r="H105" s="200"/>
      <c r="I105" s="200"/>
      <c r="J105" s="200"/>
      <c r="K105" s="200"/>
      <c r="L105" s="200" t="s">
        <v>1386</v>
      </c>
      <c r="M105" s="305"/>
    </row>
    <row r="106" spans="1:13" s="78" customFormat="1" ht="25.5">
      <c r="A106" s="647"/>
      <c r="B106" s="223" t="s">
        <v>1485</v>
      </c>
      <c r="C106" s="200"/>
      <c r="D106" s="200"/>
      <c r="E106" s="200"/>
      <c r="F106" s="200"/>
      <c r="G106" s="200"/>
      <c r="H106" s="200"/>
      <c r="I106" s="200"/>
      <c r="J106" s="200"/>
      <c r="K106" s="200"/>
      <c r="L106" s="200" t="s">
        <v>1386</v>
      </c>
      <c r="M106" s="305"/>
    </row>
    <row r="107" spans="1:13" s="78" customFormat="1" ht="12.75">
      <c r="A107" s="647"/>
      <c r="B107" s="223" t="s">
        <v>1486</v>
      </c>
      <c r="C107" s="200"/>
      <c r="D107" s="200"/>
      <c r="E107" s="200"/>
      <c r="F107" s="200"/>
      <c r="G107" s="200"/>
      <c r="H107" s="200"/>
      <c r="I107" s="200"/>
      <c r="J107" s="200"/>
      <c r="K107" s="200"/>
      <c r="L107" s="200" t="s">
        <v>1386</v>
      </c>
      <c r="M107" s="305"/>
    </row>
    <row r="108" spans="1:13" s="78" customFormat="1" ht="12.75">
      <c r="A108" s="647"/>
      <c r="B108" s="223" t="s">
        <v>1487</v>
      </c>
      <c r="C108" s="200"/>
      <c r="D108" s="200"/>
      <c r="E108" s="200"/>
      <c r="F108" s="200"/>
      <c r="G108" s="200"/>
      <c r="H108" s="200"/>
      <c r="I108" s="200"/>
      <c r="J108" s="200"/>
      <c r="K108" s="200"/>
      <c r="L108" s="200" t="s">
        <v>1386</v>
      </c>
      <c r="M108" s="305"/>
    </row>
    <row r="109" spans="1:13" s="78" customFormat="1" ht="12.75">
      <c r="A109" s="647"/>
      <c r="B109" s="223" t="s">
        <v>1488</v>
      </c>
      <c r="C109" s="200"/>
      <c r="D109" s="200"/>
      <c r="E109" s="200"/>
      <c r="F109" s="200"/>
      <c r="G109" s="200"/>
      <c r="H109" s="200"/>
      <c r="I109" s="200"/>
      <c r="J109" s="200"/>
      <c r="K109" s="200"/>
      <c r="L109" s="200" t="s">
        <v>1386</v>
      </c>
      <c r="M109" s="305"/>
    </row>
    <row r="110" spans="1:13" s="78" customFormat="1" ht="25.5">
      <c r="A110" s="647"/>
      <c r="B110" s="223" t="s">
        <v>1489</v>
      </c>
      <c r="C110" s="200"/>
      <c r="D110" s="200"/>
      <c r="E110" s="200"/>
      <c r="F110" s="200"/>
      <c r="G110" s="200"/>
      <c r="H110" s="200"/>
      <c r="I110" s="200"/>
      <c r="J110" s="200"/>
      <c r="K110" s="200"/>
      <c r="L110" s="200"/>
      <c r="M110" s="489" t="s">
        <v>1490</v>
      </c>
    </row>
    <row r="111" spans="1:13" s="78" customFormat="1" ht="25.5">
      <c r="A111" s="647"/>
      <c r="B111" s="223" t="s">
        <v>1491</v>
      </c>
      <c r="C111" s="200"/>
      <c r="D111" s="200"/>
      <c r="E111" s="200"/>
      <c r="F111" s="200"/>
      <c r="G111" s="200"/>
      <c r="H111" s="200"/>
      <c r="I111" s="200"/>
      <c r="J111" s="200"/>
      <c r="K111" s="200"/>
      <c r="L111" s="200" t="s">
        <v>1386</v>
      </c>
      <c r="M111" s="305"/>
    </row>
    <row r="112" spans="1:13" s="78" customFormat="1" ht="12.75">
      <c r="A112" s="647"/>
      <c r="B112" s="223" t="s">
        <v>1492</v>
      </c>
      <c r="C112" s="200"/>
      <c r="D112" s="200"/>
      <c r="E112" s="200"/>
      <c r="F112" s="200"/>
      <c r="G112" s="200"/>
      <c r="H112" s="200"/>
      <c r="I112" s="200"/>
      <c r="J112" s="200"/>
      <c r="K112" s="200" t="s">
        <v>1386</v>
      </c>
      <c r="L112" s="200"/>
      <c r="M112" s="305"/>
    </row>
    <row r="113" spans="1:14" s="78" customFormat="1" ht="12.75">
      <c r="A113" s="647"/>
      <c r="B113" s="223" t="s">
        <v>1493</v>
      </c>
      <c r="C113" s="200"/>
      <c r="D113" s="200"/>
      <c r="E113" s="200"/>
      <c r="F113" s="200"/>
      <c r="G113" s="200"/>
      <c r="H113" s="200"/>
      <c r="I113" s="200"/>
      <c r="J113" s="200"/>
      <c r="K113" s="200"/>
      <c r="L113" s="200" t="s">
        <v>1386</v>
      </c>
      <c r="M113" s="305"/>
    </row>
    <row r="114" spans="1:14" s="78" customFormat="1" ht="12.75">
      <c r="A114" s="647"/>
      <c r="B114" s="223" t="s">
        <v>1494</v>
      </c>
      <c r="C114" s="200"/>
      <c r="D114" s="200"/>
      <c r="E114" s="200"/>
      <c r="F114" s="200"/>
      <c r="G114" s="200"/>
      <c r="H114" s="200"/>
      <c r="I114" s="200"/>
      <c r="J114" s="200"/>
      <c r="K114" s="200"/>
      <c r="L114" s="200" t="s">
        <v>1386</v>
      </c>
      <c r="M114" s="489"/>
    </row>
    <row r="115" spans="1:14" s="78" customFormat="1" ht="12.75">
      <c r="A115" s="647"/>
      <c r="B115" s="223" t="s">
        <v>1495</v>
      </c>
      <c r="C115" s="200"/>
      <c r="D115" s="200"/>
      <c r="E115" s="200"/>
      <c r="F115" s="200"/>
      <c r="G115" s="200"/>
      <c r="H115" s="200"/>
      <c r="I115" s="200"/>
      <c r="J115" s="200"/>
      <c r="K115" s="200" t="s">
        <v>1386</v>
      </c>
      <c r="L115" s="200"/>
      <c r="M115" s="305"/>
    </row>
    <row r="116" spans="1:14" s="78" customFormat="1" ht="12.75">
      <c r="A116" s="647"/>
      <c r="B116" s="223" t="s">
        <v>1496</v>
      </c>
      <c r="C116" s="200"/>
      <c r="D116" s="200"/>
      <c r="E116" s="200"/>
      <c r="F116" s="200"/>
      <c r="G116" s="200"/>
      <c r="H116" s="200"/>
      <c r="I116" s="200"/>
      <c r="J116" s="200"/>
      <c r="K116" s="200"/>
      <c r="L116" s="200" t="s">
        <v>1386</v>
      </c>
      <c r="M116" s="305"/>
    </row>
    <row r="117" spans="1:14" s="78" customFormat="1" ht="12.75">
      <c r="A117" s="647"/>
      <c r="B117" s="223" t="s">
        <v>1497</v>
      </c>
      <c r="C117" s="200"/>
      <c r="D117" s="200"/>
      <c r="E117" s="200"/>
      <c r="F117" s="200"/>
      <c r="G117" s="200"/>
      <c r="H117" s="200"/>
      <c r="I117" s="200"/>
      <c r="J117" s="200"/>
      <c r="K117" s="200" t="s">
        <v>1386</v>
      </c>
      <c r="L117" s="200"/>
      <c r="M117" s="305"/>
    </row>
    <row r="118" spans="1:14" s="78" customFormat="1" ht="25.5">
      <c r="A118" s="647"/>
      <c r="B118" s="223" t="s">
        <v>1498</v>
      </c>
      <c r="C118" s="200"/>
      <c r="D118" s="200" t="s">
        <v>1386</v>
      </c>
      <c r="E118" s="200"/>
      <c r="F118" s="200"/>
      <c r="G118" s="200"/>
      <c r="H118" s="200"/>
      <c r="I118" s="200"/>
      <c r="J118" s="200"/>
      <c r="K118" s="200"/>
      <c r="L118" s="200"/>
      <c r="M118" s="305"/>
    </row>
    <row r="119" spans="1:14" s="78" customFormat="1" ht="12.75">
      <c r="A119" s="647"/>
      <c r="B119" s="223" t="s">
        <v>1499</v>
      </c>
      <c r="C119" s="200"/>
      <c r="D119" s="200"/>
      <c r="E119" s="200"/>
      <c r="F119" s="200"/>
      <c r="G119" s="200"/>
      <c r="H119" s="200"/>
      <c r="I119" s="200"/>
      <c r="J119" s="200"/>
      <c r="K119" s="200" t="s">
        <v>1386</v>
      </c>
      <c r="L119" s="200"/>
      <c r="M119" s="305"/>
    </row>
    <row r="120" spans="1:14" s="78" customFormat="1" ht="12.75">
      <c r="A120" s="647"/>
      <c r="B120" s="223" t="s">
        <v>1500</v>
      </c>
      <c r="C120" s="200"/>
      <c r="D120" s="200"/>
      <c r="E120" s="200"/>
      <c r="F120" s="200"/>
      <c r="G120" s="200"/>
      <c r="H120" s="200"/>
      <c r="I120" s="200"/>
      <c r="J120" s="200"/>
      <c r="K120" s="200"/>
      <c r="L120" s="200" t="s">
        <v>1386</v>
      </c>
      <c r="M120" s="305"/>
    </row>
    <row r="121" spans="1:14" s="78" customFormat="1" ht="12.4" customHeight="1">
      <c r="A121" s="647"/>
      <c r="B121" s="223" t="s">
        <v>1501</v>
      </c>
      <c r="C121" s="200" t="s">
        <v>1386</v>
      </c>
      <c r="D121" s="200" t="s">
        <v>1386</v>
      </c>
      <c r="E121" s="200"/>
      <c r="F121" s="200"/>
      <c r="G121" s="200"/>
      <c r="H121" s="200"/>
      <c r="I121" s="200"/>
      <c r="J121" s="200"/>
      <c r="K121" s="200"/>
      <c r="L121" s="200"/>
      <c r="M121" s="305"/>
    </row>
    <row r="122" spans="1:14" s="78" customFormat="1" ht="12.75">
      <c r="A122" s="647"/>
      <c r="B122" s="223" t="s">
        <v>1502</v>
      </c>
      <c r="C122" s="200"/>
      <c r="D122" s="200"/>
      <c r="E122" s="200"/>
      <c r="F122" s="200"/>
      <c r="G122" s="200"/>
      <c r="H122" s="200"/>
      <c r="I122" s="200"/>
      <c r="J122" s="200"/>
      <c r="K122" s="200" t="s">
        <v>1386</v>
      </c>
      <c r="L122" s="200"/>
      <c r="M122" s="305"/>
    </row>
    <row r="123" spans="1:14" s="78" customFormat="1" ht="12.75">
      <c r="A123" s="647"/>
      <c r="B123" s="223" t="s">
        <v>1503</v>
      </c>
      <c r="C123" s="200"/>
      <c r="D123" s="200"/>
      <c r="E123" s="200"/>
      <c r="F123" s="200"/>
      <c r="G123" s="200"/>
      <c r="H123" s="200"/>
      <c r="I123" s="200"/>
      <c r="J123" s="200"/>
      <c r="K123" s="200"/>
      <c r="L123" s="200" t="s">
        <v>1386</v>
      </c>
      <c r="M123" s="305"/>
    </row>
    <row r="124" spans="1:14" s="78" customFormat="1" ht="12.75">
      <c r="A124" s="647"/>
      <c r="B124" s="223" t="s">
        <v>1504</v>
      </c>
      <c r="C124" s="200"/>
      <c r="D124" s="200"/>
      <c r="E124" s="200"/>
      <c r="F124" s="200"/>
      <c r="G124" s="200"/>
      <c r="H124" s="200"/>
      <c r="I124" s="200"/>
      <c r="J124" s="200"/>
      <c r="K124" s="200"/>
      <c r="L124" s="200" t="s">
        <v>1386</v>
      </c>
      <c r="M124" s="305"/>
    </row>
    <row r="125" spans="1:14" s="78" customFormat="1" ht="12.75">
      <c r="A125" s="647"/>
      <c r="B125" s="223" t="s">
        <v>1505</v>
      </c>
      <c r="C125" s="200" t="s">
        <v>1386</v>
      </c>
      <c r="D125" s="200"/>
      <c r="E125" s="200"/>
      <c r="F125" s="200"/>
      <c r="G125" s="200"/>
      <c r="H125" s="200"/>
      <c r="I125" s="200"/>
      <c r="J125" s="200"/>
      <c r="K125" s="200"/>
      <c r="L125" s="200"/>
      <c r="M125" s="305"/>
    </row>
    <row r="126" spans="1:14" s="78" customFormat="1" ht="25.5">
      <c r="A126" s="647"/>
      <c r="B126" s="223" t="s">
        <v>1506</v>
      </c>
      <c r="C126" s="200"/>
      <c r="D126" s="200"/>
      <c r="E126" s="200"/>
      <c r="F126" s="200"/>
      <c r="G126" s="200"/>
      <c r="H126" s="200"/>
      <c r="I126" s="200"/>
      <c r="J126" s="200"/>
      <c r="K126" s="200"/>
      <c r="L126" s="200" t="s">
        <v>1386</v>
      </c>
      <c r="M126" s="305"/>
    </row>
    <row r="127" spans="1:14" s="78" customFormat="1" ht="25.5">
      <c r="A127" s="647"/>
      <c r="B127" s="223" t="s">
        <v>1507</v>
      </c>
      <c r="C127" s="200" t="s">
        <v>1386</v>
      </c>
      <c r="D127" s="200" t="s">
        <v>1386</v>
      </c>
      <c r="E127" s="200"/>
      <c r="F127" s="200"/>
      <c r="G127" s="200"/>
      <c r="H127" s="200"/>
      <c r="I127" s="200"/>
      <c r="J127" s="200"/>
      <c r="K127" s="200"/>
      <c r="L127" s="200"/>
      <c r="M127" s="305"/>
    </row>
    <row r="128" spans="1:14" s="78" customFormat="1" ht="12.75">
      <c r="A128" s="647"/>
      <c r="B128" s="223" t="s">
        <v>1508</v>
      </c>
      <c r="C128" s="200"/>
      <c r="D128" s="200"/>
      <c r="E128" s="200"/>
      <c r="F128" s="200"/>
      <c r="G128" s="200"/>
      <c r="H128" s="200"/>
      <c r="I128" s="200"/>
      <c r="J128" s="200"/>
      <c r="K128" s="200" t="s">
        <v>1386</v>
      </c>
      <c r="L128" s="200"/>
      <c r="M128" s="305"/>
      <c r="N128" s="82"/>
    </row>
    <row r="129" spans="1:13" s="12" customFormat="1" ht="12.75">
      <c r="A129" s="647"/>
      <c r="B129" s="223" t="s">
        <v>1509</v>
      </c>
      <c r="C129" s="200"/>
      <c r="D129" s="200"/>
      <c r="E129" s="200"/>
      <c r="F129" s="200"/>
      <c r="G129" s="200"/>
      <c r="H129" s="200"/>
      <c r="I129" s="200"/>
      <c r="J129" s="200"/>
      <c r="K129" s="200"/>
      <c r="L129" s="200" t="s">
        <v>1386</v>
      </c>
      <c r="M129" s="305"/>
    </row>
    <row r="130" spans="1:13">
      <c r="A130" s="647"/>
      <c r="B130" s="223" t="s">
        <v>1510</v>
      </c>
      <c r="C130" s="200"/>
      <c r="D130" s="200"/>
      <c r="E130" s="200"/>
      <c r="F130" s="200"/>
      <c r="G130" s="200"/>
      <c r="H130" s="200"/>
      <c r="I130" s="200"/>
      <c r="J130" s="200"/>
      <c r="K130" s="200" t="s">
        <v>1386</v>
      </c>
      <c r="L130" s="200"/>
      <c r="M130" s="305"/>
    </row>
    <row r="131" spans="1:13">
      <c r="A131" s="647"/>
      <c r="B131" s="223" t="s">
        <v>1511</v>
      </c>
      <c r="C131" s="200"/>
      <c r="D131" s="200"/>
      <c r="E131" s="200"/>
      <c r="F131" s="200"/>
      <c r="G131" s="200"/>
      <c r="H131" s="200"/>
      <c r="I131" s="200"/>
      <c r="J131" s="200"/>
      <c r="K131" s="200"/>
      <c r="L131" s="200" t="s">
        <v>1386</v>
      </c>
      <c r="M131" s="305"/>
    </row>
    <row r="132" spans="1:13">
      <c r="A132" s="647"/>
      <c r="B132" s="223" t="s">
        <v>1512</v>
      </c>
      <c r="C132" s="200" t="s">
        <v>1386</v>
      </c>
      <c r="D132" s="200" t="s">
        <v>1386</v>
      </c>
      <c r="E132" s="200"/>
      <c r="F132" s="200" t="s">
        <v>1386</v>
      </c>
      <c r="G132" s="200"/>
      <c r="H132" s="200"/>
      <c r="I132" s="200"/>
      <c r="J132" s="200"/>
      <c r="K132" s="200"/>
      <c r="L132" s="200"/>
      <c r="M132" s="305"/>
    </row>
    <row r="133" spans="1:13" ht="25.5">
      <c r="A133" s="647"/>
      <c r="B133" s="223" t="s">
        <v>1513</v>
      </c>
      <c r="C133" s="200"/>
      <c r="D133" s="200"/>
      <c r="E133" s="200"/>
      <c r="F133" s="200"/>
      <c r="G133" s="200"/>
      <c r="H133" s="200"/>
      <c r="I133" s="200"/>
      <c r="J133" s="200"/>
      <c r="K133" s="200"/>
      <c r="L133" s="200" t="s">
        <v>1386</v>
      </c>
      <c r="M133" s="305"/>
    </row>
    <row r="134" spans="1:13">
      <c r="A134" s="647"/>
      <c r="B134" s="223" t="s">
        <v>1514</v>
      </c>
      <c r="C134" s="200"/>
      <c r="D134" s="200"/>
      <c r="E134" s="200"/>
      <c r="F134" s="200"/>
      <c r="G134" s="200"/>
      <c r="H134" s="200"/>
      <c r="I134" s="200"/>
      <c r="J134" s="200"/>
      <c r="K134" s="200"/>
      <c r="L134" s="200" t="s">
        <v>1386</v>
      </c>
      <c r="M134" s="305"/>
    </row>
    <row r="135" spans="1:13">
      <c r="A135" s="647"/>
      <c r="B135" s="223" t="s">
        <v>1515</v>
      </c>
      <c r="C135" s="200"/>
      <c r="D135" s="200"/>
      <c r="E135" s="200"/>
      <c r="F135" s="200"/>
      <c r="G135" s="200"/>
      <c r="H135" s="200"/>
      <c r="I135" s="200"/>
      <c r="J135" s="200"/>
      <c r="K135" s="200" t="s">
        <v>1386</v>
      </c>
      <c r="L135" s="200"/>
      <c r="M135" s="305"/>
    </row>
    <row r="136" spans="1:13">
      <c r="A136" s="647"/>
      <c r="B136" s="223" t="s">
        <v>1516</v>
      </c>
      <c r="C136" s="200"/>
      <c r="D136" s="200"/>
      <c r="E136" s="200"/>
      <c r="F136" s="200"/>
      <c r="G136" s="200"/>
      <c r="H136" s="200"/>
      <c r="I136" s="200"/>
      <c r="J136" s="200"/>
      <c r="K136" s="200"/>
      <c r="L136" s="200" t="s">
        <v>1386</v>
      </c>
      <c r="M136" s="305"/>
    </row>
    <row r="137" spans="1:13">
      <c r="A137" s="647"/>
      <c r="B137" s="223" t="s">
        <v>1517</v>
      </c>
      <c r="C137" s="200"/>
      <c r="D137" s="200"/>
      <c r="E137" s="200"/>
      <c r="F137" s="200"/>
      <c r="G137" s="200"/>
      <c r="H137" s="200"/>
      <c r="I137" s="200"/>
      <c r="J137" s="200"/>
      <c r="K137" s="200" t="s">
        <v>1386</v>
      </c>
      <c r="L137" s="200"/>
      <c r="M137" s="305"/>
    </row>
    <row r="138" spans="1:13" ht="25.5">
      <c r="A138" s="647"/>
      <c r="B138" s="223" t="s">
        <v>1518</v>
      </c>
      <c r="C138" s="200"/>
      <c r="D138" s="200"/>
      <c r="E138" s="200"/>
      <c r="F138" s="200"/>
      <c r="G138" s="200"/>
      <c r="H138" s="200"/>
      <c r="I138" s="200"/>
      <c r="J138" s="200"/>
      <c r="K138" s="200" t="s">
        <v>1386</v>
      </c>
      <c r="L138" s="200"/>
      <c r="M138" s="305"/>
    </row>
    <row r="139" spans="1:13">
      <c r="A139" s="647"/>
      <c r="B139" s="223" t="s">
        <v>1519</v>
      </c>
      <c r="C139" s="200"/>
      <c r="D139" s="200"/>
      <c r="E139" s="200"/>
      <c r="F139" s="200"/>
      <c r="G139" s="200"/>
      <c r="H139" s="200"/>
      <c r="I139" s="200"/>
      <c r="J139" s="200"/>
      <c r="K139" s="200"/>
      <c r="L139" s="200" t="s">
        <v>1386</v>
      </c>
      <c r="M139" s="305"/>
    </row>
    <row r="140" spans="1:13">
      <c r="A140" s="647"/>
      <c r="B140" s="223" t="s">
        <v>1520</v>
      </c>
      <c r="C140" s="200"/>
      <c r="D140" s="200"/>
      <c r="E140" s="200"/>
      <c r="F140" s="200"/>
      <c r="G140" s="200"/>
      <c r="H140" s="200" t="s">
        <v>1386</v>
      </c>
      <c r="I140" s="200"/>
      <c r="J140" s="200"/>
      <c r="K140" s="200" t="s">
        <v>1386</v>
      </c>
      <c r="L140" s="200"/>
      <c r="M140" s="305"/>
    </row>
    <row r="141" spans="1:13" ht="25.5">
      <c r="A141" s="647"/>
      <c r="B141" s="223" t="s">
        <v>1521</v>
      </c>
      <c r="C141" s="200"/>
      <c r="D141" s="200"/>
      <c r="E141" s="200"/>
      <c r="F141" s="200"/>
      <c r="G141" s="200"/>
      <c r="H141" s="200"/>
      <c r="I141" s="200"/>
      <c r="J141" s="200"/>
      <c r="K141" s="200" t="s">
        <v>1386</v>
      </c>
      <c r="L141" s="200"/>
      <c r="M141" s="305"/>
    </row>
    <row r="142" spans="1:13" ht="25.5">
      <c r="A142" s="647"/>
      <c r="B142" s="223" t="s">
        <v>1522</v>
      </c>
      <c r="C142" s="200"/>
      <c r="D142" s="200"/>
      <c r="E142" s="200"/>
      <c r="F142" s="200"/>
      <c r="G142" s="200"/>
      <c r="H142" s="200"/>
      <c r="I142" s="200"/>
      <c r="J142" s="200"/>
      <c r="K142" s="200" t="s">
        <v>1386</v>
      </c>
      <c r="L142" s="200"/>
      <c r="M142" s="305"/>
    </row>
    <row r="143" spans="1:13">
      <c r="A143" s="647"/>
      <c r="B143" s="223" t="s">
        <v>1523</v>
      </c>
      <c r="C143" s="200"/>
      <c r="D143" s="200"/>
      <c r="E143" s="200"/>
      <c r="F143" s="200"/>
      <c r="G143" s="200"/>
      <c r="H143" s="200"/>
      <c r="I143" s="200"/>
      <c r="J143" s="200"/>
      <c r="K143" s="200"/>
      <c r="L143" s="200" t="s">
        <v>1386</v>
      </c>
      <c r="M143" s="305"/>
    </row>
    <row r="144" spans="1:13">
      <c r="A144" s="647"/>
      <c r="B144" s="223" t="s">
        <v>1524</v>
      </c>
      <c r="C144" s="200" t="s">
        <v>1386</v>
      </c>
      <c r="D144" s="200"/>
      <c r="E144" s="200"/>
      <c r="F144" s="200"/>
      <c r="G144" s="200"/>
      <c r="H144" s="200"/>
      <c r="I144" s="200"/>
      <c r="J144" s="200"/>
      <c r="K144" s="200" t="s">
        <v>1386</v>
      </c>
      <c r="L144" s="200"/>
      <c r="M144" s="305"/>
    </row>
    <row r="145" spans="1:13">
      <c r="A145" s="647"/>
      <c r="B145" s="223" t="s">
        <v>1525</v>
      </c>
      <c r="C145" s="200"/>
      <c r="D145" s="200"/>
      <c r="E145" s="200"/>
      <c r="F145" s="200"/>
      <c r="G145" s="200"/>
      <c r="H145" s="200"/>
      <c r="I145" s="200"/>
      <c r="J145" s="200"/>
      <c r="K145" s="200" t="s">
        <v>1386</v>
      </c>
      <c r="L145" s="200"/>
      <c r="M145" s="305"/>
    </row>
    <row r="146" spans="1:13">
      <c r="A146" s="647"/>
      <c r="B146" s="223" t="s">
        <v>1526</v>
      </c>
      <c r="C146" s="200"/>
      <c r="D146" s="200"/>
      <c r="E146" s="200"/>
      <c r="F146" s="200"/>
      <c r="G146" s="200"/>
      <c r="H146" s="200"/>
      <c r="I146" s="200"/>
      <c r="J146" s="200"/>
      <c r="K146" s="200" t="s">
        <v>1386</v>
      </c>
      <c r="L146" s="200"/>
      <c r="M146" s="305"/>
    </row>
    <row r="147" spans="1:13">
      <c r="A147" s="200" t="s">
        <v>1527</v>
      </c>
      <c r="B147" s="223" t="s">
        <v>1528</v>
      </c>
      <c r="C147" s="200"/>
      <c r="D147" s="200"/>
      <c r="E147" s="200"/>
      <c r="F147" s="200"/>
      <c r="G147" s="200"/>
      <c r="H147" s="200" t="s">
        <v>1386</v>
      </c>
      <c r="I147" s="200"/>
      <c r="J147" s="200"/>
      <c r="K147" s="200"/>
      <c r="L147" s="200"/>
      <c r="M147" s="305"/>
    </row>
    <row r="148" spans="1:13">
      <c r="A148" s="82"/>
      <c r="B148" s="76"/>
      <c r="C148" s="82"/>
      <c r="D148" s="82"/>
      <c r="E148" s="82"/>
      <c r="F148" s="82"/>
      <c r="G148" s="82"/>
      <c r="H148" s="82"/>
      <c r="I148" s="82"/>
      <c r="J148" s="82"/>
      <c r="K148" s="82"/>
      <c r="L148" s="82"/>
      <c r="M148" s="30"/>
    </row>
    <row r="149" spans="1:13">
      <c r="A149" s="781">
        <v>2020</v>
      </c>
      <c r="B149" s="782"/>
      <c r="C149" s="782"/>
      <c r="D149" s="782"/>
      <c r="E149" s="782"/>
      <c r="F149" s="782"/>
      <c r="G149" s="782"/>
      <c r="H149" s="782"/>
      <c r="I149" s="782"/>
      <c r="J149" s="782"/>
      <c r="K149" s="782"/>
      <c r="L149" s="782"/>
      <c r="M149" s="783"/>
    </row>
    <row r="150" spans="1:13" s="78" customFormat="1" ht="12.75">
      <c r="A150" s="780" t="s">
        <v>1384</v>
      </c>
      <c r="B150" s="539" t="s">
        <v>1540</v>
      </c>
      <c r="C150" s="538"/>
      <c r="D150" s="538"/>
      <c r="E150" s="538"/>
      <c r="F150" s="538"/>
      <c r="G150" s="538"/>
      <c r="H150" s="538"/>
      <c r="I150" s="538"/>
      <c r="J150" s="538"/>
      <c r="K150" s="538"/>
      <c r="L150" s="538" t="s">
        <v>1386</v>
      </c>
      <c r="M150" s="540"/>
    </row>
    <row r="151" spans="1:13" s="78" customFormat="1" ht="12.75">
      <c r="A151" s="647"/>
      <c r="B151" s="223" t="s">
        <v>1387</v>
      </c>
      <c r="C151" s="200"/>
      <c r="D151" s="200"/>
      <c r="E151" s="200"/>
      <c r="F151" s="200"/>
      <c r="G151" s="200"/>
      <c r="H151" s="200"/>
      <c r="I151" s="200"/>
      <c r="J151" s="200"/>
      <c r="K151" s="200"/>
      <c r="L151" s="200" t="s">
        <v>1386</v>
      </c>
      <c r="M151" s="305"/>
    </row>
    <row r="152" spans="1:13" s="78" customFormat="1" ht="12.75">
      <c r="A152" s="647" t="s">
        <v>794</v>
      </c>
      <c r="B152" s="223" t="s">
        <v>1388</v>
      </c>
      <c r="C152" s="200"/>
      <c r="D152" s="200"/>
      <c r="E152" s="200"/>
      <c r="F152" s="200"/>
      <c r="G152" s="200"/>
      <c r="H152" s="200"/>
      <c r="I152" s="200"/>
      <c r="J152" s="200"/>
      <c r="K152" s="200"/>
      <c r="L152" s="200" t="s">
        <v>1386</v>
      </c>
      <c r="M152" s="305"/>
    </row>
    <row r="153" spans="1:13" s="78" customFormat="1" ht="12.75">
      <c r="A153" s="647"/>
      <c r="B153" s="223" t="s">
        <v>1389</v>
      </c>
      <c r="C153" s="200"/>
      <c r="D153" s="200"/>
      <c r="E153" s="200" t="s">
        <v>1386</v>
      </c>
      <c r="F153" s="200"/>
      <c r="G153" s="200"/>
      <c r="H153" s="200"/>
      <c r="I153" s="200"/>
      <c r="J153" s="200"/>
      <c r="K153" s="200"/>
      <c r="L153" s="200"/>
      <c r="M153" s="305"/>
    </row>
    <row r="154" spans="1:13" s="78" customFormat="1" ht="12.4" customHeight="1">
      <c r="A154" s="647" t="s">
        <v>1329</v>
      </c>
      <c r="B154" s="223" t="s">
        <v>1390</v>
      </c>
      <c r="C154" s="200"/>
      <c r="D154" s="200"/>
      <c r="E154" s="200"/>
      <c r="F154" s="486"/>
      <c r="G154" s="200"/>
      <c r="H154" s="200"/>
      <c r="I154" s="200"/>
      <c r="J154" s="200" t="s">
        <v>1386</v>
      </c>
      <c r="K154" s="200"/>
      <c r="L154" s="200"/>
      <c r="M154" s="305"/>
    </row>
    <row r="155" spans="1:13" s="78" customFormat="1" ht="12.4" customHeight="1">
      <c r="A155" s="647"/>
      <c r="B155" s="223" t="s">
        <v>1391</v>
      </c>
      <c r="C155" s="200"/>
      <c r="D155" s="200"/>
      <c r="E155" s="200"/>
      <c r="F155" s="200"/>
      <c r="G155" s="200"/>
      <c r="H155" s="200"/>
      <c r="I155" s="200" t="s">
        <v>1386</v>
      </c>
      <c r="J155" s="200"/>
      <c r="K155" s="200"/>
      <c r="L155" s="200"/>
      <c r="M155" s="305"/>
    </row>
    <row r="156" spans="1:13" s="78" customFormat="1" ht="12.75">
      <c r="A156" s="200" t="s">
        <v>1392</v>
      </c>
      <c r="B156" s="223" t="s">
        <v>1393</v>
      </c>
      <c r="C156" s="200"/>
      <c r="D156" s="200"/>
      <c r="E156" s="200"/>
      <c r="F156" s="200"/>
      <c r="G156" s="200"/>
      <c r="H156" s="200"/>
      <c r="I156" s="200"/>
      <c r="J156" s="200"/>
      <c r="K156" s="200"/>
      <c r="L156" s="200" t="s">
        <v>1386</v>
      </c>
      <c r="M156" s="305"/>
    </row>
    <row r="157" spans="1:13" s="78" customFormat="1" ht="12.75">
      <c r="A157" s="647" t="s">
        <v>1394</v>
      </c>
      <c r="B157" s="223" t="s">
        <v>1395</v>
      </c>
      <c r="C157" s="200"/>
      <c r="D157" s="200"/>
      <c r="E157" s="200"/>
      <c r="F157" s="200"/>
      <c r="G157" s="200"/>
      <c r="H157" s="200"/>
      <c r="I157" s="200"/>
      <c r="J157" s="200"/>
      <c r="K157" s="200"/>
      <c r="L157" s="200" t="s">
        <v>1386</v>
      </c>
      <c r="M157" s="305"/>
    </row>
    <row r="158" spans="1:13" s="78" customFormat="1" ht="12.75">
      <c r="A158" s="647"/>
      <c r="B158" s="223" t="s">
        <v>1396</v>
      </c>
      <c r="C158" s="200"/>
      <c r="D158" s="200"/>
      <c r="E158" s="200"/>
      <c r="F158" s="200"/>
      <c r="G158" s="200"/>
      <c r="H158" s="200"/>
      <c r="I158" s="200"/>
      <c r="J158" s="200"/>
      <c r="K158" s="200"/>
      <c r="L158" s="200" t="s">
        <v>1386</v>
      </c>
      <c r="M158" s="305"/>
    </row>
    <row r="159" spans="1:13" s="78" customFormat="1" ht="12.75">
      <c r="A159" s="647" t="s">
        <v>1397</v>
      </c>
      <c r="B159" s="223" t="s">
        <v>1398</v>
      </c>
      <c r="C159" s="200"/>
      <c r="D159" s="200"/>
      <c r="E159" s="200"/>
      <c r="F159" s="200"/>
      <c r="G159" s="200"/>
      <c r="H159" s="200"/>
      <c r="I159" s="200"/>
      <c r="J159" s="200"/>
      <c r="K159" s="200"/>
      <c r="L159" s="200" t="s">
        <v>1386</v>
      </c>
      <c r="M159" s="305"/>
    </row>
    <row r="160" spans="1:13" s="78" customFormat="1" ht="12.75">
      <c r="A160" s="647"/>
      <c r="B160" s="223" t="s">
        <v>1399</v>
      </c>
      <c r="C160" s="200"/>
      <c r="D160" s="200"/>
      <c r="E160" s="200"/>
      <c r="F160" s="200"/>
      <c r="G160" s="200"/>
      <c r="H160" s="200"/>
      <c r="I160" s="200"/>
      <c r="J160" s="200"/>
      <c r="K160" s="200" t="s">
        <v>1386</v>
      </c>
      <c r="L160" s="200"/>
      <c r="M160" s="305"/>
    </row>
    <row r="161" spans="1:15" s="78" customFormat="1" ht="12.4" customHeight="1">
      <c r="A161" s="647"/>
      <c r="B161" s="223" t="s">
        <v>1400</v>
      </c>
      <c r="C161" s="200"/>
      <c r="D161" s="200"/>
      <c r="E161" s="200"/>
      <c r="F161" s="200"/>
      <c r="G161" s="200"/>
      <c r="H161" s="200"/>
      <c r="I161" s="200"/>
      <c r="J161" s="200"/>
      <c r="K161" s="200"/>
      <c r="L161" s="200" t="s">
        <v>1386</v>
      </c>
      <c r="M161" s="305"/>
    </row>
    <row r="162" spans="1:15" s="12" customFormat="1" ht="25.5">
      <c r="A162" s="647" t="s">
        <v>271</v>
      </c>
      <c r="B162" s="223" t="s">
        <v>1401</v>
      </c>
      <c r="C162" s="200"/>
      <c r="D162" s="200"/>
      <c r="E162" s="200"/>
      <c r="F162" s="200"/>
      <c r="G162" s="200"/>
      <c r="H162" s="200"/>
      <c r="I162" s="200"/>
      <c r="J162" s="200"/>
      <c r="K162" s="200" t="s">
        <v>1386</v>
      </c>
      <c r="L162" s="200"/>
      <c r="M162" s="305"/>
      <c r="O162" s="78"/>
    </row>
    <row r="163" spans="1:15" s="12" customFormat="1" ht="25.5">
      <c r="A163" s="647"/>
      <c r="B163" s="223" t="s">
        <v>1402</v>
      </c>
      <c r="C163" s="200" t="s">
        <v>1386</v>
      </c>
      <c r="D163" s="200"/>
      <c r="E163" s="200" t="s">
        <v>1386</v>
      </c>
      <c r="F163" s="200"/>
      <c r="G163" s="200"/>
      <c r="H163" s="200"/>
      <c r="I163" s="200"/>
      <c r="J163" s="200"/>
      <c r="K163" s="200"/>
      <c r="L163" s="200"/>
      <c r="M163" s="305"/>
      <c r="O163" s="78"/>
    </row>
    <row r="164" spans="1:15" s="12" customFormat="1" ht="25.5">
      <c r="A164" s="647"/>
      <c r="B164" s="223" t="s">
        <v>1403</v>
      </c>
      <c r="C164" s="200" t="s">
        <v>1386</v>
      </c>
      <c r="D164" s="200"/>
      <c r="E164" s="200"/>
      <c r="F164" s="200"/>
      <c r="G164" s="200"/>
      <c r="H164" s="200"/>
      <c r="I164" s="200"/>
      <c r="J164" s="200"/>
      <c r="K164" s="200"/>
      <c r="L164" s="200"/>
      <c r="M164" s="305"/>
      <c r="O164" s="78"/>
    </row>
    <row r="165" spans="1:15" s="12" customFormat="1" ht="12.75">
      <c r="A165" s="647"/>
      <c r="B165" s="223" t="s">
        <v>1405</v>
      </c>
      <c r="C165" s="200"/>
      <c r="D165" s="200"/>
      <c r="E165" s="200"/>
      <c r="F165" s="200"/>
      <c r="G165" s="200"/>
      <c r="H165" s="200"/>
      <c r="I165" s="200"/>
      <c r="J165" s="200"/>
      <c r="K165" s="200" t="s">
        <v>1386</v>
      </c>
      <c r="L165" s="200"/>
      <c r="M165" s="305"/>
      <c r="O165" s="78"/>
    </row>
    <row r="166" spans="1:15" s="12" customFormat="1" ht="12.75">
      <c r="A166" s="647"/>
      <c r="B166" s="223" t="s">
        <v>1406</v>
      </c>
      <c r="C166" s="200"/>
      <c r="D166" s="200"/>
      <c r="E166" s="200"/>
      <c r="F166" s="200"/>
      <c r="G166" s="200"/>
      <c r="H166" s="200" t="s">
        <v>1386</v>
      </c>
      <c r="I166" s="200"/>
      <c r="J166" s="200"/>
      <c r="K166" s="200" t="s">
        <v>1386</v>
      </c>
      <c r="L166" s="200"/>
      <c r="M166" s="305"/>
      <c r="O166" s="78"/>
    </row>
    <row r="167" spans="1:15" s="12" customFormat="1" ht="12.75">
      <c r="A167" s="647"/>
      <c r="B167" s="223" t="s">
        <v>1407</v>
      </c>
      <c r="C167" s="200"/>
      <c r="D167" s="200"/>
      <c r="E167" s="200"/>
      <c r="F167" s="200"/>
      <c r="G167" s="200"/>
      <c r="H167" s="200"/>
      <c r="I167" s="200"/>
      <c r="J167" s="200"/>
      <c r="K167" s="200"/>
      <c r="L167" s="200" t="s">
        <v>1386</v>
      </c>
      <c r="M167" s="305"/>
      <c r="O167" s="78"/>
    </row>
    <row r="168" spans="1:15" s="12" customFormat="1" ht="25.15" customHeight="1">
      <c r="A168" s="647"/>
      <c r="B168" s="223" t="s">
        <v>1408</v>
      </c>
      <c r="C168" s="200" t="s">
        <v>1386</v>
      </c>
      <c r="D168" s="200"/>
      <c r="E168" s="200"/>
      <c r="F168" s="200"/>
      <c r="G168" s="200"/>
      <c r="H168" s="200"/>
      <c r="I168" s="200"/>
      <c r="J168" s="200"/>
      <c r="K168" s="200"/>
      <c r="L168" s="200"/>
      <c r="M168" s="305"/>
      <c r="O168" s="81"/>
    </row>
    <row r="169" spans="1:15" s="12" customFormat="1" ht="25.5">
      <c r="A169" s="200" t="s">
        <v>791</v>
      </c>
      <c r="B169" s="223" t="s">
        <v>1409</v>
      </c>
      <c r="C169" s="200"/>
      <c r="D169" s="200"/>
      <c r="E169" s="200"/>
      <c r="F169" s="200"/>
      <c r="G169" s="200"/>
      <c r="H169" s="200" t="s">
        <v>1386</v>
      </c>
      <c r="I169" s="200"/>
      <c r="J169" s="200"/>
      <c r="K169" s="200"/>
      <c r="L169" s="200"/>
      <c r="M169" s="305"/>
      <c r="O169" s="78"/>
    </row>
    <row r="170" spans="1:15" s="12" customFormat="1" ht="25.15" customHeight="1">
      <c r="A170" s="200" t="s">
        <v>1410</v>
      </c>
      <c r="B170" s="223" t="s">
        <v>1411</v>
      </c>
      <c r="C170" s="200"/>
      <c r="D170" s="200"/>
      <c r="E170" s="200"/>
      <c r="F170" s="200"/>
      <c r="G170" s="200"/>
      <c r="H170" s="200"/>
      <c r="I170" s="200"/>
      <c r="J170" s="200"/>
      <c r="K170" s="200"/>
      <c r="L170" s="200" t="s">
        <v>1386</v>
      </c>
      <c r="M170" s="305"/>
      <c r="O170" s="78"/>
    </row>
    <row r="171" spans="1:15" s="12" customFormat="1" ht="12.75">
      <c r="A171" s="200" t="s">
        <v>795</v>
      </c>
      <c r="B171" s="223" t="s">
        <v>1412</v>
      </c>
      <c r="C171" s="200"/>
      <c r="D171" s="200"/>
      <c r="E171" s="200" t="s">
        <v>1386</v>
      </c>
      <c r="F171" s="200"/>
      <c r="G171" s="200"/>
      <c r="H171" s="200"/>
      <c r="I171" s="200"/>
      <c r="J171" s="200"/>
      <c r="K171" s="200"/>
      <c r="L171" s="200"/>
      <c r="M171" s="305"/>
      <c r="O171" s="78"/>
    </row>
    <row r="172" spans="1:15" s="12" customFormat="1" ht="25.5">
      <c r="A172" s="200" t="s">
        <v>792</v>
      </c>
      <c r="B172" s="223" t="s">
        <v>1413</v>
      </c>
      <c r="C172" s="200"/>
      <c r="D172" s="200" t="s">
        <v>1386</v>
      </c>
      <c r="E172" s="200"/>
      <c r="F172" s="200"/>
      <c r="G172" s="200"/>
      <c r="H172" s="200"/>
      <c r="I172" s="200"/>
      <c r="J172" s="200"/>
      <c r="K172" s="200"/>
      <c r="L172" s="200"/>
      <c r="M172" s="305"/>
      <c r="O172" s="78"/>
    </row>
    <row r="173" spans="1:15" s="12" customFormat="1" ht="25.5">
      <c r="A173" s="647" t="s">
        <v>796</v>
      </c>
      <c r="B173" s="223" t="s">
        <v>1414</v>
      </c>
      <c r="C173" s="200"/>
      <c r="D173" s="200"/>
      <c r="E173" s="200"/>
      <c r="F173" s="200"/>
      <c r="G173" s="200"/>
      <c r="H173" s="200" t="s">
        <v>1386</v>
      </c>
      <c r="I173" s="200"/>
      <c r="J173" s="200"/>
      <c r="K173" s="200"/>
      <c r="L173" s="200"/>
      <c r="M173" s="305"/>
      <c r="O173" s="78"/>
    </row>
    <row r="174" spans="1:15" s="12" customFormat="1" ht="25.5">
      <c r="A174" s="647"/>
      <c r="B174" s="223" t="s">
        <v>1415</v>
      </c>
      <c r="C174" s="200" t="s">
        <v>1386</v>
      </c>
      <c r="D174" s="200"/>
      <c r="E174" s="200"/>
      <c r="F174" s="200"/>
      <c r="G174" s="200"/>
      <c r="H174" s="200"/>
      <c r="I174" s="200"/>
      <c r="J174" s="200"/>
      <c r="K174" s="200"/>
      <c r="L174" s="200"/>
      <c r="M174" s="305"/>
      <c r="O174" s="78"/>
    </row>
    <row r="175" spans="1:15" s="12" customFormat="1" ht="12.75">
      <c r="A175" s="647"/>
      <c r="B175" s="223" t="s">
        <v>1416</v>
      </c>
      <c r="C175" s="200"/>
      <c r="D175" s="200"/>
      <c r="E175" s="200"/>
      <c r="F175" s="200"/>
      <c r="G175" s="200"/>
      <c r="H175" s="200"/>
      <c r="I175" s="200"/>
      <c r="J175" s="200"/>
      <c r="K175" s="200" t="s">
        <v>1386</v>
      </c>
      <c r="L175" s="200"/>
      <c r="M175" s="305"/>
      <c r="O175" s="78"/>
    </row>
    <row r="176" spans="1:15" s="12" customFormat="1" ht="25.5">
      <c r="A176" s="647"/>
      <c r="B176" s="223" t="s">
        <v>1417</v>
      </c>
      <c r="C176" s="200"/>
      <c r="D176" s="200"/>
      <c r="E176" s="200"/>
      <c r="F176" s="200"/>
      <c r="G176" s="200"/>
      <c r="H176" s="200"/>
      <c r="I176" s="200"/>
      <c r="J176" s="200"/>
      <c r="K176" s="200"/>
      <c r="L176" s="200" t="s">
        <v>1386</v>
      </c>
      <c r="M176" s="305"/>
      <c r="O176" s="78"/>
    </row>
    <row r="177" spans="1:13" s="78" customFormat="1" ht="25.5">
      <c r="A177" s="647"/>
      <c r="B177" s="223" t="s">
        <v>1418</v>
      </c>
      <c r="C177" s="200"/>
      <c r="D177" s="200"/>
      <c r="E177" s="200"/>
      <c r="F177" s="200"/>
      <c r="G177" s="200"/>
      <c r="H177" s="200"/>
      <c r="I177" s="200"/>
      <c r="J177" s="200"/>
      <c r="K177" s="200" t="s">
        <v>1386</v>
      </c>
      <c r="L177" s="200"/>
      <c r="M177" s="305"/>
    </row>
    <row r="178" spans="1:13" s="78" customFormat="1" ht="12.4" customHeight="1">
      <c r="A178" s="200" t="s">
        <v>1529</v>
      </c>
      <c r="B178" s="223" t="s">
        <v>1530</v>
      </c>
      <c r="C178" s="200"/>
      <c r="D178" s="200"/>
      <c r="E178" s="200"/>
      <c r="F178" s="200"/>
      <c r="G178" s="200"/>
      <c r="H178" s="200"/>
      <c r="I178" s="200"/>
      <c r="J178" s="200"/>
      <c r="K178" s="200"/>
      <c r="L178" s="200" t="s">
        <v>1386</v>
      </c>
      <c r="M178" s="305"/>
    </row>
    <row r="179" spans="1:13" s="78" customFormat="1" ht="12.75">
      <c r="A179" s="647" t="s">
        <v>790</v>
      </c>
      <c r="B179" s="223" t="s">
        <v>1419</v>
      </c>
      <c r="C179" s="200"/>
      <c r="D179" s="200"/>
      <c r="E179" s="200"/>
      <c r="F179" s="200"/>
      <c r="G179" s="200"/>
      <c r="H179" s="200"/>
      <c r="I179" s="200"/>
      <c r="J179" s="200"/>
      <c r="K179" s="200"/>
      <c r="L179" s="200" t="s">
        <v>1386</v>
      </c>
      <c r="M179" s="305"/>
    </row>
    <row r="180" spans="1:13" s="78" customFormat="1" ht="12.75">
      <c r="A180" s="647"/>
      <c r="B180" s="223" t="s">
        <v>1420</v>
      </c>
      <c r="C180" s="200"/>
      <c r="D180" s="200"/>
      <c r="E180" s="200"/>
      <c r="F180" s="200"/>
      <c r="G180" s="200"/>
      <c r="H180" s="200"/>
      <c r="I180" s="200"/>
      <c r="J180" s="200"/>
      <c r="K180" s="200"/>
      <c r="L180" s="200" t="s">
        <v>1386</v>
      </c>
      <c r="M180" s="305"/>
    </row>
    <row r="181" spans="1:13" s="78" customFormat="1" ht="12.75">
      <c r="A181" s="647" t="s">
        <v>1421</v>
      </c>
      <c r="B181" s="222" t="s">
        <v>1422</v>
      </c>
      <c r="C181" s="305"/>
      <c r="D181" s="305"/>
      <c r="E181" s="305"/>
      <c r="F181" s="305"/>
      <c r="G181" s="305"/>
      <c r="H181" s="305"/>
      <c r="I181" s="305"/>
      <c r="J181" s="305"/>
      <c r="K181" s="305"/>
      <c r="L181" s="305" t="s">
        <v>1386</v>
      </c>
      <c r="M181" s="305"/>
    </row>
    <row r="182" spans="1:13" s="78" customFormat="1" ht="12.75">
      <c r="A182" s="647"/>
      <c r="B182" s="223" t="s">
        <v>1423</v>
      </c>
      <c r="C182" s="200"/>
      <c r="D182" s="200"/>
      <c r="E182" s="200"/>
      <c r="F182" s="200"/>
      <c r="G182" s="200"/>
      <c r="H182" s="200"/>
      <c r="I182" s="200"/>
      <c r="J182" s="200"/>
      <c r="K182" s="200"/>
      <c r="L182" s="200" t="s">
        <v>1386</v>
      </c>
      <c r="M182" s="305"/>
    </row>
    <row r="183" spans="1:13" s="78" customFormat="1" ht="12.75">
      <c r="A183" s="647" t="s">
        <v>798</v>
      </c>
      <c r="B183" s="223" t="s">
        <v>1424</v>
      </c>
      <c r="C183" s="200" t="s">
        <v>1386</v>
      </c>
      <c r="D183" s="200"/>
      <c r="E183" s="200"/>
      <c r="F183" s="200"/>
      <c r="G183" s="200"/>
      <c r="H183" s="200"/>
      <c r="I183" s="200"/>
      <c r="J183" s="200"/>
      <c r="K183" s="200"/>
      <c r="L183" s="200"/>
      <c r="M183" s="305"/>
    </row>
    <row r="184" spans="1:13" s="78" customFormat="1" ht="25.5">
      <c r="A184" s="647"/>
      <c r="B184" s="223" t="s">
        <v>1425</v>
      </c>
      <c r="C184" s="200" t="s">
        <v>1386</v>
      </c>
      <c r="D184" s="200"/>
      <c r="E184" s="200"/>
      <c r="F184" s="200"/>
      <c r="G184" s="200"/>
      <c r="H184" s="200"/>
      <c r="I184" s="200"/>
      <c r="J184" s="200"/>
      <c r="K184" s="200"/>
      <c r="L184" s="200"/>
      <c r="M184" s="305"/>
    </row>
    <row r="185" spans="1:13" s="78" customFormat="1" ht="12.4" customHeight="1">
      <c r="A185" s="647"/>
      <c r="B185" s="223" t="s">
        <v>1426</v>
      </c>
      <c r="C185" s="200" t="s">
        <v>1386</v>
      </c>
      <c r="D185" s="200"/>
      <c r="E185" s="200"/>
      <c r="F185" s="200"/>
      <c r="G185" s="200"/>
      <c r="H185" s="200"/>
      <c r="I185" s="200"/>
      <c r="J185" s="200"/>
      <c r="K185" s="200"/>
      <c r="L185" s="200"/>
      <c r="M185" s="305"/>
    </row>
    <row r="186" spans="1:13" s="78" customFormat="1" ht="14.65" customHeight="1">
      <c r="A186" s="647" t="s">
        <v>793</v>
      </c>
      <c r="B186" s="223" t="s">
        <v>1427</v>
      </c>
      <c r="C186" s="200" t="s">
        <v>1386</v>
      </c>
      <c r="D186" s="200"/>
      <c r="E186" s="200"/>
      <c r="F186" s="200"/>
      <c r="G186" s="200"/>
      <c r="H186" s="200"/>
      <c r="I186" s="200"/>
      <c r="J186" s="200"/>
      <c r="K186" s="200"/>
      <c r="L186" s="200"/>
      <c r="M186" s="305"/>
    </row>
    <row r="187" spans="1:13" s="78" customFormat="1" ht="25.5">
      <c r="A187" s="647"/>
      <c r="B187" s="223" t="s">
        <v>1428</v>
      </c>
      <c r="C187" s="200" t="s">
        <v>1386</v>
      </c>
      <c r="D187" s="200"/>
      <c r="E187" s="200" t="s">
        <v>1386</v>
      </c>
      <c r="F187" s="200"/>
      <c r="G187" s="200"/>
      <c r="H187" s="200"/>
      <c r="I187" s="200"/>
      <c r="J187" s="200"/>
      <c r="K187" s="200"/>
      <c r="L187" s="200"/>
      <c r="M187" s="305"/>
    </row>
    <row r="188" spans="1:13" s="78" customFormat="1" ht="25.5">
      <c r="A188" s="647"/>
      <c r="B188" s="223" t="s">
        <v>1429</v>
      </c>
      <c r="C188" s="200" t="s">
        <v>1386</v>
      </c>
      <c r="D188" s="200"/>
      <c r="E188" s="200" t="s">
        <v>1386</v>
      </c>
      <c r="F188" s="200"/>
      <c r="G188" s="200"/>
      <c r="H188" s="200"/>
      <c r="I188" s="200"/>
      <c r="J188" s="200"/>
      <c r="K188" s="200"/>
      <c r="L188" s="200"/>
      <c r="M188" s="305"/>
    </row>
    <row r="189" spans="1:13" s="78" customFormat="1" ht="25.5">
      <c r="A189" s="647"/>
      <c r="B189" s="223" t="s">
        <v>1430</v>
      </c>
      <c r="C189" s="200"/>
      <c r="D189" s="200"/>
      <c r="E189" s="200" t="s">
        <v>1386</v>
      </c>
      <c r="F189" s="200"/>
      <c r="G189" s="200"/>
      <c r="H189" s="200"/>
      <c r="I189" s="200"/>
      <c r="J189" s="200"/>
      <c r="K189" s="200"/>
      <c r="L189" s="200"/>
      <c r="M189" s="305"/>
    </row>
    <row r="190" spans="1:13" s="78" customFormat="1" ht="25.5">
      <c r="A190" s="647"/>
      <c r="B190" s="223" t="s">
        <v>1431</v>
      </c>
      <c r="C190" s="200"/>
      <c r="D190" s="200"/>
      <c r="E190" s="200" t="s">
        <v>1386</v>
      </c>
      <c r="F190" s="200"/>
      <c r="G190" s="200"/>
      <c r="H190" s="200"/>
      <c r="I190" s="200"/>
      <c r="J190" s="200"/>
      <c r="K190" s="200"/>
      <c r="L190" s="200"/>
      <c r="M190" s="305"/>
    </row>
    <row r="191" spans="1:13" s="78" customFormat="1" ht="25.5">
      <c r="A191" s="647"/>
      <c r="B191" s="223" t="s">
        <v>1531</v>
      </c>
      <c r="C191" s="200" t="s">
        <v>1386</v>
      </c>
      <c r="D191" s="200"/>
      <c r="E191" s="200" t="s">
        <v>1386</v>
      </c>
      <c r="F191" s="200"/>
      <c r="G191" s="200"/>
      <c r="H191" s="200"/>
      <c r="I191" s="200"/>
      <c r="J191" s="200"/>
      <c r="K191" s="200"/>
      <c r="L191" s="200"/>
      <c r="M191" s="305"/>
    </row>
    <row r="192" spans="1:13" s="78" customFormat="1" ht="12.75">
      <c r="A192" s="647" t="s">
        <v>797</v>
      </c>
      <c r="B192" s="223" t="s">
        <v>1432</v>
      </c>
      <c r="C192" s="200"/>
      <c r="D192" s="200"/>
      <c r="E192" s="200"/>
      <c r="F192" s="200"/>
      <c r="G192" s="200"/>
      <c r="H192" s="200"/>
      <c r="I192" s="200"/>
      <c r="J192" s="200"/>
      <c r="K192" s="200"/>
      <c r="L192" s="200" t="s">
        <v>1386</v>
      </c>
      <c r="M192" s="305"/>
    </row>
    <row r="193" spans="1:13" s="78" customFormat="1" ht="12.75">
      <c r="A193" s="647"/>
      <c r="B193" s="223" t="s">
        <v>1433</v>
      </c>
      <c r="C193" s="200"/>
      <c r="D193" s="200"/>
      <c r="E193" s="200"/>
      <c r="F193" s="200"/>
      <c r="G193" s="200"/>
      <c r="H193" s="200"/>
      <c r="I193" s="200"/>
      <c r="J193" s="200"/>
      <c r="K193" s="200"/>
      <c r="L193" s="200" t="s">
        <v>1386</v>
      </c>
      <c r="M193" s="305"/>
    </row>
    <row r="194" spans="1:13" s="78" customFormat="1" ht="12.75">
      <c r="A194" s="647"/>
      <c r="B194" s="223" t="s">
        <v>1434</v>
      </c>
      <c r="C194" s="200"/>
      <c r="D194" s="200"/>
      <c r="E194" s="200"/>
      <c r="F194" s="200"/>
      <c r="G194" s="200"/>
      <c r="H194" s="200"/>
      <c r="I194" s="200"/>
      <c r="J194" s="200"/>
      <c r="K194" s="200"/>
      <c r="L194" s="200"/>
      <c r="M194" s="305" t="s">
        <v>1435</v>
      </c>
    </row>
    <row r="195" spans="1:13" s="78" customFormat="1" ht="12.75">
      <c r="A195" s="647"/>
      <c r="B195" s="223" t="s">
        <v>1436</v>
      </c>
      <c r="C195" s="200"/>
      <c r="D195" s="200"/>
      <c r="E195" s="200"/>
      <c r="F195" s="200"/>
      <c r="G195" s="200"/>
      <c r="H195" s="200"/>
      <c r="I195" s="200"/>
      <c r="J195" s="200"/>
      <c r="K195" s="200" t="s">
        <v>1386</v>
      </c>
      <c r="L195" s="200"/>
      <c r="M195" s="305"/>
    </row>
    <row r="196" spans="1:13" s="78" customFormat="1" ht="25.9" customHeight="1">
      <c r="A196" s="647"/>
      <c r="B196" s="223" t="s">
        <v>1437</v>
      </c>
      <c r="C196" s="200" t="s">
        <v>1386</v>
      </c>
      <c r="D196" s="200"/>
      <c r="E196" s="200"/>
      <c r="F196" s="200"/>
      <c r="G196" s="200"/>
      <c r="H196" s="200"/>
      <c r="I196" s="200"/>
      <c r="J196" s="200"/>
      <c r="K196" s="200"/>
      <c r="L196" s="200"/>
      <c r="M196" s="305"/>
    </row>
    <row r="197" spans="1:13" s="78" customFormat="1" ht="12.75">
      <c r="A197" s="647"/>
      <c r="B197" s="223" t="s">
        <v>1439</v>
      </c>
      <c r="C197" s="200" t="s">
        <v>1386</v>
      </c>
      <c r="D197" s="200"/>
      <c r="E197" s="200"/>
      <c r="F197" s="200"/>
      <c r="G197" s="200"/>
      <c r="H197" s="200"/>
      <c r="I197" s="200"/>
      <c r="J197" s="200"/>
      <c r="K197" s="200"/>
      <c r="L197" s="200"/>
      <c r="M197" s="488"/>
    </row>
    <row r="198" spans="1:13" s="78" customFormat="1" ht="25.5">
      <c r="A198" s="647"/>
      <c r="B198" s="223" t="s">
        <v>1440</v>
      </c>
      <c r="C198" s="200"/>
      <c r="D198" s="200" t="s">
        <v>1386</v>
      </c>
      <c r="E198" s="200"/>
      <c r="F198" s="200"/>
      <c r="G198" s="200"/>
      <c r="H198" s="200"/>
      <c r="I198" s="200"/>
      <c r="J198" s="200"/>
      <c r="K198" s="200"/>
      <c r="L198" s="200"/>
      <c r="M198" s="305"/>
    </row>
    <row r="199" spans="1:13" s="78" customFormat="1" ht="12.75">
      <c r="A199" s="647"/>
      <c r="B199" s="223" t="s">
        <v>1441</v>
      </c>
      <c r="C199" s="200"/>
      <c r="D199" s="200"/>
      <c r="E199" s="200" t="s">
        <v>1386</v>
      </c>
      <c r="F199" s="200"/>
      <c r="G199" s="200"/>
      <c r="H199" s="200"/>
      <c r="I199" s="200"/>
      <c r="J199" s="200"/>
      <c r="K199" s="200" t="s">
        <v>1386</v>
      </c>
      <c r="L199" s="200"/>
      <c r="M199" s="489"/>
    </row>
    <row r="200" spans="1:13" s="78" customFormat="1" ht="51">
      <c r="A200" s="647"/>
      <c r="B200" s="223" t="s">
        <v>1442</v>
      </c>
      <c r="C200" s="200"/>
      <c r="D200" s="200"/>
      <c r="E200" s="200"/>
      <c r="F200" s="200"/>
      <c r="G200" s="200"/>
      <c r="H200" s="200"/>
      <c r="I200" s="200"/>
      <c r="J200" s="200"/>
      <c r="K200" s="200"/>
      <c r="L200" s="200"/>
      <c r="M200" s="305" t="s">
        <v>1443</v>
      </c>
    </row>
    <row r="201" spans="1:13" s="78" customFormat="1" ht="25.5">
      <c r="A201" s="647"/>
      <c r="B201" s="222" t="s">
        <v>1444</v>
      </c>
      <c r="C201" s="200"/>
      <c r="D201" s="200" t="s">
        <v>1386</v>
      </c>
      <c r="E201" s="200"/>
      <c r="F201" s="200"/>
      <c r="G201" s="200"/>
      <c r="H201" s="200"/>
      <c r="I201" s="200"/>
      <c r="J201" s="200"/>
      <c r="K201" s="200"/>
      <c r="L201" s="200"/>
      <c r="M201" s="488"/>
    </row>
    <row r="202" spans="1:13" s="78" customFormat="1" ht="38.25">
      <c r="A202" s="647"/>
      <c r="B202" s="223" t="s">
        <v>1445</v>
      </c>
      <c r="C202" s="200"/>
      <c r="D202" s="200"/>
      <c r="E202" s="200"/>
      <c r="F202" s="200"/>
      <c r="G202" s="200"/>
      <c r="H202" s="200"/>
      <c r="I202" s="200"/>
      <c r="J202" s="200"/>
      <c r="K202" s="200"/>
      <c r="L202" s="200"/>
      <c r="M202" s="305" t="s">
        <v>1532</v>
      </c>
    </row>
    <row r="203" spans="1:13" s="78" customFormat="1" ht="12.75">
      <c r="A203" s="647"/>
      <c r="B203" s="223" t="s">
        <v>1446</v>
      </c>
      <c r="C203" s="200" t="s">
        <v>1386</v>
      </c>
      <c r="D203" s="200"/>
      <c r="E203" s="200"/>
      <c r="F203" s="200"/>
      <c r="G203" s="200"/>
      <c r="H203" s="200"/>
      <c r="I203" s="200"/>
      <c r="J203" s="200"/>
      <c r="K203" s="200"/>
      <c r="L203" s="200"/>
      <c r="M203" s="305"/>
    </row>
    <row r="204" spans="1:13" s="78" customFormat="1" ht="12.4" customHeight="1">
      <c r="A204" s="647" t="s">
        <v>256</v>
      </c>
      <c r="B204" s="223" t="s">
        <v>1447</v>
      </c>
      <c r="C204" s="200"/>
      <c r="D204" s="200"/>
      <c r="E204" s="200"/>
      <c r="F204" s="200"/>
      <c r="G204" s="200"/>
      <c r="H204" s="200"/>
      <c r="I204" s="200"/>
      <c r="J204" s="200"/>
      <c r="K204" s="200" t="s">
        <v>1386</v>
      </c>
      <c r="L204" s="200"/>
      <c r="M204" s="305"/>
    </row>
    <row r="205" spans="1:13" s="78" customFormat="1" ht="12.4" customHeight="1">
      <c r="A205" s="647"/>
      <c r="B205" s="223" t="s">
        <v>1449</v>
      </c>
      <c r="C205" s="200"/>
      <c r="D205" s="200"/>
      <c r="E205" s="200"/>
      <c r="F205" s="200"/>
      <c r="G205" s="200"/>
      <c r="H205" s="200"/>
      <c r="I205" s="200"/>
      <c r="J205" s="200"/>
      <c r="K205" s="200" t="s">
        <v>1386</v>
      </c>
      <c r="L205" s="200"/>
      <c r="M205" s="305"/>
    </row>
    <row r="206" spans="1:13" s="78" customFormat="1" ht="12.75">
      <c r="A206" s="647"/>
      <c r="B206" s="223" t="s">
        <v>1450</v>
      </c>
      <c r="C206" s="200"/>
      <c r="D206" s="200"/>
      <c r="E206" s="200"/>
      <c r="F206" s="200"/>
      <c r="G206" s="200"/>
      <c r="H206" s="200"/>
      <c r="I206" s="200"/>
      <c r="J206" s="200"/>
      <c r="K206" s="200" t="s">
        <v>1386</v>
      </c>
      <c r="L206" s="200"/>
      <c r="M206" s="305"/>
    </row>
    <row r="207" spans="1:13" s="78" customFormat="1" ht="12.75">
      <c r="A207" s="647"/>
      <c r="B207" s="223" t="s">
        <v>1451</v>
      </c>
      <c r="C207" s="200"/>
      <c r="D207" s="200"/>
      <c r="E207" s="200"/>
      <c r="F207" s="200"/>
      <c r="G207" s="200"/>
      <c r="H207" s="200"/>
      <c r="I207" s="200"/>
      <c r="J207" s="200"/>
      <c r="K207" s="200"/>
      <c r="L207" s="200" t="s">
        <v>1386</v>
      </c>
      <c r="M207" s="305"/>
    </row>
    <row r="208" spans="1:13" s="78" customFormat="1" ht="12.75">
      <c r="A208" s="647"/>
      <c r="B208" s="223" t="s">
        <v>1452</v>
      </c>
      <c r="C208" s="200"/>
      <c r="D208" s="200"/>
      <c r="E208" s="200"/>
      <c r="F208" s="200"/>
      <c r="G208" s="200"/>
      <c r="H208" s="200"/>
      <c r="I208" s="200"/>
      <c r="J208" s="200"/>
      <c r="K208" s="200"/>
      <c r="L208" s="200" t="s">
        <v>1386</v>
      </c>
      <c r="M208" s="305"/>
    </row>
    <row r="209" spans="1:13" s="78" customFormat="1" ht="12.75">
      <c r="A209" s="647"/>
      <c r="B209" s="223" t="s">
        <v>1453</v>
      </c>
      <c r="C209" s="200"/>
      <c r="D209" s="200"/>
      <c r="E209" s="200"/>
      <c r="F209" s="200"/>
      <c r="G209" s="200"/>
      <c r="H209" s="200"/>
      <c r="I209" s="200"/>
      <c r="J209" s="200"/>
      <c r="K209" s="200"/>
      <c r="L209" s="200" t="s">
        <v>1386</v>
      </c>
      <c r="M209" s="305"/>
    </row>
    <row r="210" spans="1:13" s="78" customFormat="1" ht="12.75">
      <c r="A210" s="647"/>
      <c r="B210" s="223" t="s">
        <v>1454</v>
      </c>
      <c r="C210" s="200"/>
      <c r="D210" s="200"/>
      <c r="E210" s="200"/>
      <c r="F210" s="200"/>
      <c r="G210" s="200"/>
      <c r="H210" s="200"/>
      <c r="I210" s="200"/>
      <c r="J210" s="200"/>
      <c r="K210" s="200"/>
      <c r="L210" s="200" t="s">
        <v>1386</v>
      </c>
      <c r="M210" s="305"/>
    </row>
    <row r="211" spans="1:13" s="78" customFormat="1" ht="38.25">
      <c r="A211" s="647"/>
      <c r="B211" s="223" t="s">
        <v>1455</v>
      </c>
      <c r="C211" s="200"/>
      <c r="D211" s="200"/>
      <c r="E211" s="200"/>
      <c r="F211" s="200"/>
      <c r="G211" s="200"/>
      <c r="H211" s="200"/>
      <c r="I211" s="200"/>
      <c r="J211" s="200"/>
      <c r="K211" s="200"/>
      <c r="L211" s="200"/>
      <c r="M211" s="489" t="s">
        <v>1456</v>
      </c>
    </row>
    <row r="212" spans="1:13" s="78" customFormat="1" ht="12.75">
      <c r="A212" s="647"/>
      <c r="B212" s="223" t="s">
        <v>1457</v>
      </c>
      <c r="C212" s="200"/>
      <c r="D212" s="200"/>
      <c r="E212" s="200"/>
      <c r="F212" s="200"/>
      <c r="G212" s="200"/>
      <c r="H212" s="200"/>
      <c r="I212" s="200"/>
      <c r="J212" s="200"/>
      <c r="K212" s="200"/>
      <c r="L212" s="200" t="s">
        <v>1386</v>
      </c>
      <c r="M212" s="305"/>
    </row>
    <row r="213" spans="1:13" s="78" customFormat="1" ht="12.75">
      <c r="A213" s="647"/>
      <c r="B213" s="223" t="s">
        <v>1458</v>
      </c>
      <c r="C213" s="200"/>
      <c r="D213" s="200"/>
      <c r="E213" s="200"/>
      <c r="F213" s="200"/>
      <c r="G213" s="200"/>
      <c r="H213" s="200"/>
      <c r="I213" s="200"/>
      <c r="J213" s="200"/>
      <c r="K213" s="200"/>
      <c r="L213" s="200" t="s">
        <v>1386</v>
      </c>
      <c r="M213" s="305"/>
    </row>
    <row r="214" spans="1:13" s="78" customFormat="1" ht="12.75">
      <c r="A214" s="647"/>
      <c r="B214" s="222" t="s">
        <v>1459</v>
      </c>
      <c r="C214" s="200"/>
      <c r="D214" s="200"/>
      <c r="E214" s="200"/>
      <c r="F214" s="200"/>
      <c r="G214" s="200"/>
      <c r="H214" s="200"/>
      <c r="I214" s="200"/>
      <c r="J214" s="200"/>
      <c r="K214" s="200" t="s">
        <v>1386</v>
      </c>
      <c r="L214" s="200"/>
      <c r="M214" s="489"/>
    </row>
    <row r="215" spans="1:13" s="78" customFormat="1" ht="12.75">
      <c r="A215" s="647"/>
      <c r="B215" s="223" t="s">
        <v>1460</v>
      </c>
      <c r="C215" s="200"/>
      <c r="D215" s="200"/>
      <c r="E215" s="200"/>
      <c r="F215" s="200"/>
      <c r="G215" s="200"/>
      <c r="H215" s="200"/>
      <c r="I215" s="200"/>
      <c r="J215" s="200"/>
      <c r="K215" s="200"/>
      <c r="L215" s="200" t="s">
        <v>1386</v>
      </c>
      <c r="M215" s="305"/>
    </row>
    <row r="216" spans="1:13" s="78" customFormat="1" ht="12.75">
      <c r="A216" s="647"/>
      <c r="B216" s="223" t="s">
        <v>1461</v>
      </c>
      <c r="C216" s="200"/>
      <c r="D216" s="200"/>
      <c r="E216" s="200"/>
      <c r="F216" s="200"/>
      <c r="G216" s="200"/>
      <c r="H216" s="200"/>
      <c r="I216" s="200"/>
      <c r="J216" s="200"/>
      <c r="K216" s="200"/>
      <c r="L216" s="200" t="s">
        <v>1386</v>
      </c>
      <c r="M216" s="305"/>
    </row>
    <row r="217" spans="1:13" s="78" customFormat="1" ht="12.4" customHeight="1">
      <c r="A217" s="647"/>
      <c r="B217" s="223" t="s">
        <v>1462</v>
      </c>
      <c r="C217" s="200"/>
      <c r="D217" s="200"/>
      <c r="E217" s="200"/>
      <c r="F217" s="200"/>
      <c r="G217" s="200"/>
      <c r="H217" s="200"/>
      <c r="I217" s="200"/>
      <c r="J217" s="200" t="s">
        <v>1386</v>
      </c>
      <c r="K217" s="200"/>
      <c r="L217" s="200"/>
      <c r="M217" s="305"/>
    </row>
    <row r="218" spans="1:13" s="78" customFormat="1" ht="25.15" customHeight="1">
      <c r="A218" s="647"/>
      <c r="B218" s="223" t="s">
        <v>1463</v>
      </c>
      <c r="C218" s="200" t="s">
        <v>1386</v>
      </c>
      <c r="D218" s="200"/>
      <c r="E218" s="200"/>
      <c r="F218" s="200"/>
      <c r="G218" s="200"/>
      <c r="H218" s="200"/>
      <c r="I218" s="200"/>
      <c r="J218" s="200"/>
      <c r="K218" s="200"/>
      <c r="L218" s="200"/>
      <c r="M218" s="305"/>
    </row>
    <row r="219" spans="1:13" s="78" customFormat="1" ht="12.75">
      <c r="A219" s="647"/>
      <c r="B219" s="223" t="s">
        <v>1464</v>
      </c>
      <c r="C219" s="200"/>
      <c r="D219" s="200"/>
      <c r="E219" s="200"/>
      <c r="F219" s="200"/>
      <c r="G219" s="200"/>
      <c r="H219" s="200"/>
      <c r="I219" s="200"/>
      <c r="J219" s="200"/>
      <c r="K219" s="200"/>
      <c r="L219" s="200" t="s">
        <v>1386</v>
      </c>
      <c r="M219" s="305"/>
    </row>
    <row r="220" spans="1:13" s="78" customFormat="1" ht="12.75">
      <c r="A220" s="647"/>
      <c r="B220" s="223" t="s">
        <v>1465</v>
      </c>
      <c r="C220" s="200"/>
      <c r="D220" s="200"/>
      <c r="E220" s="200"/>
      <c r="F220" s="200" t="s">
        <v>1386</v>
      </c>
      <c r="G220" s="200"/>
      <c r="H220" s="200"/>
      <c r="I220" s="200"/>
      <c r="J220" s="488"/>
      <c r="K220" s="200"/>
      <c r="L220" s="200"/>
      <c r="M220" s="305"/>
    </row>
    <row r="221" spans="1:13" s="78" customFormat="1" ht="12.75">
      <c r="A221" s="647"/>
      <c r="B221" s="223" t="s">
        <v>1466</v>
      </c>
      <c r="C221" s="200"/>
      <c r="D221" s="200"/>
      <c r="E221" s="200"/>
      <c r="F221" s="200"/>
      <c r="G221" s="200"/>
      <c r="H221" s="200"/>
      <c r="I221" s="200"/>
      <c r="J221" s="488"/>
      <c r="K221" s="200"/>
      <c r="L221" s="200" t="s">
        <v>1386</v>
      </c>
      <c r="M221" s="305"/>
    </row>
    <row r="222" spans="1:13" s="78" customFormat="1" ht="12.75">
      <c r="A222" s="647"/>
      <c r="B222" s="223" t="s">
        <v>1467</v>
      </c>
      <c r="C222" s="200"/>
      <c r="D222" s="200"/>
      <c r="E222" s="200"/>
      <c r="F222" s="200"/>
      <c r="G222" s="200"/>
      <c r="H222" s="200"/>
      <c r="I222" s="200"/>
      <c r="J222" s="200"/>
      <c r="K222" s="200"/>
      <c r="L222" s="200" t="s">
        <v>1386</v>
      </c>
      <c r="M222" s="305"/>
    </row>
    <row r="223" spans="1:13" s="78" customFormat="1" ht="12.4" customHeight="1">
      <c r="A223" s="647"/>
      <c r="B223" s="223" t="s">
        <v>1468</v>
      </c>
      <c r="C223" s="200"/>
      <c r="D223" s="200"/>
      <c r="E223" s="200"/>
      <c r="F223" s="200"/>
      <c r="G223" s="200"/>
      <c r="H223" s="200"/>
      <c r="I223" s="200"/>
      <c r="J223" s="200"/>
      <c r="K223" s="200"/>
      <c r="L223" s="200" t="s">
        <v>1386</v>
      </c>
      <c r="M223" s="305"/>
    </row>
    <row r="224" spans="1:13" s="78" customFormat="1" ht="12.75">
      <c r="A224" s="647"/>
      <c r="B224" s="223" t="s">
        <v>1469</v>
      </c>
      <c r="C224" s="200"/>
      <c r="D224" s="200"/>
      <c r="E224" s="200"/>
      <c r="F224" s="200"/>
      <c r="G224" s="200"/>
      <c r="H224" s="200"/>
      <c r="I224" s="200"/>
      <c r="J224" s="200"/>
      <c r="K224" s="200"/>
      <c r="L224" s="200" t="s">
        <v>1386</v>
      </c>
      <c r="M224" s="305"/>
    </row>
    <row r="225" spans="1:13" s="78" customFormat="1" ht="12.75">
      <c r="A225" s="647"/>
      <c r="B225" s="223" t="s">
        <v>1470</v>
      </c>
      <c r="C225" s="200"/>
      <c r="D225" s="200"/>
      <c r="E225" s="200"/>
      <c r="F225" s="200"/>
      <c r="G225" s="200"/>
      <c r="H225" s="200"/>
      <c r="I225" s="200"/>
      <c r="J225" s="200"/>
      <c r="K225" s="200" t="s">
        <v>1386</v>
      </c>
      <c r="L225" s="200"/>
      <c r="M225" s="305"/>
    </row>
    <row r="226" spans="1:13" s="78" customFormat="1" ht="12.75">
      <c r="A226" s="647"/>
      <c r="B226" s="223" t="s">
        <v>1471</v>
      </c>
      <c r="C226" s="200" t="s">
        <v>1386</v>
      </c>
      <c r="D226" s="200"/>
      <c r="E226" s="200"/>
      <c r="F226" s="200"/>
      <c r="G226" s="200"/>
      <c r="H226" s="200"/>
      <c r="I226" s="200"/>
      <c r="J226" s="200"/>
      <c r="K226" s="200"/>
      <c r="L226" s="200"/>
      <c r="M226" s="305"/>
    </row>
    <row r="227" spans="1:13" s="78" customFormat="1" ht="25.5">
      <c r="A227" s="647"/>
      <c r="B227" s="223" t="s">
        <v>1472</v>
      </c>
      <c r="C227" s="200"/>
      <c r="D227" s="200"/>
      <c r="E227" s="200"/>
      <c r="F227" s="200"/>
      <c r="G227" s="200"/>
      <c r="H227" s="200"/>
      <c r="I227" s="200"/>
      <c r="J227" s="200"/>
      <c r="K227" s="200"/>
      <c r="L227" s="200" t="s">
        <v>1386</v>
      </c>
      <c r="M227" s="305"/>
    </row>
    <row r="228" spans="1:13" s="78" customFormat="1" ht="12.75">
      <c r="A228" s="647"/>
      <c r="B228" s="223" t="s">
        <v>1473</v>
      </c>
      <c r="C228" s="200"/>
      <c r="D228" s="200"/>
      <c r="E228" s="200"/>
      <c r="F228" s="200"/>
      <c r="G228" s="200"/>
      <c r="H228" s="200"/>
      <c r="I228" s="200"/>
      <c r="J228" s="200"/>
      <c r="K228" s="200"/>
      <c r="L228" s="200" t="s">
        <v>1386</v>
      </c>
      <c r="M228" s="305"/>
    </row>
    <row r="229" spans="1:13" s="78" customFormat="1" ht="12.75">
      <c r="A229" s="647"/>
      <c r="B229" s="223" t="s">
        <v>1474</v>
      </c>
      <c r="C229" s="200"/>
      <c r="D229" s="200"/>
      <c r="E229" s="200"/>
      <c r="F229" s="200"/>
      <c r="G229" s="200"/>
      <c r="H229" s="200"/>
      <c r="I229" s="200"/>
      <c r="J229" s="200"/>
      <c r="K229" s="200" t="s">
        <v>1386</v>
      </c>
      <c r="L229" s="200"/>
      <c r="M229" s="305"/>
    </row>
    <row r="230" spans="1:13" s="78" customFormat="1" ht="12.4" customHeight="1">
      <c r="A230" s="647"/>
      <c r="B230" s="223" t="s">
        <v>1475</v>
      </c>
      <c r="C230" s="200"/>
      <c r="D230" s="200"/>
      <c r="E230" s="200"/>
      <c r="F230" s="200"/>
      <c r="G230" s="200"/>
      <c r="H230" s="200"/>
      <c r="I230" s="200"/>
      <c r="J230" s="200"/>
      <c r="K230" s="200"/>
      <c r="L230" s="200" t="s">
        <v>1386</v>
      </c>
      <c r="M230" s="305"/>
    </row>
    <row r="231" spans="1:13" s="78" customFormat="1" ht="12.75">
      <c r="A231" s="647"/>
      <c r="B231" s="223" t="s">
        <v>1476</v>
      </c>
      <c r="C231" s="200"/>
      <c r="D231" s="200"/>
      <c r="E231" s="200"/>
      <c r="F231" s="200"/>
      <c r="G231" s="200"/>
      <c r="H231" s="200"/>
      <c r="I231" s="200"/>
      <c r="J231" s="200"/>
      <c r="K231" s="200" t="s">
        <v>1386</v>
      </c>
      <c r="L231" s="200"/>
      <c r="M231" s="305"/>
    </row>
    <row r="232" spans="1:13" s="78" customFormat="1" ht="25.5">
      <c r="A232" s="647"/>
      <c r="B232" s="223" t="s">
        <v>1477</v>
      </c>
      <c r="C232" s="200" t="s">
        <v>1386</v>
      </c>
      <c r="D232" s="200"/>
      <c r="E232" s="200"/>
      <c r="F232" s="200"/>
      <c r="G232" s="200"/>
      <c r="H232" s="200"/>
      <c r="I232" s="200"/>
      <c r="J232" s="200"/>
      <c r="K232" s="200"/>
      <c r="L232" s="200"/>
      <c r="M232" s="305"/>
    </row>
    <row r="233" spans="1:13" s="78" customFormat="1" ht="25.5">
      <c r="A233" s="647"/>
      <c r="B233" s="223" t="s">
        <v>1478</v>
      </c>
      <c r="C233" s="200"/>
      <c r="D233" s="200"/>
      <c r="E233" s="200"/>
      <c r="F233" s="200"/>
      <c r="G233" s="200"/>
      <c r="H233" s="200"/>
      <c r="I233" s="200"/>
      <c r="J233" s="200"/>
      <c r="K233" s="200" t="s">
        <v>1386</v>
      </c>
      <c r="L233" s="200"/>
      <c r="M233" s="305"/>
    </row>
    <row r="234" spans="1:13" s="78" customFormat="1" ht="12.75">
      <c r="A234" s="647"/>
      <c r="B234" s="223" t="s">
        <v>1479</v>
      </c>
      <c r="C234" s="200"/>
      <c r="D234" s="200"/>
      <c r="E234" s="200"/>
      <c r="F234" s="200"/>
      <c r="G234" s="200"/>
      <c r="H234" s="200"/>
      <c r="I234" s="200"/>
      <c r="J234" s="200"/>
      <c r="K234" s="200" t="s">
        <v>1386</v>
      </c>
      <c r="L234" s="200"/>
      <c r="M234" s="305"/>
    </row>
    <row r="235" spans="1:13" s="78" customFormat="1" ht="12.75">
      <c r="A235" s="647"/>
      <c r="B235" s="223" t="s">
        <v>1480</v>
      </c>
      <c r="C235" s="200" t="s">
        <v>1386</v>
      </c>
      <c r="D235" s="200"/>
      <c r="E235" s="200"/>
      <c r="F235" s="200"/>
      <c r="G235" s="200"/>
      <c r="H235" s="200"/>
      <c r="I235" s="200"/>
      <c r="J235" s="200"/>
      <c r="K235" s="200"/>
      <c r="L235" s="200"/>
      <c r="M235" s="305"/>
    </row>
    <row r="236" spans="1:13" s="78" customFormat="1" ht="25.5">
      <c r="A236" s="647"/>
      <c r="B236" s="223" t="s">
        <v>1481</v>
      </c>
      <c r="C236" s="200"/>
      <c r="D236" s="200"/>
      <c r="E236" s="200"/>
      <c r="F236" s="200"/>
      <c r="G236" s="200"/>
      <c r="H236" s="200"/>
      <c r="I236" s="200"/>
      <c r="J236" s="200"/>
      <c r="K236" s="200" t="s">
        <v>1386</v>
      </c>
      <c r="L236" s="200"/>
      <c r="M236" s="305"/>
    </row>
    <row r="237" spans="1:13" s="78" customFormat="1" ht="12.75">
      <c r="A237" s="647"/>
      <c r="B237" s="223" t="s">
        <v>1482</v>
      </c>
      <c r="C237" s="200"/>
      <c r="D237" s="200"/>
      <c r="E237" s="200"/>
      <c r="F237" s="200"/>
      <c r="G237" s="200"/>
      <c r="H237" s="200"/>
      <c r="I237" s="200"/>
      <c r="J237" s="200"/>
      <c r="K237" s="200"/>
      <c r="L237" s="200" t="s">
        <v>1386</v>
      </c>
      <c r="M237" s="305"/>
    </row>
    <row r="238" spans="1:13" s="78" customFormat="1" ht="12.75">
      <c r="A238" s="647"/>
      <c r="B238" s="223" t="s">
        <v>1483</v>
      </c>
      <c r="C238" s="200"/>
      <c r="D238" s="200"/>
      <c r="E238" s="200"/>
      <c r="F238" s="200"/>
      <c r="G238" s="200"/>
      <c r="H238" s="200"/>
      <c r="I238" s="200"/>
      <c r="J238" s="200"/>
      <c r="K238" s="200" t="s">
        <v>1386</v>
      </c>
      <c r="L238" s="200"/>
      <c r="M238" s="305"/>
    </row>
    <row r="239" spans="1:13" s="78" customFormat="1" ht="12.75">
      <c r="A239" s="647"/>
      <c r="B239" s="223" t="s">
        <v>1484</v>
      </c>
      <c r="C239" s="200"/>
      <c r="D239" s="200"/>
      <c r="E239" s="200"/>
      <c r="F239" s="200"/>
      <c r="G239" s="200"/>
      <c r="H239" s="200"/>
      <c r="I239" s="200"/>
      <c r="J239" s="200"/>
      <c r="K239" s="200"/>
      <c r="L239" s="200" t="s">
        <v>1386</v>
      </c>
      <c r="M239" s="305"/>
    </row>
    <row r="240" spans="1:13" s="78" customFormat="1" ht="25.5">
      <c r="A240" s="647"/>
      <c r="B240" s="223" t="s">
        <v>1485</v>
      </c>
      <c r="C240" s="200"/>
      <c r="D240" s="200"/>
      <c r="E240" s="200"/>
      <c r="F240" s="200"/>
      <c r="G240" s="200"/>
      <c r="H240" s="200"/>
      <c r="I240" s="200"/>
      <c r="J240" s="200"/>
      <c r="K240" s="200"/>
      <c r="L240" s="200" t="s">
        <v>1386</v>
      </c>
      <c r="M240" s="305"/>
    </row>
    <row r="241" spans="1:13" s="78" customFormat="1" ht="12.75">
      <c r="A241" s="647"/>
      <c r="B241" s="223" t="s">
        <v>1486</v>
      </c>
      <c r="C241" s="200"/>
      <c r="D241" s="200"/>
      <c r="E241" s="200"/>
      <c r="F241" s="200"/>
      <c r="G241" s="200"/>
      <c r="H241" s="200"/>
      <c r="I241" s="200"/>
      <c r="J241" s="200"/>
      <c r="K241" s="200"/>
      <c r="L241" s="200" t="s">
        <v>1386</v>
      </c>
      <c r="M241" s="305"/>
    </row>
    <row r="242" spans="1:13" s="78" customFormat="1" ht="12.75">
      <c r="A242" s="647"/>
      <c r="B242" s="223" t="s">
        <v>1487</v>
      </c>
      <c r="C242" s="200"/>
      <c r="D242" s="200"/>
      <c r="E242" s="200"/>
      <c r="F242" s="200"/>
      <c r="G242" s="200"/>
      <c r="H242" s="200"/>
      <c r="I242" s="200"/>
      <c r="J242" s="200"/>
      <c r="K242" s="200"/>
      <c r="L242" s="200" t="s">
        <v>1386</v>
      </c>
      <c r="M242" s="305"/>
    </row>
    <row r="243" spans="1:13" s="78" customFormat="1" ht="12.75">
      <c r="A243" s="647"/>
      <c r="B243" s="223" t="s">
        <v>1488</v>
      </c>
      <c r="C243" s="200"/>
      <c r="D243" s="200"/>
      <c r="E243" s="200"/>
      <c r="F243" s="200"/>
      <c r="G243" s="200"/>
      <c r="H243" s="200"/>
      <c r="I243" s="200"/>
      <c r="J243" s="200"/>
      <c r="K243" s="200"/>
      <c r="L243" s="200" t="s">
        <v>1386</v>
      </c>
      <c r="M243" s="305"/>
    </row>
    <row r="244" spans="1:13" s="78" customFormat="1" ht="25.5">
      <c r="A244" s="647"/>
      <c r="B244" s="223" t="s">
        <v>1489</v>
      </c>
      <c r="C244" s="200"/>
      <c r="D244" s="200"/>
      <c r="E244" s="200"/>
      <c r="F244" s="200"/>
      <c r="G244" s="200"/>
      <c r="H244" s="200"/>
      <c r="I244" s="200"/>
      <c r="J244" s="200"/>
      <c r="K244" s="200"/>
      <c r="L244" s="200"/>
      <c r="M244" s="489" t="s">
        <v>1490</v>
      </c>
    </row>
    <row r="245" spans="1:13" s="78" customFormat="1" ht="25.5">
      <c r="A245" s="647"/>
      <c r="B245" s="223" t="s">
        <v>1491</v>
      </c>
      <c r="C245" s="200"/>
      <c r="D245" s="200"/>
      <c r="E245" s="200"/>
      <c r="F245" s="200"/>
      <c r="G245" s="200"/>
      <c r="H245" s="200"/>
      <c r="I245" s="200"/>
      <c r="J245" s="200"/>
      <c r="K245" s="200"/>
      <c r="L245" s="200" t="s">
        <v>1386</v>
      </c>
      <c r="M245" s="305"/>
    </row>
    <row r="246" spans="1:13" s="78" customFormat="1" ht="12.75">
      <c r="A246" s="647"/>
      <c r="B246" s="223" t="s">
        <v>1492</v>
      </c>
      <c r="C246" s="200"/>
      <c r="D246" s="200"/>
      <c r="E246" s="200"/>
      <c r="F246" s="200"/>
      <c r="G246" s="200"/>
      <c r="H246" s="200"/>
      <c r="I246" s="200"/>
      <c r="J246" s="200"/>
      <c r="K246" s="200" t="s">
        <v>1386</v>
      </c>
      <c r="L246" s="200"/>
      <c r="M246" s="305"/>
    </row>
    <row r="247" spans="1:13" s="78" customFormat="1" ht="12.75">
      <c r="A247" s="647"/>
      <c r="B247" s="223" t="s">
        <v>1493</v>
      </c>
      <c r="C247" s="200"/>
      <c r="D247" s="200"/>
      <c r="E247" s="200"/>
      <c r="F247" s="200"/>
      <c r="G247" s="200"/>
      <c r="H247" s="200"/>
      <c r="I247" s="200"/>
      <c r="J247" s="200"/>
      <c r="K247" s="200"/>
      <c r="L247" s="200" t="s">
        <v>1386</v>
      </c>
      <c r="M247" s="305"/>
    </row>
    <row r="248" spans="1:13" s="78" customFormat="1" ht="12.75">
      <c r="A248" s="647"/>
      <c r="B248" s="223" t="s">
        <v>1494</v>
      </c>
      <c r="C248" s="200"/>
      <c r="D248" s="200"/>
      <c r="E248" s="200"/>
      <c r="F248" s="200"/>
      <c r="G248" s="200"/>
      <c r="H248" s="200"/>
      <c r="I248" s="200"/>
      <c r="J248" s="200"/>
      <c r="K248" s="200"/>
      <c r="L248" s="200" t="s">
        <v>1386</v>
      </c>
      <c r="M248" s="489"/>
    </row>
    <row r="249" spans="1:13" s="78" customFormat="1" ht="12.75">
      <c r="A249" s="647"/>
      <c r="B249" s="223" t="s">
        <v>1495</v>
      </c>
      <c r="C249" s="200"/>
      <c r="D249" s="200"/>
      <c r="E249" s="200"/>
      <c r="F249" s="200"/>
      <c r="G249" s="200"/>
      <c r="H249" s="200"/>
      <c r="I249" s="200"/>
      <c r="J249" s="200"/>
      <c r="K249" s="200" t="s">
        <v>1386</v>
      </c>
      <c r="L249" s="200"/>
      <c r="M249" s="305"/>
    </row>
    <row r="250" spans="1:13" s="78" customFormat="1" ht="12.75">
      <c r="A250" s="647"/>
      <c r="B250" s="223" t="s">
        <v>1496</v>
      </c>
      <c r="C250" s="200"/>
      <c r="D250" s="200"/>
      <c r="E250" s="200"/>
      <c r="F250" s="200"/>
      <c r="G250" s="200"/>
      <c r="H250" s="200"/>
      <c r="I250" s="200"/>
      <c r="J250" s="200"/>
      <c r="K250" s="200"/>
      <c r="L250" s="200" t="s">
        <v>1386</v>
      </c>
      <c r="M250" s="305"/>
    </row>
    <row r="251" spans="1:13" s="78" customFormat="1" ht="12.75">
      <c r="A251" s="647"/>
      <c r="B251" s="223" t="s">
        <v>1497</v>
      </c>
      <c r="C251" s="200"/>
      <c r="D251" s="200"/>
      <c r="E251" s="200"/>
      <c r="F251" s="200"/>
      <c r="G251" s="200"/>
      <c r="H251" s="200"/>
      <c r="I251" s="200"/>
      <c r="J251" s="200"/>
      <c r="K251" s="200" t="s">
        <v>1386</v>
      </c>
      <c r="L251" s="200"/>
      <c r="M251" s="305"/>
    </row>
    <row r="252" spans="1:13" s="78" customFormat="1" ht="25.5">
      <c r="A252" s="647"/>
      <c r="B252" s="223" t="s">
        <v>1498</v>
      </c>
      <c r="C252" s="200"/>
      <c r="D252" s="200" t="s">
        <v>1386</v>
      </c>
      <c r="E252" s="200"/>
      <c r="F252" s="200"/>
      <c r="G252" s="200"/>
      <c r="H252" s="200"/>
      <c r="I252" s="200"/>
      <c r="J252" s="200"/>
      <c r="K252" s="200"/>
      <c r="L252" s="200"/>
      <c r="M252" s="305"/>
    </row>
    <row r="253" spans="1:13" s="78" customFormat="1" ht="12.75">
      <c r="A253" s="647"/>
      <c r="B253" s="223" t="s">
        <v>1499</v>
      </c>
      <c r="C253" s="200"/>
      <c r="D253" s="200"/>
      <c r="E253" s="200"/>
      <c r="F253" s="200"/>
      <c r="G253" s="200"/>
      <c r="H253" s="200"/>
      <c r="I253" s="200"/>
      <c r="J253" s="200"/>
      <c r="K253" s="200" t="s">
        <v>1386</v>
      </c>
      <c r="L253" s="200"/>
      <c r="M253" s="305"/>
    </row>
    <row r="254" spans="1:13" s="78" customFormat="1" ht="12.75">
      <c r="A254" s="647"/>
      <c r="B254" s="223" t="s">
        <v>1500</v>
      </c>
      <c r="C254" s="200"/>
      <c r="D254" s="200"/>
      <c r="E254" s="200"/>
      <c r="F254" s="200"/>
      <c r="G254" s="200"/>
      <c r="H254" s="200"/>
      <c r="I254" s="200"/>
      <c r="J254" s="200"/>
      <c r="K254" s="200"/>
      <c r="L254" s="200" t="s">
        <v>1386</v>
      </c>
      <c r="M254" s="305"/>
    </row>
    <row r="255" spans="1:13" s="78" customFormat="1" ht="12.4" customHeight="1">
      <c r="A255" s="647"/>
      <c r="B255" s="223" t="s">
        <v>1501</v>
      </c>
      <c r="C255" s="200" t="s">
        <v>1386</v>
      </c>
      <c r="D255" s="200" t="s">
        <v>1386</v>
      </c>
      <c r="E255" s="200"/>
      <c r="F255" s="200"/>
      <c r="G255" s="200"/>
      <c r="H255" s="200"/>
      <c r="I255" s="200"/>
      <c r="J255" s="200"/>
      <c r="K255" s="200"/>
      <c r="L255" s="200"/>
      <c r="M255" s="305"/>
    </row>
    <row r="256" spans="1:13" s="78" customFormat="1" ht="12.75">
      <c r="A256" s="647"/>
      <c r="B256" s="223" t="s">
        <v>1502</v>
      </c>
      <c r="C256" s="200"/>
      <c r="D256" s="200"/>
      <c r="E256" s="200"/>
      <c r="F256" s="200"/>
      <c r="G256" s="200"/>
      <c r="H256" s="200"/>
      <c r="I256" s="200"/>
      <c r="J256" s="200"/>
      <c r="K256" s="200" t="s">
        <v>1386</v>
      </c>
      <c r="L256" s="200"/>
      <c r="M256" s="305"/>
    </row>
    <row r="257" spans="1:14" s="78" customFormat="1" ht="12.75">
      <c r="A257" s="647"/>
      <c r="B257" s="223" t="s">
        <v>1503</v>
      </c>
      <c r="C257" s="200"/>
      <c r="D257" s="200"/>
      <c r="E257" s="200"/>
      <c r="F257" s="200"/>
      <c r="G257" s="200"/>
      <c r="H257" s="200"/>
      <c r="I257" s="200"/>
      <c r="J257" s="200"/>
      <c r="K257" s="200"/>
      <c r="L257" s="200" t="s">
        <v>1386</v>
      </c>
      <c r="M257" s="305"/>
    </row>
    <row r="258" spans="1:14" s="78" customFormat="1" ht="12.75">
      <c r="A258" s="647"/>
      <c r="B258" s="223" t="s">
        <v>1504</v>
      </c>
      <c r="C258" s="200"/>
      <c r="D258" s="200"/>
      <c r="E258" s="200"/>
      <c r="F258" s="200"/>
      <c r="G258" s="200"/>
      <c r="H258" s="200"/>
      <c r="I258" s="200"/>
      <c r="J258" s="200"/>
      <c r="K258" s="200"/>
      <c r="L258" s="200" t="s">
        <v>1386</v>
      </c>
      <c r="M258" s="305"/>
    </row>
    <row r="259" spans="1:14" s="78" customFormat="1" ht="12.75">
      <c r="A259" s="647"/>
      <c r="B259" s="223" t="s">
        <v>1505</v>
      </c>
      <c r="C259" s="200" t="s">
        <v>1386</v>
      </c>
      <c r="D259" s="200"/>
      <c r="E259" s="200"/>
      <c r="F259" s="200"/>
      <c r="G259" s="200"/>
      <c r="H259" s="200"/>
      <c r="I259" s="200"/>
      <c r="J259" s="200"/>
      <c r="K259" s="200"/>
      <c r="L259" s="200"/>
      <c r="M259" s="305"/>
    </row>
    <row r="260" spans="1:14" s="78" customFormat="1" ht="25.5">
      <c r="A260" s="647"/>
      <c r="B260" s="223" t="s">
        <v>1506</v>
      </c>
      <c r="C260" s="200"/>
      <c r="D260" s="200"/>
      <c r="E260" s="200"/>
      <c r="F260" s="200"/>
      <c r="G260" s="200"/>
      <c r="H260" s="200"/>
      <c r="I260" s="200"/>
      <c r="J260" s="200"/>
      <c r="K260" s="200"/>
      <c r="L260" s="200" t="s">
        <v>1386</v>
      </c>
      <c r="M260" s="305"/>
    </row>
    <row r="261" spans="1:14" s="78" customFormat="1" ht="25.5">
      <c r="A261" s="647"/>
      <c r="B261" s="223" t="s">
        <v>1507</v>
      </c>
      <c r="C261" s="200" t="s">
        <v>1386</v>
      </c>
      <c r="D261" s="200" t="s">
        <v>1386</v>
      </c>
      <c r="E261" s="200"/>
      <c r="F261" s="200"/>
      <c r="G261" s="200"/>
      <c r="H261" s="200"/>
      <c r="I261" s="200"/>
      <c r="J261" s="200"/>
      <c r="K261" s="200"/>
      <c r="L261" s="200"/>
      <c r="M261" s="305"/>
    </row>
    <row r="262" spans="1:14" s="78" customFormat="1" ht="12.75">
      <c r="A262" s="647"/>
      <c r="B262" s="223" t="s">
        <v>1508</v>
      </c>
      <c r="C262" s="200"/>
      <c r="D262" s="200"/>
      <c r="E262" s="200"/>
      <c r="F262" s="200"/>
      <c r="G262" s="200"/>
      <c r="H262" s="200"/>
      <c r="I262" s="200"/>
      <c r="J262" s="200"/>
      <c r="K262" s="200" t="s">
        <v>1386</v>
      </c>
      <c r="L262" s="200"/>
      <c r="M262" s="305"/>
      <c r="N262" s="82"/>
    </row>
    <row r="263" spans="1:14" s="12" customFormat="1" ht="12.75">
      <c r="A263" s="647"/>
      <c r="B263" s="223" t="s">
        <v>1509</v>
      </c>
      <c r="C263" s="200"/>
      <c r="D263" s="200"/>
      <c r="E263" s="200"/>
      <c r="F263" s="200"/>
      <c r="G263" s="200"/>
      <c r="H263" s="200"/>
      <c r="I263" s="200"/>
      <c r="J263" s="200"/>
      <c r="K263" s="200"/>
      <c r="L263" s="200" t="s">
        <v>1386</v>
      </c>
      <c r="M263" s="305"/>
    </row>
    <row r="264" spans="1:14">
      <c r="A264" s="647"/>
      <c r="B264" s="223" t="s">
        <v>1510</v>
      </c>
      <c r="C264" s="200"/>
      <c r="D264" s="200"/>
      <c r="E264" s="200"/>
      <c r="F264" s="200"/>
      <c r="G264" s="200"/>
      <c r="H264" s="200"/>
      <c r="I264" s="200"/>
      <c r="J264" s="200"/>
      <c r="K264" s="200" t="s">
        <v>1386</v>
      </c>
      <c r="L264" s="200"/>
      <c r="M264" s="305"/>
    </row>
    <row r="265" spans="1:14">
      <c r="A265" s="647"/>
      <c r="B265" s="223" t="s">
        <v>1511</v>
      </c>
      <c r="C265" s="200"/>
      <c r="D265" s="200"/>
      <c r="E265" s="200"/>
      <c r="F265" s="200"/>
      <c r="G265" s="200"/>
      <c r="H265" s="200"/>
      <c r="I265" s="200"/>
      <c r="J265" s="200"/>
      <c r="K265" s="200"/>
      <c r="L265" s="200" t="s">
        <v>1386</v>
      </c>
      <c r="M265" s="305"/>
    </row>
    <row r="266" spans="1:14">
      <c r="A266" s="647"/>
      <c r="B266" s="223" t="s">
        <v>1512</v>
      </c>
      <c r="C266" s="200" t="s">
        <v>1386</v>
      </c>
      <c r="D266" s="200" t="s">
        <v>1386</v>
      </c>
      <c r="E266" s="200"/>
      <c r="F266" s="200" t="s">
        <v>1386</v>
      </c>
      <c r="G266" s="200"/>
      <c r="H266" s="200"/>
      <c r="I266" s="200"/>
      <c r="J266" s="200"/>
      <c r="K266" s="200"/>
      <c r="L266" s="200"/>
      <c r="M266" s="305"/>
    </row>
    <row r="267" spans="1:14" ht="25.5">
      <c r="A267" s="647"/>
      <c r="B267" s="223" t="s">
        <v>1513</v>
      </c>
      <c r="C267" s="200"/>
      <c r="D267" s="200"/>
      <c r="E267" s="200"/>
      <c r="F267" s="200"/>
      <c r="G267" s="200"/>
      <c r="H267" s="200"/>
      <c r="I267" s="200"/>
      <c r="J267" s="200"/>
      <c r="K267" s="200"/>
      <c r="L267" s="200" t="s">
        <v>1386</v>
      </c>
      <c r="M267" s="305"/>
    </row>
    <row r="268" spans="1:14">
      <c r="A268" s="647"/>
      <c r="B268" s="223" t="s">
        <v>1514</v>
      </c>
      <c r="C268" s="200"/>
      <c r="D268" s="200"/>
      <c r="E268" s="200"/>
      <c r="F268" s="200"/>
      <c r="G268" s="200"/>
      <c r="H268" s="200"/>
      <c r="I268" s="200"/>
      <c r="J268" s="200"/>
      <c r="K268" s="200"/>
      <c r="L268" s="200" t="s">
        <v>1386</v>
      </c>
      <c r="M268" s="305"/>
    </row>
    <row r="269" spans="1:14">
      <c r="A269" s="647"/>
      <c r="B269" s="223" t="s">
        <v>1515</v>
      </c>
      <c r="C269" s="200"/>
      <c r="D269" s="200"/>
      <c r="E269" s="200"/>
      <c r="F269" s="200"/>
      <c r="G269" s="200"/>
      <c r="H269" s="200"/>
      <c r="I269" s="200"/>
      <c r="J269" s="200"/>
      <c r="K269" s="200" t="s">
        <v>1386</v>
      </c>
      <c r="L269" s="200"/>
      <c r="M269" s="305"/>
    </row>
    <row r="270" spans="1:14">
      <c r="A270" s="647"/>
      <c r="B270" s="223" t="s">
        <v>1516</v>
      </c>
      <c r="C270" s="200"/>
      <c r="D270" s="200"/>
      <c r="E270" s="200"/>
      <c r="F270" s="200"/>
      <c r="G270" s="200"/>
      <c r="H270" s="200"/>
      <c r="I270" s="200"/>
      <c r="J270" s="200"/>
      <c r="K270" s="200"/>
      <c r="L270" s="200" t="s">
        <v>1386</v>
      </c>
      <c r="M270" s="305"/>
    </row>
    <row r="271" spans="1:14">
      <c r="A271" s="647"/>
      <c r="B271" s="223" t="s">
        <v>1517</v>
      </c>
      <c r="C271" s="200"/>
      <c r="D271" s="200"/>
      <c r="E271" s="200"/>
      <c r="F271" s="200"/>
      <c r="G271" s="200"/>
      <c r="H271" s="200"/>
      <c r="I271" s="200"/>
      <c r="J271" s="200"/>
      <c r="K271" s="200" t="s">
        <v>1386</v>
      </c>
      <c r="L271" s="200"/>
      <c r="M271" s="305"/>
    </row>
    <row r="272" spans="1:14" ht="25.5">
      <c r="A272" s="647"/>
      <c r="B272" s="223" t="s">
        <v>1518</v>
      </c>
      <c r="C272" s="200"/>
      <c r="D272" s="200"/>
      <c r="E272" s="200"/>
      <c r="F272" s="200"/>
      <c r="G272" s="200"/>
      <c r="H272" s="200"/>
      <c r="I272" s="200"/>
      <c r="J272" s="200"/>
      <c r="K272" s="200" t="s">
        <v>1386</v>
      </c>
      <c r="L272" s="200"/>
      <c r="M272" s="305"/>
    </row>
    <row r="273" spans="1:13">
      <c r="A273" s="647"/>
      <c r="B273" s="223" t="s">
        <v>1519</v>
      </c>
      <c r="C273" s="200"/>
      <c r="D273" s="200"/>
      <c r="E273" s="200"/>
      <c r="F273" s="200"/>
      <c r="G273" s="200"/>
      <c r="H273" s="200"/>
      <c r="I273" s="200"/>
      <c r="J273" s="200"/>
      <c r="K273" s="200"/>
      <c r="L273" s="200" t="s">
        <v>1386</v>
      </c>
      <c r="M273" s="305"/>
    </row>
    <row r="274" spans="1:13">
      <c r="A274" s="647"/>
      <c r="B274" s="223" t="s">
        <v>1520</v>
      </c>
      <c r="C274" s="200"/>
      <c r="D274" s="200"/>
      <c r="E274" s="200"/>
      <c r="F274" s="200"/>
      <c r="G274" s="200"/>
      <c r="H274" s="200" t="s">
        <v>1386</v>
      </c>
      <c r="I274" s="200"/>
      <c r="J274" s="200"/>
      <c r="K274" s="200" t="s">
        <v>1386</v>
      </c>
      <c r="L274" s="200"/>
      <c r="M274" s="305"/>
    </row>
    <row r="275" spans="1:13" ht="25.5">
      <c r="A275" s="647"/>
      <c r="B275" s="223" t="s">
        <v>1521</v>
      </c>
      <c r="C275" s="200"/>
      <c r="D275" s="200"/>
      <c r="E275" s="200"/>
      <c r="F275" s="200"/>
      <c r="G275" s="200"/>
      <c r="H275" s="200"/>
      <c r="I275" s="200"/>
      <c r="J275" s="200"/>
      <c r="K275" s="200" t="s">
        <v>1386</v>
      </c>
      <c r="L275" s="200"/>
      <c r="M275" s="305"/>
    </row>
    <row r="276" spans="1:13" ht="25.5">
      <c r="A276" s="647"/>
      <c r="B276" s="223" t="s">
        <v>1522</v>
      </c>
      <c r="C276" s="200"/>
      <c r="D276" s="200"/>
      <c r="E276" s="200"/>
      <c r="F276" s="200"/>
      <c r="G276" s="200"/>
      <c r="H276" s="200"/>
      <c r="I276" s="200"/>
      <c r="J276" s="200"/>
      <c r="K276" s="200" t="s">
        <v>1386</v>
      </c>
      <c r="L276" s="200"/>
      <c r="M276" s="305"/>
    </row>
    <row r="277" spans="1:13">
      <c r="A277" s="647"/>
      <c r="B277" s="223" t="s">
        <v>1523</v>
      </c>
      <c r="C277" s="200"/>
      <c r="D277" s="200"/>
      <c r="E277" s="200"/>
      <c r="F277" s="200"/>
      <c r="G277" s="200"/>
      <c r="H277" s="200"/>
      <c r="I277" s="200"/>
      <c r="J277" s="200"/>
      <c r="K277" s="200"/>
      <c r="L277" s="200" t="s">
        <v>1386</v>
      </c>
      <c r="M277" s="305"/>
    </row>
    <row r="278" spans="1:13">
      <c r="A278" s="647"/>
      <c r="B278" s="223" t="s">
        <v>1524</v>
      </c>
      <c r="C278" s="200" t="s">
        <v>1386</v>
      </c>
      <c r="D278" s="200"/>
      <c r="E278" s="200"/>
      <c r="F278" s="200"/>
      <c r="G278" s="200"/>
      <c r="H278" s="200"/>
      <c r="I278" s="200"/>
      <c r="J278" s="200"/>
      <c r="K278" s="200" t="s">
        <v>1386</v>
      </c>
      <c r="L278" s="200"/>
      <c r="M278" s="305"/>
    </row>
    <row r="279" spans="1:13">
      <c r="A279" s="647"/>
      <c r="B279" s="223" t="s">
        <v>1525</v>
      </c>
      <c r="C279" s="200"/>
      <c r="D279" s="200"/>
      <c r="E279" s="200"/>
      <c r="F279" s="200"/>
      <c r="G279" s="200"/>
      <c r="H279" s="200"/>
      <c r="I279" s="200"/>
      <c r="J279" s="200"/>
      <c r="K279" s="200" t="s">
        <v>1386</v>
      </c>
      <c r="L279" s="200"/>
      <c r="M279" s="305"/>
    </row>
    <row r="280" spans="1:13">
      <c r="A280" s="647"/>
      <c r="B280" s="223" t="s">
        <v>1526</v>
      </c>
      <c r="C280" s="200"/>
      <c r="D280" s="200"/>
      <c r="E280" s="200"/>
      <c r="F280" s="200"/>
      <c r="G280" s="200"/>
      <c r="H280" s="200"/>
      <c r="I280" s="200"/>
      <c r="J280" s="200"/>
      <c r="K280" s="200" t="s">
        <v>1386</v>
      </c>
      <c r="L280" s="200"/>
      <c r="M280" s="305"/>
    </row>
    <row r="281" spans="1:13">
      <c r="A281" s="82"/>
      <c r="B281" s="76"/>
      <c r="C281" s="82"/>
      <c r="D281" s="82"/>
      <c r="E281" s="82"/>
      <c r="F281" s="82"/>
      <c r="G281" s="82"/>
      <c r="H281" s="82"/>
      <c r="I281" s="82"/>
      <c r="J281" s="82"/>
      <c r="K281" s="82"/>
      <c r="L281" s="82"/>
      <c r="M281" s="30"/>
    </row>
    <row r="282" spans="1:13">
      <c r="A282" s="781">
        <v>2019</v>
      </c>
      <c r="B282" s="782"/>
      <c r="C282" s="782"/>
      <c r="D282" s="782"/>
      <c r="E282" s="782"/>
      <c r="F282" s="782"/>
      <c r="G282" s="782"/>
      <c r="H282" s="782"/>
      <c r="I282" s="782"/>
      <c r="J282" s="782"/>
      <c r="K282" s="782"/>
      <c r="L282" s="782"/>
      <c r="M282" s="783"/>
    </row>
    <row r="283" spans="1:13">
      <c r="A283" s="780" t="s">
        <v>1384</v>
      </c>
      <c r="B283" s="539" t="s">
        <v>1385</v>
      </c>
      <c r="C283" s="538"/>
      <c r="D283" s="538"/>
      <c r="E283" s="538"/>
      <c r="F283" s="538"/>
      <c r="G283" s="538"/>
      <c r="H283" s="538"/>
      <c r="I283" s="538"/>
      <c r="J283" s="538"/>
      <c r="K283" s="538"/>
      <c r="L283" s="538" t="s">
        <v>1386</v>
      </c>
      <c r="M283" s="540"/>
    </row>
    <row r="284" spans="1:13">
      <c r="A284" s="647"/>
      <c r="B284" s="223" t="s">
        <v>1387</v>
      </c>
      <c r="C284" s="200"/>
      <c r="D284" s="200"/>
      <c r="E284" s="200"/>
      <c r="F284" s="200"/>
      <c r="G284" s="200"/>
      <c r="H284" s="200"/>
      <c r="I284" s="200"/>
      <c r="J284" s="200"/>
      <c r="K284" s="200"/>
      <c r="L284" s="200" t="s">
        <v>1386</v>
      </c>
      <c r="M284" s="305"/>
    </row>
    <row r="285" spans="1:13">
      <c r="A285" s="647" t="s">
        <v>794</v>
      </c>
      <c r="B285" s="223" t="s">
        <v>1388</v>
      </c>
      <c r="C285" s="200"/>
      <c r="D285" s="200"/>
      <c r="E285" s="200"/>
      <c r="F285" s="200"/>
      <c r="G285" s="200"/>
      <c r="H285" s="200"/>
      <c r="I285" s="200"/>
      <c r="J285" s="200"/>
      <c r="K285" s="200"/>
      <c r="L285" s="200" t="s">
        <v>1386</v>
      </c>
      <c r="M285" s="305"/>
    </row>
    <row r="286" spans="1:13">
      <c r="A286" s="647"/>
      <c r="B286" s="223" t="s">
        <v>1389</v>
      </c>
      <c r="C286" s="200"/>
      <c r="D286" s="200"/>
      <c r="E286" s="200" t="s">
        <v>1386</v>
      </c>
      <c r="F286" s="200"/>
      <c r="G286" s="200"/>
      <c r="H286" s="200"/>
      <c r="I286" s="200"/>
      <c r="J286" s="200"/>
      <c r="K286" s="200"/>
      <c r="L286" s="200"/>
      <c r="M286" s="305"/>
    </row>
    <row r="287" spans="1:13" ht="25.5">
      <c r="A287" s="647" t="s">
        <v>1329</v>
      </c>
      <c r="B287" s="223" t="s">
        <v>1390</v>
      </c>
      <c r="C287" s="200"/>
      <c r="D287" s="200"/>
      <c r="E287" s="200"/>
      <c r="F287" s="486"/>
      <c r="G287" s="200"/>
      <c r="H287" s="200"/>
      <c r="I287" s="200"/>
      <c r="J287" s="200" t="s">
        <v>1386</v>
      </c>
      <c r="K287" s="200"/>
      <c r="L287" s="200"/>
      <c r="M287" s="305"/>
    </row>
    <row r="288" spans="1:13">
      <c r="A288" s="647"/>
      <c r="B288" s="223" t="s">
        <v>1391</v>
      </c>
      <c r="C288" s="200"/>
      <c r="D288" s="200"/>
      <c r="E288" s="200"/>
      <c r="F288" s="200"/>
      <c r="G288" s="200"/>
      <c r="H288" s="200"/>
      <c r="I288" s="200" t="s">
        <v>1386</v>
      </c>
      <c r="J288" s="200"/>
      <c r="K288" s="200"/>
      <c r="L288" s="200" t="s">
        <v>1386</v>
      </c>
      <c r="M288" s="305"/>
    </row>
    <row r="289" spans="1:13">
      <c r="A289" s="200" t="s">
        <v>1392</v>
      </c>
      <c r="B289" s="223" t="s">
        <v>1393</v>
      </c>
      <c r="C289" s="200"/>
      <c r="D289" s="200"/>
      <c r="E289" s="200"/>
      <c r="F289" s="200"/>
      <c r="G289" s="200"/>
      <c r="H289" s="200"/>
      <c r="I289" s="200"/>
      <c r="J289" s="200"/>
      <c r="K289" s="200"/>
      <c r="L289" s="200" t="s">
        <v>1386</v>
      </c>
      <c r="M289" s="305"/>
    </row>
    <row r="290" spans="1:13">
      <c r="A290" s="647" t="s">
        <v>1394</v>
      </c>
      <c r="B290" s="223" t="s">
        <v>1395</v>
      </c>
      <c r="C290" s="200"/>
      <c r="D290" s="200"/>
      <c r="E290" s="200"/>
      <c r="F290" s="200"/>
      <c r="G290" s="200"/>
      <c r="H290" s="200"/>
      <c r="I290" s="200"/>
      <c r="J290" s="200"/>
      <c r="K290" s="200"/>
      <c r="L290" s="200" t="s">
        <v>1386</v>
      </c>
      <c r="M290" s="305"/>
    </row>
    <row r="291" spans="1:13">
      <c r="A291" s="647"/>
      <c r="B291" s="223" t="s">
        <v>1396</v>
      </c>
      <c r="C291" s="200"/>
      <c r="D291" s="200"/>
      <c r="E291" s="200"/>
      <c r="F291" s="200"/>
      <c r="G291" s="200"/>
      <c r="H291" s="200"/>
      <c r="I291" s="200"/>
      <c r="J291" s="200"/>
      <c r="K291" s="200"/>
      <c r="L291" s="200" t="s">
        <v>1386</v>
      </c>
      <c r="M291" s="305"/>
    </row>
    <row r="292" spans="1:13">
      <c r="A292" s="647" t="s">
        <v>1397</v>
      </c>
      <c r="B292" s="223" t="s">
        <v>1398</v>
      </c>
      <c r="C292" s="200"/>
      <c r="D292" s="200"/>
      <c r="E292" s="200"/>
      <c r="F292" s="200"/>
      <c r="G292" s="200"/>
      <c r="H292" s="200"/>
      <c r="I292" s="200"/>
      <c r="J292" s="200"/>
      <c r="K292" s="200"/>
      <c r="L292" s="200" t="s">
        <v>1386</v>
      </c>
      <c r="M292" s="305"/>
    </row>
    <row r="293" spans="1:13">
      <c r="A293" s="647"/>
      <c r="B293" s="223" t="s">
        <v>1399</v>
      </c>
      <c r="C293" s="200"/>
      <c r="D293" s="200"/>
      <c r="E293" s="200"/>
      <c r="F293" s="200"/>
      <c r="G293" s="200"/>
      <c r="H293" s="200"/>
      <c r="I293" s="200"/>
      <c r="J293" s="200"/>
      <c r="K293" s="200" t="s">
        <v>1386</v>
      </c>
      <c r="L293" s="200"/>
      <c r="M293" s="305"/>
    </row>
    <row r="294" spans="1:13">
      <c r="A294" s="647"/>
      <c r="B294" s="223" t="s">
        <v>1400</v>
      </c>
      <c r="C294" s="200"/>
      <c r="D294" s="200"/>
      <c r="E294" s="200"/>
      <c r="F294" s="200"/>
      <c r="G294" s="200"/>
      <c r="H294" s="200"/>
      <c r="I294" s="200"/>
      <c r="J294" s="200"/>
      <c r="K294" s="200"/>
      <c r="L294" s="200" t="s">
        <v>1386</v>
      </c>
      <c r="M294" s="305"/>
    </row>
    <row r="295" spans="1:13" ht="25.5">
      <c r="A295" s="647" t="s">
        <v>271</v>
      </c>
      <c r="B295" s="223" t="s">
        <v>1401</v>
      </c>
      <c r="C295" s="200"/>
      <c r="D295" s="200"/>
      <c r="E295" s="200"/>
      <c r="F295" s="200"/>
      <c r="G295" s="200"/>
      <c r="H295" s="200"/>
      <c r="I295" s="200"/>
      <c r="J295" s="200"/>
      <c r="K295" s="200" t="s">
        <v>1386</v>
      </c>
      <c r="L295" s="200"/>
      <c r="M295" s="305"/>
    </row>
    <row r="296" spans="1:13" ht="25.5">
      <c r="A296" s="647"/>
      <c r="B296" s="223" t="s">
        <v>1402</v>
      </c>
      <c r="C296" s="200" t="s">
        <v>1386</v>
      </c>
      <c r="D296" s="200"/>
      <c r="E296" s="200" t="s">
        <v>1386</v>
      </c>
      <c r="F296" s="200"/>
      <c r="G296" s="200"/>
      <c r="H296" s="200"/>
      <c r="I296" s="200"/>
      <c r="J296" s="200"/>
      <c r="K296" s="200"/>
      <c r="L296" s="200"/>
      <c r="M296" s="305"/>
    </row>
    <row r="297" spans="1:13" ht="25.5">
      <c r="A297" s="647"/>
      <c r="B297" s="223" t="s">
        <v>1403</v>
      </c>
      <c r="C297" s="200" t="s">
        <v>1386</v>
      </c>
      <c r="D297" s="200"/>
      <c r="E297" s="200" t="s">
        <v>1386</v>
      </c>
      <c r="F297" s="200"/>
      <c r="G297" s="200"/>
      <c r="H297" s="200"/>
      <c r="I297" s="200"/>
      <c r="J297" s="200"/>
      <c r="K297" s="200"/>
      <c r="L297" s="200"/>
      <c r="M297" s="305"/>
    </row>
    <row r="298" spans="1:13">
      <c r="A298" s="647"/>
      <c r="B298" s="223" t="s">
        <v>1406</v>
      </c>
      <c r="C298" s="200"/>
      <c r="D298" s="200"/>
      <c r="E298" s="200"/>
      <c r="F298" s="200"/>
      <c r="G298" s="200"/>
      <c r="H298" s="200"/>
      <c r="I298" s="200"/>
      <c r="J298" s="200"/>
      <c r="K298" s="200" t="s">
        <v>1386</v>
      </c>
      <c r="L298" s="200"/>
      <c r="M298" s="305"/>
    </row>
    <row r="299" spans="1:13">
      <c r="A299" s="647"/>
      <c r="B299" s="223" t="s">
        <v>1407</v>
      </c>
      <c r="C299" s="200"/>
      <c r="D299" s="200"/>
      <c r="E299" s="200"/>
      <c r="F299" s="200"/>
      <c r="G299" s="200"/>
      <c r="H299" s="200"/>
      <c r="I299" s="200"/>
      <c r="J299" s="200"/>
      <c r="K299" s="200"/>
      <c r="L299" s="200" t="s">
        <v>1386</v>
      </c>
      <c r="M299" s="305"/>
    </row>
    <row r="300" spans="1:13">
      <c r="A300" s="647"/>
      <c r="B300" s="223" t="s">
        <v>1408</v>
      </c>
      <c r="C300" s="200" t="s">
        <v>1386</v>
      </c>
      <c r="D300" s="200"/>
      <c r="E300" s="200"/>
      <c r="F300" s="200"/>
      <c r="G300" s="200"/>
      <c r="H300" s="200"/>
      <c r="I300" s="200"/>
      <c r="J300" s="200"/>
      <c r="K300" s="200"/>
      <c r="L300" s="200"/>
      <c r="M300" s="305"/>
    </row>
    <row r="301" spans="1:13">
      <c r="A301" s="647"/>
      <c r="B301" s="223" t="s">
        <v>1405</v>
      </c>
      <c r="C301" s="200"/>
      <c r="D301" s="200"/>
      <c r="E301" s="200"/>
      <c r="F301" s="200"/>
      <c r="G301" s="200"/>
      <c r="H301" s="200"/>
      <c r="I301" s="200"/>
      <c r="J301" s="200"/>
      <c r="K301" s="200" t="s">
        <v>1386</v>
      </c>
      <c r="L301" s="200"/>
      <c r="M301" s="305"/>
    </row>
    <row r="302" spans="1:13" ht="25.5">
      <c r="A302" s="200" t="s">
        <v>791</v>
      </c>
      <c r="B302" s="223" t="s">
        <v>1409</v>
      </c>
      <c r="C302" s="200"/>
      <c r="D302" s="200"/>
      <c r="E302" s="200"/>
      <c r="F302" s="200"/>
      <c r="G302" s="200"/>
      <c r="H302" s="200" t="s">
        <v>1386</v>
      </c>
      <c r="I302" s="200"/>
      <c r="J302" s="200"/>
      <c r="K302" s="200"/>
      <c r="L302" s="200"/>
      <c r="M302" s="305"/>
    </row>
    <row r="303" spans="1:13">
      <c r="A303" s="200" t="s">
        <v>1410</v>
      </c>
      <c r="B303" s="223" t="s">
        <v>1411</v>
      </c>
      <c r="C303" s="200"/>
      <c r="D303" s="200"/>
      <c r="E303" s="200"/>
      <c r="F303" s="200"/>
      <c r="G303" s="200"/>
      <c r="H303" s="200"/>
      <c r="I303" s="200"/>
      <c r="J303" s="200"/>
      <c r="K303" s="200"/>
      <c r="L303" s="200" t="s">
        <v>1386</v>
      </c>
      <c r="M303" s="305"/>
    </row>
    <row r="304" spans="1:13">
      <c r="A304" s="200" t="s">
        <v>795</v>
      </c>
      <c r="B304" s="223" t="s">
        <v>1412</v>
      </c>
      <c r="C304" s="200"/>
      <c r="D304" s="200"/>
      <c r="E304" s="200"/>
      <c r="F304" s="200"/>
      <c r="G304" s="200"/>
      <c r="H304" s="200"/>
      <c r="I304" s="200"/>
      <c r="J304" s="200"/>
      <c r="K304" s="200" t="s">
        <v>1386</v>
      </c>
      <c r="L304" s="200"/>
      <c r="M304" s="305"/>
    </row>
    <row r="305" spans="1:13" ht="25.5">
      <c r="A305" s="200" t="s">
        <v>792</v>
      </c>
      <c r="B305" s="223" t="s">
        <v>1413</v>
      </c>
      <c r="C305" s="200"/>
      <c r="D305" s="200" t="s">
        <v>1386</v>
      </c>
      <c r="E305" s="200"/>
      <c r="F305" s="200"/>
      <c r="G305" s="200"/>
      <c r="H305" s="200"/>
      <c r="I305" s="200"/>
      <c r="J305" s="200"/>
      <c r="K305" s="200"/>
      <c r="L305" s="200"/>
      <c r="M305" s="305"/>
    </row>
    <row r="306" spans="1:13">
      <c r="A306" s="647" t="s">
        <v>796</v>
      </c>
      <c r="B306" s="223" t="s">
        <v>1533</v>
      </c>
      <c r="C306" s="200"/>
      <c r="D306" s="200"/>
      <c r="E306" s="200"/>
      <c r="F306" s="200"/>
      <c r="G306" s="200"/>
      <c r="H306" s="200"/>
      <c r="I306" s="200"/>
      <c r="J306" s="200"/>
      <c r="K306" s="200"/>
      <c r="L306" s="200" t="s">
        <v>1386</v>
      </c>
      <c r="M306" s="305"/>
    </row>
    <row r="307" spans="1:13" ht="25.5">
      <c r="A307" s="647"/>
      <c r="B307" s="223" t="s">
        <v>1414</v>
      </c>
      <c r="C307" s="200"/>
      <c r="D307" s="200"/>
      <c r="E307" s="200"/>
      <c r="F307" s="200"/>
      <c r="G307" s="200"/>
      <c r="H307" s="200" t="s">
        <v>1386</v>
      </c>
      <c r="I307" s="200"/>
      <c r="J307" s="200"/>
      <c r="K307" s="200"/>
      <c r="L307" s="200"/>
      <c r="M307" s="305"/>
    </row>
    <row r="308" spans="1:13" ht="25.5">
      <c r="A308" s="647"/>
      <c r="B308" s="223" t="s">
        <v>1415</v>
      </c>
      <c r="C308" s="200" t="s">
        <v>1386</v>
      </c>
      <c r="D308" s="200"/>
      <c r="E308" s="200"/>
      <c r="F308" s="200"/>
      <c r="G308" s="200"/>
      <c r="H308" s="200"/>
      <c r="I308" s="200"/>
      <c r="J308" s="200"/>
      <c r="K308" s="200"/>
      <c r="L308" s="200"/>
      <c r="M308" s="305"/>
    </row>
    <row r="309" spans="1:13">
      <c r="A309" s="647"/>
      <c r="B309" s="223" t="s">
        <v>1534</v>
      </c>
      <c r="C309" s="200"/>
      <c r="D309" s="200"/>
      <c r="E309" s="200"/>
      <c r="F309" s="200"/>
      <c r="G309" s="200"/>
      <c r="H309" s="200"/>
      <c r="I309" s="200"/>
      <c r="J309" s="200"/>
      <c r="K309" s="200" t="s">
        <v>1386</v>
      </c>
      <c r="L309" s="200"/>
      <c r="M309" s="305"/>
    </row>
    <row r="310" spans="1:13">
      <c r="A310" s="647"/>
      <c r="B310" s="223" t="s">
        <v>1416</v>
      </c>
      <c r="C310" s="200"/>
      <c r="D310" s="200"/>
      <c r="E310" s="200"/>
      <c r="F310" s="200"/>
      <c r="G310" s="200"/>
      <c r="H310" s="200"/>
      <c r="I310" s="200"/>
      <c r="J310" s="200"/>
      <c r="K310" s="200" t="s">
        <v>1386</v>
      </c>
      <c r="L310" s="200"/>
      <c r="M310" s="305"/>
    </row>
    <row r="311" spans="1:13" ht="25.5">
      <c r="A311" s="647"/>
      <c r="B311" s="223" t="s">
        <v>1417</v>
      </c>
      <c r="C311" s="200"/>
      <c r="D311" s="200"/>
      <c r="E311" s="200"/>
      <c r="F311" s="200"/>
      <c r="G311" s="200"/>
      <c r="H311" s="200"/>
      <c r="I311" s="200"/>
      <c r="J311" s="200"/>
      <c r="K311" s="200"/>
      <c r="L311" s="200" t="s">
        <v>1386</v>
      </c>
      <c r="M311" s="305"/>
    </row>
    <row r="312" spans="1:13" ht="25.5">
      <c r="A312" s="647"/>
      <c r="B312" s="223" t="s">
        <v>1418</v>
      </c>
      <c r="C312" s="200"/>
      <c r="D312" s="200"/>
      <c r="E312" s="200"/>
      <c r="F312" s="200"/>
      <c r="G312" s="200"/>
      <c r="H312" s="200"/>
      <c r="I312" s="200"/>
      <c r="J312" s="200"/>
      <c r="K312" s="200" t="s">
        <v>1386</v>
      </c>
      <c r="L312" s="200"/>
      <c r="M312" s="305"/>
    </row>
    <row r="313" spans="1:13">
      <c r="A313" s="200" t="s">
        <v>1529</v>
      </c>
      <c r="B313" s="223" t="s">
        <v>1530</v>
      </c>
      <c r="C313" s="200"/>
      <c r="D313" s="200"/>
      <c r="E313" s="200"/>
      <c r="F313" s="200"/>
      <c r="G313" s="200"/>
      <c r="H313" s="200"/>
      <c r="I313" s="200"/>
      <c r="J313" s="200"/>
      <c r="K313" s="200"/>
      <c r="L313" s="200" t="s">
        <v>1386</v>
      </c>
      <c r="M313" s="305"/>
    </row>
    <row r="314" spans="1:13">
      <c r="A314" s="647" t="s">
        <v>790</v>
      </c>
      <c r="B314" s="222" t="s">
        <v>1419</v>
      </c>
      <c r="C314" s="305"/>
      <c r="D314" s="305"/>
      <c r="E314" s="305"/>
      <c r="F314" s="305"/>
      <c r="G314" s="305"/>
      <c r="H314" s="305"/>
      <c r="I314" s="305"/>
      <c r="J314" s="305"/>
      <c r="K314" s="305"/>
      <c r="L314" s="305" t="s">
        <v>1386</v>
      </c>
      <c r="M314" s="305"/>
    </row>
    <row r="315" spans="1:13">
      <c r="A315" s="647"/>
      <c r="B315" s="223" t="s">
        <v>1420</v>
      </c>
      <c r="C315" s="200"/>
      <c r="D315" s="200"/>
      <c r="E315" s="200"/>
      <c r="F315" s="200"/>
      <c r="G315" s="200"/>
      <c r="H315" s="200"/>
      <c r="I315" s="200"/>
      <c r="J315" s="200"/>
      <c r="K315" s="200"/>
      <c r="L315" s="200" t="s">
        <v>1386</v>
      </c>
      <c r="M315" s="305"/>
    </row>
    <row r="316" spans="1:13">
      <c r="A316" s="647" t="s">
        <v>1421</v>
      </c>
      <c r="B316" s="223" t="s">
        <v>1422</v>
      </c>
      <c r="C316" s="200"/>
      <c r="D316" s="200"/>
      <c r="E316" s="200"/>
      <c r="F316" s="200"/>
      <c r="G316" s="200"/>
      <c r="H316" s="200"/>
      <c r="I316" s="200"/>
      <c r="J316" s="200"/>
      <c r="K316" s="200"/>
      <c r="L316" s="200" t="s">
        <v>1386</v>
      </c>
      <c r="M316" s="305"/>
    </row>
    <row r="317" spans="1:13">
      <c r="A317" s="647"/>
      <c r="B317" s="223" t="s">
        <v>1423</v>
      </c>
      <c r="C317" s="200"/>
      <c r="D317" s="200"/>
      <c r="E317" s="200"/>
      <c r="F317" s="200"/>
      <c r="G317" s="200"/>
      <c r="H317" s="200"/>
      <c r="I317" s="200"/>
      <c r="J317" s="200"/>
      <c r="K317" s="200"/>
      <c r="L317" s="200" t="s">
        <v>1386</v>
      </c>
      <c r="M317" s="305"/>
    </row>
    <row r="318" spans="1:13">
      <c r="A318" s="647" t="s">
        <v>798</v>
      </c>
      <c r="B318" s="223" t="s">
        <v>1424</v>
      </c>
      <c r="C318" s="200" t="s">
        <v>1386</v>
      </c>
      <c r="D318" s="200"/>
      <c r="E318" s="200"/>
      <c r="F318" s="200"/>
      <c r="G318" s="200"/>
      <c r="H318" s="200"/>
      <c r="I318" s="200"/>
      <c r="J318" s="200"/>
      <c r="K318" s="200"/>
      <c r="L318" s="200"/>
      <c r="M318" s="305"/>
    </row>
    <row r="319" spans="1:13" ht="25.5">
      <c r="A319" s="647"/>
      <c r="B319" s="223" t="s">
        <v>1425</v>
      </c>
      <c r="C319" s="200" t="s">
        <v>1386</v>
      </c>
      <c r="D319" s="200"/>
      <c r="E319" s="200"/>
      <c r="F319" s="200"/>
      <c r="G319" s="200"/>
      <c r="H319" s="200"/>
      <c r="I319" s="200"/>
      <c r="J319" s="200"/>
      <c r="K319" s="200"/>
      <c r="L319" s="200"/>
      <c r="M319" s="305"/>
    </row>
    <row r="320" spans="1:13" ht="25.5">
      <c r="A320" s="647"/>
      <c r="B320" s="223" t="s">
        <v>1535</v>
      </c>
      <c r="C320" s="200"/>
      <c r="D320" s="200"/>
      <c r="E320" s="200"/>
      <c r="F320" s="200"/>
      <c r="G320" s="200"/>
      <c r="H320" s="200"/>
      <c r="I320" s="200"/>
      <c r="J320" s="200"/>
      <c r="K320" s="200" t="s">
        <v>1386</v>
      </c>
      <c r="L320" s="200"/>
      <c r="M320" s="305"/>
    </row>
    <row r="321" spans="1:13">
      <c r="A321" s="647"/>
      <c r="B321" s="223" t="s">
        <v>1426</v>
      </c>
      <c r="C321" s="200" t="s">
        <v>1386</v>
      </c>
      <c r="D321" s="200"/>
      <c r="E321" s="200"/>
      <c r="F321" s="200"/>
      <c r="G321" s="200"/>
      <c r="H321" s="200"/>
      <c r="I321" s="200"/>
      <c r="J321" s="200"/>
      <c r="K321" s="200"/>
      <c r="L321" s="200"/>
      <c r="M321" s="305"/>
    </row>
    <row r="322" spans="1:13">
      <c r="A322" s="647" t="s">
        <v>793</v>
      </c>
      <c r="B322" s="223" t="s">
        <v>1427</v>
      </c>
      <c r="C322" s="200" t="s">
        <v>1386</v>
      </c>
      <c r="D322" s="200"/>
      <c r="E322" s="200"/>
      <c r="F322" s="200"/>
      <c r="G322" s="200"/>
      <c r="H322" s="200"/>
      <c r="I322" s="200"/>
      <c r="J322" s="200"/>
      <c r="K322" s="200"/>
      <c r="L322" s="200"/>
      <c r="M322" s="305"/>
    </row>
    <row r="323" spans="1:13" ht="25.5">
      <c r="A323" s="647"/>
      <c r="B323" s="223" t="s">
        <v>1428</v>
      </c>
      <c r="C323" s="200" t="s">
        <v>1386</v>
      </c>
      <c r="D323" s="200"/>
      <c r="E323" s="200" t="s">
        <v>1386</v>
      </c>
      <c r="F323" s="200"/>
      <c r="G323" s="200"/>
      <c r="H323" s="200"/>
      <c r="I323" s="200"/>
      <c r="J323" s="200"/>
      <c r="K323" s="200"/>
      <c r="L323" s="200"/>
      <c r="M323" s="305"/>
    </row>
    <row r="324" spans="1:13" ht="25.5">
      <c r="A324" s="647"/>
      <c r="B324" s="223" t="s">
        <v>1429</v>
      </c>
      <c r="C324" s="200" t="s">
        <v>1386</v>
      </c>
      <c r="D324" s="200"/>
      <c r="E324" s="200" t="s">
        <v>1386</v>
      </c>
      <c r="F324" s="200"/>
      <c r="G324" s="200"/>
      <c r="H324" s="200"/>
      <c r="I324" s="200"/>
      <c r="J324" s="200"/>
      <c r="K324" s="200"/>
      <c r="L324" s="200"/>
      <c r="M324" s="305"/>
    </row>
    <row r="325" spans="1:13" ht="25.5">
      <c r="A325" s="647"/>
      <c r="B325" s="223" t="s">
        <v>1430</v>
      </c>
      <c r="C325" s="200"/>
      <c r="D325" s="200"/>
      <c r="E325" s="200" t="s">
        <v>1386</v>
      </c>
      <c r="F325" s="200"/>
      <c r="G325" s="200"/>
      <c r="H325" s="200"/>
      <c r="I325" s="200"/>
      <c r="J325" s="200"/>
      <c r="K325" s="200"/>
      <c r="L325" s="200"/>
      <c r="M325" s="305"/>
    </row>
    <row r="326" spans="1:13" ht="25.5">
      <c r="A326" s="647"/>
      <c r="B326" s="223" t="s">
        <v>1431</v>
      </c>
      <c r="C326" s="200"/>
      <c r="D326" s="200"/>
      <c r="E326" s="200" t="s">
        <v>1386</v>
      </c>
      <c r="F326" s="200"/>
      <c r="G326" s="200"/>
      <c r="H326" s="200"/>
      <c r="I326" s="200"/>
      <c r="J326" s="200"/>
      <c r="K326" s="200"/>
      <c r="L326" s="200"/>
      <c r="M326" s="305"/>
    </row>
    <row r="327" spans="1:13" ht="25.5">
      <c r="A327" s="647"/>
      <c r="B327" s="223" t="s">
        <v>1531</v>
      </c>
      <c r="C327" s="200" t="s">
        <v>1386</v>
      </c>
      <c r="D327" s="200"/>
      <c r="E327" s="200" t="s">
        <v>1386</v>
      </c>
      <c r="F327" s="200"/>
      <c r="G327" s="200"/>
      <c r="H327" s="200"/>
      <c r="I327" s="200"/>
      <c r="J327" s="200"/>
      <c r="K327" s="200"/>
      <c r="L327" s="200"/>
      <c r="M327" s="305"/>
    </row>
    <row r="328" spans="1:13">
      <c r="A328" s="647" t="s">
        <v>797</v>
      </c>
      <c r="B328" s="223" t="s">
        <v>1432</v>
      </c>
      <c r="C328" s="200"/>
      <c r="D328" s="200"/>
      <c r="E328" s="200"/>
      <c r="F328" s="200"/>
      <c r="G328" s="200"/>
      <c r="H328" s="200"/>
      <c r="I328" s="200"/>
      <c r="J328" s="200"/>
      <c r="K328" s="200"/>
      <c r="L328" s="200" t="s">
        <v>1386</v>
      </c>
      <c r="M328" s="305"/>
    </row>
    <row r="329" spans="1:13">
      <c r="A329" s="647"/>
      <c r="B329" s="223" t="s">
        <v>1433</v>
      </c>
      <c r="C329" s="200"/>
      <c r="D329" s="200"/>
      <c r="E329" s="200"/>
      <c r="F329" s="200"/>
      <c r="G329" s="200"/>
      <c r="H329" s="200"/>
      <c r="I329" s="200"/>
      <c r="J329" s="200"/>
      <c r="K329" s="200"/>
      <c r="L329" s="200" t="s">
        <v>1386</v>
      </c>
      <c r="M329" s="305"/>
    </row>
    <row r="330" spans="1:13">
      <c r="A330" s="647"/>
      <c r="B330" s="223" t="s">
        <v>1434</v>
      </c>
      <c r="C330" s="200"/>
      <c r="D330" s="200"/>
      <c r="E330" s="200"/>
      <c r="F330" s="200"/>
      <c r="G330" s="200"/>
      <c r="H330" s="200"/>
      <c r="I330" s="200"/>
      <c r="J330" s="200"/>
      <c r="K330" s="200"/>
      <c r="L330" s="200"/>
      <c r="M330" s="305" t="s">
        <v>1435</v>
      </c>
    </row>
    <row r="331" spans="1:13">
      <c r="A331" s="647"/>
      <c r="B331" s="223" t="s">
        <v>1436</v>
      </c>
      <c r="C331" s="200"/>
      <c r="D331" s="200"/>
      <c r="E331" s="200"/>
      <c r="F331" s="200"/>
      <c r="G331" s="200"/>
      <c r="H331" s="200"/>
      <c r="I331" s="200"/>
      <c r="J331" s="200"/>
      <c r="K331" s="200" t="s">
        <v>1386</v>
      </c>
      <c r="L331" s="200"/>
      <c r="M331" s="305"/>
    </row>
    <row r="332" spans="1:13" ht="63.75">
      <c r="A332" s="647"/>
      <c r="B332" s="223" t="s">
        <v>1437</v>
      </c>
      <c r="C332" s="200"/>
      <c r="D332" s="200"/>
      <c r="E332" s="200"/>
      <c r="F332" s="200"/>
      <c r="G332" s="200"/>
      <c r="H332" s="200"/>
      <c r="I332" s="200"/>
      <c r="J332" s="200"/>
      <c r="K332" s="200"/>
      <c r="L332" s="200"/>
      <c r="M332" s="489" t="s">
        <v>1438</v>
      </c>
    </row>
    <row r="333" spans="1:13">
      <c r="A333" s="647"/>
      <c r="B333" s="223" t="s">
        <v>1439</v>
      </c>
      <c r="C333" s="200" t="s">
        <v>1386</v>
      </c>
      <c r="D333" s="200"/>
      <c r="E333" s="200"/>
      <c r="F333" s="200"/>
      <c r="G333" s="200"/>
      <c r="H333" s="200"/>
      <c r="I333" s="200"/>
      <c r="J333" s="200"/>
      <c r="K333" s="200"/>
      <c r="L333" s="200"/>
      <c r="M333" s="305"/>
    </row>
    <row r="334" spans="1:13" ht="51">
      <c r="A334" s="647"/>
      <c r="B334" s="222" t="s">
        <v>1442</v>
      </c>
      <c r="C334" s="200"/>
      <c r="D334" s="200"/>
      <c r="E334" s="200"/>
      <c r="F334" s="200"/>
      <c r="G334" s="200"/>
      <c r="H334" s="200"/>
      <c r="I334" s="200"/>
      <c r="J334" s="200"/>
      <c r="K334" s="200"/>
      <c r="L334" s="200"/>
      <c r="M334" s="305" t="s">
        <v>1443</v>
      </c>
    </row>
    <row r="335" spans="1:13" ht="25.5">
      <c r="A335" s="647"/>
      <c r="B335" s="223" t="s">
        <v>1440</v>
      </c>
      <c r="C335" s="200"/>
      <c r="D335" s="200" t="s">
        <v>1386</v>
      </c>
      <c r="E335" s="200"/>
      <c r="F335" s="200"/>
      <c r="G335" s="200"/>
      <c r="H335" s="200"/>
      <c r="I335" s="200"/>
      <c r="J335" s="200"/>
      <c r="K335" s="200"/>
      <c r="L335" s="200"/>
      <c r="M335" s="305"/>
    </row>
    <row r="336" spans="1:13">
      <c r="A336" s="647"/>
      <c r="B336" s="223" t="s">
        <v>1441</v>
      </c>
      <c r="C336" s="200"/>
      <c r="D336" s="200"/>
      <c r="E336" s="200" t="s">
        <v>1386</v>
      </c>
      <c r="F336" s="200"/>
      <c r="G336" s="200"/>
      <c r="H336" s="200"/>
      <c r="I336" s="200"/>
      <c r="J336" s="200"/>
      <c r="K336" s="200"/>
      <c r="L336" s="200"/>
      <c r="M336" s="305"/>
    </row>
    <row r="337" spans="1:13" ht="25.5">
      <c r="A337" s="647"/>
      <c r="B337" s="223" t="s">
        <v>1444</v>
      </c>
      <c r="C337" s="200"/>
      <c r="D337" s="200" t="s">
        <v>1386</v>
      </c>
      <c r="E337" s="200"/>
      <c r="F337" s="200"/>
      <c r="G337" s="200"/>
      <c r="H337" s="200"/>
      <c r="I337" s="200"/>
      <c r="J337" s="200"/>
      <c r="K337" s="200"/>
      <c r="L337" s="200"/>
      <c r="M337" s="305"/>
    </row>
    <row r="338" spans="1:13">
      <c r="A338" s="647"/>
      <c r="B338" s="223" t="s">
        <v>1445</v>
      </c>
      <c r="C338" s="200" t="s">
        <v>1386</v>
      </c>
      <c r="D338" s="200"/>
      <c r="E338" s="200"/>
      <c r="F338" s="200"/>
      <c r="G338" s="200"/>
      <c r="H338" s="200"/>
      <c r="I338" s="200"/>
      <c r="J338" s="200"/>
      <c r="K338" s="200"/>
      <c r="L338" s="200"/>
      <c r="M338" s="305"/>
    </row>
    <row r="339" spans="1:13">
      <c r="A339" s="647"/>
      <c r="B339" s="223" t="s">
        <v>1446</v>
      </c>
      <c r="C339" s="200" t="s">
        <v>1386</v>
      </c>
      <c r="D339" s="200"/>
      <c r="E339" s="200"/>
      <c r="F339" s="200"/>
      <c r="G339" s="200"/>
      <c r="H339" s="200"/>
      <c r="I339" s="200"/>
      <c r="J339" s="200"/>
      <c r="K339" s="200"/>
      <c r="L339" s="200"/>
      <c r="M339" s="305"/>
    </row>
    <row r="340" spans="1:13">
      <c r="A340" s="647" t="s">
        <v>256</v>
      </c>
      <c r="B340" s="223" t="s">
        <v>1447</v>
      </c>
      <c r="C340" s="200"/>
      <c r="D340" s="200"/>
      <c r="E340" s="200"/>
      <c r="F340" s="200"/>
      <c r="G340" s="200"/>
      <c r="H340" s="200"/>
      <c r="I340" s="200"/>
      <c r="J340" s="200"/>
      <c r="K340" s="200" t="s">
        <v>1386</v>
      </c>
      <c r="L340" s="200"/>
      <c r="M340" s="305"/>
    </row>
    <row r="341" spans="1:13">
      <c r="A341" s="647"/>
      <c r="B341" s="223" t="s">
        <v>1449</v>
      </c>
      <c r="C341" s="200"/>
      <c r="D341" s="200"/>
      <c r="E341" s="200"/>
      <c r="F341" s="200"/>
      <c r="G341" s="200"/>
      <c r="H341" s="200"/>
      <c r="I341" s="200"/>
      <c r="J341" s="200"/>
      <c r="K341" s="200" t="s">
        <v>1386</v>
      </c>
      <c r="L341" s="200"/>
      <c r="M341" s="305"/>
    </row>
    <row r="342" spans="1:13">
      <c r="A342" s="647"/>
      <c r="B342" s="223" t="s">
        <v>1450</v>
      </c>
      <c r="C342" s="200"/>
      <c r="D342" s="200"/>
      <c r="E342" s="200"/>
      <c r="F342" s="200"/>
      <c r="G342" s="200"/>
      <c r="H342" s="200"/>
      <c r="I342" s="200"/>
      <c r="J342" s="200"/>
      <c r="K342" s="200" t="s">
        <v>1386</v>
      </c>
      <c r="L342" s="200"/>
      <c r="M342" s="305"/>
    </row>
    <row r="343" spans="1:13">
      <c r="A343" s="647"/>
      <c r="B343" s="223" t="s">
        <v>1451</v>
      </c>
      <c r="C343" s="200"/>
      <c r="D343" s="200"/>
      <c r="E343" s="200"/>
      <c r="F343" s="200"/>
      <c r="G343" s="200"/>
      <c r="H343" s="200"/>
      <c r="I343" s="200"/>
      <c r="J343" s="200"/>
      <c r="K343" s="200"/>
      <c r="L343" s="200" t="s">
        <v>1386</v>
      </c>
      <c r="M343" s="305"/>
    </row>
    <row r="344" spans="1:13">
      <c r="A344" s="647"/>
      <c r="B344" s="223" t="s">
        <v>1452</v>
      </c>
      <c r="C344" s="200"/>
      <c r="D344" s="200"/>
      <c r="E344" s="200"/>
      <c r="F344" s="200"/>
      <c r="G344" s="200"/>
      <c r="H344" s="200"/>
      <c r="I344" s="200"/>
      <c r="J344" s="200"/>
      <c r="K344" s="200"/>
      <c r="L344" s="200" t="s">
        <v>1386</v>
      </c>
      <c r="M344" s="305"/>
    </row>
    <row r="345" spans="1:13">
      <c r="A345" s="647"/>
      <c r="B345" s="223" t="s">
        <v>1453</v>
      </c>
      <c r="C345" s="200"/>
      <c r="D345" s="200"/>
      <c r="E345" s="200"/>
      <c r="F345" s="200"/>
      <c r="G345" s="200"/>
      <c r="H345" s="200"/>
      <c r="I345" s="200"/>
      <c r="J345" s="200"/>
      <c r="K345" s="200"/>
      <c r="L345" s="200" t="s">
        <v>1386</v>
      </c>
      <c r="M345" s="305"/>
    </row>
    <row r="346" spans="1:13">
      <c r="A346" s="647"/>
      <c r="B346" s="223" t="s">
        <v>1454</v>
      </c>
      <c r="C346" s="200"/>
      <c r="D346" s="200"/>
      <c r="E346" s="200"/>
      <c r="F346" s="200"/>
      <c r="G346" s="200" t="s">
        <v>1386</v>
      </c>
      <c r="H346" s="200"/>
      <c r="I346" s="200"/>
      <c r="J346" s="200"/>
      <c r="K346" s="200"/>
      <c r="L346" s="200"/>
      <c r="M346" s="305"/>
    </row>
    <row r="347" spans="1:13" ht="38.25">
      <c r="A347" s="647"/>
      <c r="B347" s="222" t="s">
        <v>1455</v>
      </c>
      <c r="C347" s="200"/>
      <c r="D347" s="200"/>
      <c r="E347" s="200"/>
      <c r="F347" s="200"/>
      <c r="G347" s="200"/>
      <c r="H347" s="200"/>
      <c r="I347" s="200"/>
      <c r="J347" s="200"/>
      <c r="K347" s="200"/>
      <c r="L347" s="200"/>
      <c r="M347" s="489" t="s">
        <v>1456</v>
      </c>
    </row>
    <row r="348" spans="1:13">
      <c r="A348" s="647"/>
      <c r="B348" s="223" t="s">
        <v>1457</v>
      </c>
      <c r="C348" s="200"/>
      <c r="D348" s="200"/>
      <c r="E348" s="200"/>
      <c r="F348" s="200"/>
      <c r="G348" s="200"/>
      <c r="H348" s="200"/>
      <c r="I348" s="200"/>
      <c r="J348" s="200"/>
      <c r="K348" s="200"/>
      <c r="L348" s="200" t="s">
        <v>1386</v>
      </c>
      <c r="M348" s="305"/>
    </row>
    <row r="349" spans="1:13">
      <c r="A349" s="647"/>
      <c r="B349" s="223" t="s">
        <v>1458</v>
      </c>
      <c r="C349" s="200"/>
      <c r="D349" s="200"/>
      <c r="E349" s="200"/>
      <c r="F349" s="200"/>
      <c r="G349" s="200"/>
      <c r="H349" s="200"/>
      <c r="I349" s="200"/>
      <c r="J349" s="200"/>
      <c r="K349" s="200"/>
      <c r="L349" s="200" t="s">
        <v>1386</v>
      </c>
      <c r="M349" s="305"/>
    </row>
    <row r="350" spans="1:13">
      <c r="A350" s="647"/>
      <c r="B350" s="223" t="s">
        <v>1536</v>
      </c>
      <c r="C350" s="200"/>
      <c r="D350" s="200"/>
      <c r="E350" s="200"/>
      <c r="F350" s="200"/>
      <c r="G350" s="200"/>
      <c r="H350" s="200"/>
      <c r="I350" s="200"/>
      <c r="J350" s="200"/>
      <c r="K350" s="200" t="s">
        <v>1386</v>
      </c>
      <c r="L350" s="200"/>
      <c r="M350" s="305"/>
    </row>
    <row r="351" spans="1:13">
      <c r="A351" s="647"/>
      <c r="B351" s="223" t="s">
        <v>1459</v>
      </c>
      <c r="C351" s="200"/>
      <c r="D351" s="200"/>
      <c r="E351" s="200"/>
      <c r="F351" s="200"/>
      <c r="G351" s="200"/>
      <c r="H351" s="200"/>
      <c r="I351" s="200"/>
      <c r="J351" s="200"/>
      <c r="K351" s="200" t="s">
        <v>1386</v>
      </c>
      <c r="L351" s="200"/>
      <c r="M351" s="305"/>
    </row>
    <row r="352" spans="1:13">
      <c r="A352" s="647"/>
      <c r="B352" s="223" t="s">
        <v>1460</v>
      </c>
      <c r="C352" s="200"/>
      <c r="D352" s="200"/>
      <c r="E352" s="200"/>
      <c r="F352" s="200"/>
      <c r="G352" s="200"/>
      <c r="H352" s="200"/>
      <c r="I352" s="200"/>
      <c r="J352" s="200"/>
      <c r="K352" s="200"/>
      <c r="L352" s="200" t="s">
        <v>1386</v>
      </c>
      <c r="M352" s="305"/>
    </row>
    <row r="353" spans="1:13">
      <c r="A353" s="647"/>
      <c r="B353" s="223" t="s">
        <v>1461</v>
      </c>
      <c r="C353" s="200"/>
      <c r="D353" s="200"/>
      <c r="E353" s="200"/>
      <c r="F353" s="200"/>
      <c r="G353" s="200"/>
      <c r="H353" s="200"/>
      <c r="I353" s="200"/>
      <c r="J353" s="200"/>
      <c r="K353" s="200"/>
      <c r="L353" s="200" t="s">
        <v>1386</v>
      </c>
      <c r="M353" s="305"/>
    </row>
    <row r="354" spans="1:13">
      <c r="A354" s="647"/>
      <c r="B354" s="223" t="s">
        <v>1462</v>
      </c>
      <c r="C354" s="200"/>
      <c r="D354" s="200"/>
      <c r="E354" s="200"/>
      <c r="F354" s="200"/>
      <c r="G354" s="200"/>
      <c r="H354" s="200"/>
      <c r="I354" s="200"/>
      <c r="J354" s="200" t="s">
        <v>1386</v>
      </c>
      <c r="K354" s="200"/>
      <c r="L354" s="200"/>
      <c r="M354" s="305"/>
    </row>
    <row r="355" spans="1:13">
      <c r="A355" s="647"/>
      <c r="B355" s="223" t="s">
        <v>1463</v>
      </c>
      <c r="C355" s="200" t="s">
        <v>1386</v>
      </c>
      <c r="D355" s="200"/>
      <c r="E355" s="200"/>
      <c r="F355" s="200"/>
      <c r="G355" s="200"/>
      <c r="H355" s="200"/>
      <c r="I355" s="200"/>
      <c r="J355" s="200"/>
      <c r="K355" s="200"/>
      <c r="L355" s="200"/>
      <c r="M355" s="305"/>
    </row>
    <row r="356" spans="1:13">
      <c r="A356" s="647"/>
      <c r="B356" s="223" t="s">
        <v>1464</v>
      </c>
      <c r="C356" s="200"/>
      <c r="D356" s="200"/>
      <c r="E356" s="200"/>
      <c r="F356" s="200"/>
      <c r="G356" s="200"/>
      <c r="H356" s="200"/>
      <c r="I356" s="200"/>
      <c r="J356" s="200"/>
      <c r="K356" s="200"/>
      <c r="L356" s="200" t="s">
        <v>1386</v>
      </c>
      <c r="M356" s="305"/>
    </row>
    <row r="357" spans="1:13">
      <c r="A357" s="647"/>
      <c r="B357" s="223" t="s">
        <v>1465</v>
      </c>
      <c r="C357" s="200"/>
      <c r="D357" s="200"/>
      <c r="E357" s="200"/>
      <c r="F357" s="200" t="s">
        <v>1386</v>
      </c>
      <c r="G357" s="200"/>
      <c r="H357" s="200"/>
      <c r="I357" s="200"/>
      <c r="J357" s="200"/>
      <c r="K357" s="200"/>
      <c r="L357" s="200"/>
      <c r="M357" s="305"/>
    </row>
    <row r="358" spans="1:13">
      <c r="A358" s="647"/>
      <c r="B358" s="223" t="s">
        <v>1466</v>
      </c>
      <c r="C358" s="200"/>
      <c r="D358" s="200"/>
      <c r="E358" s="200"/>
      <c r="F358" s="200"/>
      <c r="G358" s="200"/>
      <c r="H358" s="200"/>
      <c r="I358" s="200"/>
      <c r="J358" s="200"/>
      <c r="K358" s="200"/>
      <c r="L358" s="200" t="s">
        <v>1386</v>
      </c>
      <c r="M358" s="305"/>
    </row>
    <row r="359" spans="1:13">
      <c r="A359" s="647"/>
      <c r="B359" s="223" t="s">
        <v>1467</v>
      </c>
      <c r="C359" s="200"/>
      <c r="D359" s="200"/>
      <c r="E359" s="200"/>
      <c r="F359" s="200"/>
      <c r="G359" s="200"/>
      <c r="H359" s="200"/>
      <c r="I359" s="200"/>
      <c r="J359" s="200"/>
      <c r="K359" s="200"/>
      <c r="L359" s="200" t="s">
        <v>1386</v>
      </c>
      <c r="M359" s="305"/>
    </row>
    <row r="360" spans="1:13">
      <c r="A360" s="647"/>
      <c r="B360" s="223" t="s">
        <v>1468</v>
      </c>
      <c r="C360" s="200"/>
      <c r="D360" s="200"/>
      <c r="E360" s="200"/>
      <c r="F360" s="200"/>
      <c r="G360" s="200"/>
      <c r="H360" s="200"/>
      <c r="I360" s="200"/>
      <c r="J360" s="200"/>
      <c r="K360" s="200"/>
      <c r="L360" s="200" t="s">
        <v>1386</v>
      </c>
      <c r="M360" s="305"/>
    </row>
    <row r="361" spans="1:13">
      <c r="A361" s="647"/>
      <c r="B361" s="223" t="s">
        <v>1469</v>
      </c>
      <c r="C361" s="200"/>
      <c r="D361" s="200"/>
      <c r="E361" s="200"/>
      <c r="F361" s="200"/>
      <c r="G361" s="200"/>
      <c r="H361" s="200"/>
      <c r="I361" s="200"/>
      <c r="J361" s="200"/>
      <c r="K361" s="200"/>
      <c r="L361" s="200" t="s">
        <v>1386</v>
      </c>
      <c r="M361" s="305"/>
    </row>
    <row r="362" spans="1:13">
      <c r="A362" s="647"/>
      <c r="B362" s="223" t="s">
        <v>1470</v>
      </c>
      <c r="C362" s="200"/>
      <c r="D362" s="200"/>
      <c r="E362" s="200"/>
      <c r="F362" s="200"/>
      <c r="G362" s="200"/>
      <c r="H362" s="200"/>
      <c r="I362" s="200"/>
      <c r="J362" s="200"/>
      <c r="K362" s="200" t="s">
        <v>1386</v>
      </c>
      <c r="L362" s="200"/>
      <c r="M362" s="305"/>
    </row>
    <row r="363" spans="1:13">
      <c r="A363" s="647"/>
      <c r="B363" s="223" t="s">
        <v>1471</v>
      </c>
      <c r="C363" s="200" t="s">
        <v>1386</v>
      </c>
      <c r="D363" s="200"/>
      <c r="E363" s="200"/>
      <c r="F363" s="200"/>
      <c r="G363" s="200"/>
      <c r="H363" s="200"/>
      <c r="I363" s="200"/>
      <c r="J363" s="200"/>
      <c r="K363" s="200"/>
      <c r="L363" s="200"/>
      <c r="M363" s="305"/>
    </row>
    <row r="364" spans="1:13" ht="25.5">
      <c r="A364" s="647"/>
      <c r="B364" s="223" t="s">
        <v>1472</v>
      </c>
      <c r="C364" s="200"/>
      <c r="D364" s="200"/>
      <c r="E364" s="200"/>
      <c r="F364" s="200"/>
      <c r="G364" s="200"/>
      <c r="H364" s="200"/>
      <c r="I364" s="200"/>
      <c r="J364" s="200"/>
      <c r="K364" s="200"/>
      <c r="L364" s="200" t="s">
        <v>1386</v>
      </c>
      <c r="M364" s="305"/>
    </row>
    <row r="365" spans="1:13">
      <c r="A365" s="647"/>
      <c r="B365" s="223" t="s">
        <v>1473</v>
      </c>
      <c r="C365" s="200"/>
      <c r="D365" s="200"/>
      <c r="E365" s="200"/>
      <c r="F365" s="200"/>
      <c r="G365" s="200"/>
      <c r="H365" s="200"/>
      <c r="I365" s="200"/>
      <c r="J365" s="200"/>
      <c r="K365" s="200"/>
      <c r="L365" s="200" t="s">
        <v>1386</v>
      </c>
      <c r="M365" s="305"/>
    </row>
    <row r="366" spans="1:13">
      <c r="A366" s="647"/>
      <c r="B366" s="223" t="s">
        <v>1474</v>
      </c>
      <c r="C366" s="200"/>
      <c r="D366" s="200"/>
      <c r="E366" s="200"/>
      <c r="F366" s="200"/>
      <c r="G366" s="200"/>
      <c r="H366" s="200"/>
      <c r="I366" s="200"/>
      <c r="J366" s="200"/>
      <c r="K366" s="200" t="s">
        <v>1386</v>
      </c>
      <c r="L366" s="200"/>
      <c r="M366" s="305"/>
    </row>
    <row r="367" spans="1:13">
      <c r="A367" s="647"/>
      <c r="B367" s="223" t="s">
        <v>1475</v>
      </c>
      <c r="C367" s="200"/>
      <c r="D367" s="200"/>
      <c r="E367" s="200"/>
      <c r="F367" s="200"/>
      <c r="G367" s="200"/>
      <c r="H367" s="200"/>
      <c r="I367" s="200"/>
      <c r="J367" s="200"/>
      <c r="K367" s="200"/>
      <c r="L367" s="200" t="s">
        <v>1386</v>
      </c>
      <c r="M367" s="305"/>
    </row>
    <row r="368" spans="1:13">
      <c r="A368" s="647"/>
      <c r="B368" s="223" t="s">
        <v>1476</v>
      </c>
      <c r="C368" s="200"/>
      <c r="D368" s="200"/>
      <c r="E368" s="200"/>
      <c r="F368" s="200"/>
      <c r="G368" s="200"/>
      <c r="H368" s="200"/>
      <c r="I368" s="200"/>
      <c r="J368" s="200"/>
      <c r="K368" s="200" t="s">
        <v>1386</v>
      </c>
      <c r="L368" s="200"/>
      <c r="M368" s="305"/>
    </row>
    <row r="369" spans="1:13" ht="25.5">
      <c r="A369" s="647"/>
      <c r="B369" s="223" t="s">
        <v>1477</v>
      </c>
      <c r="C369" s="200" t="s">
        <v>1386</v>
      </c>
      <c r="D369" s="200"/>
      <c r="E369" s="200"/>
      <c r="F369" s="200"/>
      <c r="G369" s="200"/>
      <c r="H369" s="200"/>
      <c r="I369" s="200"/>
      <c r="J369" s="200"/>
      <c r="K369" s="200"/>
      <c r="L369" s="200"/>
      <c r="M369" s="305"/>
    </row>
    <row r="370" spans="1:13" ht="25.5">
      <c r="A370" s="647"/>
      <c r="B370" s="223" t="s">
        <v>1478</v>
      </c>
      <c r="C370" s="200"/>
      <c r="D370" s="200"/>
      <c r="E370" s="200"/>
      <c r="F370" s="200"/>
      <c r="G370" s="200"/>
      <c r="H370" s="200"/>
      <c r="I370" s="200"/>
      <c r="J370" s="200"/>
      <c r="K370" s="200" t="s">
        <v>1386</v>
      </c>
      <c r="L370" s="200"/>
      <c r="M370" s="305"/>
    </row>
    <row r="371" spans="1:13">
      <c r="A371" s="647"/>
      <c r="B371" s="223" t="s">
        <v>1479</v>
      </c>
      <c r="C371" s="200"/>
      <c r="D371" s="200"/>
      <c r="E371" s="200"/>
      <c r="F371" s="200"/>
      <c r="G371" s="200"/>
      <c r="H371" s="200"/>
      <c r="I371" s="200"/>
      <c r="J371" s="200"/>
      <c r="K371" s="200" t="s">
        <v>1386</v>
      </c>
      <c r="L371" s="200"/>
      <c r="M371" s="305"/>
    </row>
    <row r="372" spans="1:13">
      <c r="A372" s="647"/>
      <c r="B372" s="223" t="s">
        <v>1480</v>
      </c>
      <c r="C372" s="200" t="s">
        <v>1386</v>
      </c>
      <c r="D372" s="200"/>
      <c r="E372" s="200"/>
      <c r="F372" s="200"/>
      <c r="G372" s="200"/>
      <c r="H372" s="200"/>
      <c r="I372" s="200"/>
      <c r="J372" s="200"/>
      <c r="K372" s="200"/>
      <c r="L372" s="200"/>
      <c r="M372" s="305"/>
    </row>
    <row r="373" spans="1:13" ht="25.5">
      <c r="A373" s="647"/>
      <c r="B373" s="223" t="s">
        <v>1481</v>
      </c>
      <c r="C373" s="200"/>
      <c r="D373" s="200"/>
      <c r="E373" s="200"/>
      <c r="F373" s="200"/>
      <c r="G373" s="200"/>
      <c r="H373" s="200"/>
      <c r="I373" s="200"/>
      <c r="J373" s="200"/>
      <c r="K373" s="200" t="s">
        <v>1386</v>
      </c>
      <c r="L373" s="200"/>
      <c r="M373" s="305"/>
    </row>
    <row r="374" spans="1:13">
      <c r="A374" s="647"/>
      <c r="B374" s="223" t="s">
        <v>1482</v>
      </c>
      <c r="C374" s="200"/>
      <c r="D374" s="200"/>
      <c r="E374" s="200"/>
      <c r="F374" s="200"/>
      <c r="G374" s="200"/>
      <c r="H374" s="200"/>
      <c r="I374" s="200"/>
      <c r="J374" s="200"/>
      <c r="K374" s="200"/>
      <c r="L374" s="200" t="s">
        <v>1386</v>
      </c>
      <c r="M374" s="305"/>
    </row>
    <row r="375" spans="1:13">
      <c r="A375" s="647"/>
      <c r="B375" s="223" t="s">
        <v>1483</v>
      </c>
      <c r="C375" s="200"/>
      <c r="D375" s="200"/>
      <c r="E375" s="200"/>
      <c r="F375" s="200"/>
      <c r="G375" s="200"/>
      <c r="H375" s="200"/>
      <c r="I375" s="200"/>
      <c r="J375" s="200"/>
      <c r="K375" s="200" t="s">
        <v>1386</v>
      </c>
      <c r="L375" s="200"/>
      <c r="M375" s="305"/>
    </row>
    <row r="376" spans="1:13">
      <c r="A376" s="647"/>
      <c r="B376" s="223" t="s">
        <v>1484</v>
      </c>
      <c r="C376" s="200"/>
      <c r="D376" s="200"/>
      <c r="E376" s="200"/>
      <c r="F376" s="200"/>
      <c r="G376" s="200"/>
      <c r="H376" s="200"/>
      <c r="I376" s="200"/>
      <c r="J376" s="200"/>
      <c r="K376" s="200"/>
      <c r="L376" s="200" t="s">
        <v>1386</v>
      </c>
      <c r="M376" s="305"/>
    </row>
    <row r="377" spans="1:13" ht="25.5">
      <c r="A377" s="647"/>
      <c r="B377" s="223" t="s">
        <v>1485</v>
      </c>
      <c r="C377" s="200"/>
      <c r="D377" s="200"/>
      <c r="E377" s="200"/>
      <c r="F377" s="200"/>
      <c r="G377" s="200"/>
      <c r="H377" s="200"/>
      <c r="I377" s="200"/>
      <c r="J377" s="200"/>
      <c r="K377" s="200"/>
      <c r="L377" s="200" t="s">
        <v>1386</v>
      </c>
      <c r="M377" s="305"/>
    </row>
    <row r="378" spans="1:13">
      <c r="A378" s="647"/>
      <c r="B378" s="223" t="s">
        <v>1486</v>
      </c>
      <c r="C378" s="200"/>
      <c r="D378" s="200"/>
      <c r="E378" s="200"/>
      <c r="F378" s="200"/>
      <c r="G378" s="200"/>
      <c r="H378" s="200"/>
      <c r="I378" s="200"/>
      <c r="J378" s="200"/>
      <c r="K378" s="200"/>
      <c r="L378" s="200" t="s">
        <v>1386</v>
      </c>
      <c r="M378" s="305"/>
    </row>
    <row r="379" spans="1:13">
      <c r="A379" s="647"/>
      <c r="B379" s="223" t="s">
        <v>1487</v>
      </c>
      <c r="C379" s="200"/>
      <c r="D379" s="200"/>
      <c r="E379" s="200"/>
      <c r="F379" s="200"/>
      <c r="G379" s="200"/>
      <c r="H379" s="200"/>
      <c r="I379" s="200"/>
      <c r="J379" s="200"/>
      <c r="K379" s="200"/>
      <c r="L379" s="200" t="s">
        <v>1386</v>
      </c>
      <c r="M379" s="305"/>
    </row>
    <row r="380" spans="1:13">
      <c r="A380" s="647"/>
      <c r="B380" s="223" t="s">
        <v>1488</v>
      </c>
      <c r="C380" s="200"/>
      <c r="D380" s="200"/>
      <c r="E380" s="200"/>
      <c r="F380" s="200"/>
      <c r="G380" s="200"/>
      <c r="H380" s="200"/>
      <c r="I380" s="200"/>
      <c r="J380" s="200"/>
      <c r="K380" s="200"/>
      <c r="L380" s="200" t="s">
        <v>1386</v>
      </c>
      <c r="M380" s="305"/>
    </row>
    <row r="381" spans="1:13" ht="25.5">
      <c r="A381" s="647"/>
      <c r="B381" s="223" t="s">
        <v>1489</v>
      </c>
      <c r="C381" s="200"/>
      <c r="D381" s="200"/>
      <c r="E381" s="200"/>
      <c r="F381" s="200"/>
      <c r="G381" s="200"/>
      <c r="H381" s="200"/>
      <c r="I381" s="200"/>
      <c r="J381" s="200"/>
      <c r="K381" s="200"/>
      <c r="L381" s="200"/>
      <c r="M381" s="489" t="s">
        <v>1490</v>
      </c>
    </row>
    <row r="382" spans="1:13" ht="25.5">
      <c r="A382" s="647"/>
      <c r="B382" s="223" t="s">
        <v>1491</v>
      </c>
      <c r="C382" s="200"/>
      <c r="D382" s="200"/>
      <c r="E382" s="200"/>
      <c r="F382" s="200"/>
      <c r="G382" s="200"/>
      <c r="H382" s="200"/>
      <c r="I382" s="200"/>
      <c r="J382" s="200"/>
      <c r="K382" s="200"/>
      <c r="L382" s="200" t="s">
        <v>1386</v>
      </c>
      <c r="M382" s="305"/>
    </row>
    <row r="383" spans="1:13">
      <c r="A383" s="647"/>
      <c r="B383" s="223" t="s">
        <v>1492</v>
      </c>
      <c r="C383" s="200"/>
      <c r="D383" s="200"/>
      <c r="E383" s="200"/>
      <c r="F383" s="200"/>
      <c r="G383" s="200"/>
      <c r="H383" s="200"/>
      <c r="I383" s="200"/>
      <c r="J383" s="200"/>
      <c r="K383" s="200" t="s">
        <v>1386</v>
      </c>
      <c r="L383" s="200"/>
      <c r="M383" s="305"/>
    </row>
    <row r="384" spans="1:13">
      <c r="A384" s="647"/>
      <c r="B384" s="223" t="s">
        <v>1493</v>
      </c>
      <c r="C384" s="200"/>
      <c r="D384" s="200"/>
      <c r="E384" s="200"/>
      <c r="F384" s="200"/>
      <c r="G384" s="200"/>
      <c r="H384" s="200"/>
      <c r="I384" s="200"/>
      <c r="J384" s="200"/>
      <c r="K384" s="200"/>
      <c r="L384" s="200" t="s">
        <v>1386</v>
      </c>
      <c r="M384" s="305"/>
    </row>
    <row r="385" spans="1:13">
      <c r="A385" s="647"/>
      <c r="B385" s="223" t="s">
        <v>1494</v>
      </c>
      <c r="C385" s="200"/>
      <c r="D385" s="200"/>
      <c r="E385" s="200"/>
      <c r="F385" s="200"/>
      <c r="G385" s="200"/>
      <c r="H385" s="200"/>
      <c r="I385" s="200"/>
      <c r="J385" s="200"/>
      <c r="K385" s="200"/>
      <c r="L385" s="200" t="s">
        <v>1386</v>
      </c>
      <c r="M385" s="305"/>
    </row>
    <row r="386" spans="1:13">
      <c r="A386" s="647"/>
      <c r="B386" s="223" t="s">
        <v>1495</v>
      </c>
      <c r="C386" s="200"/>
      <c r="D386" s="200"/>
      <c r="E386" s="200"/>
      <c r="F386" s="200"/>
      <c r="G386" s="200"/>
      <c r="H386" s="200"/>
      <c r="I386" s="200"/>
      <c r="J386" s="200"/>
      <c r="K386" s="200" t="s">
        <v>1386</v>
      </c>
      <c r="L386" s="200"/>
      <c r="M386" s="305"/>
    </row>
    <row r="387" spans="1:13">
      <c r="A387" s="647"/>
      <c r="B387" s="223" t="s">
        <v>1496</v>
      </c>
      <c r="C387" s="200"/>
      <c r="D387" s="200"/>
      <c r="E387" s="200"/>
      <c r="F387" s="200"/>
      <c r="G387" s="200"/>
      <c r="H387" s="200"/>
      <c r="I387" s="200"/>
      <c r="J387" s="200"/>
      <c r="K387" s="200"/>
      <c r="L387" s="200" t="s">
        <v>1386</v>
      </c>
      <c r="M387" s="305"/>
    </row>
    <row r="388" spans="1:13">
      <c r="A388" s="647"/>
      <c r="B388" s="223" t="s">
        <v>1497</v>
      </c>
      <c r="C388" s="200"/>
      <c r="D388" s="200"/>
      <c r="E388" s="200"/>
      <c r="F388" s="200"/>
      <c r="G388" s="200"/>
      <c r="H388" s="200"/>
      <c r="I388" s="200"/>
      <c r="J388" s="200"/>
      <c r="K388" s="200" t="s">
        <v>1386</v>
      </c>
      <c r="L388" s="200"/>
      <c r="M388" s="305"/>
    </row>
    <row r="389" spans="1:13" ht="25.5">
      <c r="A389" s="647"/>
      <c r="B389" s="223" t="s">
        <v>1498</v>
      </c>
      <c r="C389" s="200"/>
      <c r="D389" s="200" t="s">
        <v>1386</v>
      </c>
      <c r="E389" s="200"/>
      <c r="F389" s="200"/>
      <c r="G389" s="200"/>
      <c r="H389" s="200"/>
      <c r="I389" s="200"/>
      <c r="J389" s="200"/>
      <c r="K389" s="200"/>
      <c r="L389" s="200"/>
      <c r="M389" s="305"/>
    </row>
    <row r="390" spans="1:13">
      <c r="A390" s="647"/>
      <c r="B390" s="223" t="s">
        <v>1499</v>
      </c>
      <c r="C390" s="200"/>
      <c r="D390" s="200"/>
      <c r="E390" s="200"/>
      <c r="F390" s="200"/>
      <c r="G390" s="200"/>
      <c r="H390" s="200"/>
      <c r="I390" s="200"/>
      <c r="J390" s="200"/>
      <c r="K390" s="200" t="s">
        <v>1386</v>
      </c>
      <c r="L390" s="200"/>
      <c r="M390" s="305"/>
    </row>
    <row r="391" spans="1:13">
      <c r="A391" s="647"/>
      <c r="B391" s="223" t="s">
        <v>1500</v>
      </c>
      <c r="C391" s="200"/>
      <c r="D391" s="200"/>
      <c r="E391" s="200"/>
      <c r="F391" s="200"/>
      <c r="G391" s="200"/>
      <c r="H391" s="200"/>
      <c r="I391" s="200"/>
      <c r="J391" s="200"/>
      <c r="K391" s="200"/>
      <c r="L391" s="200" t="s">
        <v>1386</v>
      </c>
      <c r="M391" s="305"/>
    </row>
    <row r="392" spans="1:13">
      <c r="A392" s="647"/>
      <c r="B392" s="223" t="s">
        <v>1501</v>
      </c>
      <c r="C392" s="200" t="s">
        <v>1386</v>
      </c>
      <c r="D392" s="200" t="s">
        <v>1386</v>
      </c>
      <c r="E392" s="200"/>
      <c r="F392" s="200"/>
      <c r="G392" s="200"/>
      <c r="H392" s="200"/>
      <c r="I392" s="200"/>
      <c r="J392" s="200"/>
      <c r="K392" s="200"/>
      <c r="L392" s="200"/>
      <c r="M392" s="305"/>
    </row>
    <row r="393" spans="1:13">
      <c r="A393" s="647"/>
      <c r="B393" s="223" t="s">
        <v>1503</v>
      </c>
      <c r="C393" s="200"/>
      <c r="D393" s="200"/>
      <c r="E393" s="200"/>
      <c r="F393" s="200"/>
      <c r="G393" s="200"/>
      <c r="H393" s="200"/>
      <c r="I393" s="200"/>
      <c r="J393" s="200"/>
      <c r="K393" s="200"/>
      <c r="L393" s="200" t="s">
        <v>1386</v>
      </c>
      <c r="M393" s="305"/>
    </row>
    <row r="394" spans="1:13">
      <c r="A394" s="647"/>
      <c r="B394" s="223" t="s">
        <v>1504</v>
      </c>
      <c r="C394" s="200"/>
      <c r="D394" s="200"/>
      <c r="E394" s="200"/>
      <c r="F394" s="200"/>
      <c r="G394" s="200"/>
      <c r="H394" s="200"/>
      <c r="I394" s="200"/>
      <c r="J394" s="200"/>
      <c r="K394" s="200"/>
      <c r="L394" s="200" t="s">
        <v>1386</v>
      </c>
      <c r="M394" s="305"/>
    </row>
    <row r="395" spans="1:13">
      <c r="A395" s="647"/>
      <c r="B395" s="223" t="s">
        <v>1505</v>
      </c>
      <c r="C395" s="200" t="s">
        <v>1386</v>
      </c>
      <c r="D395" s="200"/>
      <c r="E395" s="200"/>
      <c r="F395" s="200"/>
      <c r="G395" s="200"/>
      <c r="H395" s="200"/>
      <c r="I395" s="200"/>
      <c r="J395" s="200"/>
      <c r="K395" s="200"/>
      <c r="L395" s="200"/>
      <c r="M395" s="305"/>
    </row>
    <row r="396" spans="1:13" ht="25.5">
      <c r="A396" s="647"/>
      <c r="B396" s="223" t="s">
        <v>1506</v>
      </c>
      <c r="C396" s="200"/>
      <c r="D396" s="200"/>
      <c r="E396" s="200"/>
      <c r="F396" s="200"/>
      <c r="G396" s="200"/>
      <c r="H396" s="200"/>
      <c r="I396" s="200"/>
      <c r="J396" s="200"/>
      <c r="K396" s="200"/>
      <c r="L396" s="200" t="s">
        <v>1386</v>
      </c>
      <c r="M396" s="305"/>
    </row>
    <row r="397" spans="1:13" ht="25.5">
      <c r="A397" s="647"/>
      <c r="B397" s="223" t="s">
        <v>1507</v>
      </c>
      <c r="C397" s="200" t="s">
        <v>1386</v>
      </c>
      <c r="D397" s="200" t="s">
        <v>1386</v>
      </c>
      <c r="E397" s="200"/>
      <c r="F397" s="200"/>
      <c r="G397" s="200"/>
      <c r="H397" s="200"/>
      <c r="I397" s="200"/>
      <c r="J397" s="200"/>
      <c r="K397" s="200"/>
      <c r="L397" s="200"/>
      <c r="M397" s="305"/>
    </row>
    <row r="398" spans="1:13">
      <c r="A398" s="647"/>
      <c r="B398" s="223" t="s">
        <v>1508</v>
      </c>
      <c r="C398" s="200"/>
      <c r="D398" s="200"/>
      <c r="E398" s="200"/>
      <c r="F398" s="200"/>
      <c r="G398" s="200"/>
      <c r="H398" s="200"/>
      <c r="I398" s="200"/>
      <c r="J398" s="200"/>
      <c r="K398" s="200" t="s">
        <v>1386</v>
      </c>
      <c r="L398" s="200"/>
      <c r="M398" s="305"/>
    </row>
    <row r="399" spans="1:13">
      <c r="A399" s="647"/>
      <c r="B399" s="223" t="s">
        <v>1509</v>
      </c>
      <c r="C399" s="200"/>
      <c r="D399" s="200"/>
      <c r="E399" s="200"/>
      <c r="F399" s="200"/>
      <c r="G399" s="200"/>
      <c r="H399" s="200"/>
      <c r="I399" s="200"/>
      <c r="J399" s="200"/>
      <c r="K399" s="200"/>
      <c r="L399" s="200" t="s">
        <v>1386</v>
      </c>
      <c r="M399" s="305"/>
    </row>
    <row r="400" spans="1:13">
      <c r="A400" s="647"/>
      <c r="B400" s="223" t="s">
        <v>1510</v>
      </c>
      <c r="C400" s="200"/>
      <c r="D400" s="200"/>
      <c r="E400" s="200"/>
      <c r="F400" s="200"/>
      <c r="G400" s="200"/>
      <c r="H400" s="200"/>
      <c r="I400" s="200"/>
      <c r="J400" s="200"/>
      <c r="K400" s="200" t="s">
        <v>1386</v>
      </c>
      <c r="L400" s="200"/>
      <c r="M400" s="305"/>
    </row>
    <row r="401" spans="1:13">
      <c r="A401" s="647"/>
      <c r="B401" s="223" t="s">
        <v>1511</v>
      </c>
      <c r="C401" s="200"/>
      <c r="D401" s="200"/>
      <c r="E401" s="200"/>
      <c r="F401" s="200"/>
      <c r="G401" s="200"/>
      <c r="H401" s="200"/>
      <c r="I401" s="200"/>
      <c r="J401" s="200"/>
      <c r="K401" s="200"/>
      <c r="L401" s="200" t="s">
        <v>1386</v>
      </c>
      <c r="M401" s="305"/>
    </row>
    <row r="402" spans="1:13">
      <c r="A402" s="647"/>
      <c r="B402" s="223" t="s">
        <v>1512</v>
      </c>
      <c r="C402" s="200" t="s">
        <v>1386</v>
      </c>
      <c r="D402" s="200" t="s">
        <v>1386</v>
      </c>
      <c r="E402" s="200"/>
      <c r="F402" s="200" t="s">
        <v>1386</v>
      </c>
      <c r="G402" s="200"/>
      <c r="H402" s="200"/>
      <c r="I402" s="200"/>
      <c r="J402" s="200"/>
      <c r="K402" s="200"/>
      <c r="L402" s="200"/>
      <c r="M402" s="305"/>
    </row>
    <row r="403" spans="1:13" ht="25.5">
      <c r="A403" s="647"/>
      <c r="B403" s="223" t="s">
        <v>1513</v>
      </c>
      <c r="C403" s="200"/>
      <c r="D403" s="200"/>
      <c r="E403" s="200"/>
      <c r="F403" s="200"/>
      <c r="G403" s="200"/>
      <c r="H403" s="200"/>
      <c r="I403" s="200"/>
      <c r="J403" s="200"/>
      <c r="K403" s="200"/>
      <c r="L403" s="200" t="s">
        <v>1386</v>
      </c>
      <c r="M403" s="305"/>
    </row>
    <row r="404" spans="1:13">
      <c r="A404" s="647"/>
      <c r="B404" s="223" t="s">
        <v>1514</v>
      </c>
      <c r="C404" s="200"/>
      <c r="D404" s="200"/>
      <c r="E404" s="200"/>
      <c r="F404" s="200"/>
      <c r="G404" s="200"/>
      <c r="H404" s="200"/>
      <c r="I404" s="200"/>
      <c r="J404" s="200"/>
      <c r="K404" s="200"/>
      <c r="L404" s="200" t="s">
        <v>1386</v>
      </c>
      <c r="M404" s="305"/>
    </row>
    <row r="405" spans="1:13">
      <c r="A405" s="647"/>
      <c r="B405" s="223" t="s">
        <v>1515</v>
      </c>
      <c r="C405" s="200"/>
      <c r="D405" s="200"/>
      <c r="E405" s="200"/>
      <c r="F405" s="200"/>
      <c r="G405" s="200"/>
      <c r="H405" s="200"/>
      <c r="I405" s="200"/>
      <c r="J405" s="200"/>
      <c r="K405" s="200" t="s">
        <v>1386</v>
      </c>
      <c r="L405" s="200"/>
      <c r="M405" s="305"/>
    </row>
    <row r="406" spans="1:13">
      <c r="A406" s="647"/>
      <c r="B406" s="223" t="s">
        <v>1516</v>
      </c>
      <c r="C406" s="200"/>
      <c r="D406" s="200"/>
      <c r="E406" s="200"/>
      <c r="F406" s="200"/>
      <c r="G406" s="200"/>
      <c r="H406" s="200"/>
      <c r="I406" s="200"/>
      <c r="J406" s="200"/>
      <c r="K406" s="200"/>
      <c r="L406" s="200" t="s">
        <v>1386</v>
      </c>
      <c r="M406" s="305"/>
    </row>
    <row r="407" spans="1:13">
      <c r="A407" s="647"/>
      <c r="B407" s="223" t="s">
        <v>1517</v>
      </c>
      <c r="C407" s="200"/>
      <c r="D407" s="200"/>
      <c r="E407" s="200"/>
      <c r="F407" s="200"/>
      <c r="G407" s="200"/>
      <c r="H407" s="200"/>
      <c r="I407" s="200"/>
      <c r="J407" s="200"/>
      <c r="K407" s="200" t="s">
        <v>1386</v>
      </c>
      <c r="L407" s="200"/>
      <c r="M407" s="305"/>
    </row>
    <row r="408" spans="1:13" ht="25.5">
      <c r="A408" s="647"/>
      <c r="B408" s="223" t="s">
        <v>1518</v>
      </c>
      <c r="C408" s="200"/>
      <c r="D408" s="200"/>
      <c r="E408" s="200"/>
      <c r="F408" s="200"/>
      <c r="G408" s="200"/>
      <c r="H408" s="200"/>
      <c r="I408" s="200"/>
      <c r="J408" s="200"/>
      <c r="K408" s="200" t="s">
        <v>1386</v>
      </c>
      <c r="L408" s="200"/>
      <c r="M408" s="305"/>
    </row>
    <row r="409" spans="1:13">
      <c r="A409" s="647"/>
      <c r="B409" s="223" t="s">
        <v>1519</v>
      </c>
      <c r="C409" s="200"/>
      <c r="D409" s="200"/>
      <c r="E409" s="200"/>
      <c r="F409" s="200"/>
      <c r="G409" s="200"/>
      <c r="H409" s="200"/>
      <c r="I409" s="200"/>
      <c r="J409" s="200"/>
      <c r="K409" s="200"/>
      <c r="L409" s="200" t="s">
        <v>1386</v>
      </c>
      <c r="M409" s="305"/>
    </row>
    <row r="410" spans="1:13">
      <c r="A410" s="647"/>
      <c r="B410" s="223" t="s">
        <v>1520</v>
      </c>
      <c r="C410" s="200"/>
      <c r="D410" s="200"/>
      <c r="E410" s="200"/>
      <c r="F410" s="200"/>
      <c r="G410" s="200"/>
      <c r="H410" s="200" t="s">
        <v>1386</v>
      </c>
      <c r="I410" s="200"/>
      <c r="J410" s="200"/>
      <c r="K410" s="200" t="s">
        <v>1386</v>
      </c>
      <c r="L410" s="200"/>
      <c r="M410" s="305"/>
    </row>
    <row r="411" spans="1:13" ht="25.5">
      <c r="A411" s="647"/>
      <c r="B411" s="223" t="s">
        <v>1521</v>
      </c>
      <c r="C411" s="200"/>
      <c r="D411" s="200"/>
      <c r="E411" s="200"/>
      <c r="F411" s="200"/>
      <c r="G411" s="200"/>
      <c r="H411" s="200"/>
      <c r="I411" s="200"/>
      <c r="J411" s="200"/>
      <c r="K411" s="200" t="s">
        <v>1386</v>
      </c>
      <c r="L411" s="200"/>
      <c r="M411" s="305"/>
    </row>
    <row r="412" spans="1:13" ht="25.5">
      <c r="A412" s="647"/>
      <c r="B412" s="223" t="s">
        <v>1522</v>
      </c>
      <c r="C412" s="200"/>
      <c r="D412" s="200"/>
      <c r="E412" s="200"/>
      <c r="F412" s="200"/>
      <c r="G412" s="200"/>
      <c r="H412" s="200"/>
      <c r="I412" s="200"/>
      <c r="J412" s="200"/>
      <c r="K412" s="200" t="s">
        <v>1386</v>
      </c>
      <c r="L412" s="200"/>
      <c r="M412" s="305"/>
    </row>
    <row r="413" spans="1:13">
      <c r="A413" s="647"/>
      <c r="B413" s="223" t="s">
        <v>1523</v>
      </c>
      <c r="C413" s="200"/>
      <c r="D413" s="200"/>
      <c r="E413" s="200"/>
      <c r="F413" s="200"/>
      <c r="G413" s="200"/>
      <c r="H413" s="200"/>
      <c r="I413" s="200"/>
      <c r="J413" s="200"/>
      <c r="K413" s="200"/>
      <c r="L413" s="200" t="s">
        <v>1386</v>
      </c>
      <c r="M413" s="305"/>
    </row>
    <row r="414" spans="1:13">
      <c r="A414" s="647"/>
      <c r="B414" s="223" t="s">
        <v>1524</v>
      </c>
      <c r="C414" s="200" t="s">
        <v>1386</v>
      </c>
      <c r="D414" s="200"/>
      <c r="E414" s="200"/>
      <c r="F414" s="200"/>
      <c r="G414" s="200"/>
      <c r="H414" s="200"/>
      <c r="I414" s="200"/>
      <c r="J414" s="200"/>
      <c r="K414" s="200" t="s">
        <v>1386</v>
      </c>
      <c r="L414" s="200"/>
      <c r="M414" s="305"/>
    </row>
    <row r="415" spans="1:13">
      <c r="A415" s="647"/>
      <c r="B415" s="223" t="s">
        <v>1525</v>
      </c>
      <c r="C415" s="200"/>
      <c r="D415" s="200"/>
      <c r="E415" s="200"/>
      <c r="F415" s="200"/>
      <c r="G415" s="200"/>
      <c r="H415" s="200"/>
      <c r="I415" s="200"/>
      <c r="J415" s="200"/>
      <c r="K415" s="200" t="s">
        <v>1386</v>
      </c>
      <c r="L415" s="200"/>
      <c r="M415" s="305"/>
    </row>
    <row r="416" spans="1:13">
      <c r="A416" s="647"/>
      <c r="B416" s="223" t="s">
        <v>1526</v>
      </c>
      <c r="C416" s="200"/>
      <c r="D416" s="200"/>
      <c r="E416" s="200"/>
      <c r="F416" s="200"/>
      <c r="G416" s="200"/>
      <c r="H416" s="200"/>
      <c r="I416" s="200"/>
      <c r="J416" s="200"/>
      <c r="K416" s="200" t="s">
        <v>1386</v>
      </c>
      <c r="L416" s="200"/>
      <c r="M416" s="200"/>
    </row>
    <row r="417" spans="1:12" s="78" customFormat="1" ht="12.75">
      <c r="A417" s="622" t="s">
        <v>1344</v>
      </c>
      <c r="B417" s="622"/>
      <c r="C417" s="622"/>
      <c r="D417" s="622"/>
      <c r="E417" s="622"/>
      <c r="F417" s="622"/>
      <c r="G417" s="12"/>
      <c r="H417" s="12"/>
      <c r="I417" s="12"/>
      <c r="J417" s="12"/>
      <c r="K417" s="12"/>
    </row>
    <row r="418" spans="1:12">
      <c r="B418" s="38"/>
      <c r="C418" s="76"/>
      <c r="D418" s="78"/>
      <c r="E418" s="82"/>
      <c r="F418" s="82"/>
      <c r="G418" s="82"/>
      <c r="H418" s="82"/>
      <c r="I418" s="82"/>
      <c r="J418" s="82"/>
      <c r="K418" s="82"/>
      <c r="L418" s="82"/>
    </row>
    <row r="419" spans="1:12">
      <c r="B419" s="12"/>
      <c r="C419" s="76"/>
      <c r="D419" s="12"/>
      <c r="E419" s="12"/>
      <c r="F419" s="12"/>
      <c r="G419" s="12"/>
      <c r="H419" s="12"/>
      <c r="I419" s="12"/>
      <c r="J419" s="12"/>
      <c r="K419" s="12"/>
      <c r="L419" s="12"/>
    </row>
  </sheetData>
  <sheetProtection algorithmName="SHA-512" hashValue="qElHQgAu9RkeLnV9BqQ+srC4JSo6p6LaK8PXAHIcbdSPf4J0zqkXwRUbMnKSxNB9TqhMBgmTPk7CrL5ledCyxw==" saltValue="nZF9z2gC5mTsbJE0cciiMg==" spinCount="100000" sheet="1" objects="1" scenarios="1"/>
  <mergeCells count="50">
    <mergeCell ref="A282:M282"/>
    <mergeCell ref="A16:M16"/>
    <mergeCell ref="A149:M149"/>
    <mergeCell ref="A316:A317"/>
    <mergeCell ref="A287:A288"/>
    <mergeCell ref="A290:A291"/>
    <mergeCell ref="A292:A294"/>
    <mergeCell ref="A295:A301"/>
    <mergeCell ref="A306:A312"/>
    <mergeCell ref="A314:A315"/>
    <mergeCell ref="A283:A284"/>
    <mergeCell ref="A285:A286"/>
    <mergeCell ref="A181:A182"/>
    <mergeCell ref="A183:A185"/>
    <mergeCell ref="A186:A191"/>
    <mergeCell ref="A192:A203"/>
    <mergeCell ref="A318:A321"/>
    <mergeCell ref="A322:A327"/>
    <mergeCell ref="A328:A339"/>
    <mergeCell ref="A340:A416"/>
    <mergeCell ref="A417:F417"/>
    <mergeCell ref="A204:A280"/>
    <mergeCell ref="A154:A155"/>
    <mergeCell ref="A157:A158"/>
    <mergeCell ref="A159:A161"/>
    <mergeCell ref="A162:A168"/>
    <mergeCell ref="A173:A177"/>
    <mergeCell ref="A179:A180"/>
    <mergeCell ref="A150:A151"/>
    <mergeCell ref="A152:A153"/>
    <mergeCell ref="A47:A48"/>
    <mergeCell ref="A49:A51"/>
    <mergeCell ref="A52:A56"/>
    <mergeCell ref="A57:A68"/>
    <mergeCell ref="A69:A146"/>
    <mergeCell ref="A7:C7"/>
    <mergeCell ref="A9:M9"/>
    <mergeCell ref="A45:A46"/>
    <mergeCell ref="A13:M13"/>
    <mergeCell ref="A14:A15"/>
    <mergeCell ref="B14:B15"/>
    <mergeCell ref="C14:M14"/>
    <mergeCell ref="A17:A18"/>
    <mergeCell ref="A19:A20"/>
    <mergeCell ref="A21:A22"/>
    <mergeCell ref="A24:A25"/>
    <mergeCell ref="A26:A28"/>
    <mergeCell ref="A29:A35"/>
    <mergeCell ref="A40:A44"/>
    <mergeCell ref="A11:C11"/>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6A15-9ED4-46EC-AD09-E562A0D1D23E}">
  <sheetPr codeName="Sheet15">
    <tabColor rgb="FF000F7B"/>
  </sheetPr>
  <dimension ref="A2:I63"/>
  <sheetViews>
    <sheetView showGridLines="0" zoomScaleNormal="100" workbookViewId="0"/>
  </sheetViews>
  <sheetFormatPr baseColWidth="10" defaultColWidth="8.7109375" defaultRowHeight="14.25"/>
  <cols>
    <col min="1" max="2" width="25.7109375" style="4" customWidth="1"/>
    <col min="3" max="3" width="20.7109375" style="4" customWidth="1"/>
    <col min="4" max="6" width="15.28515625" style="4" customWidth="1"/>
    <col min="7" max="7" width="16.5703125" style="4" customWidth="1"/>
    <col min="8" max="8" width="16.42578125" style="4" customWidth="1"/>
    <col min="9" max="16384" width="8.7109375" style="4"/>
  </cols>
  <sheetData>
    <row r="2" spans="1:9">
      <c r="F2" s="116"/>
      <c r="G2" s="116"/>
    </row>
    <row r="7" spans="1:9" ht="20.25">
      <c r="A7" s="617" t="s">
        <v>36</v>
      </c>
      <c r="B7" s="617"/>
      <c r="C7" s="617"/>
      <c r="D7" s="617"/>
      <c r="E7" s="617"/>
      <c r="F7" s="617"/>
    </row>
    <row r="8" spans="1:9" ht="15" thickBot="1">
      <c r="A8" s="166"/>
      <c r="B8" s="166"/>
      <c r="C8" s="166"/>
      <c r="D8" s="166"/>
      <c r="E8" s="166"/>
      <c r="F8" s="166"/>
    </row>
    <row r="9" spans="1:9" ht="22.5" thickTop="1" thickBot="1">
      <c r="A9" s="784" t="s">
        <v>1541</v>
      </c>
      <c r="B9" s="784"/>
      <c r="C9" s="784"/>
      <c r="D9" s="784"/>
      <c r="E9" s="784"/>
      <c r="F9" s="784"/>
      <c r="G9" s="122"/>
    </row>
    <row r="10" spans="1:9" customFormat="1" ht="18.75" thickTop="1">
      <c r="A10" s="8"/>
      <c r="B10" s="98"/>
      <c r="C10" s="98"/>
      <c r="D10" s="98"/>
      <c r="E10" s="7"/>
      <c r="F10" s="7"/>
      <c r="G10" s="7"/>
      <c r="H10" s="7"/>
      <c r="I10" s="7"/>
    </row>
    <row r="11" spans="1:9" ht="14.65" customHeight="1">
      <c r="A11" s="619" t="s">
        <v>1542</v>
      </c>
      <c r="B11" s="619"/>
      <c r="C11" s="619"/>
      <c r="D11" s="619"/>
      <c r="E11" s="619"/>
      <c r="F11" s="619"/>
      <c r="G11" s="73"/>
    </row>
    <row r="12" spans="1:9" ht="14.65" customHeight="1">
      <c r="A12" s="204" t="s">
        <v>420</v>
      </c>
      <c r="B12" s="645" t="s">
        <v>421</v>
      </c>
      <c r="C12" s="645"/>
      <c r="D12" s="179" t="s">
        <v>422</v>
      </c>
      <c r="E12" s="179" t="s">
        <v>423</v>
      </c>
      <c r="F12" s="179" t="s">
        <v>173</v>
      </c>
      <c r="G12" s="73"/>
    </row>
    <row r="13" spans="1:9" ht="14.65" customHeight="1">
      <c r="A13" s="647" t="s">
        <v>424</v>
      </c>
      <c r="B13" s="646" t="s">
        <v>425</v>
      </c>
      <c r="C13" s="215" t="s">
        <v>426</v>
      </c>
      <c r="D13" s="306">
        <v>0</v>
      </c>
      <c r="E13" s="306">
        <v>24</v>
      </c>
      <c r="F13" s="501">
        <v>24</v>
      </c>
      <c r="G13" s="73"/>
      <c r="H13" s="73"/>
    </row>
    <row r="14" spans="1:9" ht="14.65" customHeight="1">
      <c r="A14" s="647"/>
      <c r="B14" s="646"/>
      <c r="C14" s="215" t="s">
        <v>427</v>
      </c>
      <c r="D14" s="302">
        <v>35541</v>
      </c>
      <c r="E14" s="306" t="s">
        <v>1543</v>
      </c>
      <c r="F14" s="306" t="s">
        <v>1544</v>
      </c>
    </row>
    <row r="15" spans="1:9" ht="28.9" customHeight="1">
      <c r="A15" s="647"/>
      <c r="B15" s="646"/>
      <c r="C15" s="222" t="s">
        <v>428</v>
      </c>
      <c r="D15" s="306">
        <v>0</v>
      </c>
      <c r="E15" s="306" t="s">
        <v>1545</v>
      </c>
      <c r="F15" s="306" t="s">
        <v>1545</v>
      </c>
    </row>
    <row r="16" spans="1:9" ht="18" customHeight="1">
      <c r="A16" s="647"/>
      <c r="B16" s="646"/>
      <c r="C16" s="406" t="s">
        <v>173</v>
      </c>
      <c r="D16" s="394">
        <v>35541</v>
      </c>
      <c r="E16" s="351" t="s">
        <v>1546</v>
      </c>
      <c r="F16" s="351" t="s">
        <v>1547</v>
      </c>
    </row>
    <row r="17" spans="1:6" ht="25.5">
      <c r="A17" s="647"/>
      <c r="B17" s="643" t="s">
        <v>429</v>
      </c>
      <c r="C17" s="222" t="s">
        <v>430</v>
      </c>
      <c r="D17" s="306">
        <v>0</v>
      </c>
      <c r="E17" s="306" t="s">
        <v>1548</v>
      </c>
      <c r="F17" s="306" t="s">
        <v>1548</v>
      </c>
    </row>
    <row r="18" spans="1:6" ht="25.5">
      <c r="A18" s="647"/>
      <c r="B18" s="643"/>
      <c r="C18" s="222" t="s">
        <v>431</v>
      </c>
      <c r="D18" s="306">
        <v>0</v>
      </c>
      <c r="E18" s="306">
        <v>27</v>
      </c>
      <c r="F18" s="501">
        <v>27</v>
      </c>
    </row>
    <row r="19" spans="1:6">
      <c r="A19" s="647"/>
      <c r="B19" s="643"/>
      <c r="C19" s="222" t="s">
        <v>432</v>
      </c>
      <c r="D19" s="306">
        <v>1</v>
      </c>
      <c r="E19" s="306" t="s">
        <v>1549</v>
      </c>
      <c r="F19" s="501" t="s">
        <v>1550</v>
      </c>
    </row>
    <row r="20" spans="1:6" ht="25.5">
      <c r="A20" s="647"/>
      <c r="B20" s="643"/>
      <c r="C20" s="222" t="s">
        <v>433</v>
      </c>
      <c r="D20" s="306">
        <v>0</v>
      </c>
      <c r="E20" s="306" t="s">
        <v>1551</v>
      </c>
      <c r="F20" s="501" t="s">
        <v>1551</v>
      </c>
    </row>
    <row r="21" spans="1:6">
      <c r="A21" s="647"/>
      <c r="B21" s="643"/>
      <c r="C21" s="406" t="s">
        <v>173</v>
      </c>
      <c r="D21" s="351">
        <v>1</v>
      </c>
      <c r="E21" s="351" t="s">
        <v>1552</v>
      </c>
      <c r="F21" s="351" t="s">
        <v>1553</v>
      </c>
    </row>
    <row r="22" spans="1:6">
      <c r="A22" s="643" t="s">
        <v>434</v>
      </c>
      <c r="B22" s="643" t="s">
        <v>435</v>
      </c>
      <c r="C22" s="215" t="s">
        <v>426</v>
      </c>
      <c r="D22" s="306">
        <v>129</v>
      </c>
      <c r="E22" s="306">
        <v>422</v>
      </c>
      <c r="F22" s="501">
        <v>551</v>
      </c>
    </row>
    <row r="23" spans="1:6" ht="15.6" customHeight="1">
      <c r="A23" s="643"/>
      <c r="B23" s="643"/>
      <c r="C23" s="215" t="s">
        <v>427</v>
      </c>
      <c r="D23" s="306" t="s">
        <v>1554</v>
      </c>
      <c r="E23" s="306" t="s">
        <v>1555</v>
      </c>
      <c r="F23" s="306" t="s">
        <v>1556</v>
      </c>
    </row>
    <row r="24" spans="1:6" ht="25.5">
      <c r="A24" s="643"/>
      <c r="B24" s="643"/>
      <c r="C24" s="222" t="s">
        <v>428</v>
      </c>
      <c r="D24" s="306">
        <v>0</v>
      </c>
      <c r="E24" s="306">
        <v>0</v>
      </c>
      <c r="F24" s="501">
        <v>0</v>
      </c>
    </row>
    <row r="25" spans="1:6">
      <c r="A25" s="643"/>
      <c r="B25" s="643"/>
      <c r="C25" s="406" t="s">
        <v>173</v>
      </c>
      <c r="D25" s="351" t="s">
        <v>1557</v>
      </c>
      <c r="E25" s="351" t="s">
        <v>1558</v>
      </c>
      <c r="F25" s="351" t="s">
        <v>1559</v>
      </c>
    </row>
    <row r="26" spans="1:6" ht="25.5">
      <c r="A26" s="643"/>
      <c r="B26" s="643" t="s">
        <v>429</v>
      </c>
      <c r="C26" s="222" t="s">
        <v>430</v>
      </c>
      <c r="D26" s="306">
        <v>43</v>
      </c>
      <c r="E26" s="306">
        <v>48</v>
      </c>
      <c r="F26" s="501">
        <v>91</v>
      </c>
    </row>
    <row r="27" spans="1:6" ht="25.5">
      <c r="A27" s="643"/>
      <c r="B27" s="643"/>
      <c r="C27" s="222" t="s">
        <v>431</v>
      </c>
      <c r="D27" s="302">
        <v>11558</v>
      </c>
      <c r="E27" s="306">
        <v>1</v>
      </c>
      <c r="F27" s="298">
        <v>11559</v>
      </c>
    </row>
    <row r="28" spans="1:6">
      <c r="A28" s="643"/>
      <c r="B28" s="643"/>
      <c r="C28" s="222" t="s">
        <v>432</v>
      </c>
      <c r="D28" s="306" t="s">
        <v>1560</v>
      </c>
      <c r="E28" s="340" t="s">
        <v>1561</v>
      </c>
      <c r="F28" s="306" t="s">
        <v>1562</v>
      </c>
    </row>
    <row r="29" spans="1:6" ht="25.5">
      <c r="A29" s="643"/>
      <c r="B29" s="643"/>
      <c r="C29" s="222" t="s">
        <v>433</v>
      </c>
      <c r="D29" s="302">
        <v>6066</v>
      </c>
      <c r="E29" s="340" t="s">
        <v>1563</v>
      </c>
      <c r="F29" s="340" t="s">
        <v>1564</v>
      </c>
    </row>
    <row r="30" spans="1:6">
      <c r="A30" s="643"/>
      <c r="B30" s="643"/>
      <c r="C30" s="406" t="s">
        <v>173</v>
      </c>
      <c r="D30" s="351" t="s">
        <v>1565</v>
      </c>
      <c r="E30" s="351" t="s">
        <v>1566</v>
      </c>
      <c r="F30" s="351" t="s">
        <v>1567</v>
      </c>
    </row>
    <row r="31" spans="1:6">
      <c r="A31" s="754" t="s">
        <v>436</v>
      </c>
      <c r="B31" s="754"/>
      <c r="C31" s="754"/>
      <c r="D31" s="754"/>
      <c r="E31" s="754"/>
      <c r="F31" s="754"/>
    </row>
    <row r="32" spans="1:6">
      <c r="A32" s="754" t="s">
        <v>1568</v>
      </c>
      <c r="B32" s="754"/>
      <c r="C32" s="754"/>
      <c r="D32" s="754"/>
      <c r="E32" s="754"/>
      <c r="F32" s="754"/>
    </row>
    <row r="33" spans="1:7" ht="14.65" customHeight="1">
      <c r="A33" s="641" t="s">
        <v>438</v>
      </c>
      <c r="B33" s="641"/>
      <c r="C33" s="641"/>
      <c r="D33" s="641"/>
      <c r="E33" s="641"/>
      <c r="F33" s="641"/>
      <c r="G33" s="73"/>
    </row>
    <row r="34" spans="1:7" ht="14.65" customHeight="1">
      <c r="A34" s="641" t="s">
        <v>439</v>
      </c>
      <c r="B34" s="641"/>
      <c r="C34" s="641"/>
      <c r="D34" s="641"/>
      <c r="E34" s="641"/>
      <c r="F34" s="641"/>
      <c r="G34" s="73"/>
    </row>
    <row r="35" spans="1:7" ht="14.65" customHeight="1">
      <c r="A35" s="786" t="s">
        <v>1569</v>
      </c>
      <c r="B35" s="786"/>
      <c r="C35" s="786"/>
      <c r="D35" s="786"/>
      <c r="E35" s="786"/>
      <c r="F35" s="786"/>
      <c r="G35" s="73"/>
    </row>
    <row r="36" spans="1:7" ht="14.65" customHeight="1">
      <c r="A36" s="786" t="s">
        <v>1570</v>
      </c>
      <c r="B36" s="786"/>
      <c r="C36" s="786"/>
      <c r="D36" s="786"/>
      <c r="E36" s="786"/>
      <c r="F36" s="786"/>
      <c r="G36" s="73"/>
    </row>
    <row r="37" spans="1:7" ht="14.65" customHeight="1">
      <c r="A37" s="655" t="s">
        <v>1571</v>
      </c>
      <c r="B37" s="655"/>
      <c r="C37" s="655"/>
      <c r="D37" s="655"/>
      <c r="E37" s="655"/>
      <c r="F37" s="655"/>
      <c r="G37" s="73"/>
    </row>
    <row r="38" spans="1:7" ht="14.65" customHeight="1">
      <c r="A38" s="124"/>
      <c r="B38" s="124"/>
      <c r="C38" s="124"/>
      <c r="D38" s="124"/>
      <c r="E38" s="124"/>
      <c r="F38" s="124"/>
      <c r="G38" s="124"/>
    </row>
    <row r="39" spans="1:7" ht="15.6" customHeight="1">
      <c r="A39" s="619" t="s">
        <v>1572</v>
      </c>
      <c r="B39" s="619"/>
      <c r="C39" s="619"/>
      <c r="D39" s="619"/>
      <c r="E39" s="619"/>
      <c r="F39" s="619"/>
    </row>
    <row r="40" spans="1:7">
      <c r="A40" s="204" t="s">
        <v>420</v>
      </c>
      <c r="B40" s="645" t="s">
        <v>421</v>
      </c>
      <c r="C40" s="645"/>
      <c r="D40" s="179" t="s">
        <v>422</v>
      </c>
      <c r="E40" s="179" t="s">
        <v>423</v>
      </c>
      <c r="F40" s="179" t="s">
        <v>173</v>
      </c>
    </row>
    <row r="41" spans="1:7">
      <c r="A41" s="647" t="s">
        <v>424</v>
      </c>
      <c r="B41" s="646" t="s">
        <v>425</v>
      </c>
      <c r="C41" s="215" t="s">
        <v>426</v>
      </c>
      <c r="D41" s="218">
        <v>0</v>
      </c>
      <c r="E41" s="218">
        <v>24</v>
      </c>
      <c r="F41" s="188">
        <v>24</v>
      </c>
    </row>
    <row r="42" spans="1:7">
      <c r="A42" s="647"/>
      <c r="B42" s="646"/>
      <c r="C42" s="215" t="s">
        <v>427</v>
      </c>
      <c r="D42" s="220">
        <v>35541</v>
      </c>
      <c r="E42" s="220">
        <v>8941</v>
      </c>
      <c r="F42" s="221">
        <v>44482</v>
      </c>
    </row>
    <row r="43" spans="1:7" ht="25.5">
      <c r="A43" s="647"/>
      <c r="B43" s="646"/>
      <c r="C43" s="222" t="s">
        <v>428</v>
      </c>
      <c r="D43" s="218">
        <v>0</v>
      </c>
      <c r="E43" s="218">
        <v>9</v>
      </c>
      <c r="F43" s="188">
        <v>9</v>
      </c>
    </row>
    <row r="44" spans="1:7" ht="15.6" customHeight="1">
      <c r="A44" s="647"/>
      <c r="B44" s="646"/>
      <c r="C44" s="406" t="s">
        <v>173</v>
      </c>
      <c r="D44" s="405">
        <v>35541</v>
      </c>
      <c r="E44" s="405">
        <v>8974</v>
      </c>
      <c r="F44" s="405">
        <v>44515</v>
      </c>
    </row>
    <row r="45" spans="1:7" ht="25.5">
      <c r="A45" s="647"/>
      <c r="B45" s="643" t="s">
        <v>429</v>
      </c>
      <c r="C45" s="222" t="s">
        <v>430</v>
      </c>
      <c r="D45" s="253">
        <v>0</v>
      </c>
      <c r="E45" s="253">
        <v>937</v>
      </c>
      <c r="F45" s="253">
        <v>937</v>
      </c>
    </row>
    <row r="46" spans="1:7" ht="25.5">
      <c r="A46" s="647"/>
      <c r="B46" s="643"/>
      <c r="C46" s="222" t="s">
        <v>431</v>
      </c>
      <c r="D46" s="253">
        <v>0</v>
      </c>
      <c r="E46" s="253">
        <v>27</v>
      </c>
      <c r="F46" s="253">
        <v>27</v>
      </c>
    </row>
    <row r="47" spans="1:7">
      <c r="A47" s="647"/>
      <c r="B47" s="643"/>
      <c r="C47" s="222" t="s">
        <v>432</v>
      </c>
      <c r="D47" s="253">
        <v>1</v>
      </c>
      <c r="E47" s="253">
        <v>720</v>
      </c>
      <c r="F47" s="253">
        <v>721</v>
      </c>
    </row>
    <row r="48" spans="1:7" ht="25.5">
      <c r="A48" s="647"/>
      <c r="B48" s="643"/>
      <c r="C48" s="222" t="s">
        <v>433</v>
      </c>
      <c r="D48" s="253">
        <v>0</v>
      </c>
      <c r="E48" s="303">
        <v>12418</v>
      </c>
      <c r="F48" s="303">
        <v>12418</v>
      </c>
    </row>
    <row r="49" spans="1:6">
      <c r="A49" s="647"/>
      <c r="B49" s="643"/>
      <c r="C49" s="406" t="s">
        <v>173</v>
      </c>
      <c r="D49" s="192">
        <v>1</v>
      </c>
      <c r="E49" s="393">
        <v>14101</v>
      </c>
      <c r="F49" s="393">
        <v>14103</v>
      </c>
    </row>
    <row r="50" spans="1:6">
      <c r="A50" s="643" t="s">
        <v>434</v>
      </c>
      <c r="B50" s="643" t="s">
        <v>435</v>
      </c>
      <c r="C50" s="215" t="s">
        <v>426</v>
      </c>
      <c r="D50" s="253">
        <v>129</v>
      </c>
      <c r="E50" s="253">
        <v>422</v>
      </c>
      <c r="F50" s="253">
        <v>551</v>
      </c>
    </row>
    <row r="51" spans="1:6">
      <c r="A51" s="643"/>
      <c r="B51" s="643"/>
      <c r="C51" s="215" t="s">
        <v>427</v>
      </c>
      <c r="D51" s="303">
        <v>3521</v>
      </c>
      <c r="E51" s="303">
        <v>16877</v>
      </c>
      <c r="F51" s="303">
        <v>20398</v>
      </c>
    </row>
    <row r="52" spans="1:6" ht="25.5">
      <c r="A52" s="643"/>
      <c r="B52" s="643"/>
      <c r="C52" s="222" t="s">
        <v>428</v>
      </c>
      <c r="D52" s="253">
        <v>0</v>
      </c>
      <c r="E52" s="253">
        <v>0</v>
      </c>
      <c r="F52" s="253">
        <v>0</v>
      </c>
    </row>
    <row r="53" spans="1:6" ht="15.6" customHeight="1">
      <c r="A53" s="643"/>
      <c r="B53" s="643"/>
      <c r="C53" s="406" t="s">
        <v>173</v>
      </c>
      <c r="D53" s="393">
        <v>3650</v>
      </c>
      <c r="E53" s="393">
        <v>17299</v>
      </c>
      <c r="F53" s="393">
        <v>20949</v>
      </c>
    </row>
    <row r="54" spans="1:6" ht="25.5">
      <c r="A54" s="643"/>
      <c r="B54" s="643" t="s">
        <v>429</v>
      </c>
      <c r="C54" s="222" t="s">
        <v>430</v>
      </c>
      <c r="D54" s="253">
        <v>43</v>
      </c>
      <c r="E54" s="253">
        <v>48</v>
      </c>
      <c r="F54" s="253">
        <v>91</v>
      </c>
    </row>
    <row r="55" spans="1:6" ht="25.5">
      <c r="A55" s="643"/>
      <c r="B55" s="643"/>
      <c r="C55" s="222" t="s">
        <v>431</v>
      </c>
      <c r="D55" s="303">
        <v>11558</v>
      </c>
      <c r="E55" s="253">
        <v>1</v>
      </c>
      <c r="F55" s="303">
        <v>11559</v>
      </c>
    </row>
    <row r="56" spans="1:6">
      <c r="A56" s="643"/>
      <c r="B56" s="643"/>
      <c r="C56" s="222" t="s">
        <v>432</v>
      </c>
      <c r="D56" s="303">
        <v>46501</v>
      </c>
      <c r="E56" s="303">
        <v>6233</v>
      </c>
      <c r="F56" s="303">
        <v>52734</v>
      </c>
    </row>
    <row r="57" spans="1:6" ht="25.5">
      <c r="A57" s="643"/>
      <c r="B57" s="643"/>
      <c r="C57" s="222" t="s">
        <v>433</v>
      </c>
      <c r="D57" s="303">
        <v>6066</v>
      </c>
      <c r="E57" s="253">
        <v>364</v>
      </c>
      <c r="F57" s="303">
        <v>6430</v>
      </c>
    </row>
    <row r="58" spans="1:6">
      <c r="A58" s="643"/>
      <c r="B58" s="643"/>
      <c r="C58" s="406" t="s">
        <v>173</v>
      </c>
      <c r="D58" s="393">
        <v>64169</v>
      </c>
      <c r="E58" s="393">
        <v>6645</v>
      </c>
      <c r="F58" s="393">
        <v>70814</v>
      </c>
    </row>
    <row r="59" spans="1:6">
      <c r="A59" s="785" t="s">
        <v>436</v>
      </c>
      <c r="B59" s="785"/>
      <c r="C59" s="785"/>
      <c r="D59" s="785"/>
      <c r="E59" s="785"/>
      <c r="F59" s="785"/>
    </row>
    <row r="60" spans="1:6">
      <c r="A60" s="785" t="s">
        <v>1573</v>
      </c>
      <c r="B60" s="785"/>
      <c r="C60" s="785"/>
      <c r="D60" s="785"/>
      <c r="E60" s="785"/>
      <c r="F60" s="785"/>
    </row>
    <row r="61" spans="1:6">
      <c r="A61" s="641" t="s">
        <v>438</v>
      </c>
      <c r="B61" s="641"/>
      <c r="C61" s="641"/>
      <c r="D61" s="641"/>
      <c r="E61" s="641"/>
      <c r="F61" s="641"/>
    </row>
    <row r="62" spans="1:6">
      <c r="A62" s="641" t="s">
        <v>439</v>
      </c>
      <c r="B62" s="641"/>
      <c r="C62" s="641"/>
      <c r="D62" s="641"/>
      <c r="E62" s="641"/>
      <c r="F62" s="641"/>
    </row>
    <row r="63" spans="1:6">
      <c r="A63" s="124"/>
      <c r="B63" s="124"/>
      <c r="C63" s="124"/>
      <c r="D63" s="124"/>
      <c r="E63" s="124"/>
      <c r="F63" s="124"/>
    </row>
  </sheetData>
  <sheetProtection algorithmName="SHA-512" hashValue="lvyDvQkpRDsX+VLcumn4N6m8O9VJgDseb7TWh+wOdcdPfIYIq5vW31ZMWedkXV9+ADiA2G/SJe9teMEJe9MKig==" saltValue="3Wt4eSCPvzZzRaBJmuHbtQ==" spinCount="100000" sheet="1" objects="1" scenarios="1"/>
  <mergeCells count="29">
    <mergeCell ref="A59:F59"/>
    <mergeCell ref="A60:F60"/>
    <mergeCell ref="A61:F61"/>
    <mergeCell ref="A62:F62"/>
    <mergeCell ref="A34:F34"/>
    <mergeCell ref="A35:F35"/>
    <mergeCell ref="A36:F36"/>
    <mergeCell ref="A37:F37"/>
    <mergeCell ref="A39:F39"/>
    <mergeCell ref="A50:A58"/>
    <mergeCell ref="B50:B53"/>
    <mergeCell ref="B54:B58"/>
    <mergeCell ref="B40:C40"/>
    <mergeCell ref="A41:A49"/>
    <mergeCell ref="B41:B44"/>
    <mergeCell ref="B45:B49"/>
    <mergeCell ref="A33:F33"/>
    <mergeCell ref="B12:C12"/>
    <mergeCell ref="A13:A21"/>
    <mergeCell ref="B13:B16"/>
    <mergeCell ref="B17:B21"/>
    <mergeCell ref="A22:A30"/>
    <mergeCell ref="B22:B25"/>
    <mergeCell ref="B26:B30"/>
    <mergeCell ref="A9:F9"/>
    <mergeCell ref="A11:F11"/>
    <mergeCell ref="A31:F31"/>
    <mergeCell ref="A32:F32"/>
    <mergeCell ref="A7:F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Props1.xml><?xml version="1.0" encoding="utf-8"?>
<ds:datastoreItem xmlns:ds="http://schemas.openxmlformats.org/officeDocument/2006/customXml" ds:itemID="{7C689924-3D28-4FB5-B277-A7B086EEE6EE}"/>
</file>

<file path=customXml/itemProps2.xml><?xml version="1.0" encoding="utf-8"?>
<ds:datastoreItem xmlns:ds="http://schemas.openxmlformats.org/officeDocument/2006/customXml" ds:itemID="{5364AB35-CD00-4658-8C38-83FDE26BD1FB}">
  <ds:schemaRefs>
    <ds:schemaRef ds:uri="http://schemas.microsoft.com/sharepoint/v3/contenttype/forms"/>
  </ds:schemaRefs>
</ds:datastoreItem>
</file>

<file path=customXml/itemProps3.xml><?xml version="1.0" encoding="utf-8"?>
<ds:datastoreItem xmlns:ds="http://schemas.openxmlformats.org/officeDocument/2006/customXml" ds:itemID="{CC84FEB8-2BC8-4F11-B56F-1BC80180182D}">
  <ds:schemaRefs>
    <ds:schemaRef ds:uri="http://purl.org/dc/dcmitype/"/>
    <ds:schemaRef ds:uri="http://www.w3.org/XML/1998/namespace"/>
    <ds:schemaRef ds:uri="http://purl.org/dc/term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3cc3fd77-aeed-4d28-9e57-1df255d2ff26"/>
    <ds:schemaRef ds:uri="http://schemas.microsoft.com/office/infopath/2007/PartnerControls"/>
    <ds:schemaRef ds:uri="a29f0a48-235b-436d-b86e-457b646f8f8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20</vt:i4>
      </vt:variant>
      <vt:variant>
        <vt:lpstr>Benannte Bereiche</vt:lpstr>
      </vt:variant>
      <vt:variant>
        <vt:i4>2</vt:i4>
      </vt:variant>
    </vt:vector>
  </HeadingPairs>
  <TitlesOfParts>
    <vt:vector size="22" baseType="lpstr">
      <vt:lpstr>Home Page</vt:lpstr>
      <vt:lpstr>Contents</vt:lpstr>
      <vt:lpstr>Policies &amp; Commitments</vt:lpstr>
      <vt:lpstr>Environment</vt:lpstr>
      <vt:lpstr>Air Quality</vt:lpstr>
      <vt:lpstr>Biodiversity &amp; Reclamation</vt:lpstr>
      <vt:lpstr>Climate Change</vt:lpstr>
      <vt:lpstr>Responsible Production &amp; Waste</vt:lpstr>
      <vt:lpstr>Tailings</vt:lpstr>
      <vt:lpstr>Water Stewardship</vt:lpstr>
      <vt:lpstr>Social</vt:lpstr>
      <vt:lpstr>Health &amp; Safety</vt:lpstr>
      <vt:lpstr>Workforce</vt:lpstr>
      <vt:lpstr>Communities</vt:lpstr>
      <vt:lpstr>Indigenous Peoples</vt:lpstr>
      <vt:lpstr>Value Sharing</vt:lpstr>
      <vt:lpstr>Economic Performance</vt:lpstr>
      <vt:lpstr>Tax</vt:lpstr>
      <vt:lpstr>Tax Entities</vt:lpstr>
      <vt:lpstr>Restatements</vt:lpstr>
      <vt:lpstr>Workforce!_ftn1</vt:lpstr>
      <vt:lpstr>Workforce!_ftnref1</vt:lpstr>
    </vt:vector>
  </TitlesOfParts>
  <Manager/>
  <Company>Teck Resources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Paterson  VANM</dc:creator>
  <cp:keywords/>
  <dc:description/>
  <cp:lastModifiedBy>Lutter, Franz Stephan</cp:lastModifiedBy>
  <cp:revision/>
  <dcterms:created xsi:type="dcterms:W3CDTF">2017-03-14T22:15:21Z</dcterms:created>
  <dcterms:modified xsi:type="dcterms:W3CDTF">2024-02-28T09:53:56Z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CWRMItemRecordClassification">
    <vt:lpwstr>130</vt:lpwstr>
  </property>
  <property fmtid="{D5CDD505-2E9C-101B-9397-08002B2CF9AE}" pid="4" name="_dlc_DocIdItemGuid">
    <vt:lpwstr>9ffdb8f9-d5aa-43a4-839d-3a1c89ca6d76</vt:lpwstr>
  </property>
  <property fmtid="{D5CDD505-2E9C-101B-9397-08002B2CF9AE}" pid="5" name="TeckActivity">
    <vt:lpwstr>81</vt:lpwstr>
  </property>
  <property fmtid="{D5CDD505-2E9C-101B-9397-08002B2CF9AE}" pid="6" name="TeckOrgUnitOwning">
    <vt:lpwstr>8</vt:lpwstr>
  </property>
  <property fmtid="{D5CDD505-2E9C-101B-9397-08002B2CF9AE}" pid="7" name="TeckCorpAffrsLanguage">
    <vt:lpwstr/>
  </property>
  <property fmtid="{D5CDD505-2E9C-101B-9397-08002B2CF9AE}" pid="8" name="TeckContentPeriod">
    <vt:lpwstr/>
  </property>
  <property fmtid="{D5CDD505-2E9C-101B-9397-08002B2CF9AE}" pid="9" name="TaxKeyword">
    <vt:lpwstr/>
  </property>
  <property fmtid="{D5CDD505-2E9C-101B-9397-08002B2CF9AE}" pid="10" name="TeckCorpAffrsLocation">
    <vt:lpwstr/>
  </property>
  <property fmtid="{D5CDD505-2E9C-101B-9397-08002B2CF9AE}" pid="11" name="TeckCorpAffrsEvent">
    <vt:lpwstr/>
  </property>
  <property fmtid="{D5CDD505-2E9C-101B-9397-08002B2CF9AE}" pid="12" name="TeckCorpAffrsDocType">
    <vt:lpwstr/>
  </property>
  <property fmtid="{D5CDD505-2E9C-101B-9397-08002B2CF9AE}" pid="13" name="TeckCorpAffrsVendor">
    <vt:lpwstr/>
  </property>
  <property fmtid="{D5CDD505-2E9C-101B-9397-08002B2CF9AE}" pid="14" name="Order">
    <vt:r8>29117000</vt:r8>
  </property>
</Properties>
</file>