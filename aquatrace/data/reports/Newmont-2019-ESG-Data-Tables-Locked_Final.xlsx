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showInkAnnotation="0" codeName="ThisWorkbook" autoCompressPictures="0"/>
  <mc:AlternateContent xmlns:mc="http://schemas.openxmlformats.org/markup-compatibility/2006">
    <mc:Choice Requires="x15">
      <x15ac:absPath xmlns:x15ac="http://schemas.microsoft.com/office/spreadsheetml/2010/11/ac" url="W:\WU\Projekte\GRU\01_Projekte\_Abgeschlossene Projekte\1332_FINEPRINT\02_Activities &amp; Work packages\WP1\Task 1.2_Mining\Mining and water\Copper\Data\Reports\"/>
    </mc:Choice>
  </mc:AlternateContent>
  <xr:revisionPtr revIDLastSave="0" documentId="8_{6A740977-E35E-4B22-8943-DFE8AD7D63A2}" xr6:coauthVersionLast="47" xr6:coauthVersionMax="47" xr10:uidLastSave="{00000000-0000-0000-0000-000000000000}"/>
  <workbookProtection workbookAlgorithmName="SHA-512" workbookHashValue="jndttyZXISLMmOQudq8SWv+YGhk6FcFyC3sGMGacPxqkHKBTolsAEEC5N/IV2uGxgrPrxnxQkoO9Dzi55ofe9A==" workbookSaltValue="9duhbY6sfYggiy6aI2JEuA==" workbookSpinCount="100000" lockStructure="1"/>
  <bookViews>
    <workbookView xWindow="-120" yWindow="-120" windowWidth="29040" windowHeight="17640" tabRatio="773" firstSheet="4" activeTab="12" xr2:uid="{00000000-000D-0000-FFFF-FFFF00000000}"/>
  </bookViews>
  <sheets>
    <sheet name="ABOUT THE ESG DATA TABLES" sheetId="39" r:id="rId1"/>
    <sheet name="Compliance-Significant Events" sheetId="1" r:id="rId2"/>
    <sheet name="Ethics-Anti-Corruption" sheetId="2" r:id="rId3"/>
    <sheet name="Policy Influence" sheetId="3" r:id="rId4"/>
    <sheet name="Air Quality" sheetId="4" r:id="rId5"/>
    <sheet name="Biodiversity" sheetId="5" r:id="rId6"/>
    <sheet name="Climate Change" sheetId="6" r:id="rId7"/>
    <sheet name="Closure and Reclamation" sheetId="7" r:id="rId8"/>
    <sheet name="Cyanide Management" sheetId="8" r:id="rId9"/>
    <sheet name="Materials Consumption" sheetId="9" r:id="rId10"/>
    <sheet name="Spills and Releases" sheetId="10" r:id="rId11"/>
    <sheet name="Tailings Management" sheetId="11" r:id="rId12"/>
    <sheet name="Water Stewardship" sheetId="12" r:id="rId13"/>
    <sheet name="Waste" sheetId="13" r:id="rId14"/>
    <sheet name="Emergency Preparedness" sheetId="14" r:id="rId15"/>
    <sheet name="Safety and Health" sheetId="15" r:id="rId16"/>
    <sheet name="ASM" sheetId="16" r:id="rId17"/>
    <sheet name="Community Development" sheetId="17" r:id="rId18"/>
    <sheet name="Community Impacts" sheetId="18" r:id="rId19"/>
    <sheet name="Complaints and Grievances" sheetId="19" r:id="rId20"/>
    <sheet name="HumRts-Allegations" sheetId="20" r:id="rId21"/>
    <sheet name="HumRts-Assessments" sheetId="21" r:id="rId22"/>
    <sheet name="HumRts-Supplier Screening" sheetId="22" r:id="rId23"/>
    <sheet name="HumRts-Training-Security" sheetId="23" r:id="rId24"/>
    <sheet name="HumRts-Training-Workforce" sheetId="24" r:id="rId25"/>
    <sheet name="HumRts-Indigenous Peoples" sheetId="25" r:id="rId26"/>
    <sheet name="Land or Resource Use Disputes" sheetId="26" r:id="rId27"/>
    <sheet name="Resettlement" sheetId="27" r:id="rId28"/>
    <sheet name="SIA and Engagement" sheetId="28" r:id="rId29"/>
    <sheet name="Community Investments" sheetId="29" r:id="rId30"/>
    <sheet name="Economic Value Generated-Distri" sheetId="30" r:id="rId31"/>
    <sheet name="Supply Chain Spending" sheetId="31" r:id="rId32"/>
    <sheet name="Tax Transparency" sheetId="32" r:id="rId33"/>
    <sheet name="Overview Workforce Demogrphics" sheetId="33" r:id="rId34"/>
    <sheet name="Compensation and Equal Remunera" sheetId="34" r:id="rId35"/>
    <sheet name="Diversity and Inclusion" sheetId="35" r:id="rId36"/>
    <sheet name="Labor-Mgmt Relations" sheetId="36" r:id="rId37"/>
    <sheet name="Talent Attraction and Retention" sheetId="37" r:id="rId38"/>
    <sheet name="Training and Professional Devel" sheetId="38" r:id="rId39"/>
  </sheets>
  <definedNames>
    <definedName name="Z_5E62BE79_A4FD_4E7A_98EF_5A09C5274723_.wvu.Cols" localSheetId="9" hidden="1">'Materials Consumption'!$A:$L</definedName>
  </definedNames>
  <calcPr calcId="191029"/>
  <customWorkbookViews>
    <customWorkbookView name="Carrie Christopher - Personal View" guid="{5E62BE79-A4FD-4E7A-98EF-5A09C5274723}" mergeInterval="0" personalView="1" maximized="1" xWindow="-1928" yWindow="-8" windowWidth="1936" windowHeight="1056" tabRatio="773"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31" l="1"/>
  <c r="E21" i="31"/>
  <c r="D21" i="31"/>
  <c r="B21" i="31"/>
</calcChain>
</file>

<file path=xl/sharedStrings.xml><?xml version="1.0" encoding="utf-8"?>
<sst xmlns="http://schemas.openxmlformats.org/spreadsheetml/2006/main" count="3075" uniqueCount="1119">
  <si>
    <r>
      <rPr>
        <b/>
        <sz val="10"/>
        <color rgb="FF000000"/>
        <rFont val="Arial"/>
        <family val="2"/>
      </rPr>
      <t>F</t>
    </r>
    <r>
      <rPr>
        <b/>
        <sz val="10"/>
        <color rgb="FF000000"/>
        <rFont val="Arial"/>
        <family val="2"/>
      </rPr>
      <t>ines paid for non-compliance with environmental, social or economic laws and regulations</t>
    </r>
    <r>
      <rPr>
        <b/>
        <sz val="10"/>
        <color rgb="FF000000"/>
        <rFont val="Arial"/>
        <family val="2"/>
      </rPr>
      <t xml:space="preserve"> 2019</t>
    </r>
    <r>
      <rPr>
        <b/>
        <sz val="10"/>
        <color rgb="FF000000"/>
        <rFont val="Arial"/>
        <family val="2"/>
      </rPr>
      <t xml:space="preserve">: </t>
    </r>
    <r>
      <rPr>
        <b/>
        <sz val="10"/>
        <color rgb="FF000000"/>
        <rFont val="Arial"/>
        <family val="2"/>
      </rPr>
      <t>S</t>
    </r>
    <r>
      <rPr>
        <b/>
        <sz val="10"/>
        <color rgb="FF000000"/>
        <rFont val="Arial"/>
        <family val="2"/>
      </rPr>
      <t>ite level</t>
    </r>
    <r>
      <rPr>
        <b/>
        <vertAlign val="superscript"/>
        <sz val="10"/>
        <color rgb="FF000000"/>
        <rFont val="Arial"/>
        <family val="2"/>
      </rPr>
      <t>1</t>
    </r>
    <r>
      <rPr>
        <b/>
        <vertAlign val="superscript"/>
        <sz val="10"/>
        <color rgb="FF000000"/>
        <rFont val="Arial"/>
        <family val="2"/>
      </rPr>
      <t>, 2</t>
    </r>
  </si>
  <si>
    <t xml:space="preserve">Site </t>
  </si>
  <si>
    <t xml:space="preserve">Authority </t>
  </si>
  <si>
    <r>
      <rPr>
        <b/>
        <sz val="10"/>
        <color rgb="FF000000"/>
        <rFont val="Arial"/>
        <family val="2"/>
      </rPr>
      <t>Amount ($USD)</t>
    </r>
    <r>
      <rPr>
        <b/>
        <vertAlign val="superscript"/>
        <sz val="10"/>
        <color rgb="FF000000"/>
        <rFont val="Arial"/>
        <family val="2"/>
      </rPr>
      <t>3</t>
    </r>
  </si>
  <si>
    <t>Summary of issue</t>
  </si>
  <si>
    <t>Canada</t>
  </si>
  <si>
    <t>Porcupine</t>
  </si>
  <si>
    <t xml:space="preserve">Ministry of Environment, Conservation and Parks </t>
  </si>
  <si>
    <t>Event occurred in 2019: Tailings drain line valve spill.</t>
  </si>
  <si>
    <t>Mexico</t>
  </si>
  <si>
    <t>Peñasquito</t>
  </si>
  <si>
    <t>PROFEPA (Federal Agency  Environmental Protection)</t>
  </si>
  <si>
    <t xml:space="preserve">Event occurred in 2017: Tailings dam seepage.   </t>
  </si>
  <si>
    <t>Peru</t>
  </si>
  <si>
    <t>Yanacocha</t>
  </si>
  <si>
    <t>Environmental Assessment and Auditing Government Body</t>
  </si>
  <si>
    <t>Event occurred in 2017: Yanacocha did not adopt the prevention and control measures in order to prevent cyanide solution spill from Pampa Larca Column Carbon plant to the lined channel within the perimeter fence of the plant, as well as the access road.</t>
  </si>
  <si>
    <t>Event occurred in 2017:  Yanacocha did not adopt the prevention and control measures in order to avoid the cyanide solution spill from a tank towards the concrete slab containment system and subsequently to the access road and the Yanacocha creek.</t>
  </si>
  <si>
    <t>Event occurred in 2017: Yanacocha did not implement the corrective action imposed by OEFA related the cyanide solution spilled from the Pampa Larca Column Carbon plant to the lined channel within the perimeter fence of the plant, as well as the access road.</t>
  </si>
  <si>
    <t>Event occurred in 2018: Implementation of exploration drilling holes in one platform without authorization, Colorado Project.</t>
  </si>
  <si>
    <t>Total fines</t>
  </si>
  <si>
    <r>
      <rPr>
        <vertAlign val="superscript"/>
        <sz val="8"/>
        <color rgb="FF000000"/>
        <rFont val="Arial"/>
        <family val="2"/>
      </rPr>
      <t>1</t>
    </r>
    <r>
      <rPr>
        <vertAlign val="superscript"/>
        <sz val="8"/>
        <color rgb="FF000000"/>
        <rFont val="Arial"/>
        <family val="2"/>
      </rPr>
      <t xml:space="preserve"> </t>
    </r>
    <r>
      <rPr>
        <sz val="8"/>
        <color rgb="FF000000"/>
        <rFont val="Arial"/>
        <family val="2"/>
      </rPr>
      <t>GRI</t>
    </r>
    <r>
      <rPr>
        <sz val="8"/>
        <color rgb="FF000000"/>
        <rFont val="Arial"/>
        <family val="2"/>
      </rPr>
      <t xml:space="preserve"> Standards disclosure</t>
    </r>
    <r>
      <rPr>
        <sz val="8"/>
        <color rgb="FF000000"/>
        <rFont val="Arial"/>
        <family val="2"/>
      </rPr>
      <t>s</t>
    </r>
    <r>
      <rPr>
        <sz val="8"/>
        <color rgb="FF000000"/>
        <rFont val="Arial"/>
        <family val="2"/>
      </rPr>
      <t xml:space="preserve"> </t>
    </r>
    <r>
      <rPr>
        <sz val="8"/>
        <color rgb="FF000000"/>
        <rFont val="Arial"/>
        <family val="2"/>
      </rPr>
      <t>GRI 307-7: Non-compliance with environmental laws and regulations</t>
    </r>
    <r>
      <rPr>
        <sz val="8"/>
        <color rgb="FF000000"/>
        <rFont val="Arial"/>
        <family val="2"/>
      </rPr>
      <t xml:space="preserve"> </t>
    </r>
    <r>
      <rPr>
        <sz val="8"/>
        <color rgb="FF000000"/>
        <rFont val="Arial"/>
        <family val="2"/>
      </rPr>
      <t xml:space="preserve">and </t>
    </r>
    <r>
      <rPr>
        <sz val="8"/>
        <color rgb="FF000000"/>
        <rFont val="Arial"/>
        <family val="2"/>
      </rPr>
      <t>GRI 419-1: Non-compliance with laws and regulations in the social and economic area</t>
    </r>
    <r>
      <rPr>
        <sz val="8"/>
        <color rgb="FF000000"/>
        <rFont val="Arial"/>
        <family val="2"/>
      </rPr>
      <t xml:space="preserve">.
</t>
    </r>
    <r>
      <rPr>
        <vertAlign val="superscript"/>
        <sz val="8"/>
        <color rgb="FF000000"/>
        <rFont val="Arial"/>
        <family val="2"/>
      </rPr>
      <t>2</t>
    </r>
    <r>
      <rPr>
        <vertAlign val="superscript"/>
        <sz val="8"/>
        <color rgb="FF000000"/>
        <rFont val="Arial"/>
        <family val="2"/>
      </rPr>
      <t xml:space="preserve"> </t>
    </r>
    <r>
      <rPr>
        <sz val="8"/>
        <color rgb="FF000000"/>
        <rFont val="Arial"/>
        <family val="2"/>
      </rPr>
      <t xml:space="preserve">Five of the six non-compliance fines paid in 2019 were based on events that occurred from 2017-2018. </t>
    </r>
    <r>
      <rPr>
        <sz val="8"/>
        <color rgb="FF000000"/>
        <rFont val="Arial"/>
        <family val="2"/>
      </rPr>
      <t>T</t>
    </r>
    <r>
      <rPr>
        <sz val="8"/>
        <color rgb="FF000000"/>
        <rFont val="Arial"/>
        <family val="2"/>
      </rPr>
      <t>he Porcupine site</t>
    </r>
    <r>
      <rPr>
        <sz val="8"/>
        <color rgb="FF000000"/>
        <rFont val="Arial"/>
        <family val="2"/>
      </rPr>
      <t xml:space="preserve"> event </t>
    </r>
    <r>
      <rPr>
        <sz val="8"/>
        <color rgb="FF000000"/>
        <rFont val="Arial"/>
        <family val="2"/>
      </rPr>
      <t>occur</t>
    </r>
    <r>
      <rPr>
        <sz val="8"/>
        <color rgb="FF000000"/>
        <rFont val="Arial"/>
        <family val="2"/>
      </rPr>
      <t>r</t>
    </r>
    <r>
      <rPr>
        <sz val="8"/>
        <color rgb="FF000000"/>
        <rFont val="Arial"/>
        <family val="2"/>
      </rPr>
      <t xml:space="preserve">ed in February 2019, prior to Newmont's acquisition of this asset. 
</t>
    </r>
    <r>
      <rPr>
        <vertAlign val="superscript"/>
        <sz val="8"/>
        <color rgb="FF000000"/>
        <rFont val="Arial"/>
        <family val="2"/>
      </rPr>
      <t>3</t>
    </r>
    <r>
      <rPr>
        <vertAlign val="superscript"/>
        <sz val="8"/>
        <color rgb="FF000000"/>
        <rFont val="Arial"/>
        <family val="2"/>
      </rPr>
      <t xml:space="preserve"> </t>
    </r>
    <r>
      <rPr>
        <sz val="8"/>
        <color rgb="FF000000"/>
        <rFont val="Arial"/>
        <family val="2"/>
      </rPr>
      <t xml:space="preserve">Fines are converted </t>
    </r>
    <r>
      <rPr>
        <sz val="8"/>
        <color rgb="FF000000"/>
        <rFont val="Arial"/>
        <family val="2"/>
      </rPr>
      <t xml:space="preserve">to U.S. dollars using the average </t>
    </r>
    <r>
      <rPr>
        <sz val="8"/>
        <color rgb="FF000000"/>
        <rFont val="Arial"/>
        <family val="2"/>
      </rPr>
      <t>2019</t>
    </r>
    <r>
      <rPr>
        <sz val="8"/>
        <color rgb="FF000000"/>
        <rFont val="Arial"/>
        <family val="2"/>
      </rPr>
      <t xml:space="preserve"> </t>
    </r>
    <r>
      <rPr>
        <sz val="8"/>
        <color rgb="FF000000"/>
        <rFont val="Arial"/>
        <family val="2"/>
      </rPr>
      <t xml:space="preserve">exchange rate </t>
    </r>
    <r>
      <rPr>
        <sz val="8"/>
        <color rgb="FF000000"/>
        <rFont val="Arial"/>
        <family val="2"/>
      </rPr>
      <t xml:space="preserve">for </t>
    </r>
    <r>
      <rPr>
        <sz val="8"/>
        <color rgb="FF000000"/>
        <rFont val="Arial"/>
        <family val="2"/>
      </rPr>
      <t xml:space="preserve">each currency </t>
    </r>
    <r>
      <rPr>
        <sz val="8"/>
        <color rgb="FF000000"/>
        <rFont val="Arial"/>
        <family val="2"/>
      </rPr>
      <t>as of Dec. 31,</t>
    </r>
    <r>
      <rPr>
        <sz val="8"/>
        <color rgb="FF000000"/>
        <rFont val="Arial"/>
        <family val="2"/>
      </rPr>
      <t xml:space="preserve"> </t>
    </r>
    <r>
      <rPr>
        <sz val="8"/>
        <color rgb="FF000000"/>
        <rFont val="Arial"/>
        <family val="2"/>
      </rPr>
      <t>2019</t>
    </r>
    <r>
      <rPr>
        <sz val="8"/>
        <color rgb="FF000000"/>
        <rFont val="Arial"/>
        <family val="2"/>
      </rPr>
      <t>.</t>
    </r>
    <r>
      <rPr>
        <sz val="8"/>
        <color rgb="FF000000"/>
        <rFont val="Arial"/>
        <family val="2"/>
      </rPr>
      <t xml:space="preserve"> 
</t>
    </r>
    <r>
      <rPr>
        <vertAlign val="superscript"/>
        <sz val="8"/>
        <color rgb="FF000000"/>
        <rFont val="Arial"/>
        <family val="2"/>
      </rPr>
      <t/>
    </r>
  </si>
  <si>
    <r>
      <rPr>
        <b/>
        <sz val="10"/>
        <color rgb="FF000000"/>
        <rFont val="Arial"/>
        <family val="2"/>
      </rPr>
      <t>S</t>
    </r>
    <r>
      <rPr>
        <b/>
        <sz val="10"/>
        <color rgb="FF000000"/>
        <rFont val="Arial"/>
        <family val="2"/>
      </rPr>
      <t>anctions imposed for non-compliance with environmental</t>
    </r>
    <r>
      <rPr>
        <b/>
        <sz val="10"/>
        <color rgb="FF000000"/>
        <rFont val="Arial"/>
        <family val="2"/>
      </rPr>
      <t xml:space="preserve"> or social </t>
    </r>
    <r>
      <rPr>
        <b/>
        <sz val="10"/>
        <color rgb="FF000000"/>
        <rFont val="Arial"/>
        <family val="2"/>
      </rPr>
      <t>laws and regulations</t>
    </r>
    <r>
      <rPr>
        <b/>
        <sz val="10"/>
        <color rgb="FF000000"/>
        <rFont val="Arial"/>
        <family val="2"/>
      </rPr>
      <t xml:space="preserve"> 2019</t>
    </r>
    <r>
      <rPr>
        <b/>
        <sz val="10"/>
        <color rgb="FF000000"/>
        <rFont val="Arial"/>
        <family val="2"/>
      </rPr>
      <t xml:space="preserve">: </t>
    </r>
    <r>
      <rPr>
        <b/>
        <sz val="10"/>
        <color rgb="FF000000"/>
        <rFont val="Arial"/>
        <family val="2"/>
      </rPr>
      <t>S</t>
    </r>
    <r>
      <rPr>
        <b/>
        <sz val="10"/>
        <color rgb="FF000000"/>
        <rFont val="Arial"/>
        <family val="2"/>
      </rPr>
      <t>ite level</t>
    </r>
    <r>
      <rPr>
        <b/>
        <vertAlign val="superscript"/>
        <sz val="10"/>
        <color rgb="FF000000"/>
        <rFont val="Arial"/>
        <family val="2"/>
      </rPr>
      <t>1</t>
    </r>
    <r>
      <rPr>
        <b/>
        <vertAlign val="superscript"/>
        <sz val="10"/>
        <color rgb="FF000000"/>
        <rFont val="Arial"/>
        <family val="2"/>
      </rPr>
      <t>, 2</t>
    </r>
  </si>
  <si>
    <t>Site</t>
  </si>
  <si>
    <t>Authority</t>
  </si>
  <si>
    <t>Australia</t>
  </si>
  <si>
    <t>Boddington</t>
  </si>
  <si>
    <t>Department of Water and Environmental Regulation</t>
  </si>
  <si>
    <t>Event occurred in 2016: Vibration exceedances during 2016 blasting activities.</t>
  </si>
  <si>
    <t>Tanami</t>
  </si>
  <si>
    <t>Central Land Council</t>
  </si>
  <si>
    <r>
      <rPr>
        <sz val="10"/>
        <color rgb="FF000000"/>
        <rFont val="Arial"/>
        <family val="2"/>
      </rPr>
      <t>Event occur</t>
    </r>
    <r>
      <rPr>
        <sz val="10"/>
        <color rgb="FF000000"/>
        <rFont val="Arial"/>
        <family val="2"/>
      </rPr>
      <t>r</t>
    </r>
    <r>
      <rPr>
        <sz val="10"/>
        <color rgb="FF000000"/>
        <rFont val="Arial"/>
        <family val="2"/>
      </rPr>
      <t xml:space="preserve">ed in 2018: </t>
    </r>
    <r>
      <rPr>
        <sz val="10"/>
        <color rgb="FF000000"/>
        <rFont val="Arial"/>
        <family val="2"/>
      </rPr>
      <t>Concentrated pulp spill in coal pre-flotation sulfide plant</t>
    </r>
    <r>
      <rPr>
        <sz val="10"/>
        <color rgb="FF000000"/>
        <rFont val="Arial"/>
        <family val="2"/>
      </rPr>
      <t>.</t>
    </r>
  </si>
  <si>
    <t xml:space="preserve">PROFEPA (Federal Agency  Environmental Protection) </t>
  </si>
  <si>
    <t>Total sanctions</t>
  </si>
  <si>
    <r>
      <rPr>
        <vertAlign val="superscript"/>
        <sz val="8"/>
        <color rgb="FF000000"/>
        <rFont val="Arial"/>
        <family val="2"/>
      </rPr>
      <t>1</t>
    </r>
    <r>
      <rPr>
        <vertAlign val="superscript"/>
        <sz val="8"/>
        <color rgb="FF000000"/>
        <rFont val="Arial"/>
        <family val="2"/>
      </rPr>
      <t xml:space="preserve"> </t>
    </r>
    <r>
      <rPr>
        <sz val="8"/>
        <color rgb="FF000000"/>
        <rFont val="Arial"/>
        <family val="2"/>
      </rPr>
      <t>GRI Standards disclosures GRI 307-7: Non-compliance with environmental laws</t>
    </r>
    <r>
      <rPr>
        <sz val="8"/>
        <color rgb="FF000000"/>
        <rFont val="Arial"/>
        <family val="2"/>
      </rPr>
      <t xml:space="preserve"> </t>
    </r>
    <r>
      <rPr>
        <sz val="8"/>
        <color rgb="FF000000"/>
        <rFont val="Arial"/>
        <family val="2"/>
      </rPr>
      <t xml:space="preserve">and regulations and GRI 419-1: Non-compliance with laws and regulations in the social and economic area.
</t>
    </r>
    <r>
      <rPr>
        <vertAlign val="superscript"/>
        <sz val="8"/>
        <color rgb="FF000000"/>
        <rFont val="Arial"/>
        <family val="2"/>
      </rPr>
      <t xml:space="preserve">2 </t>
    </r>
    <r>
      <rPr>
        <sz val="8"/>
        <color rgb="FF000000"/>
        <rFont val="Arial"/>
        <family val="2"/>
      </rPr>
      <t>All</t>
    </r>
    <r>
      <rPr>
        <sz val="8"/>
        <color rgb="FF000000"/>
        <rFont val="Arial"/>
        <family val="2"/>
      </rPr>
      <t xml:space="preserve"> four sanctions relate to events that occur</t>
    </r>
    <r>
      <rPr>
        <sz val="8"/>
        <color rgb="FF000000"/>
        <rFont val="Arial"/>
        <family val="2"/>
      </rPr>
      <t>r</t>
    </r>
    <r>
      <rPr>
        <sz val="8"/>
        <color rgb="FF000000"/>
        <rFont val="Arial"/>
        <family val="2"/>
      </rPr>
      <t xml:space="preserve">ed </t>
    </r>
    <r>
      <rPr>
        <sz val="8"/>
        <color rgb="FF000000"/>
        <rFont val="Arial"/>
        <family val="2"/>
      </rPr>
      <t>in 2016 and 2018</t>
    </r>
    <r>
      <rPr>
        <sz val="8"/>
        <color rgb="FF000000"/>
        <rFont val="Arial"/>
        <family val="2"/>
      </rPr>
      <t xml:space="preserve">; </t>
    </r>
    <r>
      <rPr>
        <sz val="8"/>
        <color rgb="FF000000"/>
        <rFont val="Arial"/>
        <family val="2"/>
      </rPr>
      <t>t</t>
    </r>
    <r>
      <rPr>
        <sz val="8"/>
        <color rgb="FF000000"/>
        <rFont val="Arial"/>
        <family val="2"/>
      </rPr>
      <t>wo sanctions were non-mon</t>
    </r>
    <r>
      <rPr>
        <sz val="8"/>
        <color rgb="FF000000"/>
        <rFont val="Arial"/>
        <family val="2"/>
      </rPr>
      <t>etary</t>
    </r>
    <r>
      <rPr>
        <sz val="8"/>
        <color rgb="FF000000"/>
        <rFont val="Arial"/>
        <family val="2"/>
      </rPr>
      <t xml:space="preserve">. 
</t>
    </r>
    <r>
      <rPr>
        <vertAlign val="superscript"/>
        <sz val="8"/>
        <color rgb="FF000000"/>
        <rFont val="Arial"/>
        <family val="2"/>
      </rPr>
      <t>3</t>
    </r>
    <r>
      <rPr>
        <vertAlign val="superscript"/>
        <sz val="8"/>
        <color rgb="FF000000"/>
        <rFont val="Arial"/>
        <family val="2"/>
      </rPr>
      <t xml:space="preserve"> </t>
    </r>
    <r>
      <rPr>
        <sz val="8"/>
        <color rgb="FF000000"/>
        <rFont val="Arial"/>
        <family val="2"/>
      </rPr>
      <t>Monetary s</t>
    </r>
    <r>
      <rPr>
        <sz val="8"/>
        <color rgb="FF000000"/>
        <rFont val="Arial"/>
        <family val="2"/>
      </rPr>
      <t>a</t>
    </r>
    <r>
      <rPr>
        <sz val="8"/>
        <color rgb="FF000000"/>
        <rFont val="Arial"/>
        <family val="2"/>
      </rPr>
      <t>nctions</t>
    </r>
    <r>
      <rPr>
        <sz val="8"/>
        <color rgb="FF000000"/>
        <rFont val="Arial"/>
        <family val="2"/>
      </rPr>
      <t xml:space="preserve"> are converted to U.S. dollars using the average </t>
    </r>
    <r>
      <rPr>
        <sz val="8"/>
        <color rgb="FF000000"/>
        <rFont val="Arial"/>
        <family val="2"/>
      </rPr>
      <t xml:space="preserve">2019 </t>
    </r>
    <r>
      <rPr>
        <sz val="8"/>
        <color rgb="FF000000"/>
        <rFont val="Arial"/>
        <family val="2"/>
      </rPr>
      <t>exchange rate for each currency as of Dec. 31, 2019.</t>
    </r>
  </si>
  <si>
    <r>
      <rPr>
        <b/>
        <sz val="10"/>
        <color rgb="FF000000"/>
        <rFont val="Arial"/>
        <family val="2"/>
      </rPr>
      <t>S</t>
    </r>
    <r>
      <rPr>
        <b/>
        <sz val="10"/>
        <color rgb="FF000000"/>
        <rFont val="Arial"/>
        <family val="2"/>
      </rPr>
      <t>ignificant environmental and/or social events</t>
    </r>
    <r>
      <rPr>
        <b/>
        <sz val="10"/>
        <color rgb="FF000000"/>
        <rFont val="Arial"/>
        <family val="2"/>
      </rPr>
      <t xml:space="preserve"> 2019</t>
    </r>
    <r>
      <rPr>
        <b/>
        <sz val="10"/>
        <color rgb="FF000000"/>
        <rFont val="Arial"/>
        <family val="2"/>
      </rPr>
      <t xml:space="preserve">: </t>
    </r>
    <r>
      <rPr>
        <b/>
        <sz val="10"/>
        <color rgb="FF000000"/>
        <rFont val="Arial"/>
        <family val="2"/>
      </rPr>
      <t>S</t>
    </r>
    <r>
      <rPr>
        <b/>
        <sz val="10"/>
        <color rgb="FF000000"/>
        <rFont val="Arial"/>
        <family val="2"/>
      </rPr>
      <t>ite level</t>
    </r>
    <r>
      <rPr>
        <b/>
        <vertAlign val="superscript"/>
        <sz val="10"/>
        <color rgb="FF000000"/>
        <rFont val="Arial"/>
        <family val="2"/>
      </rPr>
      <t>1</t>
    </r>
  </si>
  <si>
    <t>Summary of Issue</t>
  </si>
  <si>
    <t>Argentina</t>
  </si>
  <si>
    <t>Cerro Negro</t>
  </si>
  <si>
    <t>Éléonore</t>
  </si>
  <si>
    <t xml:space="preserve">Environmental event: In July 2019, approximately 120 liters were spilled during repairs to a bridge on the site access road. Measures to stop the spill were immediately put into place, however about 60 liters of diesel reached the Opinaca River. All relevant government and first nations stakeholders were notified of the spill. </t>
  </si>
  <si>
    <t>Social and environmental event related to water quality: In November 2019, local communities protested conditions of increased turbidity in China Linda spring, claimed to be due to hydrogeological drilling and piezometer instrumentation installation at the China Linda lime quarry, 750 meters from the spring. Investigations are underway.</t>
  </si>
  <si>
    <r>
      <rPr>
        <b/>
        <sz val="10"/>
        <color rgb="FF000000"/>
        <rFont val="Arial"/>
        <family val="2"/>
      </rPr>
      <t>N</t>
    </r>
    <r>
      <rPr>
        <b/>
        <sz val="10"/>
        <color rgb="FF000000"/>
        <rFont val="Arial"/>
        <family val="2"/>
      </rPr>
      <t>umber and duration of non-technical delays</t>
    </r>
    <r>
      <rPr>
        <b/>
        <sz val="10"/>
        <color rgb="FF000000"/>
        <rFont val="Arial"/>
        <family val="2"/>
      </rPr>
      <t xml:space="preserve"> </t>
    </r>
    <r>
      <rPr>
        <b/>
        <sz val="10"/>
        <color rgb="FF000000"/>
        <rFont val="Arial"/>
        <family val="2"/>
      </rPr>
      <t>2019</t>
    </r>
    <r>
      <rPr>
        <b/>
        <sz val="10"/>
        <color rgb="FF000000"/>
        <rFont val="Arial"/>
        <family val="2"/>
      </rPr>
      <t xml:space="preserve">: </t>
    </r>
    <r>
      <rPr>
        <b/>
        <sz val="10"/>
        <color rgb="FF000000"/>
        <rFont val="Arial"/>
        <family val="2"/>
      </rPr>
      <t>S</t>
    </r>
    <r>
      <rPr>
        <b/>
        <sz val="10"/>
        <color rgb="FF000000"/>
        <rFont val="Arial"/>
        <family val="2"/>
      </rPr>
      <t>ite level</t>
    </r>
    <r>
      <rPr>
        <b/>
        <vertAlign val="superscript"/>
        <sz val="10"/>
        <color rgb="FF000000"/>
        <rFont val="Arial"/>
        <family val="2"/>
      </rPr>
      <t>1</t>
    </r>
  </si>
  <si>
    <t>Nature of non-technical delay</t>
  </si>
  <si>
    <t>Duration (days)</t>
  </si>
  <si>
    <t>References for additional disclosures and details</t>
  </si>
  <si>
    <t>Multiple short-duration work stoppages by union members</t>
  </si>
  <si>
    <t xml:space="preserve">Argentina's Cerro Negro location experienced several short duration work stoppages in 2019, with no single event lasting more than seven consecutive days; however the hours lost equates to approximately 52,528 hours (equivalent to 8.92 days, had these stoppages been consecutive). </t>
  </si>
  <si>
    <t>Trucking contractor and community member blockade</t>
  </si>
  <si>
    <r>
      <rPr>
        <vertAlign val="superscript"/>
        <sz val="8"/>
        <color rgb="FF000000"/>
        <rFont val="Arial"/>
        <family val="2"/>
      </rPr>
      <t>1</t>
    </r>
    <r>
      <rPr>
        <vertAlign val="superscript"/>
        <sz val="8"/>
        <color rgb="FF000000"/>
        <rFont val="Arial"/>
        <family val="2"/>
      </rPr>
      <t xml:space="preserve"> </t>
    </r>
    <r>
      <rPr>
        <sz val="8"/>
        <color rgb="FF000000"/>
        <rFont val="Arial"/>
        <family val="2"/>
      </rPr>
      <t>SASB Metals and Mining Sustainability Accounting Standard:</t>
    </r>
    <r>
      <rPr>
        <sz val="8"/>
        <color rgb="FF000000"/>
        <rFont val="Arial"/>
        <family val="2"/>
      </rPr>
      <t xml:space="preserve"> </t>
    </r>
    <r>
      <rPr>
        <sz val="8"/>
        <color rgb="FF000000"/>
        <rFont val="Arial"/>
        <family val="2"/>
      </rPr>
      <t>SASB: EM-MM-210b.2</t>
    </r>
    <r>
      <rPr>
        <sz val="8"/>
        <color rgb="FF000000"/>
        <rFont val="Arial"/>
        <family val="2"/>
      </rPr>
      <t xml:space="preserve">: </t>
    </r>
    <r>
      <rPr>
        <sz val="8"/>
        <color rgb="FF000000"/>
        <rFont val="Arial"/>
        <family val="2"/>
      </rPr>
      <t xml:space="preserve">Number and </t>
    </r>
    <r>
      <rPr>
        <sz val="8"/>
        <color rgb="FF000000"/>
        <rFont val="Arial"/>
        <family val="2"/>
      </rPr>
      <t>d</t>
    </r>
    <r>
      <rPr>
        <sz val="8"/>
        <color rgb="FF000000"/>
        <rFont val="Arial"/>
        <family val="2"/>
      </rPr>
      <t xml:space="preserve">uration </t>
    </r>
    <r>
      <rPr>
        <sz val="8"/>
        <color rgb="FF000000"/>
        <rFont val="Arial"/>
        <family val="2"/>
      </rPr>
      <t xml:space="preserve">of </t>
    </r>
    <r>
      <rPr>
        <sz val="8"/>
        <color rgb="FF000000"/>
        <rFont val="Arial"/>
        <family val="2"/>
      </rPr>
      <t>n</t>
    </r>
    <r>
      <rPr>
        <sz val="8"/>
        <color rgb="FF000000"/>
        <rFont val="Arial"/>
        <family val="2"/>
      </rPr>
      <t>on</t>
    </r>
    <r>
      <rPr>
        <sz val="8"/>
        <color rgb="FF000000"/>
        <rFont val="Arial"/>
        <family val="2"/>
      </rPr>
      <t>-</t>
    </r>
    <r>
      <rPr>
        <sz val="8"/>
        <color rgb="FF000000"/>
        <rFont val="Arial"/>
        <family val="2"/>
      </rPr>
      <t>t</t>
    </r>
    <r>
      <rPr>
        <sz val="8"/>
        <color rgb="FF000000"/>
        <rFont val="Arial"/>
        <family val="2"/>
      </rPr>
      <t xml:space="preserve">echnical </t>
    </r>
    <r>
      <rPr>
        <sz val="8"/>
        <color rgb="FF000000"/>
        <rFont val="Arial"/>
        <family val="2"/>
      </rPr>
      <t>d</t>
    </r>
    <r>
      <rPr>
        <sz val="8"/>
        <color rgb="FF000000"/>
        <rFont val="Arial"/>
        <family val="2"/>
      </rPr>
      <t>elays</t>
    </r>
    <r>
      <rPr>
        <sz val="8"/>
        <color rgb="FF000000"/>
        <rFont val="Arial"/>
        <family val="2"/>
      </rPr>
      <t>.</t>
    </r>
    <r>
      <rPr>
        <sz val="8"/>
        <color rgb="FF000000"/>
        <rFont val="Arial"/>
        <family val="2"/>
      </rPr>
      <t xml:space="preserve"> 
</t>
    </r>
    <r>
      <rPr>
        <sz val="8"/>
        <color rgb="FF000000"/>
        <rFont val="Arial"/>
        <family val="2"/>
      </rPr>
      <t xml:space="preserve">
</t>
    </r>
    <r>
      <rPr>
        <vertAlign val="superscript"/>
        <sz val="8"/>
        <color rgb="FF000000"/>
        <rFont val="Arial"/>
        <family val="2"/>
      </rPr>
      <t/>
    </r>
  </si>
  <si>
    <r>
      <rPr>
        <b/>
        <sz val="10"/>
        <color rgb="FF000000"/>
        <rFont val="Arial"/>
        <family val="2"/>
      </rPr>
      <t>2019</t>
    </r>
    <r>
      <rPr>
        <b/>
        <sz val="10"/>
        <color rgb="FF000000"/>
        <rFont val="Arial"/>
        <family val="2"/>
      </rPr>
      <t xml:space="preserve"> </t>
    </r>
    <r>
      <rPr>
        <b/>
        <sz val="10"/>
        <color rgb="FF000000"/>
        <rFont val="Arial"/>
        <family val="2"/>
      </rPr>
      <t>p</t>
    </r>
    <r>
      <rPr>
        <b/>
        <sz val="10"/>
        <color rgb="FF000000"/>
        <rFont val="Arial"/>
        <family val="2"/>
      </rPr>
      <t xml:space="preserve">roduction in </t>
    </r>
    <r>
      <rPr>
        <b/>
        <sz val="10"/>
        <color rgb="FF000000"/>
        <rFont val="Arial"/>
        <family val="2"/>
      </rPr>
      <t>c</t>
    </r>
    <r>
      <rPr>
        <b/>
        <sz val="10"/>
        <color rgb="FF000000"/>
        <rFont val="Arial"/>
        <family val="2"/>
      </rPr>
      <t xml:space="preserve">ountries that have the 20 lowest rankings in </t>
    </r>
    <r>
      <rPr>
        <b/>
        <sz val="10"/>
        <color rgb="FF000000"/>
        <rFont val="Arial"/>
        <family val="2"/>
      </rPr>
      <t>T</t>
    </r>
    <r>
      <rPr>
        <b/>
        <sz val="10"/>
        <color rgb="FF000000"/>
        <rFont val="Arial"/>
        <family val="2"/>
      </rPr>
      <t>ransparency International's Corruption Perception Index</t>
    </r>
    <r>
      <rPr>
        <b/>
        <vertAlign val="superscript"/>
        <sz val="10"/>
        <color rgb="FF000000"/>
        <rFont val="Arial"/>
        <family val="2"/>
      </rPr>
      <t>1</t>
    </r>
    <r>
      <rPr>
        <b/>
        <vertAlign val="superscript"/>
        <sz val="10"/>
        <color rgb="FF000000"/>
        <rFont val="Arial"/>
        <family val="2"/>
      </rPr>
      <t>, 2</t>
    </r>
  </si>
  <si>
    <t xml:space="preserve">Newmont does not operate in any of the countries designated among the 20 lowest rankings in the 2019 Transparency International Corruption Perception Index. </t>
  </si>
  <si>
    <r>
      <rPr>
        <vertAlign val="superscript"/>
        <sz val="8"/>
        <color rgb="FF000000"/>
        <rFont val="Arial"/>
        <family val="2"/>
      </rPr>
      <t>1</t>
    </r>
    <r>
      <rPr>
        <vertAlign val="superscript"/>
        <sz val="8"/>
        <color rgb="FF000000"/>
        <rFont val="Arial"/>
        <family val="2"/>
      </rPr>
      <t xml:space="preserve"> </t>
    </r>
    <r>
      <rPr>
        <sz val="8"/>
        <color rgb="FF000000"/>
        <rFont val="Arial"/>
        <family val="2"/>
      </rPr>
      <t xml:space="preserve">SASB </t>
    </r>
    <r>
      <rPr>
        <sz val="8"/>
        <color rgb="FF000000"/>
        <rFont val="Arial"/>
        <family val="2"/>
      </rPr>
      <t>Metals and Mining Sustainability Accounting St</t>
    </r>
    <r>
      <rPr>
        <sz val="8"/>
        <color rgb="FF000000"/>
        <rFont val="Arial"/>
        <family val="2"/>
      </rPr>
      <t xml:space="preserve">andard: SASB </t>
    </r>
    <r>
      <rPr>
        <sz val="8"/>
        <color rgb="FF000000"/>
        <rFont val="Arial"/>
        <family val="2"/>
      </rPr>
      <t>EM</t>
    </r>
    <r>
      <rPr>
        <sz val="8"/>
        <color rgb="FF000000"/>
        <rFont val="Arial"/>
        <family val="2"/>
      </rPr>
      <t>-MM-510a</t>
    </r>
    <r>
      <rPr>
        <sz val="8"/>
        <color rgb="FF000000"/>
        <rFont val="Arial"/>
        <family val="2"/>
      </rPr>
      <t>: Production in countries that hav</t>
    </r>
    <r>
      <rPr>
        <sz val="8"/>
        <color rgb="FF000000"/>
        <rFont val="Arial"/>
        <family val="2"/>
      </rPr>
      <t>e the 20 lowest rankings in TICP</t>
    </r>
    <r>
      <rPr>
        <sz val="8"/>
        <color rgb="FF000000"/>
        <rFont val="Arial"/>
        <family val="2"/>
      </rPr>
      <t xml:space="preserve"> Index.</t>
    </r>
    <r>
      <rPr>
        <sz val="8"/>
        <color rgb="FF000000"/>
        <rFont val="Arial"/>
        <family val="2"/>
      </rPr>
      <t xml:space="preserve"> 
</t>
    </r>
    <r>
      <rPr>
        <vertAlign val="superscript"/>
        <sz val="8"/>
        <color rgb="FF000000"/>
        <rFont val="Arial"/>
        <family val="2"/>
      </rPr>
      <t>2</t>
    </r>
    <r>
      <rPr>
        <vertAlign val="superscript"/>
        <sz val="8"/>
        <color rgb="FF000000"/>
        <rFont val="Arial"/>
        <family val="2"/>
      </rPr>
      <t xml:space="preserve"> </t>
    </r>
    <r>
      <rPr>
        <sz val="8"/>
        <color rgb="FF000000"/>
        <rFont val="Arial"/>
        <family val="2"/>
      </rPr>
      <t>Transparency International's  lowest 20 countries (ranking #161-180) for 2019 in descending order are: Nicaragua, Cambodia, Chad, Iraq, Burundi, Congo, Turkmenistan, Haiti, Dominican Republic of Congo, Libya, Guinea Bissau, North Korea, Venezuela, Equ</t>
    </r>
    <r>
      <rPr>
        <sz val="8"/>
        <color rgb="FF000000"/>
        <rFont val="Arial"/>
        <family val="2"/>
      </rPr>
      <t>a</t>
    </r>
    <r>
      <rPr>
        <sz val="8"/>
        <color rgb="FF000000"/>
        <rFont val="Arial"/>
        <family val="2"/>
      </rPr>
      <t xml:space="preserve">torial Guinea, Sudan, Afghanistan, Yemen, Syria, South Sudan, and Somalia. Source: https://www.transparency.org/cpi2019. </t>
    </r>
  </si>
  <si>
    <r>
      <rPr>
        <b/>
        <sz val="10"/>
        <color rgb="FF000000"/>
        <rFont val="Arial"/>
        <family val="2"/>
      </rPr>
      <t>Total ethics matters addressed and substantiated</t>
    </r>
    <r>
      <rPr>
        <b/>
        <sz val="10"/>
        <color rgb="FF000000"/>
        <rFont val="Arial"/>
        <family val="2"/>
      </rPr>
      <t xml:space="preserve">: </t>
    </r>
    <r>
      <rPr>
        <b/>
        <sz val="10"/>
        <color rgb="FF000000"/>
        <rFont val="Arial"/>
        <family val="2"/>
      </rPr>
      <t>T</t>
    </r>
    <r>
      <rPr>
        <b/>
        <sz val="10"/>
        <color rgb="FF000000"/>
        <rFont val="Arial"/>
        <family val="2"/>
      </rPr>
      <t>railing 5 year</t>
    </r>
    <r>
      <rPr>
        <b/>
        <sz val="10"/>
        <color rgb="FF000000"/>
        <rFont val="Arial"/>
        <family val="2"/>
      </rPr>
      <t xml:space="preserve"> data</t>
    </r>
    <r>
      <rPr>
        <b/>
        <vertAlign val="superscript"/>
        <sz val="10"/>
        <color rgb="FF000000"/>
        <rFont val="Arial"/>
        <family val="2"/>
      </rPr>
      <t>1</t>
    </r>
  </si>
  <si>
    <t>Total matters addressed</t>
  </si>
  <si>
    <t>Total substantiated cases</t>
  </si>
  <si>
    <r>
      <rPr>
        <vertAlign val="superscript"/>
        <sz val="8"/>
        <color rgb="FF000000"/>
        <rFont val="Arial"/>
        <family val="2"/>
      </rPr>
      <t>1</t>
    </r>
    <r>
      <rPr>
        <sz val="8"/>
        <color rgb="FF000000"/>
        <rFont val="Arial"/>
        <family val="2"/>
      </rPr>
      <t xml:space="preserve"> </t>
    </r>
    <r>
      <rPr>
        <sz val="8"/>
        <color rgb="FF000000"/>
        <rFont val="Arial"/>
        <family val="2"/>
      </rPr>
      <t>2019 f</t>
    </r>
    <r>
      <rPr>
        <sz val="8"/>
        <color rgb="FF000000"/>
        <rFont val="Arial"/>
        <family val="2"/>
      </rPr>
      <t>igures include cases from Nevada from January 1 to June 30, 2019.</t>
    </r>
  </si>
  <si>
    <t>Number and outcomes of ethics cases opened, closed, substantiated and addressed: Trailing five year data</t>
  </si>
  <si>
    <r>
      <rPr>
        <b/>
        <sz val="10"/>
        <color rgb="FF000000"/>
        <rFont val="Arial"/>
        <family val="2"/>
      </rPr>
      <t xml:space="preserve">Total new issues captured in </t>
    </r>
    <r>
      <rPr>
        <b/>
        <sz val="10"/>
        <color rgb="FF000000"/>
        <rFont val="Arial"/>
        <family val="2"/>
      </rPr>
      <t>Ethics Solutions Tool</t>
    </r>
  </si>
  <si>
    <t>Total cases open at beginning of the year</t>
  </si>
  <si>
    <t>Total matters closed at year end</t>
  </si>
  <si>
    <t>Total number matters remained open at year end</t>
  </si>
  <si>
    <t>Number of cases resulting in a recommended change of business process</t>
  </si>
  <si>
    <r>
      <rPr>
        <b/>
        <sz val="10"/>
        <color rgb="FF000000"/>
        <rFont val="Arial"/>
        <family val="2"/>
      </rPr>
      <t>Number of cases resulting in human resources or management actions</t>
    </r>
    <r>
      <rPr>
        <b/>
        <vertAlign val="superscript"/>
        <sz val="10"/>
        <color rgb="FF000000"/>
        <rFont val="Arial"/>
        <family val="2"/>
      </rPr>
      <t>1</t>
    </r>
  </si>
  <si>
    <t>Number of cases resulting in employees being counseled on their actions or behavior</t>
  </si>
  <si>
    <t>N/R</t>
  </si>
  <si>
    <t>Number of cases resulting in disciplinary action</t>
  </si>
  <si>
    <t>Number of cases resulting in employee resigning or being terminated</t>
  </si>
  <si>
    <t>Average number of days cases were closed</t>
  </si>
  <si>
    <t>Total not substantiated cases</t>
  </si>
  <si>
    <r>
      <rPr>
        <b/>
        <sz val="10"/>
        <color rgb="FF000000"/>
        <rFont val="Arial"/>
        <family val="2"/>
      </rPr>
      <t>Total matters addressed (substantiated cases + not substantiated cases)</t>
    </r>
    <r>
      <rPr>
        <b/>
        <vertAlign val="superscript"/>
        <sz val="10"/>
        <color rgb="FF000000"/>
        <rFont val="Arial"/>
        <family val="2"/>
      </rPr>
      <t>2</t>
    </r>
  </si>
  <si>
    <r>
      <rPr>
        <vertAlign val="superscript"/>
        <sz val="8"/>
        <color rgb="FF000000"/>
        <rFont val="Arial"/>
        <family val="2"/>
      </rPr>
      <t>1</t>
    </r>
    <r>
      <rPr>
        <sz val="8"/>
        <color rgb="FF000000"/>
        <rFont val="Arial"/>
        <family val="2"/>
      </rPr>
      <t xml:space="preserve"> Newmont began categorizing the outcomes of human resources or management actions in 2017; detailed categorization for 2015 and 2016 of these cases were not reported (N/R). 
</t>
    </r>
    <r>
      <rPr>
        <vertAlign val="superscript"/>
        <sz val="8"/>
        <color rgb="FF000000"/>
        <rFont val="Arial"/>
        <family val="2"/>
      </rPr>
      <t>2</t>
    </r>
    <r>
      <rPr>
        <vertAlign val="superscript"/>
        <sz val="8"/>
        <color rgb="FF000000"/>
        <rFont val="Arial"/>
        <family val="2"/>
      </rPr>
      <t xml:space="preserve"> </t>
    </r>
    <r>
      <rPr>
        <sz val="8"/>
        <color rgb="FF000000"/>
        <rFont val="Arial"/>
        <family val="2"/>
      </rPr>
      <t>Of the 534 total ma</t>
    </r>
    <r>
      <rPr>
        <sz val="8"/>
        <color rgb="FF000000"/>
        <rFont val="Arial"/>
        <family val="2"/>
      </rPr>
      <t>tters addressed</t>
    </r>
    <r>
      <rPr>
        <sz val="8"/>
        <color rgb="FF000000"/>
        <rFont val="Arial"/>
        <family val="2"/>
      </rPr>
      <t xml:space="preserve"> in 2019</t>
    </r>
    <r>
      <rPr>
        <sz val="8"/>
        <color rgb="FF000000"/>
        <rFont val="Arial"/>
        <family val="2"/>
      </rPr>
      <t>,</t>
    </r>
    <r>
      <rPr>
        <sz val="8"/>
        <color rgb="FF000000"/>
        <rFont val="Arial"/>
        <family val="2"/>
      </rPr>
      <t xml:space="preserve"> </t>
    </r>
    <r>
      <rPr>
        <sz val="8"/>
        <color rgb="FF000000"/>
        <rFont val="Arial"/>
        <family val="2"/>
      </rPr>
      <t xml:space="preserve">16 </t>
    </r>
    <r>
      <rPr>
        <sz val="8"/>
        <color rgb="FF000000"/>
        <rFont val="Arial"/>
        <family val="2"/>
      </rPr>
      <t>we</t>
    </r>
    <r>
      <rPr>
        <sz val="8"/>
        <color rgb="FF000000"/>
        <rFont val="Arial"/>
        <family val="2"/>
      </rPr>
      <t>re</t>
    </r>
    <r>
      <rPr>
        <sz val="8"/>
        <color rgb="FF000000"/>
        <rFont val="Arial"/>
        <family val="2"/>
      </rPr>
      <t xml:space="preserve"> opened to track </t>
    </r>
    <r>
      <rPr>
        <sz val="8"/>
        <color rgb="FF000000"/>
        <rFont val="Arial"/>
        <family val="2"/>
      </rPr>
      <t>additional outcomes related to a single cas</t>
    </r>
    <r>
      <rPr>
        <sz val="8"/>
        <color rgb="FF000000"/>
        <rFont val="Arial"/>
        <family val="2"/>
      </rPr>
      <t>e</t>
    </r>
    <r>
      <rPr>
        <sz val="8"/>
        <color rgb="FF000000"/>
        <rFont val="Arial"/>
        <family val="2"/>
      </rPr>
      <t>.</t>
    </r>
    <r>
      <rPr>
        <sz val="8"/>
        <color rgb="FF000000"/>
        <rFont val="Arial"/>
        <family val="2"/>
      </rPr>
      <t xml:space="preserve"> Without these additional cases</t>
    </r>
    <r>
      <rPr>
        <sz val="8"/>
        <color rgb="FF000000"/>
        <rFont val="Arial"/>
        <family val="2"/>
      </rPr>
      <t>, the actual number of cases relating to a single incident are 518. These are detailed in the 2019 number</t>
    </r>
    <r>
      <rPr>
        <sz val="8"/>
        <color rgb="FF000000"/>
        <rFont val="Arial"/>
        <family val="2"/>
      </rPr>
      <t xml:space="preserve"> and outcomes of ethics cases addressed and substantiated </t>
    </r>
    <r>
      <rPr>
        <sz val="8"/>
        <color rgb="FF000000"/>
        <rFont val="Arial"/>
        <family val="2"/>
      </rPr>
      <t xml:space="preserve">table. </t>
    </r>
    <r>
      <rPr>
        <sz val="8"/>
        <color rgb="FF000000"/>
        <rFont val="Arial"/>
        <family val="2"/>
      </rPr>
      <t>2019 f</t>
    </r>
    <r>
      <rPr>
        <sz val="8"/>
        <color rgb="FF000000"/>
        <rFont val="Arial"/>
        <family val="2"/>
      </rPr>
      <t xml:space="preserve">igures include cases from Nevada from January 1 to June 30, 2019.
</t>
    </r>
    <r>
      <rPr>
        <vertAlign val="superscript"/>
        <sz val="8"/>
        <color rgb="FF000000"/>
        <rFont val="Arial"/>
        <family val="2"/>
      </rPr>
      <t/>
    </r>
  </si>
  <si>
    <r>
      <rPr>
        <b/>
        <sz val="10"/>
        <color rgb="FF000000"/>
        <rFont val="Arial"/>
        <family val="2"/>
      </rPr>
      <t>N</t>
    </r>
    <r>
      <rPr>
        <b/>
        <sz val="10"/>
        <color rgb="FF000000"/>
        <rFont val="Arial"/>
        <family val="2"/>
      </rPr>
      <t xml:space="preserve">umber and outcomes of </t>
    </r>
    <r>
      <rPr>
        <b/>
        <sz val="10"/>
        <color rgb="FF000000"/>
        <rFont val="Arial"/>
        <family val="2"/>
      </rPr>
      <t xml:space="preserve">substantiated </t>
    </r>
    <r>
      <rPr>
        <b/>
        <sz val="10"/>
        <color rgb="FF000000"/>
        <rFont val="Arial"/>
        <family val="2"/>
      </rPr>
      <t>ethics cases</t>
    </r>
    <r>
      <rPr>
        <b/>
        <sz val="10"/>
        <color rgb="FF000000"/>
        <rFont val="Arial"/>
        <family val="2"/>
      </rPr>
      <t xml:space="preserve"> 2019: </t>
    </r>
    <r>
      <rPr>
        <b/>
        <sz val="10"/>
        <color rgb="FF000000"/>
        <rFont val="Arial"/>
        <family val="2"/>
      </rPr>
      <t>C</t>
    </r>
    <r>
      <rPr>
        <b/>
        <sz val="10"/>
        <color rgb="FF000000"/>
        <rFont val="Arial"/>
        <family val="2"/>
      </rPr>
      <t>ountry level</t>
    </r>
    <r>
      <rPr>
        <b/>
        <vertAlign val="superscript"/>
        <sz val="10"/>
        <color rgb="FF000000"/>
        <rFont val="Arial"/>
        <family val="2"/>
      </rPr>
      <t>1</t>
    </r>
    <r>
      <rPr>
        <b/>
        <vertAlign val="superscript"/>
        <sz val="10"/>
        <color rgb="FF000000"/>
        <rFont val="Arial"/>
        <family val="2"/>
      </rPr>
      <t>. 2</t>
    </r>
  </si>
  <si>
    <t>Total cases
addressed</t>
  </si>
  <si>
    <t>Total  cases substantiated</t>
  </si>
  <si>
    <t>Recommended change of business process</t>
  </si>
  <si>
    <t>HR-related: Employees being counseled on their actions or behavior</t>
  </si>
  <si>
    <t>HR-related: Employee disciplinary action</t>
  </si>
  <si>
    <t>HR-related: Employee resignation or termination</t>
  </si>
  <si>
    <t>HR-related: Recommended action has been made, but not yet taken as of 12/31/19</t>
  </si>
  <si>
    <t>Ghana</t>
  </si>
  <si>
    <t>U.S.</t>
  </si>
  <si>
    <t>Suriname</t>
  </si>
  <si>
    <t>Honduras</t>
  </si>
  <si>
    <t>Guatemala</t>
  </si>
  <si>
    <t>Total</t>
  </si>
  <si>
    <r>
      <rPr>
        <vertAlign val="superscript"/>
        <sz val="8"/>
        <color rgb="FF000000"/>
        <rFont val="Arial"/>
        <family val="2"/>
      </rPr>
      <t>1</t>
    </r>
    <r>
      <rPr>
        <sz val="8"/>
        <color rgb="FF000000"/>
        <rFont val="Arial"/>
        <family val="2"/>
      </rPr>
      <t xml:space="preserve"> Figures include cases from Nevada from January 1 to June 30, 2019, and from former Goldcorp from April 18 to December 31, 2019. Variances in the data shown above and the total substantiated ethics cases are attributable to cases where an action is recommended, but not yet taken</t>
    </r>
    <r>
      <rPr>
        <sz val="8"/>
        <color rgb="FF000000"/>
        <rFont val="Arial"/>
        <family val="2"/>
      </rPr>
      <t xml:space="preserve">. 
</t>
    </r>
    <r>
      <rPr>
        <vertAlign val="superscript"/>
        <sz val="8"/>
        <color rgb="FF000000"/>
        <rFont val="Arial"/>
        <family val="2"/>
      </rPr>
      <t>2</t>
    </r>
    <r>
      <rPr>
        <sz val="8"/>
        <color rgb="FF000000"/>
        <rFont val="Arial"/>
        <family val="2"/>
      </rPr>
      <t xml:space="preserve"> The 102 human resources or management-related outcomes (counseling, discipline and resignation) include</t>
    </r>
    <r>
      <rPr>
        <sz val="8"/>
        <color rgb="FF000000"/>
        <rFont val="Arial"/>
        <family val="2"/>
      </rPr>
      <t xml:space="preserve"> seven recommended actions that were made as of December 31, 2019, but not yet taken; therefore, these seven pending actions are not included in the table above. </t>
    </r>
  </si>
  <si>
    <r>
      <rPr>
        <b/>
        <sz val="10"/>
        <color rgb="FF000000"/>
        <rFont val="Arial"/>
        <family val="2"/>
      </rPr>
      <t>N</t>
    </r>
    <r>
      <rPr>
        <b/>
        <sz val="10"/>
        <color rgb="FF000000"/>
        <rFont val="Arial"/>
        <family val="2"/>
      </rPr>
      <t>ature and total number of ethics matters opened in 2019</t>
    </r>
    <r>
      <rPr>
        <b/>
        <vertAlign val="superscript"/>
        <sz val="10"/>
        <color rgb="FF000000"/>
        <rFont val="Arial"/>
        <family val="2"/>
      </rPr>
      <t>1</t>
    </r>
  </si>
  <si>
    <t xml:space="preserve">Number </t>
  </si>
  <si>
    <t>Percentage</t>
  </si>
  <si>
    <t>Allegations of misconduct or inappropriate behavior</t>
  </si>
  <si>
    <r>
      <rPr>
        <sz val="10"/>
        <color rgb="FF000000"/>
        <rFont val="Arial"/>
        <family val="2"/>
      </rPr>
      <t xml:space="preserve">Concerns about </t>
    </r>
    <r>
      <rPr>
        <sz val="10"/>
        <color rgb="FF000000"/>
        <rFont val="Arial"/>
        <family val="2"/>
      </rPr>
      <t>c</t>
    </r>
    <r>
      <rPr>
        <sz val="10"/>
        <color rgb="FF000000"/>
        <rFont val="Arial"/>
        <family val="2"/>
      </rPr>
      <t>orruption</t>
    </r>
    <r>
      <rPr>
        <vertAlign val="superscript"/>
        <sz val="10"/>
        <color rgb="FF000000"/>
        <rFont val="Arial"/>
        <family val="2"/>
      </rPr>
      <t>2</t>
    </r>
  </si>
  <si>
    <t>Inquiries</t>
  </si>
  <si>
    <t>Environmental health and safety regulations</t>
  </si>
  <si>
    <t>Nominations</t>
  </si>
  <si>
    <t xml:space="preserve">Other </t>
  </si>
  <si>
    <r>
      <rPr>
        <vertAlign val="superscript"/>
        <sz val="8"/>
        <color rgb="FF000000"/>
        <rFont val="Arial"/>
        <family val="2"/>
      </rPr>
      <t>1</t>
    </r>
    <r>
      <rPr>
        <sz val="8"/>
        <color rgb="FF000000"/>
        <rFont val="Arial"/>
        <family val="2"/>
      </rPr>
      <t xml:space="preserve"> </t>
    </r>
    <r>
      <rPr>
        <sz val="8"/>
        <color rgb="FF000000"/>
        <rFont val="Arial"/>
        <family val="2"/>
      </rPr>
      <t>Figures include cases from Nevada from January 1 to June 30, 2019</t>
    </r>
    <r>
      <rPr>
        <sz val="8"/>
        <color rgb="FF000000"/>
        <rFont val="Arial"/>
        <family val="2"/>
      </rPr>
      <t xml:space="preserve">.
</t>
    </r>
    <r>
      <rPr>
        <vertAlign val="superscript"/>
        <sz val="8"/>
        <color rgb="FF000000"/>
        <rFont val="Arial"/>
        <family val="2"/>
      </rPr>
      <t>2</t>
    </r>
    <r>
      <rPr>
        <sz val="8"/>
        <color rgb="FF000000"/>
        <rFont val="Arial"/>
        <family val="2"/>
      </rPr>
      <t xml:space="preserve"> </t>
    </r>
    <r>
      <rPr>
        <sz val="8"/>
        <color rgb="FF000000"/>
        <rFont val="Arial"/>
        <family val="2"/>
      </rPr>
      <t>Concerns about corruption</t>
    </r>
    <r>
      <rPr>
        <sz val="8"/>
        <color rgb="FF000000"/>
        <rFont val="Arial"/>
        <family val="2"/>
      </rPr>
      <t>”</t>
    </r>
    <r>
      <rPr>
        <sz val="8"/>
        <color rgb="FF000000"/>
        <rFont val="Arial"/>
        <family val="2"/>
      </rPr>
      <t xml:space="preserve"> are defined to include the following types of matters: conflicts of interest (43 cases), improper supplier or contractor activities (38</t>
    </r>
    <r>
      <rPr>
        <sz val="8"/>
        <color rgb="FF000000"/>
        <rFont val="Arial"/>
        <family val="2"/>
      </rPr>
      <t xml:space="preserve"> cases</t>
    </r>
    <r>
      <rPr>
        <sz val="8"/>
        <color rgb="FF000000"/>
        <rFont val="Arial"/>
        <family val="2"/>
      </rPr>
      <t>), and corruption (5</t>
    </r>
    <r>
      <rPr>
        <sz val="8"/>
        <color rgb="FF000000"/>
        <rFont val="Arial"/>
        <family val="2"/>
      </rPr>
      <t xml:space="preserve"> cases</t>
    </r>
    <r>
      <rPr>
        <sz val="8"/>
        <color rgb="FF000000"/>
        <rFont val="Arial"/>
        <family val="2"/>
      </rPr>
      <t xml:space="preserve">). Newmont's </t>
    </r>
    <r>
      <rPr>
        <sz val="8"/>
        <color rgb="FF000000"/>
        <rFont val="Arial"/>
        <family val="2"/>
      </rPr>
      <t xml:space="preserve">Code of Conduct and </t>
    </r>
    <r>
      <rPr>
        <sz val="8"/>
        <color rgb="FF000000"/>
        <rFont val="Arial"/>
        <family val="2"/>
      </rPr>
      <t xml:space="preserve">Business Integrity Policy, </t>
    </r>
    <r>
      <rPr>
        <sz val="8"/>
        <color rgb="FF000000"/>
        <rFont val="Arial"/>
        <family val="2"/>
      </rPr>
      <t xml:space="preserve">both </t>
    </r>
    <r>
      <rPr>
        <sz val="8"/>
        <color rgb="FF000000"/>
        <rFont val="Arial"/>
        <family val="2"/>
      </rPr>
      <t>available at Newmont.com</t>
    </r>
    <r>
      <rPr>
        <sz val="8"/>
        <color rgb="FF000000"/>
        <rFont val="Arial"/>
        <family val="2"/>
      </rPr>
      <t>,</t>
    </r>
    <r>
      <rPr>
        <sz val="8"/>
        <color rgb="FF000000"/>
        <rFont val="Arial"/>
        <family val="2"/>
      </rPr>
      <t xml:space="preserve"> outline </t>
    </r>
    <r>
      <rPr>
        <sz val="8"/>
        <color rgb="FF000000"/>
        <rFont val="Arial"/>
        <family val="2"/>
      </rPr>
      <t xml:space="preserve">our approach to preventing and addressing matters related to </t>
    </r>
    <r>
      <rPr>
        <sz val="8"/>
        <color rgb="FF000000"/>
        <rFont val="Arial"/>
        <family val="2"/>
      </rPr>
      <t>conflicts of interests, gifts</t>
    </r>
    <r>
      <rPr>
        <sz val="8"/>
        <color rgb="FF000000"/>
        <rFont val="Arial"/>
        <family val="2"/>
      </rPr>
      <t xml:space="preserve">, and </t>
    </r>
    <r>
      <rPr>
        <sz val="8"/>
        <color rgb="FF000000"/>
        <rFont val="Arial"/>
        <family val="2"/>
      </rPr>
      <t>bribery</t>
    </r>
    <r>
      <rPr>
        <sz val="8"/>
        <color rgb="FF000000"/>
        <rFont val="Arial"/>
        <family val="2"/>
      </rPr>
      <t>/</t>
    </r>
    <r>
      <rPr>
        <sz val="8"/>
        <color rgb="FF000000"/>
        <rFont val="Arial"/>
        <family val="2"/>
      </rPr>
      <t xml:space="preserve">corruption. </t>
    </r>
    <r>
      <rPr>
        <sz val="8"/>
        <color rgb="FF000000"/>
        <rFont val="Arial"/>
        <family val="2"/>
      </rPr>
      <t xml:space="preserve">	</t>
    </r>
  </si>
  <si>
    <t>Percentage of employees attending Code of Conduct-related training.</t>
  </si>
  <si>
    <t>Percentage of employees taking online code of conduct training and anti-corruption training for certain job grades (employees with work-issued computer)</t>
  </si>
  <si>
    <r>
      <rPr>
        <vertAlign val="superscript"/>
        <sz val="8"/>
        <color rgb="FF000000"/>
        <rFont val="Arial"/>
        <family val="2"/>
      </rPr>
      <t xml:space="preserve">1 </t>
    </r>
    <r>
      <rPr>
        <sz val="8"/>
        <color rgb="FF000000"/>
        <rFont val="Arial"/>
        <family val="2"/>
      </rPr>
      <t>GRI Standards disclosure</t>
    </r>
    <r>
      <rPr>
        <sz val="8"/>
        <color rgb="FF000000"/>
        <rFont val="Arial"/>
        <family val="2"/>
      </rPr>
      <t xml:space="preserve"> </t>
    </r>
    <r>
      <rPr>
        <sz val="8"/>
        <color rgb="FF000000"/>
        <rFont val="Arial"/>
        <family val="2"/>
      </rPr>
      <t>GRI 205-2 Communication and Training about anti-corruption policies and procedures</t>
    </r>
    <r>
      <rPr>
        <sz val="8"/>
        <color rgb="FF000000"/>
        <rFont val="Arial"/>
        <family val="2"/>
      </rPr>
      <t xml:space="preserve">.
</t>
    </r>
    <r>
      <rPr>
        <vertAlign val="superscript"/>
        <sz val="8"/>
        <color rgb="FF000000"/>
        <rFont val="Arial"/>
        <family val="2"/>
      </rPr>
      <t>2</t>
    </r>
    <r>
      <rPr>
        <vertAlign val="superscript"/>
        <sz val="8"/>
        <color rgb="FF000000"/>
        <rFont val="Arial"/>
        <family val="2"/>
      </rPr>
      <t xml:space="preserve"> </t>
    </r>
    <r>
      <rPr>
        <sz val="8"/>
        <color rgb="FF000000"/>
        <rFont val="Arial"/>
        <family val="2"/>
      </rPr>
      <t xml:space="preserve">Newmont </t>
    </r>
    <r>
      <rPr>
        <sz val="8"/>
        <color rgb="FF000000"/>
        <rFont val="Arial"/>
        <family val="2"/>
      </rPr>
      <t xml:space="preserve">began tracking </t>
    </r>
    <r>
      <rPr>
        <sz val="8"/>
        <color rgb="FF000000"/>
        <rFont val="Arial"/>
        <family val="2"/>
      </rPr>
      <t xml:space="preserve">training </t>
    </r>
    <r>
      <rPr>
        <sz val="8"/>
        <color rgb="FF000000"/>
        <rFont val="Arial"/>
        <family val="2"/>
      </rPr>
      <t xml:space="preserve">in </t>
    </r>
    <r>
      <rPr>
        <sz val="8"/>
        <color rgb="FF000000"/>
        <rFont val="Arial"/>
        <family val="2"/>
      </rPr>
      <t>2018</t>
    </r>
    <r>
      <rPr>
        <sz val="8"/>
        <color rgb="FF000000"/>
        <rFont val="Arial"/>
        <family val="2"/>
      </rPr>
      <t xml:space="preserve">; </t>
    </r>
    <r>
      <rPr>
        <sz val="8"/>
        <color rgb="FF000000"/>
        <rFont val="Arial"/>
        <family val="2"/>
      </rPr>
      <t>2</t>
    </r>
    <r>
      <rPr>
        <sz val="8"/>
        <color rgb="FF000000"/>
        <rFont val="Arial"/>
        <family val="2"/>
      </rPr>
      <t>0</t>
    </r>
    <r>
      <rPr>
        <sz val="8"/>
        <color rgb="FF000000"/>
        <rFont val="Arial"/>
        <family val="2"/>
      </rPr>
      <t>19</t>
    </r>
    <r>
      <rPr>
        <sz val="8"/>
        <color rgb="FF000000"/>
        <rFont val="Arial"/>
        <family val="2"/>
      </rPr>
      <t xml:space="preserve"> </t>
    </r>
    <r>
      <rPr>
        <sz val="8"/>
        <color rgb="FF000000"/>
        <rFont val="Arial"/>
        <family val="2"/>
      </rPr>
      <t>da</t>
    </r>
    <r>
      <rPr>
        <sz val="8"/>
        <color rgb="FF000000"/>
        <rFont val="Arial"/>
        <family val="2"/>
      </rPr>
      <t xml:space="preserve">ta </t>
    </r>
    <r>
      <rPr>
        <sz val="8"/>
        <color rgb="FF000000"/>
        <rFont val="Arial"/>
        <family val="2"/>
      </rPr>
      <t>include</t>
    </r>
    <r>
      <rPr>
        <sz val="8"/>
        <color rgb="FF000000"/>
        <rFont val="Arial"/>
        <family val="2"/>
      </rPr>
      <t>s</t>
    </r>
    <r>
      <rPr>
        <sz val="8"/>
        <color rgb="FF000000"/>
        <rFont val="Arial"/>
        <family val="2"/>
      </rPr>
      <t xml:space="preserve"> cases from Nevada from January 1 to June 30, 2019.</t>
    </r>
  </si>
  <si>
    <t>Political affiliation</t>
  </si>
  <si>
    <t xml:space="preserve">Amount  </t>
  </si>
  <si>
    <t>Nevada State Democratic Party</t>
  </si>
  <si>
    <t>Democrat</t>
  </si>
  <si>
    <t>Democratic Attorneys General Association</t>
  </si>
  <si>
    <t>Democratic Governors Association</t>
  </si>
  <si>
    <t>Friends for Steve Sisolak</t>
  </si>
  <si>
    <t>Elko County Republican Party</t>
  </si>
  <si>
    <t>Republican</t>
  </si>
  <si>
    <t xml:space="preserve">Total </t>
  </si>
  <si>
    <r>
      <rPr>
        <vertAlign val="superscript"/>
        <sz val="8"/>
        <color rgb="FF000000"/>
        <rFont val="Arial"/>
        <family val="2"/>
      </rPr>
      <t>1</t>
    </r>
    <r>
      <rPr>
        <vertAlign val="superscript"/>
        <sz val="8"/>
        <color rgb="FF000000"/>
        <rFont val="Arial"/>
        <family val="2"/>
      </rPr>
      <t xml:space="preserve"> </t>
    </r>
    <r>
      <rPr>
        <sz val="8"/>
        <color rgb="FF000000"/>
        <rFont val="Arial"/>
        <family val="2"/>
      </rPr>
      <t>GRI Standards disclosure</t>
    </r>
    <r>
      <rPr>
        <sz val="8"/>
        <color rgb="FF000000"/>
        <rFont val="Arial"/>
        <family val="2"/>
      </rPr>
      <t xml:space="preserve"> </t>
    </r>
    <r>
      <rPr>
        <sz val="8"/>
        <color rgb="FF000000"/>
        <rFont val="Arial"/>
        <family val="2"/>
      </rPr>
      <t>GRI 415-1: Political Contributions</t>
    </r>
    <r>
      <rPr>
        <sz val="8"/>
        <color rgb="FF000000"/>
        <rFont val="Arial"/>
        <family val="2"/>
      </rPr>
      <t xml:space="preserve">.
</t>
    </r>
    <r>
      <rPr>
        <vertAlign val="superscript"/>
        <sz val="8"/>
        <color rgb="FF000000"/>
        <rFont val="Arial"/>
        <family val="2"/>
      </rPr>
      <t>2</t>
    </r>
    <r>
      <rPr>
        <vertAlign val="superscript"/>
        <sz val="8"/>
        <color rgb="FF000000"/>
        <rFont val="Arial"/>
        <family val="2"/>
      </rPr>
      <t xml:space="preserve"> </t>
    </r>
    <r>
      <rPr>
        <sz val="8"/>
        <color rgb="FF000000"/>
        <rFont val="Arial"/>
        <family val="2"/>
      </rPr>
      <t>Political contributions are only made in the U.S.</t>
    </r>
    <r>
      <rPr>
        <sz val="8"/>
        <color rgb="FF000000"/>
        <rFont val="Arial"/>
        <family val="2"/>
      </rPr>
      <t xml:space="preserve">; </t>
    </r>
    <r>
      <rPr>
        <sz val="8"/>
        <color rgb="FF000000"/>
        <rFont val="Arial"/>
        <family val="2"/>
      </rPr>
      <t xml:space="preserve">data reflects </t>
    </r>
    <r>
      <rPr>
        <sz val="8"/>
        <color rgb="FF000000"/>
        <rFont val="Arial"/>
        <family val="2"/>
      </rPr>
      <t>Newmont contributions</t>
    </r>
    <r>
      <rPr>
        <sz val="8"/>
        <color rgb="FF000000"/>
        <rFont val="Arial"/>
        <family val="2"/>
      </rPr>
      <t>, including former Nevad</t>
    </r>
    <r>
      <rPr>
        <sz val="8"/>
        <color rgb="FF000000"/>
        <rFont val="Arial"/>
        <family val="2"/>
      </rPr>
      <t xml:space="preserve">a </t>
    </r>
    <r>
      <rPr>
        <sz val="8"/>
        <color rgb="FF000000"/>
        <rFont val="Arial"/>
        <family val="2"/>
      </rPr>
      <t>regional activities from Jan. 1 - June 30, 2019</t>
    </r>
    <r>
      <rPr>
        <sz val="8"/>
        <color rgb="FF000000"/>
        <rFont val="Arial"/>
        <family val="2"/>
      </rPr>
      <t>; the period in which Newmont had full operational control of the Ne</t>
    </r>
    <r>
      <rPr>
        <sz val="8"/>
        <color rgb="FF000000"/>
        <rFont val="Arial"/>
        <family val="2"/>
      </rPr>
      <t xml:space="preserve">vada assets. </t>
    </r>
    <r>
      <rPr>
        <sz val="8"/>
        <color rgb="FF000000"/>
        <rFont val="Arial"/>
        <family val="2"/>
      </rPr>
      <t xml:space="preserve"> </t>
    </r>
    <r>
      <rPr>
        <sz val="8"/>
        <color rgb="FF000000"/>
        <rFont val="Arial"/>
        <family val="2"/>
      </rPr>
      <t xml:space="preserve"> </t>
    </r>
  </si>
  <si>
    <t>Annual Dues</t>
  </si>
  <si>
    <t>Dues attributable to political advocacy</t>
  </si>
  <si>
    <t>Percentage attributable to political advocacy</t>
  </si>
  <si>
    <t>National Mining Association</t>
  </si>
  <si>
    <r>
      <rPr>
        <sz val="10"/>
        <color rgb="FF000000"/>
        <rFont val="Arial"/>
        <family val="2"/>
      </rPr>
      <t>Nevada Mining Association</t>
    </r>
    <r>
      <rPr>
        <vertAlign val="superscript"/>
        <sz val="10"/>
        <color rgb="FF000000"/>
        <rFont val="Arial"/>
        <family val="2"/>
      </rPr>
      <t>2</t>
    </r>
  </si>
  <si>
    <r>
      <rPr>
        <vertAlign val="superscript"/>
        <sz val="8"/>
        <color rgb="FF000000"/>
        <rFont val="Arial"/>
        <family val="2"/>
      </rPr>
      <t>1</t>
    </r>
    <r>
      <rPr>
        <vertAlign val="superscript"/>
        <sz val="8"/>
        <color rgb="FF000000"/>
        <rFont val="Arial"/>
        <family val="2"/>
      </rPr>
      <t xml:space="preserve"> </t>
    </r>
    <r>
      <rPr>
        <sz val="8"/>
        <color rgb="FF000000"/>
        <rFont val="Arial"/>
        <family val="2"/>
      </rPr>
      <t xml:space="preserve">GRI Standards disclosure GRI 415-1: Political Contributions.
</t>
    </r>
    <r>
      <rPr>
        <vertAlign val="superscript"/>
        <sz val="8"/>
        <color rgb="FF000000"/>
        <rFont val="Arial"/>
        <family val="2"/>
      </rPr>
      <t>2</t>
    </r>
    <r>
      <rPr>
        <vertAlign val="superscript"/>
        <sz val="8"/>
        <color rgb="FF000000"/>
        <rFont val="Arial"/>
        <family val="2"/>
      </rPr>
      <t xml:space="preserve"> </t>
    </r>
    <r>
      <rPr>
        <sz val="8"/>
        <color rgb="FF000000"/>
        <rFont val="Arial"/>
        <family val="2"/>
      </rPr>
      <t>2019 Nevada Mining Association dues</t>
    </r>
    <r>
      <rPr>
        <sz val="8"/>
        <color rgb="FF000000"/>
        <rFont val="Arial"/>
        <family val="2"/>
      </rPr>
      <t xml:space="preserve"> </t>
    </r>
    <r>
      <rPr>
        <sz val="8"/>
        <color rgb="FF000000"/>
        <rFont val="Arial"/>
        <family val="2"/>
      </rPr>
      <t xml:space="preserve">data reflects </t>
    </r>
    <r>
      <rPr>
        <sz val="8"/>
        <color rgb="FF000000"/>
        <rFont val="Arial"/>
        <family val="2"/>
      </rPr>
      <t xml:space="preserve">former Nevada regional activities from Jan. 1 - June 30, 2019; the period in which Newmont had full operational control of the Nevada assets.  </t>
    </r>
  </si>
  <si>
    <r>
      <rPr>
        <b/>
        <sz val="10"/>
        <color rgb="FF000000"/>
        <rFont val="Arial"/>
        <family val="2"/>
      </rPr>
      <t>A</t>
    </r>
    <r>
      <rPr>
        <b/>
        <sz val="10"/>
        <color rgb="FF000000"/>
        <rFont val="Arial"/>
        <family val="2"/>
      </rPr>
      <t xml:space="preserve">ir </t>
    </r>
    <r>
      <rPr>
        <b/>
        <sz val="10"/>
        <color rgb="FF000000"/>
        <rFont val="Arial"/>
        <family val="2"/>
      </rPr>
      <t>q</t>
    </r>
    <r>
      <rPr>
        <b/>
        <sz val="10"/>
        <color rgb="FF000000"/>
        <rFont val="Arial"/>
        <family val="2"/>
      </rPr>
      <t>uality</t>
    </r>
    <r>
      <rPr>
        <b/>
        <sz val="10"/>
        <color rgb="FF000000"/>
        <rFont val="Arial"/>
        <family val="2"/>
      </rPr>
      <t xml:space="preserve"> </t>
    </r>
    <r>
      <rPr>
        <b/>
        <sz val="10"/>
        <color rgb="FF000000"/>
        <rFont val="Arial"/>
        <family val="2"/>
      </rPr>
      <t xml:space="preserve">2019: </t>
    </r>
    <r>
      <rPr>
        <b/>
        <sz val="10"/>
        <color rgb="FF000000"/>
        <rFont val="Arial"/>
        <family val="2"/>
      </rPr>
      <t>S</t>
    </r>
    <r>
      <rPr>
        <b/>
        <sz val="10"/>
        <color rgb="FF000000"/>
        <rFont val="Arial"/>
        <family val="2"/>
      </rPr>
      <t xml:space="preserve">ite </t>
    </r>
    <r>
      <rPr>
        <b/>
        <sz val="10"/>
        <color rgb="FF000000"/>
        <rFont val="Arial"/>
        <family val="2"/>
      </rPr>
      <t>l</t>
    </r>
    <r>
      <rPr>
        <b/>
        <sz val="10"/>
        <color rgb="FF000000"/>
        <rFont val="Arial"/>
        <family val="2"/>
      </rPr>
      <t>evel (tonnes)</t>
    </r>
    <r>
      <rPr>
        <b/>
        <vertAlign val="superscript"/>
        <sz val="10"/>
        <color rgb="FF000000"/>
        <rFont val="Arial"/>
        <family val="2"/>
      </rPr>
      <t>1</t>
    </r>
    <r>
      <rPr>
        <b/>
        <vertAlign val="superscript"/>
        <sz val="10"/>
        <color rgb="FF000000"/>
        <rFont val="Arial"/>
        <family val="2"/>
      </rPr>
      <t>, 2</t>
    </r>
  </si>
  <si>
    <t>Country</t>
  </si>
  <si>
    <r>
      <rPr>
        <b/>
        <sz val="10"/>
        <color rgb="FF000000"/>
        <rFont val="Arial"/>
        <family val="2"/>
      </rPr>
      <t>S</t>
    </r>
    <r>
      <rPr>
        <b/>
        <sz val="10"/>
        <color rgb="FF000000"/>
        <rFont val="Arial"/>
        <family val="2"/>
      </rPr>
      <t xml:space="preserve">ulphur </t>
    </r>
    <r>
      <rPr>
        <b/>
        <sz val="10"/>
        <color rgb="FF000000"/>
        <rFont val="Arial"/>
        <family val="2"/>
      </rPr>
      <t>o</t>
    </r>
    <r>
      <rPr>
        <b/>
        <sz val="10"/>
        <color rgb="FF000000"/>
        <rFont val="Arial"/>
        <family val="2"/>
      </rPr>
      <t xml:space="preserve">xides </t>
    </r>
    <r>
      <rPr>
        <b/>
        <sz val="10"/>
        <color rgb="FF000000"/>
        <rFont val="Arial"/>
        <family val="2"/>
      </rPr>
      <t>(S</t>
    </r>
    <r>
      <rPr>
        <b/>
        <sz val="10"/>
        <color rgb="FF000000"/>
        <rFont val="Arial"/>
        <family val="2"/>
      </rPr>
      <t>O</t>
    </r>
    <r>
      <rPr>
        <b/>
        <vertAlign val="subscript"/>
        <sz val="10"/>
        <color rgb="FF000000"/>
        <rFont val="Arial"/>
        <family val="2"/>
      </rPr>
      <t>x</t>
    </r>
    <r>
      <rPr>
        <b/>
        <sz val="10"/>
        <color rgb="FF000000"/>
        <rFont val="Arial"/>
        <family val="2"/>
      </rPr>
      <t>)</t>
    </r>
  </si>
  <si>
    <r>
      <rPr>
        <b/>
        <sz val="10"/>
        <color rgb="FF000000"/>
        <rFont val="Arial"/>
        <family val="2"/>
      </rPr>
      <t xml:space="preserve">Nitrogen </t>
    </r>
    <r>
      <rPr>
        <b/>
        <sz val="10"/>
        <color rgb="FF000000"/>
        <rFont val="Arial"/>
        <family val="2"/>
      </rPr>
      <t>o</t>
    </r>
    <r>
      <rPr>
        <b/>
        <sz val="10"/>
        <color rgb="FF000000"/>
        <rFont val="Arial"/>
        <family val="2"/>
      </rPr>
      <t>xides</t>
    </r>
    <r>
      <rPr>
        <b/>
        <sz val="10"/>
        <color rgb="FF000000"/>
        <rFont val="Arial"/>
        <family val="2"/>
      </rPr>
      <t xml:space="preserve"> (</t>
    </r>
    <r>
      <rPr>
        <b/>
        <sz val="10"/>
        <color rgb="FF000000"/>
        <rFont val="Arial"/>
        <family val="2"/>
      </rPr>
      <t>N</t>
    </r>
    <r>
      <rPr>
        <b/>
        <sz val="10"/>
        <color rgb="FF000000"/>
        <rFont val="Arial"/>
        <family val="2"/>
      </rPr>
      <t>O</t>
    </r>
    <r>
      <rPr>
        <b/>
        <vertAlign val="subscript"/>
        <sz val="10"/>
        <color rgb="FF000000"/>
        <rFont val="Arial"/>
        <family val="2"/>
      </rPr>
      <t>x</t>
    </r>
    <r>
      <rPr>
        <b/>
        <sz val="10"/>
        <color rgb="FF000000"/>
        <rFont val="Arial"/>
        <family val="2"/>
      </rPr>
      <t>)</t>
    </r>
  </si>
  <si>
    <r>
      <rPr>
        <b/>
        <sz val="10"/>
        <color rgb="FF000000"/>
        <rFont val="Arial"/>
        <family val="2"/>
      </rPr>
      <t xml:space="preserve">Particulate </t>
    </r>
    <r>
      <rPr>
        <b/>
        <sz val="10"/>
        <color rgb="FF000000"/>
        <rFont val="Arial"/>
        <family val="2"/>
      </rPr>
      <t>m</t>
    </r>
    <r>
      <rPr>
        <b/>
        <sz val="10"/>
        <color rgb="FF000000"/>
        <rFont val="Arial"/>
        <family val="2"/>
      </rPr>
      <t>atter (PM</t>
    </r>
    <r>
      <rPr>
        <b/>
        <sz val="10"/>
        <color rgb="FF000000"/>
        <rFont val="Arial"/>
        <family val="2"/>
      </rPr>
      <t>10</t>
    </r>
    <r>
      <rPr>
        <b/>
        <sz val="10"/>
        <color rgb="FF000000"/>
        <rFont val="Arial"/>
        <family val="2"/>
      </rPr>
      <t>)</t>
    </r>
  </si>
  <si>
    <t>Carbon monoxide (CO)</t>
  </si>
  <si>
    <t>Mercury (Hg)</t>
  </si>
  <si>
    <t>Arsenic (As)</t>
  </si>
  <si>
    <t>Lead (Pb)</t>
  </si>
  <si>
    <t>Selenium (Se)</t>
  </si>
  <si>
    <t>Persistent organic pollutants (POPs)</t>
  </si>
  <si>
    <t>Volatile organic compounds (VOCs)</t>
  </si>
  <si>
    <t>AFRICA</t>
  </si>
  <si>
    <t>Ahafo</t>
  </si>
  <si>
    <t>Akyem</t>
  </si>
  <si>
    <t>AMERICAS: NORTH</t>
  </si>
  <si>
    <t>CC&amp;V</t>
  </si>
  <si>
    <t>Borden</t>
  </si>
  <si>
    <t>Musselwhite</t>
  </si>
  <si>
    <t>Red Lake</t>
  </si>
  <si>
    <t>AMERICAS: SOUTH</t>
  </si>
  <si>
    <t>Merian</t>
  </si>
  <si>
    <r>
      <rPr>
        <b/>
        <sz val="10"/>
        <color rgb="FF000000"/>
        <rFont val="Arial"/>
        <family val="2"/>
      </rPr>
      <t>AUSTRALIA</t>
    </r>
    <r>
      <rPr>
        <b/>
        <vertAlign val="superscript"/>
        <sz val="10"/>
        <color rgb="FF000000"/>
        <rFont val="Arial"/>
        <family val="2"/>
      </rPr>
      <t>3</t>
    </r>
  </si>
  <si>
    <t>KCGM</t>
  </si>
  <si>
    <t>GLOBAL</t>
  </si>
  <si>
    <t>TOTAL</t>
  </si>
  <si>
    <r>
      <rPr>
        <vertAlign val="superscript"/>
        <sz val="8"/>
        <color rgb="FF000000"/>
        <rFont val="Arial"/>
        <family val="2"/>
      </rPr>
      <t xml:space="preserve">1 </t>
    </r>
    <r>
      <rPr>
        <sz val="8"/>
        <color rgb="FF000000"/>
        <rFont val="Arial"/>
        <family val="2"/>
      </rPr>
      <t>GRI Standards disclosures GRI 305-6: Emissions of ozone-depleting substances and GRI: 305-7: NO</t>
    </r>
    <r>
      <rPr>
        <vertAlign val="subscript"/>
        <sz val="8"/>
        <color rgb="FF000000"/>
        <rFont val="Arial"/>
        <family val="2"/>
      </rPr>
      <t>x</t>
    </r>
    <r>
      <rPr>
        <sz val="8"/>
        <color rgb="FF000000"/>
        <rFont val="Arial"/>
        <family val="2"/>
      </rPr>
      <t>, SO</t>
    </r>
    <r>
      <rPr>
        <vertAlign val="subscript"/>
        <sz val="8"/>
        <color rgb="FF000000"/>
        <rFont val="Arial"/>
        <family val="2"/>
      </rPr>
      <t>x</t>
    </r>
    <r>
      <rPr>
        <sz val="8"/>
        <color rgb="FF000000"/>
        <rFont val="Arial"/>
        <family val="2"/>
      </rPr>
      <t xml:space="preserve"> and other significant air emissions; and SASB Metals &amp; Mining Sustainability Accounting Standard EM-MM-120a.1: Air emissions of the following pollutants: (1) CO, (2) NO</t>
    </r>
    <r>
      <rPr>
        <vertAlign val="subscript"/>
        <sz val="8"/>
        <color rgb="FF000000"/>
        <rFont val="Arial"/>
        <family val="2"/>
      </rPr>
      <t>x</t>
    </r>
    <r>
      <rPr>
        <sz val="8"/>
        <color rgb="FF000000"/>
        <rFont val="Arial"/>
        <family val="2"/>
      </rPr>
      <t xml:space="preserve"> (excluding N</t>
    </r>
    <r>
      <rPr>
        <vertAlign val="subscript"/>
        <sz val="8"/>
        <color rgb="FF000000"/>
        <rFont val="Arial"/>
        <family val="2"/>
      </rPr>
      <t>2</t>
    </r>
    <r>
      <rPr>
        <sz val="8"/>
        <color rgb="FF000000"/>
        <rFont val="Arial"/>
        <family val="2"/>
      </rPr>
      <t>O), (3) SO</t>
    </r>
    <r>
      <rPr>
        <vertAlign val="subscript"/>
        <sz val="8"/>
        <color rgb="FF000000"/>
        <rFont val="Arial"/>
        <family val="2"/>
      </rPr>
      <t>x</t>
    </r>
    <r>
      <rPr>
        <sz val="8"/>
        <color rgb="FF000000"/>
        <rFont val="Arial"/>
        <family val="2"/>
      </rPr>
      <t xml:space="preserve">, (4) particulate matter (PM10), (5) mercury (Hg), (6) lead (Pb), and (7) volatile organic compounds (VOCs).
</t>
    </r>
    <r>
      <rPr>
        <vertAlign val="superscript"/>
        <sz val="8"/>
        <color rgb="FF000000"/>
        <rFont val="Arial"/>
        <family val="2"/>
      </rPr>
      <t>2</t>
    </r>
    <r>
      <rPr>
        <sz val="8"/>
        <color rgb="FF000000"/>
        <rFont val="Arial"/>
        <family val="2"/>
      </rPr>
      <t xml:space="preserve"> Air emissions of the following pollutants: (1) CO, (2) NO</t>
    </r>
    <r>
      <rPr>
        <vertAlign val="subscript"/>
        <sz val="8"/>
        <color rgb="FF000000"/>
        <rFont val="Arial"/>
        <family val="2"/>
      </rPr>
      <t>x</t>
    </r>
    <r>
      <rPr>
        <sz val="8"/>
        <color rgb="FF000000"/>
        <rFont val="Arial"/>
        <family val="2"/>
      </rPr>
      <t xml:space="preserve"> (excluding N</t>
    </r>
    <r>
      <rPr>
        <vertAlign val="subscript"/>
        <sz val="8"/>
        <color rgb="FF000000"/>
        <rFont val="Arial"/>
        <family val="2"/>
      </rPr>
      <t>2</t>
    </r>
    <r>
      <rPr>
        <sz val="8"/>
        <color rgb="FF000000"/>
        <rFont val="Arial"/>
        <family val="2"/>
      </rPr>
      <t>O), (3) SO</t>
    </r>
    <r>
      <rPr>
        <vertAlign val="subscript"/>
        <sz val="8"/>
        <color rgb="FF000000"/>
        <rFont val="Arial"/>
        <family val="2"/>
      </rPr>
      <t>x</t>
    </r>
    <r>
      <rPr>
        <sz val="8"/>
        <color rgb="FF000000"/>
        <rFont val="Arial"/>
        <family val="2"/>
      </rPr>
      <t xml:space="preserve">, (4) particulate matter (PM10), (5) mercury (Hg), (6) lead (Pb), and (7) volatile organic compounds (VOCs); TR refers to trace amounts, defined as &lt;0.0001; Figures for POPs, VOPs,  mercury, arsenic, lead and selenium are not reported (NR) for 2019 former Goldcorp sites, but will be reported in future years as reporting systems are integrated. 
</t>
    </r>
    <r>
      <rPr>
        <vertAlign val="superscript"/>
        <sz val="8"/>
        <color rgb="FF000000"/>
        <rFont val="Arial"/>
        <family val="2"/>
      </rPr>
      <t>3</t>
    </r>
    <r>
      <rPr>
        <sz val="8"/>
        <color rgb="FF000000"/>
        <rFont val="Arial"/>
        <family val="2"/>
      </rPr>
      <t xml:space="preserve">  Our Australia sites operated by Newmont report air emissions on a fiscal year basis (July 1 to June 30); however, Kalgoorlie Consolidated Gold Mines (KCGM) reports its air emissions on calendar year basis (January 1 to December 31).</t>
    </r>
  </si>
  <si>
    <r>
      <rPr>
        <b/>
        <sz val="10"/>
        <color rgb="FF000000"/>
        <rFont val="Arial"/>
        <family val="2"/>
      </rPr>
      <t xml:space="preserve">Air </t>
    </r>
    <r>
      <rPr>
        <b/>
        <sz val="10"/>
        <color rgb="FF000000"/>
        <rFont val="Arial"/>
        <family val="2"/>
      </rPr>
      <t>q</t>
    </r>
    <r>
      <rPr>
        <b/>
        <sz val="10"/>
        <color rgb="FF000000"/>
        <rFont val="Arial"/>
        <family val="2"/>
      </rPr>
      <t>uality: Trailing five year data</t>
    </r>
    <r>
      <rPr>
        <b/>
        <vertAlign val="superscript"/>
        <sz val="10"/>
        <color rgb="FF000000"/>
        <rFont val="Arial"/>
        <family val="2"/>
      </rPr>
      <t>1</t>
    </r>
    <r>
      <rPr>
        <b/>
        <vertAlign val="superscript"/>
        <sz val="10"/>
        <color rgb="FF000000"/>
        <rFont val="Arial"/>
        <family val="2"/>
      </rPr>
      <t>,2</t>
    </r>
  </si>
  <si>
    <t>Units</t>
  </si>
  <si>
    <t>thousand tonnes</t>
  </si>
  <si>
    <r>
      <rPr>
        <sz val="10"/>
        <color rgb="FF000000"/>
        <rFont val="Arial"/>
        <family val="2"/>
      </rPr>
      <t>Nitrogen oxides (N</t>
    </r>
    <r>
      <rPr>
        <sz val="10"/>
        <color rgb="FF000000"/>
        <rFont val="Arial"/>
        <family val="2"/>
      </rPr>
      <t>O</t>
    </r>
    <r>
      <rPr>
        <vertAlign val="subscript"/>
        <sz val="10"/>
        <color rgb="FF000000"/>
        <rFont val="Arial"/>
        <family val="2"/>
      </rPr>
      <t>x</t>
    </r>
    <r>
      <rPr>
        <sz val="10"/>
        <color rgb="FF000000"/>
        <rFont val="Arial"/>
        <family val="2"/>
      </rPr>
      <t>)</t>
    </r>
  </si>
  <si>
    <r>
      <rPr>
        <sz val="10"/>
        <color rgb="FF000000"/>
        <rFont val="Arial"/>
        <family val="2"/>
      </rPr>
      <t>Particulate matter (PM</t>
    </r>
    <r>
      <rPr>
        <sz val="10"/>
        <color rgb="FF000000"/>
        <rFont val="Arial"/>
        <family val="2"/>
      </rPr>
      <t>10</t>
    </r>
    <r>
      <rPr>
        <sz val="10"/>
        <color rgb="FF000000"/>
        <rFont val="Arial"/>
        <family val="2"/>
      </rPr>
      <t>)</t>
    </r>
  </si>
  <si>
    <t>tonnes</t>
  </si>
  <si>
    <t>TR</t>
  </si>
  <si>
    <r>
      <rPr>
        <b/>
        <sz val="10"/>
        <color rgb="FF000000"/>
        <rFont val="Arial"/>
        <family val="2"/>
      </rPr>
      <t xml:space="preserve">Total </t>
    </r>
    <r>
      <rPr>
        <b/>
        <sz val="10"/>
        <color rgb="FF000000"/>
        <rFont val="Arial"/>
        <family val="2"/>
      </rPr>
      <t>w</t>
    </r>
    <r>
      <rPr>
        <b/>
        <sz val="10"/>
        <color rgb="FF000000"/>
        <rFont val="Arial"/>
        <family val="2"/>
      </rPr>
      <t xml:space="preserve">ildlife </t>
    </r>
    <r>
      <rPr>
        <b/>
        <sz val="10"/>
        <color rgb="FF000000"/>
        <rFont val="Arial"/>
        <family val="2"/>
      </rPr>
      <t>m</t>
    </r>
    <r>
      <rPr>
        <b/>
        <sz val="10"/>
        <color rgb="FF000000"/>
        <rFont val="Arial"/>
        <family val="2"/>
      </rPr>
      <t>ortalities</t>
    </r>
    <r>
      <rPr>
        <b/>
        <sz val="10"/>
        <color rgb="FF000000"/>
        <rFont val="Arial"/>
        <family val="2"/>
      </rPr>
      <t xml:space="preserve"> 2019</t>
    </r>
    <r>
      <rPr>
        <b/>
        <sz val="10"/>
        <color rgb="FF000000"/>
        <rFont val="Arial"/>
        <family val="2"/>
      </rPr>
      <t xml:space="preserve">: </t>
    </r>
    <r>
      <rPr>
        <b/>
        <sz val="10"/>
        <color rgb="FF000000"/>
        <rFont val="Arial"/>
        <family val="2"/>
      </rPr>
      <t>S</t>
    </r>
    <r>
      <rPr>
        <b/>
        <sz val="10"/>
        <color rgb="FF000000"/>
        <rFont val="Arial"/>
        <family val="2"/>
      </rPr>
      <t>ite level</t>
    </r>
    <r>
      <rPr>
        <b/>
        <vertAlign val="superscript"/>
        <sz val="10"/>
        <color rgb="FF000000"/>
        <rFont val="Arial"/>
        <family val="2"/>
      </rPr>
      <t>1</t>
    </r>
  </si>
  <si>
    <t xml:space="preserve">Country/site </t>
  </si>
  <si>
    <t>Number mortalities</t>
  </si>
  <si>
    <t>AUSTRALIA</t>
  </si>
  <si>
    <r>
      <rPr>
        <b/>
        <sz val="10"/>
        <color rgb="FF000000"/>
        <rFont val="Arial"/>
        <family val="2"/>
      </rPr>
      <t>GLOBAL</t>
    </r>
    <r>
      <rPr>
        <b/>
        <vertAlign val="superscript"/>
        <sz val="10"/>
        <color rgb="FF000000"/>
        <rFont val="Arial"/>
        <family val="2"/>
      </rPr>
      <t>2</t>
    </r>
  </si>
  <si>
    <r>
      <rPr>
        <vertAlign val="superscript"/>
        <sz val="8"/>
        <color rgb="FF000000"/>
        <rFont val="Arial"/>
        <family val="2"/>
      </rPr>
      <t>1</t>
    </r>
    <r>
      <rPr>
        <sz val="8"/>
        <color rgb="FF000000"/>
        <rFont val="Arial"/>
        <family val="2"/>
      </rPr>
      <t xml:space="preserve"> GRI Standards disclosure GRI 304-4: IUCN Red List species and national conservation list species with habitats in areas affected by operations.</t>
    </r>
    <r>
      <rPr>
        <sz val="8"/>
        <color rgb="FF000000"/>
        <rFont val="Arial"/>
        <family val="2"/>
      </rPr>
      <t xml:space="preserve">	</t>
    </r>
    <r>
      <rPr>
        <sz val="8"/>
        <color rgb="FF000000"/>
        <rFont val="Arial"/>
        <family val="2"/>
      </rPr>
      <t xml:space="preserve">	</t>
    </r>
    <r>
      <rPr>
        <sz val="8"/>
        <color rgb="FF000000"/>
        <rFont val="Arial"/>
        <family val="2"/>
      </rPr>
      <t xml:space="preserve">	
</t>
    </r>
    <r>
      <rPr>
        <vertAlign val="superscript"/>
        <sz val="8"/>
        <color rgb="FF000000"/>
        <rFont val="Arial"/>
        <family val="2"/>
      </rPr>
      <t xml:space="preserve">2 </t>
    </r>
    <r>
      <rPr>
        <sz val="8"/>
        <color rgb="FF000000"/>
        <rFont val="Arial"/>
        <family val="2"/>
      </rPr>
      <t xml:space="preserve">The total wildlife mortalities includes all mortalities that occurred at the operations. The categories identify the number of wildlife mortalities by IUCN red list category: </t>
    </r>
    <r>
      <rPr>
        <sz val="8"/>
        <color rgb="FF000000"/>
        <rFont val="Arial"/>
        <family val="2"/>
      </rPr>
      <t>C</t>
    </r>
    <r>
      <rPr>
        <sz val="8"/>
        <color rgb="FF000000"/>
        <rFont val="Arial"/>
        <family val="2"/>
      </rPr>
      <t>ritically endangered, endangered, vulnerable, least concern. Those that are omitted from the 'not specified or undefined' categories include mortalities that are not on the red list and those that are undefined.</t>
    </r>
  </si>
  <si>
    <r>
      <rPr>
        <b/>
        <sz val="10"/>
        <color rgb="FF000000"/>
        <rFont val="Arial"/>
        <family val="2"/>
      </rPr>
      <t xml:space="preserve">Number of </t>
    </r>
    <r>
      <rPr>
        <b/>
        <sz val="10"/>
        <color rgb="FF000000"/>
        <rFont val="Arial"/>
        <family val="2"/>
      </rPr>
      <t>w</t>
    </r>
    <r>
      <rPr>
        <b/>
        <sz val="10"/>
        <color rgb="FF000000"/>
        <rFont val="Arial"/>
        <family val="2"/>
      </rPr>
      <t xml:space="preserve">ildlife </t>
    </r>
    <r>
      <rPr>
        <b/>
        <sz val="10"/>
        <color rgb="FF000000"/>
        <rFont val="Arial"/>
        <family val="2"/>
      </rPr>
      <t>m</t>
    </r>
    <r>
      <rPr>
        <b/>
        <sz val="10"/>
        <color rgb="FF000000"/>
        <rFont val="Arial"/>
        <family val="2"/>
      </rPr>
      <t>ortalities</t>
    </r>
    <r>
      <rPr>
        <b/>
        <sz val="10"/>
        <color rgb="FF000000"/>
        <rFont val="Arial"/>
        <family val="2"/>
      </rPr>
      <t>:</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r>
      <rPr>
        <b/>
        <vertAlign val="superscript"/>
        <sz val="10"/>
        <color rgb="FF000000"/>
        <rFont val="Arial"/>
        <family val="2"/>
      </rPr>
      <t>, 3</t>
    </r>
  </si>
  <si>
    <t>2015</t>
  </si>
  <si>
    <t>2016</t>
  </si>
  <si>
    <t>2017</t>
  </si>
  <si>
    <r>
      <rPr>
        <b/>
        <sz val="10"/>
        <color rgb="FF000000"/>
        <rFont val="Arial"/>
        <family val="2"/>
      </rPr>
      <t>2018</t>
    </r>
    <r>
      <rPr>
        <b/>
        <sz val="10"/>
        <color rgb="FF000000"/>
        <rFont val="Arial"/>
        <family val="2"/>
      </rPr>
      <t xml:space="preserve"> </t>
    </r>
    <r>
      <rPr>
        <b/>
        <vertAlign val="superscript"/>
        <sz val="10"/>
        <color rgb="FF000000"/>
        <rFont val="Arial"/>
        <family val="2"/>
      </rPr>
      <t>2</t>
    </r>
  </si>
  <si>
    <t>Critically endangered</t>
  </si>
  <si>
    <t>Endangered</t>
  </si>
  <si>
    <t>Vulnerable</t>
  </si>
  <si>
    <t>Near threatened</t>
  </si>
  <si>
    <t>Least concern</t>
  </si>
  <si>
    <t>Not specified or undefined</t>
  </si>
  <si>
    <r>
      <rPr>
        <vertAlign val="superscript"/>
        <sz val="8"/>
        <color rgb="FF000000"/>
        <rFont val="Arial"/>
        <family val="2"/>
      </rPr>
      <t>1</t>
    </r>
    <r>
      <rPr>
        <sz val="8"/>
        <color rgb="FF000000"/>
        <rFont val="Arial"/>
        <family val="2"/>
      </rPr>
      <t xml:space="preserve"> GRI Standards disclosure GRI 304-4: IUCN Red List species and  national conservation list species with habitats in areas affected by operations.</t>
    </r>
    <r>
      <rPr>
        <sz val="8"/>
        <color rgb="FF000000"/>
        <rFont val="Arial"/>
        <family val="2"/>
      </rPr>
      <t xml:space="preserve">	</t>
    </r>
    <r>
      <rPr>
        <sz val="8"/>
        <color rgb="FF000000"/>
        <rFont val="Arial"/>
        <family val="2"/>
      </rPr>
      <t xml:space="preserve">	</t>
    </r>
    <r>
      <rPr>
        <sz val="8"/>
        <color rgb="FF000000"/>
        <rFont val="Arial"/>
        <family val="2"/>
      </rPr>
      <t xml:space="preserve">	
</t>
    </r>
    <r>
      <rPr>
        <vertAlign val="superscript"/>
        <sz val="8"/>
        <color rgb="FF000000"/>
        <rFont val="Arial"/>
        <family val="2"/>
      </rPr>
      <t>2</t>
    </r>
    <r>
      <rPr>
        <sz val="8"/>
        <color rgb="FF000000"/>
        <rFont val="Arial"/>
        <family val="2"/>
      </rPr>
      <t xml:space="preserve"> The total wildlife mortalities includes all mortalities that occurred at the operations. The categories identify the number of wildlife mortalities by IUCN red list category: </t>
    </r>
    <r>
      <rPr>
        <sz val="8"/>
        <color rgb="FF000000"/>
        <rFont val="Arial"/>
        <family val="2"/>
      </rPr>
      <t>C</t>
    </r>
    <r>
      <rPr>
        <sz val="8"/>
        <color rgb="FF000000"/>
        <rFont val="Arial"/>
        <family val="2"/>
      </rPr>
      <t xml:space="preserve">ritically endangered, endangered, vulnerable, least concern. Those that are omitted from the 'not specified or undefined' categories include mortalities that are not on the red list and/or those that are undefined.
</t>
    </r>
    <r>
      <rPr>
        <vertAlign val="superscript"/>
        <sz val="8"/>
        <color rgb="FF000000"/>
        <rFont val="Arial"/>
        <family val="2"/>
      </rPr>
      <t>3</t>
    </r>
    <r>
      <rPr>
        <sz val="8"/>
        <color rgb="FF000000"/>
        <rFont val="Arial"/>
        <family val="2"/>
      </rPr>
      <t xml:space="preserve"> We have restated the data for 2018 to update the disclosure based on the definition above. The increase in total mortalities between 2018 and 2019 is due to two incidents of fish mortalities found in a storm water drain at our Akyem site.</t>
    </r>
  </si>
  <si>
    <r>
      <rPr>
        <b/>
        <sz val="10"/>
        <color rgb="FF000000"/>
        <rFont val="Arial"/>
        <family val="2"/>
      </rPr>
      <t>Newmont’s operations in relation to key biodiversity areas</t>
    </r>
    <r>
      <rPr>
        <b/>
        <sz val="10"/>
        <color rgb="FF000000"/>
        <rFont val="Arial"/>
        <family val="2"/>
      </rPr>
      <t xml:space="preserve"> </t>
    </r>
    <r>
      <rPr>
        <b/>
        <sz val="10"/>
        <color rgb="FF000000"/>
        <rFont val="Arial"/>
        <family val="2"/>
      </rPr>
      <t>2019</t>
    </r>
    <r>
      <rPr>
        <b/>
        <sz val="10"/>
        <color rgb="FF000000"/>
        <rFont val="Arial"/>
        <family val="2"/>
      </rPr>
      <t xml:space="preserve">: </t>
    </r>
    <r>
      <rPr>
        <b/>
        <sz val="10"/>
        <color rgb="FF000000"/>
        <rFont val="Arial"/>
        <family val="2"/>
      </rPr>
      <t>Site level</t>
    </r>
    <r>
      <rPr>
        <b/>
        <vertAlign val="superscript"/>
        <sz val="10"/>
        <color rgb="FF000000"/>
        <rFont val="Arial"/>
        <family val="2"/>
      </rPr>
      <t>1</t>
    </r>
  </si>
  <si>
    <r>
      <rPr>
        <b/>
        <sz val="10"/>
        <color rgb="FF000000"/>
        <rFont val="Arial"/>
        <family val="2"/>
      </rPr>
      <t>Position relative to key biodiversity area (KBA)</t>
    </r>
  </si>
  <si>
    <r>
      <rPr>
        <b/>
        <sz val="10"/>
        <color rgb="FF000000"/>
        <rFont val="Arial"/>
        <family val="2"/>
      </rPr>
      <t>Ecological sensitivity</t>
    </r>
  </si>
  <si>
    <r>
      <rPr>
        <b/>
        <sz val="10"/>
        <color rgb="FF000000"/>
        <rFont val="Arial"/>
        <family val="2"/>
      </rPr>
      <t>Mitigation plan</t>
    </r>
  </si>
  <si>
    <r>
      <rPr>
        <b/>
        <sz val="10"/>
        <color rgb="FF000000"/>
        <rFont val="Arial"/>
        <family val="2"/>
      </rPr>
      <t>Partners/ collaborators</t>
    </r>
  </si>
  <si>
    <r>
      <rPr>
        <sz val="10"/>
        <color rgb="FF000000"/>
        <rFont val="Arial"/>
        <family val="2"/>
      </rPr>
      <t>Yanacocha in Peru (37 km</t>
    </r>
    <r>
      <rPr>
        <vertAlign val="superscript"/>
        <sz val="10"/>
        <color rgb="FF000000"/>
        <rFont val="Arial"/>
        <family val="2"/>
      </rPr>
      <t>2</t>
    </r>
    <r>
      <rPr>
        <sz val="10"/>
        <color rgb="FF000000"/>
        <rFont val="Arial"/>
        <family val="2"/>
      </rPr>
      <t>)</t>
    </r>
  </si>
  <si>
    <t>Contains portions of Rio Cajamarca IBA</t>
  </si>
  <si>
    <t>The tropical Andes are considered a biodiversity hotspot by Conservation International, and a limited portion of the operation is located within rainforest habitat. 
Habitat for Pristimantis simonsii (Paramo Andes frog) (critically endangered)</t>
  </si>
  <si>
    <t>Implemented a rescue and relocation program for the Paramo Andes frog. Under the program, individual frogs are collected, quarantined, treated and then released into proper locations 
Discussing an offset for restoring land that will satisfy the habitats of the frogs along with a local education program on the burning of egetation that impacts the frogs’ habitat in neighboring communities</t>
  </si>
  <si>
    <t>Cayetano Heredia University
The National Agrarian University</t>
  </si>
  <si>
    <r>
      <rPr>
        <sz val="10"/>
        <color rgb="FF000000"/>
        <rFont val="Arial"/>
        <family val="2"/>
      </rPr>
      <t>Boddington in Western Australia (92 km</t>
    </r>
    <r>
      <rPr>
        <vertAlign val="superscript"/>
        <sz val="10"/>
        <color rgb="FF000000"/>
        <rFont val="Arial"/>
        <family val="2"/>
      </rPr>
      <t>2</t>
    </r>
    <r>
      <rPr>
        <sz val="10"/>
        <color rgb="FF000000"/>
        <rFont val="Arial"/>
        <family val="2"/>
      </rPr>
      <t>)</t>
    </r>
  </si>
  <si>
    <t>Contains portions of Birdlife International "Endemic Bird Area of Southwest Australia"</t>
  </si>
  <si>
    <t>Woodland and shrubland habitat for black cockatoo; Calyptorhynchus latirostris (endangered), Calyptorhynchus baudinii (endangered) and Bettongia penicillata (critically endangered)</t>
  </si>
  <si>
    <t>Working with Murdoch University on research to restore black cockatoo feeding habitats at mine sites within the Jarrah forest and, more generally, in landscapes throughout southwestern Australia</t>
  </si>
  <si>
    <t>Murdoch University</t>
  </si>
  <si>
    <r>
      <rPr>
        <sz val="10"/>
        <color rgb="FF000000"/>
        <rFont val="Arial"/>
        <family val="2"/>
      </rPr>
      <t>Akyem in Ghana (20 km</t>
    </r>
    <r>
      <rPr>
        <vertAlign val="superscript"/>
        <sz val="10"/>
        <color rgb="FF000000"/>
        <rFont val="Arial"/>
        <family val="2"/>
      </rPr>
      <t>2</t>
    </r>
    <r>
      <rPr>
        <sz val="10"/>
        <color rgb="FF000000"/>
        <rFont val="Arial"/>
        <family val="2"/>
      </rPr>
      <t>)</t>
    </r>
  </si>
  <si>
    <t>Contains portions of Ajenjua Bepo Forest Reserve (not KBA but habitat for species)</t>
  </si>
  <si>
    <t>Forest reserve for IUCN red-listed tree species Cola boxiana (endangered) and Necrosyrtes monachus (critically endangered)</t>
  </si>
  <si>
    <t>Partnering with Conservation Alliance and Forestry Research Institute of Ghana to implement critical species management program (CSMP) for Cola boxiana and other nationally important species
Established nurseries to raise seedlings to plant at various locations within the mine area</t>
  </si>
  <si>
    <t>Conservation Alliance
Forestry Research Institute of Ghana</t>
  </si>
  <si>
    <r>
      <rPr>
        <sz val="10"/>
        <color rgb="FF000000"/>
        <rFont val="Arial"/>
        <family val="2"/>
      </rPr>
      <t>Merian in Suriname (14 km</t>
    </r>
    <r>
      <rPr>
        <vertAlign val="superscript"/>
        <sz val="10"/>
        <color rgb="FF000000"/>
        <rFont val="Arial"/>
        <family val="2"/>
      </rPr>
      <t>2</t>
    </r>
    <r>
      <rPr>
        <sz val="10"/>
        <color rgb="FF000000"/>
        <rFont val="Arial"/>
        <family val="2"/>
      </rPr>
      <t>)</t>
    </r>
  </si>
  <si>
    <t>Contains portions of upland and lowland ever-humid forest</t>
  </si>
  <si>
    <t>Rainforest habitat for IUCN red-listed tree species Virola surinamensis (baboonwood) (endangered) and Vouacapoua americana (bruinhart) (critically endangered)</t>
  </si>
  <si>
    <t>Implemented an internal process for vegetation disturbance to avoid and minimize unnecessary impacts to natural habitats and the two tree species
Supporting conservation and creating an offset to compensate for biodiversity impacts; began developing plans for the reforestation of land impacted by artisanal small-scale mining (ASM) within Merian's right of exploitation (RoE)</t>
  </si>
  <si>
    <t>Collaboration with global biodiversity experts and working on a partnership with University of Suriname</t>
  </si>
  <si>
    <r>
      <rPr>
        <vertAlign val="superscript"/>
        <sz val="8"/>
        <color rgb="FF000000"/>
        <rFont val="Arial"/>
        <family val="2"/>
      </rPr>
      <t xml:space="preserve">1 </t>
    </r>
    <r>
      <rPr>
        <sz val="8"/>
        <color rgb="FF000000"/>
        <rFont val="Arial"/>
        <family val="2"/>
      </rPr>
      <t>GRI Standards disclosure GRI 304-1: Operational sites owned, leased, managed in, or adjacent to, protected areas and areas of high biodiversity value outside protected areas; SASB Metals &amp; Mining Sustainability Accounting Standard EM-MM-160a.1: Description of environmental mangaement policies and practices for active sites.</t>
    </r>
  </si>
  <si>
    <r>
      <rPr>
        <b/>
        <sz val="10"/>
        <color rgb="FF000000"/>
        <rFont val="Arial"/>
        <family val="2"/>
      </rPr>
      <t xml:space="preserve">Estimated </t>
    </r>
    <r>
      <rPr>
        <b/>
        <sz val="10"/>
        <color rgb="FF000000"/>
        <rFont val="Arial"/>
        <family val="2"/>
      </rPr>
      <t>d</t>
    </r>
    <r>
      <rPr>
        <b/>
        <sz val="10"/>
        <color rgb="FF000000"/>
        <rFont val="Arial"/>
        <family val="2"/>
      </rPr>
      <t xml:space="preserve">irect </t>
    </r>
    <r>
      <rPr>
        <b/>
        <sz val="10"/>
        <color rgb="FF000000"/>
        <rFont val="Arial"/>
        <family val="2"/>
      </rPr>
      <t>and indirect</t>
    </r>
    <r>
      <rPr>
        <b/>
        <sz val="10"/>
        <color rgb="FF000000"/>
        <rFont val="Arial"/>
        <family val="2"/>
      </rPr>
      <t xml:space="preserve"> </t>
    </r>
    <r>
      <rPr>
        <b/>
        <sz val="10"/>
        <color rgb="FF000000"/>
        <rFont val="Arial"/>
        <family val="2"/>
      </rPr>
      <t>e</t>
    </r>
    <r>
      <rPr>
        <b/>
        <sz val="10"/>
        <color rgb="FF000000"/>
        <rFont val="Arial"/>
        <family val="2"/>
      </rPr>
      <t xml:space="preserve">nergy </t>
    </r>
    <r>
      <rPr>
        <b/>
        <sz val="10"/>
        <color rgb="FF000000"/>
        <rFont val="Arial"/>
        <family val="2"/>
      </rPr>
      <t>consumed</t>
    </r>
    <r>
      <rPr>
        <b/>
        <sz val="10"/>
        <color rgb="FF000000"/>
        <rFont val="Arial"/>
        <family val="2"/>
      </rPr>
      <t xml:space="preserve"> by </t>
    </r>
    <r>
      <rPr>
        <b/>
        <sz val="10"/>
        <color rgb="FF000000"/>
        <rFont val="Arial"/>
        <family val="2"/>
      </rPr>
      <t>s</t>
    </r>
    <r>
      <rPr>
        <b/>
        <sz val="10"/>
        <color rgb="FF000000"/>
        <rFont val="Arial"/>
        <family val="2"/>
      </rPr>
      <t xml:space="preserve">ource </t>
    </r>
    <r>
      <rPr>
        <b/>
        <sz val="10"/>
        <color rgb="FF000000"/>
        <rFont val="Arial"/>
        <family val="2"/>
      </rPr>
      <t>2019</t>
    </r>
    <r>
      <rPr>
        <b/>
        <sz val="10"/>
        <color rgb="FF000000"/>
        <rFont val="Arial"/>
        <family val="2"/>
      </rPr>
      <t>: Site level</t>
    </r>
    <r>
      <rPr>
        <b/>
        <sz val="10"/>
        <color rgb="FF000000"/>
        <rFont val="Arial"/>
        <family val="2"/>
      </rPr>
      <t xml:space="preserve"> </t>
    </r>
    <r>
      <rPr>
        <b/>
        <sz val="10"/>
        <color rgb="FF000000"/>
        <rFont val="Arial"/>
        <family val="2"/>
      </rPr>
      <t>(GJ)</t>
    </r>
    <r>
      <rPr>
        <b/>
        <vertAlign val="superscript"/>
        <sz val="10"/>
        <color rgb="FF000000"/>
        <rFont val="Arial"/>
        <family val="2"/>
      </rPr>
      <t>1</t>
    </r>
    <r>
      <rPr>
        <b/>
        <vertAlign val="superscript"/>
        <sz val="10"/>
        <color rgb="FF000000"/>
        <rFont val="Arial"/>
        <family val="2"/>
      </rPr>
      <t xml:space="preserve">, </t>
    </r>
    <r>
      <rPr>
        <b/>
        <vertAlign val="superscript"/>
        <sz val="10"/>
        <color rgb="FF000000"/>
        <rFont val="Arial"/>
        <family val="2"/>
      </rPr>
      <t>2</t>
    </r>
  </si>
  <si>
    <t>Non-renewable source: Coal</t>
  </si>
  <si>
    <t>Non-renewable source: Diesel</t>
  </si>
  <si>
    <t>Non-renewable source: Waste oil</t>
  </si>
  <si>
    <t>Non-renewable source: Gasoline</t>
  </si>
  <si>
    <t>Non-renewable source: Natural gas</t>
  </si>
  <si>
    <t>Non-renewable source: Propane/LPG</t>
  </si>
  <si>
    <t>Non-renewable source: Heavy fuel oil</t>
  </si>
  <si>
    <t>Non-renewable source: Aviation fuel</t>
  </si>
  <si>
    <t>Total non-renewable direct energy consumed</t>
  </si>
  <si>
    <t>Renewable source: Hydropower</t>
  </si>
  <si>
    <t>Renewable source: Wind</t>
  </si>
  <si>
    <t>Renewable source: Solar</t>
  </si>
  <si>
    <t>Renewable source: Biodiesel</t>
  </si>
  <si>
    <t>Total renewable direct energy consumed</t>
  </si>
  <si>
    <t>Total direct energy consumed (renewable and non-renewable)</t>
  </si>
  <si>
    <t>Indirect (grid-purchased) electricity from renewable sources</t>
  </si>
  <si>
    <t>Indirect (grid-purchased) electricity from non-renewable sources</t>
  </si>
  <si>
    <t>Heating consumption</t>
  </si>
  <si>
    <t>Cooling consumption</t>
  </si>
  <si>
    <t>Steam consumption</t>
  </si>
  <si>
    <t>Total indirect energy consumed</t>
  </si>
  <si>
    <t>Total combined direct and indirect energy</t>
  </si>
  <si>
    <t>Denver</t>
  </si>
  <si>
    <t>Perth</t>
  </si>
  <si>
    <t>2018</t>
  </si>
  <si>
    <t>2019</t>
  </si>
  <si>
    <t>Direct non-renewable energy consumed by type</t>
  </si>
  <si>
    <t>Diesel</t>
  </si>
  <si>
    <t>Waste oil</t>
  </si>
  <si>
    <t>Gasoline</t>
  </si>
  <si>
    <t>Natural gas</t>
  </si>
  <si>
    <t>Propane/LPG</t>
  </si>
  <si>
    <t>Heavy fuel oil</t>
  </si>
  <si>
    <t>Aviation fuel</t>
  </si>
  <si>
    <t>Total direct non-renewable energy consumed</t>
  </si>
  <si>
    <t>Direct renewable energy consumed by type</t>
  </si>
  <si>
    <t>Hydro</t>
  </si>
  <si>
    <t>Wind</t>
  </si>
  <si>
    <t>Solar</t>
  </si>
  <si>
    <t>Biodiesel</t>
  </si>
  <si>
    <t>Total direct energy consumed - all types</t>
  </si>
  <si>
    <t>Indirect energy consumed by source</t>
  </si>
  <si>
    <t>Grid electricity from renewable sources</t>
  </si>
  <si>
    <t>Grid electricity from non-renewable sources</t>
  </si>
  <si>
    <t>Heating</t>
  </si>
  <si>
    <t>Cooling</t>
  </si>
  <si>
    <t>Steam</t>
  </si>
  <si>
    <t>TOTAL ENERGY CONSUMED (direct, indirect)</t>
  </si>
  <si>
    <r>
      <rPr>
        <b/>
        <sz val="10"/>
        <color rgb="FF000000"/>
        <rFont val="Arial"/>
        <family val="2"/>
      </rPr>
      <t>E</t>
    </r>
    <r>
      <rPr>
        <b/>
        <sz val="10"/>
        <color rgb="FF000000"/>
        <rFont val="Arial"/>
        <family val="2"/>
      </rPr>
      <t xml:space="preserve">stimated </t>
    </r>
    <r>
      <rPr>
        <b/>
        <sz val="10"/>
        <color rgb="FF000000"/>
        <rFont val="Arial"/>
        <family val="2"/>
      </rPr>
      <t>d</t>
    </r>
    <r>
      <rPr>
        <b/>
        <sz val="10"/>
        <color rgb="FF000000"/>
        <rFont val="Arial"/>
        <family val="2"/>
      </rPr>
      <t xml:space="preserve">irect electricity </t>
    </r>
    <r>
      <rPr>
        <b/>
        <sz val="10"/>
        <color rgb="FF000000"/>
        <rFont val="Arial"/>
        <family val="2"/>
      </rPr>
      <t>consumed</t>
    </r>
    <r>
      <rPr>
        <b/>
        <sz val="10"/>
        <color rgb="FF000000"/>
        <rFont val="Arial"/>
        <family val="2"/>
      </rPr>
      <t xml:space="preserve"> by source</t>
    </r>
    <r>
      <rPr>
        <b/>
        <sz val="10"/>
        <color rgb="FF000000"/>
        <rFont val="Arial"/>
        <family val="2"/>
      </rPr>
      <t xml:space="preserve"> 2019</t>
    </r>
    <r>
      <rPr>
        <b/>
        <sz val="10"/>
        <color rgb="FF000000"/>
        <rFont val="Arial"/>
        <family val="2"/>
      </rPr>
      <t xml:space="preserve">: </t>
    </r>
    <r>
      <rPr>
        <b/>
        <sz val="10"/>
        <color rgb="FF000000"/>
        <rFont val="Arial"/>
        <family val="2"/>
      </rPr>
      <t>Site level</t>
    </r>
    <r>
      <rPr>
        <b/>
        <sz val="10"/>
        <color rgb="FF000000"/>
        <rFont val="Arial"/>
        <family val="2"/>
      </rPr>
      <t xml:space="preserve"> (</t>
    </r>
    <r>
      <rPr>
        <b/>
        <sz val="10"/>
        <color rgb="FF000000"/>
        <rFont val="Arial"/>
        <family val="2"/>
      </rPr>
      <t>GJ</t>
    </r>
    <r>
      <rPr>
        <b/>
        <sz val="10"/>
        <color rgb="FF000000"/>
        <rFont val="Arial"/>
        <family val="2"/>
      </rPr>
      <t>)</t>
    </r>
    <r>
      <rPr>
        <b/>
        <vertAlign val="superscript"/>
        <sz val="10"/>
        <color rgb="FF000000"/>
        <rFont val="Arial"/>
        <family val="2"/>
      </rPr>
      <t>1</t>
    </r>
    <r>
      <rPr>
        <b/>
        <vertAlign val="superscript"/>
        <sz val="10"/>
        <color rgb="FF000000"/>
        <rFont val="Arial"/>
        <family val="2"/>
      </rPr>
      <t>, 2</t>
    </r>
  </si>
  <si>
    <t>On-site (direct) electricity generated</t>
  </si>
  <si>
    <t>On-site: Diesel (non-renewable)</t>
  </si>
  <si>
    <t>On-site: Heavy fuel oil and/or waste oil (non-renewable)</t>
  </si>
  <si>
    <t>On-site: Coal-fired (non-renewable)</t>
  </si>
  <si>
    <t>On-site: Natural gas-fired (non-renewable)</t>
  </si>
  <si>
    <r>
      <rPr>
        <b/>
        <sz val="10"/>
        <color rgb="FF000000"/>
        <rFont val="Arial"/>
        <family val="2"/>
      </rPr>
      <t>On-site: Solar (renewable)</t>
    </r>
    <r>
      <rPr>
        <b/>
        <vertAlign val="superscript"/>
        <sz val="10"/>
        <color rgb="FF000000"/>
        <rFont val="Arial"/>
        <family val="2"/>
      </rPr>
      <t>3</t>
    </r>
  </si>
  <si>
    <t>On-site: (direct) electricity sold</t>
  </si>
  <si>
    <t>On-site: Total on-site (direct) electricity consumed</t>
  </si>
  <si>
    <r>
      <rPr>
        <b/>
        <sz val="10"/>
        <color rgb="FF000000"/>
        <rFont val="Arial"/>
        <family val="2"/>
      </rPr>
      <t>2019</t>
    </r>
    <r>
      <rPr>
        <b/>
        <vertAlign val="superscript"/>
        <sz val="10"/>
        <color rgb="FF000000"/>
        <rFont val="Arial"/>
        <family val="2"/>
      </rPr>
      <t xml:space="preserve"> 3</t>
    </r>
  </si>
  <si>
    <t xml:space="preserve">Diesel </t>
  </si>
  <si>
    <t>Heavy fuel oil and/or waste oil</t>
  </si>
  <si>
    <t>Renewable Energy</t>
  </si>
  <si>
    <t>Natural gas-fired</t>
  </si>
  <si>
    <t>On-site (direct) electricity sold</t>
  </si>
  <si>
    <t>Total on-site (direct) electricity consumed</t>
  </si>
  <si>
    <r>
      <rPr>
        <b/>
        <sz val="10"/>
        <color rgb="FF000000"/>
        <rFont val="Arial"/>
        <family val="2"/>
      </rPr>
      <t xml:space="preserve">Estimated </t>
    </r>
    <r>
      <rPr>
        <b/>
        <sz val="10"/>
        <color rgb="FF000000"/>
        <rFont val="Arial"/>
        <family val="2"/>
      </rPr>
      <t>e</t>
    </r>
    <r>
      <rPr>
        <b/>
        <sz val="10"/>
        <color rgb="FF000000"/>
        <rFont val="Arial"/>
        <family val="2"/>
      </rPr>
      <t xml:space="preserve">lectric </t>
    </r>
    <r>
      <rPr>
        <b/>
        <sz val="10"/>
        <color rgb="FF000000"/>
        <rFont val="Arial"/>
        <family val="2"/>
      </rPr>
      <t>p</t>
    </r>
    <r>
      <rPr>
        <b/>
        <sz val="10"/>
        <color rgb="FF000000"/>
        <rFont val="Arial"/>
        <family val="2"/>
      </rPr>
      <t xml:space="preserve">ower </t>
    </r>
    <r>
      <rPr>
        <b/>
        <sz val="10"/>
        <color rgb="FF000000"/>
        <rFont val="Arial"/>
        <family val="2"/>
      </rPr>
      <t>s</t>
    </r>
    <r>
      <rPr>
        <b/>
        <sz val="10"/>
        <color rgb="FF000000"/>
        <rFont val="Arial"/>
        <family val="2"/>
      </rPr>
      <t xml:space="preserve">ourced from </t>
    </r>
    <r>
      <rPr>
        <b/>
        <sz val="10"/>
        <color rgb="FF000000"/>
        <rFont val="Arial"/>
        <family val="2"/>
      </rPr>
      <t>r</t>
    </r>
    <r>
      <rPr>
        <b/>
        <sz val="10"/>
        <color rgb="FF000000"/>
        <rFont val="Arial"/>
        <family val="2"/>
      </rPr>
      <t>enewables</t>
    </r>
    <r>
      <rPr>
        <b/>
        <sz val="10"/>
        <color rgb="FF000000"/>
        <rFont val="Arial"/>
        <family val="2"/>
      </rPr>
      <t xml:space="preserve"> 2</t>
    </r>
    <r>
      <rPr>
        <b/>
        <sz val="10"/>
        <color rgb="FF000000"/>
        <rFont val="Arial"/>
        <family val="2"/>
      </rPr>
      <t>019: Site level</t>
    </r>
    <r>
      <rPr>
        <b/>
        <sz val="10"/>
        <color rgb="FF000000"/>
        <rFont val="Arial"/>
        <family val="2"/>
      </rPr>
      <t xml:space="preserve"> (GJ)</t>
    </r>
    <r>
      <rPr>
        <b/>
        <vertAlign val="superscript"/>
        <sz val="10"/>
        <color rgb="FF000000"/>
        <rFont val="Arial"/>
        <family val="2"/>
      </rPr>
      <t>1</t>
    </r>
    <r>
      <rPr>
        <b/>
        <vertAlign val="superscript"/>
        <sz val="10"/>
        <color rgb="FF000000"/>
        <rFont val="Arial"/>
        <family val="2"/>
      </rPr>
      <t>, 2</t>
    </r>
  </si>
  <si>
    <t>Total electric power consumed from grid and site generation</t>
  </si>
  <si>
    <t>Total electric power purchased from renewable sources</t>
  </si>
  <si>
    <t>Total site-generated electric power from renewable sources</t>
  </si>
  <si>
    <t>% of electric power (purchased and site-generated) sourced from renewable sources</t>
  </si>
  <si>
    <r>
      <rPr>
        <vertAlign val="superscript"/>
        <sz val="8"/>
        <color rgb="FF000000"/>
        <rFont val="Arial"/>
        <family val="2"/>
      </rPr>
      <t>1</t>
    </r>
    <r>
      <rPr>
        <sz val="8"/>
        <color rgb="FF000000"/>
        <rFont val="Arial"/>
        <family val="2"/>
      </rPr>
      <t xml:space="preserve"> GRI Standard disclosure 302-1: Energy consumption within the organization.
</t>
    </r>
    <r>
      <rPr>
        <vertAlign val="superscript"/>
        <sz val="8"/>
        <color rgb="FF000000"/>
        <rFont val="Arial"/>
        <family val="2"/>
      </rPr>
      <t>2</t>
    </r>
    <r>
      <rPr>
        <sz val="8"/>
        <color rgb="FF000000"/>
        <rFont val="Arial"/>
        <family val="2"/>
      </rPr>
      <t xml:space="preserve"> To ensure consistency and comparable reporting boundaries across energy and climate data disclosed, 2019 data includes full year data for former Goldcorp assets acquired by Newmont on April 18, 2019.</t>
    </r>
  </si>
  <si>
    <r>
      <rPr>
        <b/>
        <sz val="10"/>
        <color rgb="FF000000"/>
        <rFont val="Arial"/>
        <family val="2"/>
      </rPr>
      <t>Estimated gr</t>
    </r>
    <r>
      <rPr>
        <b/>
        <sz val="10"/>
        <color rgb="FF000000"/>
        <rFont val="Arial"/>
        <family val="2"/>
      </rPr>
      <t xml:space="preserve">eenhouse </t>
    </r>
    <r>
      <rPr>
        <b/>
        <sz val="10"/>
        <color rgb="FF000000"/>
        <rFont val="Arial"/>
        <family val="2"/>
      </rPr>
      <t>g</t>
    </r>
    <r>
      <rPr>
        <b/>
        <sz val="10"/>
        <color rgb="FF000000"/>
        <rFont val="Arial"/>
        <family val="2"/>
      </rPr>
      <t xml:space="preserve">as </t>
    </r>
    <r>
      <rPr>
        <b/>
        <sz val="10"/>
        <color rgb="FF000000"/>
        <rFont val="Arial"/>
        <family val="2"/>
      </rPr>
      <t xml:space="preserve">(GHG) </t>
    </r>
    <r>
      <rPr>
        <b/>
        <sz val="10"/>
        <color rgb="FF000000"/>
        <rFont val="Arial"/>
        <family val="2"/>
      </rPr>
      <t>e</t>
    </r>
    <r>
      <rPr>
        <b/>
        <sz val="10"/>
        <color rgb="FF000000"/>
        <rFont val="Arial"/>
        <family val="2"/>
      </rPr>
      <t>missions</t>
    </r>
    <r>
      <rPr>
        <b/>
        <sz val="10"/>
        <color rgb="FF000000"/>
        <rFont val="Arial"/>
        <family val="2"/>
      </rPr>
      <t xml:space="preserve"> 2019:</t>
    </r>
    <r>
      <rPr>
        <b/>
        <sz val="10"/>
        <color rgb="FF000000"/>
        <rFont val="Arial"/>
        <family val="2"/>
      </rPr>
      <t xml:space="preserve"> Site level</t>
    </r>
    <r>
      <rPr>
        <b/>
        <sz val="10"/>
        <color rgb="FF000000"/>
        <rFont val="Arial"/>
        <family val="2"/>
      </rPr>
      <t xml:space="preserve"> (tonnes CO</t>
    </r>
    <r>
      <rPr>
        <b/>
        <vertAlign val="subscript"/>
        <sz val="10"/>
        <color rgb="FF000000"/>
        <rFont val="Arial"/>
        <family val="2"/>
      </rPr>
      <t>2</t>
    </r>
    <r>
      <rPr>
        <b/>
        <sz val="10"/>
        <color rgb="FF000000"/>
        <rFont val="Arial"/>
        <family val="2"/>
      </rPr>
      <t>e)</t>
    </r>
    <r>
      <rPr>
        <b/>
        <vertAlign val="superscript"/>
        <sz val="10"/>
        <color rgb="FF000000"/>
        <rFont val="Arial"/>
        <family val="2"/>
      </rPr>
      <t>1</t>
    </r>
    <r>
      <rPr>
        <b/>
        <vertAlign val="superscript"/>
        <sz val="10"/>
        <color rgb="FF000000"/>
        <rFont val="Arial"/>
        <family val="2"/>
      </rPr>
      <t>,</t>
    </r>
    <r>
      <rPr>
        <b/>
        <vertAlign val="superscript"/>
        <sz val="10"/>
        <color rgb="FF000000"/>
        <rFont val="Arial"/>
        <family val="2"/>
      </rPr>
      <t xml:space="preserve"> 2</t>
    </r>
  </si>
  <si>
    <r>
      <rPr>
        <b/>
        <sz val="10"/>
        <color rgb="FF000000"/>
        <rFont val="Arial"/>
        <family val="2"/>
      </rPr>
      <t>From coal</t>
    </r>
    <r>
      <rPr>
        <b/>
        <vertAlign val="superscript"/>
        <sz val="10"/>
        <color rgb="FF000000"/>
        <rFont val="Arial"/>
        <family val="2"/>
      </rPr>
      <t>2</t>
    </r>
  </si>
  <si>
    <t>From diesel</t>
  </si>
  <si>
    <t>From waste oil</t>
  </si>
  <si>
    <t>From gasoline</t>
  </si>
  <si>
    <t>From natural gas</t>
  </si>
  <si>
    <t>From propane</t>
  </si>
  <si>
    <t>From aviation fuel</t>
  </si>
  <si>
    <t>From biodiesel</t>
  </si>
  <si>
    <t>From quick lime production</t>
  </si>
  <si>
    <t>From acid rock drainage (ARD) neutralization</t>
  </si>
  <si>
    <r>
      <rPr>
        <b/>
        <sz val="10"/>
        <color rgb="FF000000"/>
        <rFont val="Arial"/>
        <family val="2"/>
      </rPr>
      <t>Fro</t>
    </r>
    <r>
      <rPr>
        <b/>
        <sz val="10"/>
        <color rgb="FF000000"/>
        <rFont val="Arial"/>
        <family val="2"/>
      </rPr>
      <t>m</t>
    </r>
    <r>
      <rPr>
        <b/>
        <sz val="10"/>
        <color rgb="FF000000"/>
        <rFont val="Arial"/>
        <family val="2"/>
      </rPr>
      <t xml:space="preserve"> s</t>
    </r>
    <r>
      <rPr>
        <b/>
        <sz val="10"/>
        <color rgb="FF000000"/>
        <rFont val="Arial"/>
        <family val="2"/>
      </rPr>
      <t xml:space="preserve">ulfur </t>
    </r>
    <r>
      <rPr>
        <b/>
        <sz val="10"/>
        <color rgb="FF000000"/>
        <rFont val="Arial"/>
        <family val="2"/>
      </rPr>
      <t>h</t>
    </r>
    <r>
      <rPr>
        <b/>
        <sz val="10"/>
        <color rgb="FF000000"/>
        <rFont val="Arial"/>
        <family val="2"/>
      </rPr>
      <t>exafluoride (SF</t>
    </r>
    <r>
      <rPr>
        <b/>
        <vertAlign val="subscript"/>
        <sz val="10"/>
        <color rgb="FF000000"/>
        <rFont val="Arial"/>
        <family val="2"/>
      </rPr>
      <t>6</t>
    </r>
    <r>
      <rPr>
        <b/>
        <sz val="10"/>
        <color rgb="FF000000"/>
        <rFont val="Arial"/>
        <family val="2"/>
      </rPr>
      <t>)</t>
    </r>
  </si>
  <si>
    <t>From refrigerant R-134a</t>
  </si>
  <si>
    <t>From refrigerant R-410a</t>
  </si>
  <si>
    <t>Other fugitive emissions</t>
  </si>
  <si>
    <t>Methane</t>
  </si>
  <si>
    <t>Total direct (Scope 1) GHG emissions</t>
  </si>
  <si>
    <t>Total indirect (Scope 2) emissions</t>
  </si>
  <si>
    <t xml:space="preserve">Total direct and indirect (Scopes 1 and 2) GHG emissions </t>
  </si>
  <si>
    <r>
      <rPr>
        <b/>
        <sz val="10"/>
        <color rgb="FF000000"/>
        <rFont val="Arial"/>
        <family val="2"/>
      </rPr>
      <t>Estimat</t>
    </r>
    <r>
      <rPr>
        <b/>
        <sz val="10"/>
        <color rgb="FF000000"/>
        <rFont val="Arial"/>
        <family val="2"/>
      </rPr>
      <t>ed g</t>
    </r>
    <r>
      <rPr>
        <b/>
        <sz val="10"/>
        <color rgb="FF000000"/>
        <rFont val="Arial"/>
        <family val="2"/>
      </rPr>
      <t xml:space="preserve">reenhouse </t>
    </r>
    <r>
      <rPr>
        <b/>
        <sz val="10"/>
        <color rgb="FF000000"/>
        <rFont val="Arial"/>
        <family val="2"/>
      </rPr>
      <t>g</t>
    </r>
    <r>
      <rPr>
        <b/>
        <sz val="10"/>
        <color rgb="FF000000"/>
        <rFont val="Arial"/>
        <family val="2"/>
      </rPr>
      <t xml:space="preserve">as </t>
    </r>
    <r>
      <rPr>
        <b/>
        <sz val="10"/>
        <color rgb="FF000000"/>
        <rFont val="Arial"/>
        <family val="2"/>
      </rPr>
      <t xml:space="preserve">(GHG) </t>
    </r>
    <r>
      <rPr>
        <b/>
        <sz val="10"/>
        <color rgb="FF000000"/>
        <rFont val="Arial"/>
        <family val="2"/>
      </rPr>
      <t>e</t>
    </r>
    <r>
      <rPr>
        <b/>
        <sz val="10"/>
        <color rgb="FF000000"/>
        <rFont val="Arial"/>
        <family val="2"/>
      </rPr>
      <t>missions</t>
    </r>
    <r>
      <rPr>
        <b/>
        <sz val="10"/>
        <color rgb="FF000000"/>
        <rFont val="Arial"/>
        <family val="2"/>
      </rPr>
      <t xml:space="preserve">: </t>
    </r>
    <r>
      <rPr>
        <b/>
        <sz val="10"/>
        <color rgb="FF000000"/>
        <rFont val="Arial"/>
        <family val="2"/>
      </rPr>
      <t>Trailing five year data</t>
    </r>
    <r>
      <rPr>
        <b/>
        <sz val="10"/>
        <color rgb="FF000000"/>
        <rFont val="Arial"/>
        <family val="2"/>
      </rPr>
      <t xml:space="preserve"> (</t>
    </r>
    <r>
      <rPr>
        <b/>
        <sz val="10"/>
        <color rgb="FF000000"/>
        <rFont val="Arial"/>
        <family val="2"/>
      </rPr>
      <t>m</t>
    </r>
    <r>
      <rPr>
        <b/>
        <sz val="10"/>
        <color rgb="FF000000"/>
        <rFont val="Arial"/>
        <family val="2"/>
      </rPr>
      <t>illion tonnes CO</t>
    </r>
    <r>
      <rPr>
        <b/>
        <vertAlign val="subscript"/>
        <sz val="10"/>
        <color rgb="FF000000"/>
        <rFont val="Arial"/>
        <family val="2"/>
      </rPr>
      <t>2</t>
    </r>
    <r>
      <rPr>
        <b/>
        <sz val="10"/>
        <color rgb="FF000000"/>
        <rFont val="Arial"/>
        <family val="2"/>
      </rPr>
      <t>e)</t>
    </r>
    <r>
      <rPr>
        <b/>
        <vertAlign val="superscript"/>
        <sz val="10"/>
        <color rgb="FF000000"/>
        <rFont val="Arial"/>
        <family val="2"/>
      </rPr>
      <t>1</t>
    </r>
    <r>
      <rPr>
        <b/>
        <vertAlign val="superscript"/>
        <sz val="10"/>
        <color rgb="FF000000"/>
        <rFont val="Arial"/>
        <family val="2"/>
      </rPr>
      <t>, 2</t>
    </r>
  </si>
  <si>
    <t>Direct GHG emissions sources</t>
  </si>
  <si>
    <t>From coal</t>
  </si>
  <si>
    <t>From heavy fuel oil</t>
  </si>
  <si>
    <r>
      <rPr>
        <sz val="10"/>
        <color rgb="FF000000"/>
        <rFont val="Arial"/>
        <family val="2"/>
      </rPr>
      <t>Methane</t>
    </r>
    <r>
      <rPr>
        <vertAlign val="superscript"/>
        <sz val="10"/>
        <color rgb="FF000000"/>
        <rFont val="Arial"/>
        <family val="2"/>
      </rPr>
      <t>4</t>
    </r>
  </si>
  <si>
    <r>
      <rPr>
        <b/>
        <sz val="10"/>
        <color rgb="FF000000"/>
        <rFont val="Arial"/>
        <family val="2"/>
      </rPr>
      <t xml:space="preserve">Estimated GHG emissions intensity: </t>
    </r>
    <r>
      <rPr>
        <b/>
        <sz val="10"/>
        <color rgb="FF000000"/>
        <rFont val="Arial"/>
        <family val="2"/>
      </rPr>
      <t>Trailing five year data</t>
    </r>
    <r>
      <rPr>
        <b/>
        <sz val="10"/>
        <color rgb="FF000000"/>
        <rFont val="Arial"/>
        <family val="2"/>
      </rPr>
      <t xml:space="preserve"> (million tonnes CO2e)</t>
    </r>
    <r>
      <rPr>
        <b/>
        <vertAlign val="superscript"/>
        <sz val="10"/>
        <color rgb="FF000000"/>
        <rFont val="Arial"/>
        <family val="2"/>
      </rPr>
      <t>1</t>
    </r>
    <r>
      <rPr>
        <b/>
        <vertAlign val="superscript"/>
        <sz val="10"/>
        <color rgb="FF000000"/>
        <rFont val="Arial"/>
        <family val="2"/>
      </rPr>
      <t>, 2</t>
    </r>
  </si>
  <si>
    <t>GHG intensity</t>
  </si>
  <si>
    <r>
      <rPr>
        <b/>
        <sz val="10"/>
        <color rgb="FF000000"/>
        <rFont val="Arial"/>
        <family val="2"/>
      </rPr>
      <t>Estimated d</t>
    </r>
    <r>
      <rPr>
        <b/>
        <sz val="10"/>
        <color rgb="FF000000"/>
        <rFont val="Arial"/>
        <family val="2"/>
      </rPr>
      <t xml:space="preserve">irect </t>
    </r>
    <r>
      <rPr>
        <b/>
        <sz val="10"/>
        <color rgb="FF000000"/>
        <rFont val="Arial"/>
        <family val="2"/>
      </rPr>
      <t>n</t>
    </r>
    <r>
      <rPr>
        <b/>
        <sz val="10"/>
        <color rgb="FF000000"/>
        <rFont val="Arial"/>
        <family val="2"/>
      </rPr>
      <t>on-</t>
    </r>
    <r>
      <rPr>
        <b/>
        <sz val="10"/>
        <color rgb="FF000000"/>
        <rFont val="Arial"/>
        <family val="2"/>
      </rPr>
      <t>r</t>
    </r>
    <r>
      <rPr>
        <b/>
        <sz val="10"/>
        <color rgb="FF000000"/>
        <rFont val="Arial"/>
        <family val="2"/>
      </rPr>
      <t xml:space="preserve">enewable </t>
    </r>
    <r>
      <rPr>
        <b/>
        <sz val="10"/>
        <color rgb="FF000000"/>
        <rFont val="Arial"/>
        <family val="2"/>
      </rPr>
      <t>e</t>
    </r>
    <r>
      <rPr>
        <b/>
        <sz val="10"/>
        <color rgb="FF000000"/>
        <rFont val="Arial"/>
        <family val="2"/>
      </rPr>
      <t xml:space="preserve">nergy </t>
    </r>
    <r>
      <rPr>
        <b/>
        <sz val="10"/>
        <color rgb="FF000000"/>
        <rFont val="Arial"/>
        <family val="2"/>
      </rPr>
      <t>consumed</t>
    </r>
    <r>
      <rPr>
        <b/>
        <sz val="10"/>
        <color rgb="FF000000"/>
        <rFont val="Arial"/>
        <family val="2"/>
      </rPr>
      <t xml:space="preserve"> by </t>
    </r>
    <r>
      <rPr>
        <b/>
        <sz val="10"/>
        <color rgb="FF000000"/>
        <rFont val="Arial"/>
        <family val="2"/>
      </rPr>
      <t>s</t>
    </r>
    <r>
      <rPr>
        <b/>
        <sz val="10"/>
        <color rgb="FF000000"/>
        <rFont val="Arial"/>
        <family val="2"/>
      </rPr>
      <t xml:space="preserve">ource as </t>
    </r>
    <r>
      <rPr>
        <b/>
        <sz val="10"/>
        <color rgb="FF000000"/>
        <rFont val="Arial"/>
        <family val="2"/>
      </rPr>
      <t>p</t>
    </r>
    <r>
      <rPr>
        <b/>
        <sz val="10"/>
        <color rgb="FF000000"/>
        <rFont val="Arial"/>
        <family val="2"/>
      </rPr>
      <t xml:space="preserve">ercentage of </t>
    </r>
    <r>
      <rPr>
        <b/>
        <sz val="10"/>
        <color rgb="FF000000"/>
        <rFont val="Arial"/>
        <family val="2"/>
      </rPr>
      <t>t</t>
    </r>
    <r>
      <rPr>
        <b/>
        <sz val="10"/>
        <color rgb="FF000000"/>
        <rFont val="Arial"/>
        <family val="2"/>
      </rPr>
      <t xml:space="preserve">otal </t>
    </r>
    <r>
      <rPr>
        <b/>
        <sz val="10"/>
        <color rgb="FF000000"/>
        <rFont val="Arial"/>
        <family val="2"/>
      </rPr>
      <t xml:space="preserve">direct non-renewable </t>
    </r>
    <r>
      <rPr>
        <b/>
        <sz val="10"/>
        <color rgb="FF000000"/>
        <rFont val="Arial"/>
        <family val="2"/>
      </rPr>
      <t>energy consumed</t>
    </r>
    <r>
      <rPr>
        <b/>
        <sz val="10"/>
        <color rgb="FF000000"/>
        <rFont val="Arial"/>
        <family val="2"/>
      </rPr>
      <t xml:space="preserve"> 2019: Site level</t>
    </r>
    <r>
      <rPr>
        <b/>
        <vertAlign val="superscript"/>
        <sz val="10"/>
        <color rgb="FF000000"/>
        <rFont val="Arial"/>
        <family val="2"/>
      </rPr>
      <t>1</t>
    </r>
  </si>
  <si>
    <t>Coal</t>
  </si>
  <si>
    <t>Propane</t>
  </si>
  <si>
    <r>
      <rPr>
        <vertAlign val="superscript"/>
        <sz val="8"/>
        <color rgb="FF000000"/>
        <rFont val="Arial"/>
        <family val="2"/>
      </rPr>
      <t>1</t>
    </r>
    <r>
      <rPr>
        <sz val="8"/>
        <color rgb="FF000000"/>
        <rFont val="Arial"/>
        <family val="2"/>
      </rPr>
      <t xml:space="preserve"> GRI Standards disclosure: GRI 302-1: Energy consumption within the organization, GRI 302-2: Energy consumption outside of the organization. SASB Metals &amp; Mining Sustainability Accounting Standard SASB EM-MM-130a.1. (1) Total energy consumed, (2) percentage grid electricity, (3) percentage renewable.</t>
    </r>
  </si>
  <si>
    <r>
      <rPr>
        <b/>
        <sz val="10"/>
        <color rgb="FF000000"/>
        <rFont val="Arial"/>
        <family val="2"/>
      </rPr>
      <t>Estim</t>
    </r>
    <r>
      <rPr>
        <b/>
        <sz val="10"/>
        <color rgb="FF000000"/>
        <rFont val="Arial"/>
        <family val="2"/>
      </rPr>
      <t>ated d</t>
    </r>
    <r>
      <rPr>
        <b/>
        <sz val="10"/>
        <color rgb="FF000000"/>
        <rFont val="Arial"/>
        <family val="2"/>
      </rPr>
      <t xml:space="preserve">irect </t>
    </r>
    <r>
      <rPr>
        <b/>
        <sz val="10"/>
        <color rgb="FF000000"/>
        <rFont val="Arial"/>
        <family val="2"/>
      </rPr>
      <t>n</t>
    </r>
    <r>
      <rPr>
        <b/>
        <sz val="10"/>
        <color rgb="FF000000"/>
        <rFont val="Arial"/>
        <family val="2"/>
      </rPr>
      <t>on-</t>
    </r>
    <r>
      <rPr>
        <b/>
        <sz val="10"/>
        <color rgb="FF000000"/>
        <rFont val="Arial"/>
        <family val="2"/>
      </rPr>
      <t>r</t>
    </r>
    <r>
      <rPr>
        <b/>
        <sz val="10"/>
        <color rgb="FF000000"/>
        <rFont val="Arial"/>
        <family val="2"/>
      </rPr>
      <t xml:space="preserve">enewable </t>
    </r>
    <r>
      <rPr>
        <b/>
        <sz val="10"/>
        <color rgb="FF000000"/>
        <rFont val="Arial"/>
        <family val="2"/>
      </rPr>
      <t>e</t>
    </r>
    <r>
      <rPr>
        <b/>
        <sz val="10"/>
        <color rgb="FF000000"/>
        <rFont val="Arial"/>
        <family val="2"/>
      </rPr>
      <t xml:space="preserve">nergy </t>
    </r>
    <r>
      <rPr>
        <b/>
        <sz val="10"/>
        <color rgb="FF000000"/>
        <rFont val="Arial"/>
        <family val="2"/>
      </rPr>
      <t>c</t>
    </r>
    <r>
      <rPr>
        <b/>
        <sz val="10"/>
        <color rgb="FF000000"/>
        <rFont val="Arial"/>
        <family val="2"/>
      </rPr>
      <t xml:space="preserve">onsumed by </t>
    </r>
    <r>
      <rPr>
        <b/>
        <sz val="10"/>
        <color rgb="FF000000"/>
        <rFont val="Arial"/>
        <family val="2"/>
      </rPr>
      <t>s</t>
    </r>
    <r>
      <rPr>
        <b/>
        <sz val="10"/>
        <color rgb="FF000000"/>
        <rFont val="Arial"/>
        <family val="2"/>
      </rPr>
      <t xml:space="preserve">ource as </t>
    </r>
    <r>
      <rPr>
        <b/>
        <sz val="10"/>
        <color rgb="FF000000"/>
        <rFont val="Arial"/>
        <family val="2"/>
      </rPr>
      <t>p</t>
    </r>
    <r>
      <rPr>
        <b/>
        <sz val="10"/>
        <color rgb="FF000000"/>
        <rFont val="Arial"/>
        <family val="2"/>
      </rPr>
      <t xml:space="preserve">ercentage of </t>
    </r>
    <r>
      <rPr>
        <b/>
        <sz val="10"/>
        <color rgb="FF000000"/>
        <rFont val="Arial"/>
        <family val="2"/>
      </rPr>
      <t>t</t>
    </r>
    <r>
      <rPr>
        <b/>
        <sz val="10"/>
        <color rgb="FF000000"/>
        <rFont val="Arial"/>
        <family val="2"/>
      </rPr>
      <t xml:space="preserve">otal </t>
    </r>
    <r>
      <rPr>
        <b/>
        <sz val="10"/>
        <color rgb="FF000000"/>
        <rFont val="Arial"/>
        <family val="2"/>
      </rPr>
      <t>d</t>
    </r>
    <r>
      <rPr>
        <b/>
        <sz val="10"/>
        <color rgb="FF000000"/>
        <rFont val="Arial"/>
        <family val="2"/>
      </rPr>
      <t xml:space="preserve">irect </t>
    </r>
    <r>
      <rPr>
        <b/>
        <sz val="10"/>
        <color rgb="FF000000"/>
        <rFont val="Arial"/>
        <family val="2"/>
      </rPr>
      <t>n</t>
    </r>
    <r>
      <rPr>
        <b/>
        <sz val="10"/>
        <color rgb="FF000000"/>
        <rFont val="Arial"/>
        <family val="2"/>
      </rPr>
      <t>on-</t>
    </r>
    <r>
      <rPr>
        <b/>
        <sz val="10"/>
        <color rgb="FF000000"/>
        <rFont val="Arial"/>
        <family val="2"/>
      </rPr>
      <t>r</t>
    </r>
    <r>
      <rPr>
        <b/>
        <sz val="10"/>
        <color rgb="FF000000"/>
        <rFont val="Arial"/>
        <family val="2"/>
      </rPr>
      <t>enewable energy consumed</t>
    </r>
    <r>
      <rPr>
        <b/>
        <sz val="10"/>
        <color rgb="FF000000"/>
        <rFont val="Arial"/>
        <family val="2"/>
      </rPr>
      <t>:</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</si>
  <si>
    <t>Heavy Fuel Oil</t>
  </si>
  <si>
    <r>
      <rPr>
        <vertAlign val="superscript"/>
        <sz val="8"/>
        <color rgb="FF000000"/>
        <rFont val="Arial"/>
        <family val="2"/>
      </rPr>
      <t>1</t>
    </r>
    <r>
      <rPr>
        <sz val="8"/>
        <color rgb="FF000000"/>
        <rFont val="Arial"/>
        <family val="2"/>
      </rPr>
      <t xml:space="preserve"> GRI S</t>
    </r>
    <r>
      <rPr>
        <sz val="8"/>
        <color rgb="FF000000"/>
        <rFont val="Arial"/>
        <family val="2"/>
      </rPr>
      <t>t</t>
    </r>
    <r>
      <rPr>
        <sz val="8"/>
        <color rgb="FF000000"/>
        <rFont val="Arial"/>
        <family val="2"/>
      </rPr>
      <t>andards disclosure GRI 302-1: Energy consumption within the organization, GRI 302-2: Energy consumption outside of the organization. SASB Metals &amp; Mining Sustainability Accounting Standard disclosure EM-MM-130a.1: (3) percentage renewable. Energy consumed is detailed in separate tables in this section.</t>
    </r>
  </si>
  <si>
    <r>
      <rPr>
        <b/>
        <sz val="10"/>
        <color rgb="FF000000"/>
        <rFont val="Arial"/>
        <family val="2"/>
      </rPr>
      <t>2019</t>
    </r>
    <r>
      <rPr>
        <b/>
        <sz val="10"/>
        <color rgb="FF000000"/>
        <rFont val="Arial"/>
        <family val="2"/>
      </rPr>
      <t xml:space="preserve"> estimated</t>
    </r>
    <r>
      <rPr>
        <b/>
        <sz val="10"/>
        <color rgb="FF000000"/>
        <rFont val="Arial"/>
        <family val="2"/>
      </rPr>
      <t xml:space="preserve"> </t>
    </r>
    <r>
      <rPr>
        <b/>
        <sz val="10"/>
        <color rgb="FF000000"/>
        <rFont val="Arial"/>
        <family val="2"/>
      </rPr>
      <t>g</t>
    </r>
    <r>
      <rPr>
        <b/>
        <sz val="10"/>
        <color rgb="FF000000"/>
        <rFont val="Arial"/>
        <family val="2"/>
      </rPr>
      <t xml:space="preserve">ross global Scope 1 emissions, percentage </t>
    </r>
    <r>
      <rPr>
        <b/>
        <sz val="10"/>
        <color rgb="FF000000"/>
        <rFont val="Arial"/>
        <family val="2"/>
      </rPr>
      <t>of sites operating in juris</t>
    </r>
    <r>
      <rPr>
        <b/>
        <sz val="10"/>
        <color rgb="FF000000"/>
        <rFont val="Arial"/>
        <family val="2"/>
      </rPr>
      <t xml:space="preserve">dictions with </t>
    </r>
    <r>
      <rPr>
        <b/>
        <sz val="10"/>
        <color rgb="FF000000"/>
        <rFont val="Arial"/>
        <family val="2"/>
      </rPr>
      <t>emissions-limiting regulations</t>
    </r>
    <r>
      <rPr>
        <b/>
        <sz val="10"/>
        <color rgb="FF000000"/>
        <rFont val="Arial"/>
        <family val="2"/>
      </rPr>
      <t xml:space="preserve"> 2019: Site level</t>
    </r>
    <r>
      <rPr>
        <b/>
        <vertAlign val="superscript"/>
        <sz val="10"/>
        <color rgb="FF000000"/>
        <rFont val="Arial"/>
        <family val="2"/>
      </rPr>
      <t>1</t>
    </r>
  </si>
  <si>
    <t>Country / jurisdiction</t>
  </si>
  <si>
    <r>
      <rPr>
        <b/>
        <sz val="10"/>
        <color rgb="FF000000"/>
        <rFont val="Arial"/>
        <family val="2"/>
      </rPr>
      <t xml:space="preserve">Site operates </t>
    </r>
    <r>
      <rPr>
        <b/>
        <sz val="10"/>
        <color rgb="FF000000"/>
        <rFont val="Arial"/>
        <family val="2"/>
      </rPr>
      <t xml:space="preserve">in </t>
    </r>
    <r>
      <rPr>
        <b/>
        <sz val="10"/>
        <color rgb="FF000000"/>
        <rFont val="Arial"/>
        <family val="2"/>
      </rPr>
      <t>jurisdiction</t>
    </r>
    <r>
      <rPr>
        <b/>
        <sz val="10"/>
        <color rgb="FF000000"/>
        <rFont val="Arial"/>
        <family val="2"/>
      </rPr>
      <t>(</t>
    </r>
    <r>
      <rPr>
        <b/>
        <sz val="10"/>
        <color rgb="FF000000"/>
        <rFont val="Arial"/>
        <family val="2"/>
      </rPr>
      <t>s</t>
    </r>
    <r>
      <rPr>
        <b/>
        <sz val="10"/>
        <color rgb="FF000000"/>
        <rFont val="Arial"/>
        <family val="2"/>
      </rPr>
      <t>)</t>
    </r>
    <r>
      <rPr>
        <b/>
        <sz val="10"/>
        <color rgb="FF000000"/>
        <rFont val="Arial"/>
        <family val="2"/>
      </rPr>
      <t xml:space="preserve"> with emissions-limiting regulations</t>
    </r>
  </si>
  <si>
    <r>
      <rPr>
        <b/>
        <sz val="10"/>
        <color rgb="FF000000"/>
        <rFont val="Arial"/>
        <family val="2"/>
      </rPr>
      <t xml:space="preserve">Site-level </t>
    </r>
    <r>
      <rPr>
        <b/>
        <sz val="10"/>
        <color rgb="FF000000"/>
        <rFont val="Arial"/>
        <family val="2"/>
      </rPr>
      <t xml:space="preserve">Scope 1 </t>
    </r>
    <r>
      <rPr>
        <b/>
        <sz val="10"/>
        <color rgb="FF000000"/>
        <rFont val="Arial"/>
        <family val="2"/>
      </rPr>
      <t xml:space="preserve">GHG </t>
    </r>
    <r>
      <rPr>
        <b/>
        <sz val="10"/>
        <color rgb="FF000000"/>
        <rFont val="Arial"/>
        <family val="2"/>
      </rPr>
      <t>e</t>
    </r>
    <r>
      <rPr>
        <b/>
        <sz val="10"/>
        <color rgb="FF000000"/>
        <rFont val="Arial"/>
        <family val="2"/>
      </rPr>
      <t>missions</t>
    </r>
    <r>
      <rPr>
        <b/>
        <sz val="10"/>
        <color rgb="FF000000"/>
        <rFont val="Arial"/>
        <family val="2"/>
      </rPr>
      <t xml:space="preserve"> </t>
    </r>
    <r>
      <rPr>
        <b/>
        <sz val="10"/>
        <color rgb="FF000000"/>
        <rFont val="Arial"/>
        <family val="2"/>
      </rPr>
      <t xml:space="preserve">under </t>
    </r>
    <r>
      <rPr>
        <b/>
        <sz val="10"/>
        <color rgb="FF000000"/>
        <rFont val="Arial"/>
        <family val="2"/>
      </rPr>
      <t>emissions</t>
    </r>
    <r>
      <rPr>
        <b/>
        <sz val="10"/>
        <color rgb="FF000000"/>
        <rFont val="Arial"/>
        <family val="2"/>
      </rPr>
      <t>-limiting</t>
    </r>
    <r>
      <rPr>
        <b/>
        <sz val="10"/>
        <color rgb="FF000000"/>
        <rFont val="Arial"/>
        <family val="2"/>
      </rPr>
      <t xml:space="preserve"> r</t>
    </r>
    <r>
      <rPr>
        <b/>
        <sz val="10"/>
        <color rgb="FF000000"/>
        <rFont val="Arial"/>
        <family val="2"/>
      </rPr>
      <t>egulations (</t>
    </r>
    <r>
      <rPr>
        <b/>
        <sz val="10"/>
        <color rgb="FF000000"/>
        <rFont val="Arial"/>
        <family val="2"/>
      </rPr>
      <t>tonnes CO</t>
    </r>
    <r>
      <rPr>
        <b/>
        <vertAlign val="subscript"/>
        <sz val="10"/>
        <color rgb="FF000000"/>
        <rFont val="Arial"/>
        <family val="2"/>
      </rPr>
      <t>2</t>
    </r>
    <r>
      <rPr>
        <b/>
        <sz val="10"/>
        <color rgb="FF000000"/>
        <rFont val="Arial"/>
        <family val="2"/>
      </rPr>
      <t>e)</t>
    </r>
  </si>
  <si>
    <t>% of Company's total Scope 1 emissions under emissions-limiting regulations (percentage)</t>
  </si>
  <si>
    <t>No</t>
  </si>
  <si>
    <t xml:space="preserve">U.S. </t>
  </si>
  <si>
    <t>Yes</t>
  </si>
  <si>
    <t>TOTALS</t>
  </si>
  <si>
    <r>
      <rPr>
        <vertAlign val="superscript"/>
        <sz val="8"/>
        <color rgb="FF000000"/>
        <rFont val="Arial"/>
        <family val="2"/>
      </rPr>
      <t>1</t>
    </r>
    <r>
      <rPr>
        <sz val="8"/>
        <color rgb="FF000000"/>
        <rFont val="Arial"/>
        <family val="2"/>
      </rPr>
      <t xml:space="preserve"> SASB Metals &amp; Mining Sustainability Accounting Standard EM-MM-110a.1: Gross global Scope 1 emissions percentage covered under emissions-limiting regulations.
</t>
    </r>
    <r>
      <rPr>
        <vertAlign val="superscript"/>
        <sz val="8"/>
        <color rgb="FF000000"/>
        <rFont val="Arial"/>
        <family val="2"/>
      </rPr>
      <t>2</t>
    </r>
    <r>
      <rPr>
        <sz val="8"/>
        <color rgb="FF000000"/>
        <rFont val="Arial"/>
        <family val="2"/>
      </rPr>
      <t xml:space="preserve"> </t>
    </r>
    <r>
      <rPr>
        <sz val="8"/>
        <color rgb="FF000000"/>
        <rFont val="Arial"/>
        <family val="2"/>
      </rPr>
      <t>To ensure consistency and comparable reporting boundaries across energy and climate data disclosed, 2019 data omits Nevada TS Power Plant data to align with GHG Protocol Corporate Accounting and Reporting Standard for</t>
    </r>
    <r>
      <rPr>
        <sz val="8"/>
        <color rgb="FF000000"/>
        <rFont val="Arial"/>
        <family val="2"/>
      </rPr>
      <t xml:space="preserve"> </t>
    </r>
    <r>
      <rPr>
        <sz val="8"/>
        <color rgb="FF000000"/>
        <rFont val="Arial"/>
        <family val="2"/>
      </rPr>
      <t>Merger and Acquisition year reporting guidance. 2015-2018 data is restated to include former Goldcorp site data for accounting and comparability purposes; 2019 data includes full year data for former Goldcorp assets acquired by</t>
    </r>
    <r>
      <rPr>
        <sz val="8"/>
        <color rgb="FF000000"/>
        <rFont val="Arial"/>
        <family val="2"/>
      </rPr>
      <t xml:space="preserve"> </t>
    </r>
    <r>
      <rPr>
        <sz val="8"/>
        <color rgb="FF000000"/>
        <rFont val="Arial"/>
        <family val="2"/>
      </rPr>
      <t>Newmont on April 18, 2019</t>
    </r>
    <r>
      <rPr>
        <sz val="8"/>
        <color rgb="FF000000"/>
        <rFont val="Arial"/>
        <family val="2"/>
      </rPr>
      <t xml:space="preserve">. </t>
    </r>
    <r>
      <rPr>
        <sz val="8"/>
        <color rgb="FF000000"/>
        <rFont val="Arial"/>
        <family val="2"/>
      </rPr>
      <t>Greenhouse gas emissions are calculated using emission factors from the Climate Registry and the Australian Government National Greenhouse Accounts Factors.</t>
    </r>
  </si>
  <si>
    <r>
      <rPr>
        <b/>
        <sz val="10"/>
        <color rgb="FF000000"/>
        <rFont val="Arial"/>
        <family val="2"/>
      </rPr>
      <t xml:space="preserve">2019 Estimated </t>
    </r>
    <r>
      <rPr>
        <b/>
        <sz val="10"/>
        <color rgb="FF000000"/>
        <rFont val="Arial"/>
        <family val="2"/>
      </rPr>
      <t xml:space="preserve">Scope 3 </t>
    </r>
    <r>
      <rPr>
        <b/>
        <sz val="10"/>
        <color rgb="FF000000"/>
        <rFont val="Arial"/>
        <family val="2"/>
      </rPr>
      <t xml:space="preserve">GHG </t>
    </r>
    <r>
      <rPr>
        <b/>
        <sz val="10"/>
        <color rgb="FF000000"/>
        <rFont val="Arial"/>
        <family val="2"/>
      </rPr>
      <t>e</t>
    </r>
    <r>
      <rPr>
        <b/>
        <sz val="10"/>
        <color rgb="FF000000"/>
        <rFont val="Arial"/>
        <family val="2"/>
      </rPr>
      <t xml:space="preserve">missions by </t>
    </r>
    <r>
      <rPr>
        <b/>
        <sz val="10"/>
        <color rgb="FF000000"/>
        <rFont val="Arial"/>
        <family val="2"/>
      </rPr>
      <t>source</t>
    </r>
    <r>
      <rPr>
        <b/>
        <vertAlign val="superscript"/>
        <sz val="10"/>
        <color rgb="FF000000"/>
        <rFont val="Arial"/>
        <family val="2"/>
      </rPr>
      <t xml:space="preserve"> </t>
    </r>
    <r>
      <rPr>
        <b/>
        <vertAlign val="superscript"/>
        <sz val="10"/>
        <color rgb="FF000000"/>
        <rFont val="Arial"/>
        <family val="2"/>
      </rPr>
      <t xml:space="preserve">1, </t>
    </r>
    <r>
      <rPr>
        <b/>
        <vertAlign val="superscript"/>
        <sz val="10"/>
        <color rgb="FF000000"/>
        <rFont val="Arial"/>
        <family val="2"/>
      </rPr>
      <t>2</t>
    </r>
    <r>
      <rPr>
        <b/>
        <vertAlign val="superscript"/>
        <sz val="10"/>
        <color rgb="FF000000"/>
        <rFont val="Arial"/>
        <family val="2"/>
      </rPr>
      <t>, 3</t>
    </r>
  </si>
  <si>
    <r>
      <rPr>
        <b/>
        <sz val="10"/>
        <color rgb="FF000000"/>
        <rFont val="Arial"/>
        <family val="2"/>
      </rPr>
      <t xml:space="preserve">Estimated </t>
    </r>
    <r>
      <rPr>
        <b/>
        <sz val="10"/>
        <color rgb="FF000000"/>
        <rFont val="Arial"/>
        <family val="2"/>
      </rPr>
      <t>t</t>
    </r>
    <r>
      <rPr>
        <b/>
        <sz val="10"/>
        <color rgb="FF000000"/>
        <rFont val="Arial"/>
        <family val="2"/>
      </rPr>
      <t>onnes CO</t>
    </r>
    <r>
      <rPr>
        <b/>
        <vertAlign val="subscript"/>
        <sz val="10"/>
        <color rgb="FF000000"/>
        <rFont val="Arial"/>
        <family val="2"/>
      </rPr>
      <t>2</t>
    </r>
    <r>
      <rPr>
        <b/>
        <sz val="10"/>
        <color rgb="FF000000"/>
        <rFont val="Arial"/>
        <family val="2"/>
      </rPr>
      <t>e</t>
    </r>
    <r>
      <rPr>
        <b/>
        <sz val="10"/>
        <color rgb="FF000000"/>
        <rFont val="Arial"/>
        <family val="2"/>
      </rPr>
      <t xml:space="preserve"> by Scope 3 emissions </t>
    </r>
    <r>
      <rPr>
        <b/>
        <sz val="10"/>
        <color rgb="FF000000"/>
        <rFont val="Arial"/>
        <family val="2"/>
      </rPr>
      <t>source</t>
    </r>
  </si>
  <si>
    <r>
      <rPr>
        <b/>
        <sz val="10"/>
        <color rgb="FF000000"/>
        <rFont val="Arial"/>
        <family val="2"/>
      </rPr>
      <t>Source 1</t>
    </r>
    <r>
      <rPr>
        <sz val="10"/>
        <color rgb="FF000000"/>
        <rFont val="Arial"/>
        <family val="2"/>
      </rPr>
      <t xml:space="preserve">: </t>
    </r>
    <r>
      <rPr>
        <sz val="10"/>
        <color rgb="FF000000"/>
        <rFont val="Arial"/>
        <family val="2"/>
      </rPr>
      <t>Purchased goods and services</t>
    </r>
  </si>
  <si>
    <t>Source 2: Capital goods</t>
  </si>
  <si>
    <t>Source 3: Fuel and energy related activities</t>
  </si>
  <si>
    <t>Source 4: Upstream transport</t>
  </si>
  <si>
    <t>Source 5: Waste generated in operations</t>
  </si>
  <si>
    <t>Source 6: Business travel</t>
  </si>
  <si>
    <t>Source 7: Employee commuting</t>
  </si>
  <si>
    <t>N/A</t>
  </si>
  <si>
    <t>Source 9: Downstream transport</t>
  </si>
  <si>
    <t>Source 10: Processing of sold products</t>
  </si>
  <si>
    <t>Total estimated Scope 3 GHG emissions</t>
  </si>
  <si>
    <r>
      <rPr>
        <b/>
        <sz val="10"/>
        <color rgb="FF000000"/>
        <rFont val="Arial"/>
        <family val="2"/>
      </rPr>
      <t xml:space="preserve">Amount of </t>
    </r>
    <r>
      <rPr>
        <b/>
        <sz val="10"/>
        <color rgb="FF000000"/>
        <rFont val="Arial"/>
        <family val="2"/>
      </rPr>
      <t>l</t>
    </r>
    <r>
      <rPr>
        <b/>
        <sz val="10"/>
        <color rgb="FF000000"/>
        <rFont val="Arial"/>
        <family val="2"/>
      </rPr>
      <t xml:space="preserve">and </t>
    </r>
    <r>
      <rPr>
        <b/>
        <sz val="10"/>
        <color rgb="FF000000"/>
        <rFont val="Arial"/>
        <family val="2"/>
      </rPr>
      <t>d</t>
    </r>
    <r>
      <rPr>
        <b/>
        <sz val="10"/>
        <color rgb="FF000000"/>
        <rFont val="Arial"/>
        <family val="2"/>
      </rPr>
      <t xml:space="preserve">isturbed or </t>
    </r>
    <r>
      <rPr>
        <b/>
        <sz val="10"/>
        <color rgb="FF000000"/>
        <rFont val="Arial"/>
        <family val="2"/>
      </rPr>
      <t>r</t>
    </r>
    <r>
      <rPr>
        <b/>
        <sz val="10"/>
        <color rgb="FF000000"/>
        <rFont val="Arial"/>
        <family val="2"/>
      </rPr>
      <t xml:space="preserve">ehabilitated </t>
    </r>
    <r>
      <rPr>
        <b/>
        <sz val="10"/>
        <color rgb="FF000000"/>
        <rFont val="Arial"/>
        <family val="2"/>
      </rPr>
      <t xml:space="preserve">2019: Site level </t>
    </r>
    <r>
      <rPr>
        <b/>
        <sz val="10"/>
        <color rgb="FF000000"/>
        <rFont val="Arial"/>
        <family val="2"/>
      </rPr>
      <t>(ha)</t>
    </r>
    <r>
      <rPr>
        <b/>
        <vertAlign val="superscript"/>
        <sz val="10"/>
        <color rgb="FF000000"/>
        <rFont val="Arial"/>
        <family val="2"/>
      </rPr>
      <t>1</t>
    </r>
    <r>
      <rPr>
        <b/>
        <vertAlign val="superscript"/>
        <sz val="10"/>
        <color rgb="FF000000"/>
        <rFont val="Arial"/>
        <family val="2"/>
      </rPr>
      <t>,2</t>
    </r>
    <r>
      <rPr>
        <b/>
        <vertAlign val="superscript"/>
        <sz val="10"/>
        <color rgb="FF000000"/>
        <rFont val="Arial"/>
        <family val="2"/>
      </rPr>
      <t>, 3</t>
    </r>
  </si>
  <si>
    <t>Total land disturbance - closing balance reported for 2018 calendar year</t>
  </si>
  <si>
    <t>Subsequent survey corrections on 2018 balance</t>
  </si>
  <si>
    <t>Total disturbance at beginning of reporting period (opening balance)</t>
  </si>
  <si>
    <t>New disturbance during 2019</t>
  </si>
  <si>
    <t>Total disturbance not yet reclaimed to agreed upon end use at end of reporting period (closing balance)</t>
  </si>
  <si>
    <r>
      <rPr>
        <vertAlign val="superscript"/>
        <sz val="8"/>
        <color rgb="FF000000"/>
        <rFont val="Arial"/>
        <family val="2"/>
      </rPr>
      <t>1</t>
    </r>
    <r>
      <rPr>
        <sz val="8"/>
        <color rgb="FF000000"/>
        <rFont val="Arial"/>
        <family val="2"/>
      </rPr>
      <t xml:space="preserve"> GRI Mining &amp; Metals sector supplement disclosure MM1: Amount of land (owned or leased, and managed for production activities or extractive use) disturbed or rehabilitated and MM10: Number and percentage of sites with closure plan in place.
</t>
    </r>
    <r>
      <rPr>
        <vertAlign val="superscript"/>
        <sz val="8"/>
        <color rgb="FF000000"/>
        <rFont val="Arial"/>
        <family val="2"/>
      </rPr>
      <t>2</t>
    </r>
    <r>
      <rPr>
        <sz val="8"/>
        <color rgb="FF000000"/>
        <rFont val="Arial"/>
        <family val="2"/>
      </rPr>
      <t xml:space="preserve"> Fourteen of Newmont's sites, representing 100% of Newmont's active mine sites, have closure plans in place as of year-end 2019. 
</t>
    </r>
    <r>
      <rPr>
        <vertAlign val="superscript"/>
        <sz val="8"/>
        <color rgb="FF000000"/>
        <rFont val="Arial"/>
        <family val="2"/>
      </rPr>
      <t>3</t>
    </r>
    <r>
      <rPr>
        <sz val="8"/>
        <color rgb="FF000000"/>
        <rFont val="Arial"/>
        <family val="2"/>
      </rPr>
      <t xml:space="preserve"> Former Goldcorp sites in Argentina, Canada and Mexico data for prior year-end survey corrections and new disturbance are not reported (shown as 'N/R') and will be reported in future years as reporting systems are fully integrated.</t>
    </r>
  </si>
  <si>
    <r>
      <rPr>
        <b/>
        <sz val="10"/>
        <color rgb="FF000000"/>
        <rFont val="Arial"/>
        <family val="2"/>
      </rPr>
      <t>La</t>
    </r>
    <r>
      <rPr>
        <b/>
        <sz val="10"/>
        <color rgb="FF000000"/>
        <rFont val="Arial"/>
        <family val="2"/>
      </rPr>
      <t>nd disturbance</t>
    </r>
    <r>
      <rPr>
        <b/>
        <sz val="10"/>
        <color rgb="FF000000"/>
        <rFont val="Arial"/>
        <family val="2"/>
      </rPr>
      <t xml:space="preserve">: Trailing </t>
    </r>
    <r>
      <rPr>
        <b/>
        <sz val="10"/>
        <color rgb="FF000000"/>
        <rFont val="Arial"/>
        <family val="2"/>
      </rPr>
      <t>five year data</t>
    </r>
    <r>
      <rPr>
        <b/>
        <sz val="10"/>
        <color rgb="FF000000"/>
        <rFont val="Arial"/>
        <family val="2"/>
      </rPr>
      <t xml:space="preserve"> (</t>
    </r>
    <r>
      <rPr>
        <b/>
        <sz val="10"/>
        <color rgb="FF000000"/>
        <rFont val="Arial"/>
        <family val="2"/>
      </rPr>
      <t>thousand</t>
    </r>
    <r>
      <rPr>
        <b/>
        <sz val="10"/>
        <color rgb="FF000000"/>
        <rFont val="Arial"/>
        <family val="2"/>
      </rPr>
      <t xml:space="preserve"> ha)</t>
    </r>
    <r>
      <rPr>
        <b/>
        <vertAlign val="superscript"/>
        <sz val="10"/>
        <color rgb="FF000000"/>
        <rFont val="Arial"/>
        <family val="2"/>
      </rPr>
      <t>1</t>
    </r>
  </si>
  <si>
    <t>Annual disturbance not yet reclaimed to agreed upon end use at year-end</t>
  </si>
  <si>
    <r>
      <rPr>
        <vertAlign val="superscript"/>
        <sz val="8"/>
        <color rgb="FF000000"/>
        <rFont val="Arial"/>
        <family val="2"/>
      </rPr>
      <t xml:space="preserve">1 </t>
    </r>
    <r>
      <rPr>
        <sz val="8"/>
        <color rgb="FF000000"/>
        <rFont val="Arial"/>
        <family val="2"/>
      </rPr>
      <t>GRI Mining &amp; Metals sector supplement disclosure MM1: Amount of land (owned or leased, and managed for production activities or extractive use) disturbed or rehabilitated.</t>
    </r>
  </si>
  <si>
    <r>
      <rPr>
        <b/>
        <sz val="10"/>
        <color rgb="FF000000"/>
        <rFont val="Arial"/>
        <family val="2"/>
      </rPr>
      <t xml:space="preserve">2019 Mine </t>
    </r>
    <r>
      <rPr>
        <b/>
        <sz val="10"/>
        <color rgb="FF000000"/>
        <rFont val="Arial"/>
        <family val="2"/>
      </rPr>
      <t>l</t>
    </r>
    <r>
      <rPr>
        <b/>
        <sz val="10"/>
        <color rgb="FF000000"/>
        <rFont val="Arial"/>
        <family val="2"/>
      </rPr>
      <t xml:space="preserve">ease </t>
    </r>
    <r>
      <rPr>
        <b/>
        <sz val="10"/>
        <color rgb="FF000000"/>
        <rFont val="Arial"/>
        <family val="2"/>
      </rPr>
      <t>a</t>
    </r>
    <r>
      <rPr>
        <b/>
        <sz val="10"/>
        <color rgb="FF000000"/>
        <rFont val="Arial"/>
        <family val="2"/>
      </rPr>
      <t>rea</t>
    </r>
    <r>
      <rPr>
        <b/>
        <vertAlign val="superscript"/>
        <sz val="10"/>
        <color rgb="FF000000"/>
        <rFont val="Arial"/>
        <family val="2"/>
      </rPr>
      <t>1</t>
    </r>
  </si>
  <si>
    <t>Country and site</t>
  </si>
  <si>
    <t>Hectares</t>
  </si>
  <si>
    <r>
      <rPr>
        <vertAlign val="superscript"/>
        <sz val="8"/>
        <color rgb="FF000000"/>
        <rFont val="Arial"/>
        <family val="2"/>
      </rPr>
      <t>1</t>
    </r>
    <r>
      <rPr>
        <sz val="8"/>
        <color rgb="FF000000"/>
        <rFont val="Arial"/>
        <family val="2"/>
      </rPr>
      <t xml:space="preserve"> GRI Mining &amp; Metals sector supplement disclosure MM1: Amount of land (owned or leased, and managed for production activities or extractive use) disturbed or rehabilitated.</t>
    </r>
  </si>
  <si>
    <r>
      <rPr>
        <b/>
        <sz val="10"/>
        <color rgb="FF000000"/>
        <rFont val="Arial"/>
        <family val="2"/>
      </rPr>
      <t xml:space="preserve">Estimated cyanide use (thousand tonnes): </t>
    </r>
    <r>
      <rPr>
        <b/>
        <sz val="10"/>
        <color rgb="FF000000"/>
        <rFont val="Arial"/>
        <family val="2"/>
      </rPr>
      <t>Trailing five year data</t>
    </r>
    <r>
      <rPr>
        <b/>
        <vertAlign val="superscript"/>
        <sz val="10"/>
        <color rgb="FF000000"/>
        <rFont val="Arial"/>
        <family val="2"/>
      </rPr>
      <t>1</t>
    </r>
  </si>
  <si>
    <t>Cyanide use</t>
  </si>
  <si>
    <r>
      <rPr>
        <vertAlign val="superscript"/>
        <sz val="8"/>
        <color rgb="FF000000"/>
        <rFont val="Arial"/>
        <family val="2"/>
      </rPr>
      <t xml:space="preserve">1 </t>
    </r>
    <r>
      <rPr>
        <sz val="8"/>
        <color rgb="FF000000"/>
        <rFont val="Arial"/>
        <family val="2"/>
      </rPr>
      <t xml:space="preserve">Cyanide usage data is estimated based on </t>
    </r>
    <r>
      <rPr>
        <sz val="8"/>
        <color rgb="FF000000"/>
        <rFont val="Arial"/>
        <family val="2"/>
      </rPr>
      <t xml:space="preserve">annual </t>
    </r>
    <r>
      <rPr>
        <sz val="8"/>
        <color rgb="FF000000"/>
        <rFont val="Arial"/>
        <family val="2"/>
      </rPr>
      <t>procurement d</t>
    </r>
    <r>
      <rPr>
        <sz val="8"/>
        <color rgb="FF000000"/>
        <rFont val="Arial"/>
        <family val="2"/>
      </rPr>
      <t xml:space="preserve">ata recorded in </t>
    </r>
    <r>
      <rPr>
        <sz val="8"/>
        <color rgb="FF000000"/>
        <rFont val="Arial"/>
        <family val="2"/>
      </rPr>
      <t>Newmont's accounting system</t>
    </r>
    <r>
      <rPr>
        <sz val="8"/>
        <color rgb="FF000000"/>
        <rFont val="Arial"/>
        <family val="2"/>
      </rPr>
      <t xml:space="preserve">; 2019 data includes all former Goldcorp sites. </t>
    </r>
  </si>
  <si>
    <r>
      <rPr>
        <b/>
        <sz val="10"/>
        <color rgb="FF000000"/>
        <rFont val="Arial"/>
        <family val="2"/>
      </rPr>
      <t>Cyanide</t>
    </r>
    <r>
      <rPr>
        <b/>
        <sz val="10"/>
        <color rgb="FF000000"/>
        <rFont val="Arial"/>
        <family val="2"/>
      </rPr>
      <t xml:space="preserve">-related </t>
    </r>
    <r>
      <rPr>
        <b/>
        <sz val="10"/>
        <color rgb="FF000000"/>
        <rFont val="Arial"/>
        <family val="2"/>
      </rPr>
      <t>i</t>
    </r>
    <r>
      <rPr>
        <b/>
        <sz val="10"/>
        <color rgb="FF000000"/>
        <rFont val="Arial"/>
        <family val="2"/>
      </rPr>
      <t>ncidents</t>
    </r>
    <r>
      <rPr>
        <b/>
        <sz val="10"/>
        <color rgb="FF000000"/>
        <rFont val="Arial"/>
        <family val="2"/>
      </rPr>
      <t xml:space="preserve"> 2019: Site level (no. incidents)</t>
    </r>
    <r>
      <rPr>
        <b/>
        <vertAlign val="superscript"/>
        <sz val="10"/>
        <color rgb="FF000000"/>
        <rFont val="Arial"/>
        <family val="2"/>
      </rPr>
      <t>1</t>
    </r>
  </si>
  <si>
    <t>Release off site requires response or remediation</t>
  </si>
  <si>
    <r>
      <rPr>
        <b/>
        <sz val="10"/>
        <color rgb="FF000000"/>
        <rFont val="Arial"/>
        <family val="2"/>
      </rPr>
      <t>Adverse effects on human health</t>
    </r>
    <r>
      <rPr>
        <b/>
        <vertAlign val="superscript"/>
        <sz val="10"/>
        <color rgb="FF000000"/>
        <rFont val="Arial"/>
        <family val="2"/>
      </rPr>
      <t>2</t>
    </r>
  </si>
  <si>
    <t>Adverse effects to the environment</t>
  </si>
  <si>
    <t>Required reporting under applicable regulations</t>
  </si>
  <si>
    <t>Exceedances of applicable limits of Cyanide Code</t>
  </si>
  <si>
    <r>
      <rPr>
        <b/>
        <sz val="10"/>
        <color rgb="FF000000"/>
        <rFont val="Arial"/>
        <family val="2"/>
      </rPr>
      <t>Impact to biodiversity</t>
    </r>
    <r>
      <rPr>
        <b/>
        <vertAlign val="superscript"/>
        <sz val="10"/>
        <color rgb="FF000000"/>
        <rFont val="Arial"/>
        <family val="2"/>
      </rPr>
      <t>2</t>
    </r>
  </si>
  <si>
    <r>
      <rPr>
        <b/>
        <sz val="10"/>
        <color rgb="FF000000"/>
        <rFont val="Arial"/>
        <family val="2"/>
      </rPr>
      <t>Site has an ICMC Certification</t>
    </r>
    <r>
      <rPr>
        <b/>
        <vertAlign val="superscript"/>
        <sz val="10"/>
        <color rgb="FF000000"/>
        <rFont val="Arial"/>
        <family val="2"/>
      </rPr>
      <t>3</t>
    </r>
  </si>
  <si>
    <r>
      <rPr>
        <vertAlign val="superscript"/>
        <sz val="8"/>
        <color rgb="FF000000"/>
        <rFont val="Arial"/>
        <family val="2"/>
      </rPr>
      <t xml:space="preserve">1 </t>
    </r>
    <r>
      <rPr>
        <sz val="8"/>
        <color rgb="FF000000"/>
        <rFont val="Arial"/>
        <family val="2"/>
      </rPr>
      <t xml:space="preserve">There were no incidents of cyanide exposure resulting in hospitalization in 2019. Data omits KCGM site, which was divested in Q1 2020. 
</t>
    </r>
    <r>
      <rPr>
        <vertAlign val="superscript"/>
        <sz val="8"/>
        <color rgb="FF000000"/>
        <rFont val="Arial"/>
        <family val="2"/>
      </rPr>
      <t>2</t>
    </r>
    <r>
      <rPr>
        <sz val="8"/>
        <color rgb="FF000000"/>
        <rFont val="Arial"/>
        <family val="2"/>
      </rPr>
      <t xml:space="preserve"> Cyanide-related biodiversity impacts are wildlife fatalities; for a full listing of wildlife fatalities, refer to the Biodiversity wildlife mortality table. 
</t>
    </r>
    <r>
      <rPr>
        <vertAlign val="superscript"/>
        <sz val="8"/>
        <color rgb="FF000000"/>
        <rFont val="Arial"/>
        <family val="2"/>
      </rPr>
      <t>3</t>
    </r>
    <r>
      <rPr>
        <sz val="8"/>
        <color rgb="FF000000"/>
        <rFont val="Arial"/>
        <family val="2"/>
      </rPr>
      <t xml:space="preserve"> International Cyanide Management Code (ICMC) certification is publicly available at: https://www.cyanidecode.org/signatory-company-categories/newmont-corporation-united-states.</t>
    </r>
  </si>
  <si>
    <t>2019 Materials Usage by Site</t>
  </si>
  <si>
    <t>Grinding media</t>
  </si>
  <si>
    <t>Sodium cyanide (NaCN)</t>
  </si>
  <si>
    <t>Lime</t>
  </si>
  <si>
    <t>Cement</t>
  </si>
  <si>
    <t>Tires (by weight)</t>
  </si>
  <si>
    <t>Lubricants</t>
  </si>
  <si>
    <t>Hydrochloric acid (HCL)</t>
  </si>
  <si>
    <r>
      <rPr>
        <b/>
        <sz val="10"/>
        <color rgb="FF000000"/>
        <rFont val="Arial"/>
        <family val="2"/>
      </rPr>
      <t>Sulfuric acid (H</t>
    </r>
    <r>
      <rPr>
        <b/>
        <vertAlign val="subscript"/>
        <sz val="10"/>
        <color rgb="FF000000"/>
        <rFont val="Arial"/>
        <family val="2"/>
      </rPr>
      <t>2</t>
    </r>
    <r>
      <rPr>
        <b/>
        <sz val="10"/>
        <color rgb="FF000000"/>
        <rFont val="Arial"/>
        <family val="2"/>
      </rPr>
      <t>S</t>
    </r>
    <r>
      <rPr>
        <b/>
        <sz val="10"/>
        <color rgb="FF000000"/>
        <rFont val="Arial"/>
        <family val="2"/>
      </rPr>
      <t>O</t>
    </r>
    <r>
      <rPr>
        <b/>
        <vertAlign val="subscript"/>
        <sz val="10"/>
        <color rgb="FF000000"/>
        <rFont val="Arial"/>
        <family val="2"/>
      </rPr>
      <t>4</t>
    </r>
    <r>
      <rPr>
        <b/>
        <sz val="10"/>
        <color rgb="FF000000"/>
        <rFont val="Arial"/>
        <family val="2"/>
      </rPr>
      <t>)</t>
    </r>
  </si>
  <si>
    <r>
      <rPr>
        <b/>
        <sz val="10"/>
        <color rgb="FF000000"/>
        <rFont val="Arial"/>
        <family val="2"/>
      </rPr>
      <t>Nitric acid (HN</t>
    </r>
    <r>
      <rPr>
        <b/>
        <sz val="10"/>
        <color rgb="FF000000"/>
        <rFont val="Arial"/>
        <family val="2"/>
      </rPr>
      <t>O</t>
    </r>
    <r>
      <rPr>
        <b/>
        <vertAlign val="subscript"/>
        <sz val="10"/>
        <color rgb="FF000000"/>
        <rFont val="Arial"/>
        <family val="2"/>
      </rPr>
      <t>3</t>
    </r>
    <r>
      <rPr>
        <b/>
        <sz val="10"/>
        <color rgb="FF000000"/>
        <rFont val="Arial"/>
        <family val="2"/>
      </rPr>
      <t>)</t>
    </r>
  </si>
  <si>
    <r>
      <rPr>
        <b/>
        <sz val="10"/>
        <color rgb="FF000000"/>
        <rFont val="Arial"/>
        <family val="2"/>
      </rPr>
      <t xml:space="preserve">Estimated </t>
    </r>
    <r>
      <rPr>
        <b/>
        <sz val="10"/>
        <color rgb="FF000000"/>
        <rFont val="Arial"/>
        <family val="2"/>
      </rPr>
      <t>m</t>
    </r>
    <r>
      <rPr>
        <b/>
        <sz val="10"/>
        <color rgb="FF000000"/>
        <rFont val="Arial"/>
        <family val="2"/>
      </rPr>
      <t xml:space="preserve">aterials </t>
    </r>
    <r>
      <rPr>
        <b/>
        <sz val="10"/>
        <color rgb="FF000000"/>
        <rFont val="Arial"/>
        <family val="2"/>
      </rPr>
      <t>u</t>
    </r>
    <r>
      <rPr>
        <b/>
        <sz val="10"/>
        <color rgb="FF000000"/>
        <rFont val="Arial"/>
        <family val="2"/>
      </rPr>
      <t xml:space="preserve">sage </t>
    </r>
    <r>
      <rPr>
        <b/>
        <sz val="10"/>
        <color rgb="FF000000"/>
        <rFont val="Arial"/>
        <family val="2"/>
      </rPr>
      <t>2019: Site level</t>
    </r>
    <r>
      <rPr>
        <b/>
        <vertAlign val="superscript"/>
        <sz val="10"/>
        <color rgb="FF000000"/>
        <rFont val="Arial"/>
        <family val="2"/>
      </rPr>
      <t>1</t>
    </r>
  </si>
  <si>
    <r>
      <rPr>
        <b/>
        <sz val="10"/>
        <color rgb="FF000000"/>
        <rFont val="Arial"/>
        <family val="2"/>
      </rPr>
      <t>Sodium cyanide (NaCN)</t>
    </r>
    <r>
      <rPr>
        <b/>
        <vertAlign val="superscript"/>
        <sz val="10"/>
        <color rgb="FF000000"/>
        <rFont val="Arial"/>
        <family val="2"/>
      </rPr>
      <t>2</t>
    </r>
  </si>
  <si>
    <r>
      <rPr>
        <b/>
        <sz val="10"/>
        <color rgb="FF000000"/>
        <rFont val="Arial"/>
        <family val="2"/>
      </rPr>
      <t>Sulfuric acid (H</t>
    </r>
    <r>
      <rPr>
        <b/>
        <vertAlign val="subscript"/>
        <sz val="10"/>
        <color rgb="FF000000"/>
        <rFont val="Arial"/>
        <family val="2"/>
      </rPr>
      <t>2</t>
    </r>
    <r>
      <rPr>
        <b/>
        <sz val="10"/>
        <color rgb="FF000000"/>
        <rFont val="Arial"/>
        <family val="2"/>
      </rPr>
      <t>SO</t>
    </r>
    <r>
      <rPr>
        <b/>
        <vertAlign val="subscript"/>
        <sz val="10"/>
        <color rgb="FF000000"/>
        <rFont val="Arial"/>
        <family val="2"/>
      </rPr>
      <t>4</t>
    </r>
    <r>
      <rPr>
        <b/>
        <sz val="10"/>
        <color rgb="FF000000"/>
        <rFont val="Arial"/>
        <family val="2"/>
      </rPr>
      <t>)</t>
    </r>
  </si>
  <si>
    <r>
      <rPr>
        <b/>
        <sz val="10"/>
        <color rgb="FF000000"/>
        <rFont val="Arial"/>
        <family val="2"/>
      </rPr>
      <t>Nitric acid (HNO</t>
    </r>
    <r>
      <rPr>
        <b/>
        <vertAlign val="subscript"/>
        <sz val="10"/>
        <color rgb="FF000000"/>
        <rFont val="Arial"/>
        <family val="2"/>
      </rPr>
      <t>3</t>
    </r>
    <r>
      <rPr>
        <b/>
        <sz val="10"/>
        <color rgb="FF000000"/>
        <rFont val="Arial"/>
        <family val="2"/>
      </rPr>
      <t>)</t>
    </r>
  </si>
  <si>
    <t>Unit of measure</t>
  </si>
  <si>
    <t>kiloliters</t>
  </si>
  <si>
    <t>Units of measure</t>
  </si>
  <si>
    <t>thousand kiloliters</t>
  </si>
  <si>
    <t>United States</t>
  </si>
  <si>
    <t>Eleonore</t>
  </si>
  <si>
    <r>
      <rPr>
        <vertAlign val="superscript"/>
        <sz val="8"/>
        <color rgb="FF000000"/>
        <rFont val="Arial"/>
        <family val="2"/>
      </rPr>
      <t xml:space="preserve">1 </t>
    </r>
    <r>
      <rPr>
        <sz val="8"/>
        <color rgb="FF000000"/>
        <rFont val="Arial"/>
        <family val="2"/>
      </rPr>
      <t xml:space="preserve">GRI Standards disclosure GRI 301-1: Materials used by weight or volume. Materials consumption data is estimated based on annual procurement data recorded in Newmont's accounting system, which includes former Goldcorp sites April 18 - Dec. 31, 2019. 
</t>
    </r>
    <r>
      <rPr>
        <vertAlign val="superscript"/>
        <sz val="8"/>
        <color rgb="FF000000"/>
        <rFont val="Arial"/>
        <family val="2"/>
      </rPr>
      <t>2</t>
    </r>
    <r>
      <rPr>
        <sz val="8"/>
        <color rgb="FF000000"/>
        <rFont val="Arial"/>
        <family val="2"/>
      </rPr>
      <t xml:space="preserve"> Sodium cyanide quantities vary each year due to mineral variations in our ore bodies as well as processing variables.
</t>
    </r>
    <r>
      <rPr>
        <vertAlign val="superscript"/>
        <sz val="8"/>
        <color rgb="FF000000"/>
        <rFont val="Arial"/>
        <family val="2"/>
      </rPr>
      <t>3</t>
    </r>
    <r>
      <rPr>
        <sz val="8"/>
        <color rgb="FF000000"/>
        <rFont val="Arial"/>
        <family val="2"/>
      </rPr>
      <t xml:space="preserve"> Data omits Australia KCGM site data.</t>
    </r>
  </si>
  <si>
    <r>
      <rPr>
        <b/>
        <sz val="10"/>
        <color rgb="FF000000"/>
        <rFont val="Arial"/>
        <family val="2"/>
      </rPr>
      <t xml:space="preserve">Estimated </t>
    </r>
    <r>
      <rPr>
        <b/>
        <sz val="10"/>
        <color rgb="FF000000"/>
        <rFont val="Arial"/>
        <family val="2"/>
      </rPr>
      <t>m</t>
    </r>
    <r>
      <rPr>
        <b/>
        <sz val="10"/>
        <color rgb="FF000000"/>
        <rFont val="Arial"/>
        <family val="2"/>
      </rPr>
      <t xml:space="preserve">aterials </t>
    </r>
    <r>
      <rPr>
        <b/>
        <sz val="10"/>
        <color rgb="FF000000"/>
        <rFont val="Arial"/>
        <family val="2"/>
      </rPr>
      <t>u</t>
    </r>
    <r>
      <rPr>
        <b/>
        <sz val="10"/>
        <color rgb="FF000000"/>
        <rFont val="Arial"/>
        <family val="2"/>
      </rPr>
      <t>sage</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r>
      <rPr>
        <b/>
        <vertAlign val="superscript"/>
        <sz val="10"/>
        <color rgb="FF000000"/>
        <rFont val="Arial"/>
        <family val="2"/>
      </rPr>
      <t>, 2</t>
    </r>
  </si>
  <si>
    <r>
      <rPr>
        <sz val="10"/>
        <color rgb="FF000000"/>
        <rFont val="Arial"/>
        <family val="2"/>
      </rPr>
      <t xml:space="preserve">Sodium </t>
    </r>
    <r>
      <rPr>
        <sz val="10"/>
        <color rgb="FF000000"/>
        <rFont val="Arial"/>
        <family val="2"/>
      </rPr>
      <t>c</t>
    </r>
    <r>
      <rPr>
        <sz val="10"/>
        <color rgb="FF000000"/>
        <rFont val="Arial"/>
        <family val="2"/>
      </rPr>
      <t>yanide</t>
    </r>
    <r>
      <rPr>
        <vertAlign val="superscript"/>
        <sz val="10"/>
        <color rgb="FF000000"/>
        <rFont val="Arial"/>
        <family val="2"/>
      </rPr>
      <t>3</t>
    </r>
  </si>
  <si>
    <t>thousand kL</t>
  </si>
  <si>
    <r>
      <rPr>
        <sz val="10"/>
        <color rgb="FF000000"/>
        <rFont val="Arial"/>
        <family val="2"/>
      </rPr>
      <t xml:space="preserve">Sulfuric </t>
    </r>
    <r>
      <rPr>
        <sz val="10"/>
        <color rgb="FF000000"/>
        <rFont val="Arial"/>
        <family val="2"/>
      </rPr>
      <t>a</t>
    </r>
    <r>
      <rPr>
        <sz val="10"/>
        <color rgb="FF000000"/>
        <rFont val="Arial"/>
        <family val="2"/>
      </rPr>
      <t xml:space="preserve">cid </t>
    </r>
    <r>
      <rPr>
        <sz val="10"/>
        <color rgb="FF000000"/>
        <rFont val="Arial"/>
        <family val="2"/>
      </rPr>
      <t>(H</t>
    </r>
    <r>
      <rPr>
        <vertAlign val="subscript"/>
        <sz val="10"/>
        <color rgb="FF000000"/>
        <rFont val="Arial"/>
        <family val="2"/>
      </rPr>
      <t>2</t>
    </r>
    <r>
      <rPr>
        <sz val="10"/>
        <color rgb="FF000000"/>
        <rFont val="Arial"/>
        <family val="2"/>
      </rPr>
      <t>SO</t>
    </r>
    <r>
      <rPr>
        <vertAlign val="subscript"/>
        <sz val="10"/>
        <color rgb="FF000000"/>
        <rFont val="Arial"/>
        <family val="2"/>
      </rPr>
      <t>4</t>
    </r>
    <r>
      <rPr>
        <sz val="10"/>
        <color rgb="FF000000"/>
        <rFont val="Arial"/>
        <family val="2"/>
      </rPr>
      <t>)</t>
    </r>
  </si>
  <si>
    <r>
      <rPr>
        <sz val="10"/>
        <color rgb="FF000000"/>
        <rFont val="Arial"/>
        <family val="2"/>
      </rPr>
      <t xml:space="preserve">Nitric </t>
    </r>
    <r>
      <rPr>
        <sz val="10"/>
        <color rgb="FF000000"/>
        <rFont val="Arial"/>
        <family val="2"/>
      </rPr>
      <t>a</t>
    </r>
    <r>
      <rPr>
        <sz val="10"/>
        <color rgb="FF000000"/>
        <rFont val="Arial"/>
        <family val="2"/>
      </rPr>
      <t xml:space="preserve">cid </t>
    </r>
    <r>
      <rPr>
        <sz val="10"/>
        <color rgb="FF000000"/>
        <rFont val="Arial"/>
        <family val="2"/>
      </rPr>
      <t>(HNO</t>
    </r>
    <r>
      <rPr>
        <vertAlign val="subscript"/>
        <sz val="10"/>
        <color rgb="FF000000"/>
        <rFont val="Arial"/>
        <family val="2"/>
      </rPr>
      <t>3</t>
    </r>
    <r>
      <rPr>
        <sz val="10"/>
        <color rgb="FF000000"/>
        <rFont val="Arial"/>
        <family val="2"/>
      </rPr>
      <t>)</t>
    </r>
    <r>
      <rPr>
        <vertAlign val="superscript"/>
        <sz val="10"/>
        <color rgb="FF000000"/>
        <rFont val="Arial"/>
        <family val="2"/>
      </rPr>
      <t>4</t>
    </r>
  </si>
  <si>
    <r>
      <rPr>
        <vertAlign val="superscript"/>
        <sz val="8"/>
        <color rgb="FF000000"/>
        <rFont val="Arial"/>
        <family val="2"/>
      </rPr>
      <t>1</t>
    </r>
    <r>
      <rPr>
        <sz val="8"/>
        <color rgb="FF000000"/>
        <rFont val="Arial"/>
        <family val="2"/>
      </rPr>
      <t xml:space="preserve"> GRI Standards disclosure GRI 301-1: Materials used by weight or volume. Materials consumption data is estimated based on annual procurement data recorded in Newmont's accounting system; 2019 data includes former Goldcorp sites </t>
    </r>
    <r>
      <rPr>
        <sz val="8"/>
        <color rgb="FF000000"/>
        <rFont val="Arial"/>
        <family val="2"/>
      </rPr>
      <t xml:space="preserve">April 18 - Dec. 31, 2019. 
</t>
    </r>
    <r>
      <rPr>
        <vertAlign val="superscript"/>
        <sz val="8"/>
        <color rgb="FF000000"/>
        <rFont val="Arial"/>
        <family val="2"/>
      </rPr>
      <t>2</t>
    </r>
    <r>
      <rPr>
        <sz val="8"/>
        <color rgb="FF000000"/>
        <rFont val="Arial"/>
        <family val="2"/>
      </rPr>
      <t xml:space="preserve"> 2019 data omits Australia KCGM site data; trailing 2015-2018 data reflects former Newmont sites only. 
</t>
    </r>
    <r>
      <rPr>
        <vertAlign val="superscript"/>
        <sz val="8"/>
        <color rgb="FF000000"/>
        <rFont val="Arial"/>
        <family val="2"/>
      </rPr>
      <t>3</t>
    </r>
    <r>
      <rPr>
        <sz val="8"/>
        <color rgb="FF000000"/>
        <rFont val="Arial"/>
        <family val="2"/>
      </rPr>
      <t xml:space="preserve"> Sodium cyanide quantities vary each year due to mineral variations in our ore bodies as well as processing variables.
</t>
    </r>
    <r>
      <rPr>
        <vertAlign val="superscript"/>
        <sz val="8"/>
        <color rgb="FF000000"/>
        <rFont val="Arial"/>
        <family val="2"/>
      </rPr>
      <t>4</t>
    </r>
    <r>
      <rPr>
        <sz val="8"/>
        <color rgb="FF000000"/>
        <rFont val="Arial"/>
        <family val="2"/>
      </rPr>
      <t xml:space="preserve"> Nitric acid usage was not reported ('N/R') 2015-2018; this data will be reported from 2019 onwards on an annual basis.</t>
    </r>
  </si>
  <si>
    <r>
      <rPr>
        <b/>
        <sz val="10"/>
        <color rgb="FF000000"/>
        <rFont val="Arial"/>
        <family val="2"/>
      </rPr>
      <t>Environmental releases by number of incidents</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</si>
  <si>
    <t>Total environmental releases on site</t>
  </si>
  <si>
    <t>Total environmental releases off site</t>
  </si>
  <si>
    <t>Total environmental releases</t>
  </si>
  <si>
    <t>Cyanide releases</t>
  </si>
  <si>
    <t>Mercury releases</t>
  </si>
  <si>
    <t>Significant chemical releases</t>
  </si>
  <si>
    <t>Other significant releases</t>
  </si>
  <si>
    <r>
      <rPr>
        <vertAlign val="superscript"/>
        <sz val="8"/>
        <color rgb="FF000000"/>
        <rFont val="Arial"/>
        <family val="2"/>
      </rPr>
      <t>1</t>
    </r>
    <r>
      <rPr>
        <sz val="8"/>
        <color rgb="FF000000"/>
        <rFont val="Arial"/>
        <family val="2"/>
      </rPr>
      <t xml:space="preserve"> GRI Standards disclosure GRI 306-3: Significant spills.</t>
    </r>
  </si>
  <si>
    <r>
      <rPr>
        <b/>
        <sz val="10"/>
        <color rgb="FF000000"/>
        <rFont val="Arial"/>
        <family val="2"/>
      </rPr>
      <t>E</t>
    </r>
    <r>
      <rPr>
        <b/>
        <sz val="10"/>
        <color rgb="FF000000"/>
        <rFont val="Arial"/>
        <family val="2"/>
      </rPr>
      <t>stimated e</t>
    </r>
    <r>
      <rPr>
        <b/>
        <sz val="10"/>
        <color rgb="FF000000"/>
        <rFont val="Arial"/>
        <family val="2"/>
      </rPr>
      <t>nvironmental releases by volume</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</si>
  <si>
    <t>Cyanide releases (kL)</t>
  </si>
  <si>
    <t>Mercury releases (kg)</t>
  </si>
  <si>
    <t>Significant hydrocarbon releases (kL)</t>
  </si>
  <si>
    <t>Significant chemical releases (kL)</t>
  </si>
  <si>
    <t>Other significant releases (kL)</t>
  </si>
  <si>
    <r>
      <rPr>
        <vertAlign val="superscript"/>
        <sz val="8"/>
        <color rgb="FF000000"/>
        <rFont val="Arial"/>
        <family val="2"/>
      </rPr>
      <t>1</t>
    </r>
    <r>
      <rPr>
        <sz val="8"/>
        <color rgb="FF000000"/>
        <rFont val="Arial"/>
        <family val="2"/>
      </rPr>
      <t xml:space="preserve"> GRI Standards disclosure GRI 306-3: Significant spills. Data is normalized using global unit of measure conversion formulas and estimated concentration calculations based on data reported in internal reporting systems.</t>
    </r>
  </si>
  <si>
    <r>
      <rPr>
        <b/>
        <sz val="10"/>
        <color rgb="FF000000"/>
        <rFont val="Arial"/>
        <family val="2"/>
      </rPr>
      <t>T</t>
    </r>
    <r>
      <rPr>
        <b/>
        <sz val="10"/>
        <color rgb="FF000000"/>
        <rFont val="Arial"/>
        <family val="2"/>
      </rPr>
      <t xml:space="preserve">ailings </t>
    </r>
    <r>
      <rPr>
        <b/>
        <sz val="10"/>
        <color rgb="FF000000"/>
        <rFont val="Arial"/>
        <family val="2"/>
      </rPr>
      <t>generated and disposed</t>
    </r>
    <r>
      <rPr>
        <b/>
        <sz val="10"/>
        <color rgb="FF000000"/>
        <rFont val="Arial"/>
        <family val="2"/>
      </rPr>
      <t xml:space="preserve">: </t>
    </r>
    <r>
      <rPr>
        <b/>
        <sz val="10"/>
        <color rgb="FF000000"/>
        <rFont val="Arial"/>
        <family val="2"/>
      </rPr>
      <t>2019</t>
    </r>
    <r>
      <rPr>
        <b/>
        <sz val="10"/>
        <color rgb="FF000000"/>
        <rFont val="Arial"/>
        <family val="2"/>
      </rPr>
      <t xml:space="preserve"> </t>
    </r>
    <r>
      <rPr>
        <b/>
        <sz val="10"/>
        <color rgb="FF000000"/>
        <rFont val="Arial"/>
        <family val="2"/>
      </rPr>
      <t>(metric tonnes)</t>
    </r>
    <r>
      <rPr>
        <b/>
        <vertAlign val="superscript"/>
        <sz val="10"/>
        <color rgb="FF000000"/>
        <rFont val="Arial"/>
        <family val="2"/>
      </rPr>
      <t>1</t>
    </r>
  </si>
  <si>
    <r>
      <rPr>
        <b/>
        <sz val="10"/>
        <color rgb="FF000000"/>
        <rFont val="Arial"/>
        <family val="2"/>
      </rPr>
      <t>Disposal method</t>
    </r>
    <r>
      <rPr>
        <b/>
        <vertAlign val="superscript"/>
        <sz val="10"/>
        <color rgb="FF000000"/>
        <rFont val="Arial"/>
        <family val="2"/>
      </rPr>
      <t xml:space="preserve">2
</t>
    </r>
    <r>
      <rPr>
        <sz val="8"/>
        <color rgb="FF000000"/>
        <rFont val="Arial"/>
        <family val="2"/>
      </rPr>
      <t xml:space="preserve">(former Newmont sites </t>
    </r>
    <r>
      <rPr>
        <sz val="8"/>
        <color rgb="FF000000"/>
        <rFont val="Arial"/>
        <family val="2"/>
      </rPr>
      <t xml:space="preserve">reported </t>
    </r>
    <r>
      <rPr>
        <sz val="8"/>
        <color rgb="FF000000"/>
        <rFont val="Arial"/>
        <family val="2"/>
      </rPr>
      <t>only)</t>
    </r>
  </si>
  <si>
    <r>
      <rPr>
        <b/>
        <sz val="10"/>
        <color rgb="FF000000"/>
        <rFont val="Arial"/>
        <family val="2"/>
      </rPr>
      <t>Total disposed</t>
    </r>
    <r>
      <rPr>
        <b/>
        <vertAlign val="superscript"/>
        <sz val="10"/>
        <color rgb="FF000000"/>
        <rFont val="Arial"/>
        <family val="2"/>
      </rPr>
      <t xml:space="preserve">2
</t>
    </r>
    <r>
      <rPr>
        <sz val="8"/>
        <color rgb="FF000000"/>
        <rFont val="Arial"/>
        <family val="2"/>
      </rPr>
      <t>(former Newmont sites reported only)</t>
    </r>
  </si>
  <si>
    <r>
      <rPr>
        <b/>
        <sz val="10"/>
        <color rgb="FF000000"/>
        <rFont val="Arial"/>
        <family val="2"/>
      </rPr>
      <t xml:space="preserve">Total </t>
    </r>
    <r>
      <rPr>
        <b/>
        <sz val="10"/>
        <color rgb="FF000000"/>
        <rFont val="Arial"/>
        <family val="2"/>
      </rPr>
      <t>g</t>
    </r>
    <r>
      <rPr>
        <b/>
        <sz val="10"/>
        <color rgb="FF000000"/>
        <rFont val="Arial"/>
        <family val="2"/>
      </rPr>
      <t xml:space="preserve">enerated
</t>
    </r>
    <r>
      <rPr>
        <sz val="8"/>
        <color rgb="FF000000"/>
        <rFont val="Arial"/>
        <family val="2"/>
      </rPr>
      <t>(</t>
    </r>
    <r>
      <rPr>
        <sz val="8"/>
        <color rgb="FF000000"/>
        <rFont val="Arial"/>
        <family val="2"/>
      </rPr>
      <t>all sites)</t>
    </r>
  </si>
  <si>
    <t>Surface tailings</t>
  </si>
  <si>
    <t>Open pit tailings</t>
  </si>
  <si>
    <t>Sub-surface tailings</t>
  </si>
  <si>
    <r>
      <rPr>
        <b/>
        <sz val="10"/>
        <color rgb="FF000000"/>
        <rFont val="Arial"/>
        <family val="2"/>
      </rPr>
      <t>GLOBAL</t>
    </r>
    <r>
      <rPr>
        <b/>
        <vertAlign val="superscript"/>
        <sz val="10"/>
        <color rgb="FF000000"/>
        <rFont val="Arial"/>
        <family val="2"/>
      </rPr>
      <t>2</t>
    </r>
  </si>
  <si>
    <t xml:space="preserve">Former Newmont </t>
  </si>
  <si>
    <t xml:space="preserve">Former Goldcorp </t>
  </si>
  <si>
    <t>All sites</t>
  </si>
  <si>
    <r>
      <rPr>
        <b/>
        <sz val="10"/>
        <color rgb="FF000000"/>
        <rFont val="Arial"/>
        <family val="2"/>
      </rPr>
      <t xml:space="preserve">Total waste rock/tailings </t>
    </r>
    <r>
      <rPr>
        <b/>
        <sz val="10"/>
        <color rgb="FF000000"/>
        <rFont val="Arial"/>
        <family val="2"/>
      </rPr>
      <t>generated</t>
    </r>
    <r>
      <rPr>
        <b/>
        <sz val="10"/>
        <color rgb="FF000000"/>
        <rFont val="Arial"/>
        <family val="2"/>
      </rPr>
      <t xml:space="preserve"> (million tonnes)</t>
    </r>
    <r>
      <rPr>
        <b/>
        <sz val="10"/>
        <color rgb="FF000000"/>
        <rFont val="Arial"/>
        <family val="2"/>
      </rPr>
      <t>:</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</si>
  <si>
    <t>Total waste rock generated</t>
  </si>
  <si>
    <t>Total tailings produced</t>
  </si>
  <si>
    <r>
      <rPr>
        <b/>
        <sz val="10"/>
        <color rgb="FF000000"/>
        <rFont val="Arial"/>
        <family val="2"/>
      </rPr>
      <t>Tailings inventory and disclosures</t>
    </r>
    <r>
      <rPr>
        <b/>
        <vertAlign val="superscript"/>
        <sz val="10"/>
        <color rgb="FF000000"/>
        <rFont val="Arial"/>
        <family val="2"/>
      </rPr>
      <t>1</t>
    </r>
    <r>
      <rPr>
        <b/>
        <vertAlign val="superscript"/>
        <sz val="10"/>
        <color rgb="FF000000"/>
        <rFont val="Arial"/>
        <family val="2"/>
      </rPr>
      <t>, 2</t>
    </r>
  </si>
  <si>
    <t>Church of England disclosures: Newmont developed a disclosure in response to the Church of England April 10, 2019 request for information concerning tailings dam management. This disclosure provides Newmont’s approach to tailings; communications and risk management; a description of updates to our approach following recent disasters; and an inventory of tailings dam facilities for our operating sites, joint ventures, subsidiaries, and legacy sites as of July 1, 2019. Full disclosure available at: https://www.newmont.com/sustainability/environmental-responsibility/tailings-management/default.aspx.</t>
  </si>
  <si>
    <t>Global Tailings Inventory: Newmont provides a full disclosure of tailings facilities, classifications, location, status, construction type and detailed, downloadable datasets, which are periodically updated and available for download at: https://www.newmont.com/files/doc_downloads/Church_of_England_Inventory_3_12_20_for_Website.xlsx.</t>
  </si>
  <si>
    <r>
      <rPr>
        <b/>
        <sz val="10"/>
        <color rgb="FF000000"/>
        <rFont val="Arial"/>
        <family val="2"/>
      </rPr>
      <t xml:space="preserve">2019 Water </t>
    </r>
    <r>
      <rPr>
        <b/>
        <sz val="10"/>
        <color rgb="FF000000"/>
        <rFont val="Arial"/>
        <family val="2"/>
      </rPr>
      <t>s</t>
    </r>
    <r>
      <rPr>
        <b/>
        <sz val="10"/>
        <color rgb="FF000000"/>
        <rFont val="Arial"/>
        <family val="2"/>
      </rPr>
      <t>ummary by site (thousand kL)</t>
    </r>
    <r>
      <rPr>
        <b/>
        <vertAlign val="superscript"/>
        <sz val="10"/>
        <color rgb="FF000000"/>
        <rFont val="Arial"/>
        <family val="2"/>
      </rPr>
      <t>1</t>
    </r>
    <r>
      <rPr>
        <b/>
        <vertAlign val="superscript"/>
        <sz val="10"/>
        <color rgb="FF000000"/>
        <rFont val="Arial"/>
        <family val="2"/>
      </rPr>
      <t>,2</t>
    </r>
  </si>
  <si>
    <t>Total water withdrawn</t>
  </si>
  <si>
    <t>Total water discharged</t>
  </si>
  <si>
    <t>Total water consumed (withdrawn minus total discharged)</t>
  </si>
  <si>
    <t>Total water recycled</t>
  </si>
  <si>
    <t>Total water used (consumed + recycled)</t>
  </si>
  <si>
    <t>Percent recycled (total water recycled/total water used)</t>
  </si>
  <si>
    <r>
      <rPr>
        <b/>
        <sz val="10"/>
        <color rgb="FF000000"/>
        <rFont val="Arial"/>
        <family val="2"/>
      </rPr>
      <t>2019 Water Intensity - GEO</t>
    </r>
    <r>
      <rPr>
        <b/>
        <vertAlign val="superscript"/>
        <sz val="10"/>
        <color rgb="FF000000"/>
        <rFont val="Arial"/>
        <family val="2"/>
      </rPr>
      <t>3</t>
    </r>
  </si>
  <si>
    <r>
      <rPr>
        <b/>
        <sz val="10"/>
        <color rgb="FF000000"/>
        <rFont val="Arial"/>
        <family val="2"/>
      </rPr>
      <t>2019 Water Intensity - Tonnes Ore Processed</t>
    </r>
    <r>
      <rPr>
        <b/>
        <vertAlign val="superscript"/>
        <sz val="10"/>
        <color rgb="FF000000"/>
        <rFont val="Arial"/>
        <family val="2"/>
      </rPr>
      <t>3</t>
    </r>
  </si>
  <si>
    <r>
      <rPr>
        <sz val="10"/>
        <color rgb="FF000000"/>
        <rFont val="Arial"/>
        <family val="2"/>
      </rPr>
      <t>Porcupine</t>
    </r>
    <r>
      <rPr>
        <vertAlign val="superscript"/>
        <sz val="10"/>
        <color rgb="FF000000"/>
        <rFont val="Arial"/>
        <family val="2"/>
      </rPr>
      <t>4</t>
    </r>
  </si>
  <si>
    <r>
      <rPr>
        <vertAlign val="superscript"/>
        <sz val="8"/>
        <color rgb="FF000000"/>
        <rFont val="Arial"/>
        <family val="2"/>
      </rPr>
      <t>1</t>
    </r>
    <r>
      <rPr>
        <sz val="8"/>
        <color rgb="FF000000"/>
        <rFont val="Arial"/>
        <family val="2"/>
      </rPr>
      <t xml:space="preserve"> GRI Standards disclosures GRI 303-3: Water withdrawal; GRI 303-4: Water discharge, GRI 303-5: Water consumption; SASB Metals &amp; Mining Sustainability Accounting Standard EM-MM-140a.1: Total freshwater withdrawn, consumed, percentage of each in high or extremely high baseline water stress. 
</t>
    </r>
    <r>
      <rPr>
        <vertAlign val="superscript"/>
        <sz val="8"/>
        <color rgb="FF000000"/>
        <rFont val="Arial"/>
        <family val="2"/>
      </rPr>
      <t>2</t>
    </r>
    <r>
      <rPr>
        <sz val="8"/>
        <color rgb="FF000000"/>
        <rFont val="Arial"/>
        <family val="2"/>
      </rPr>
      <t xml:space="preserve"> Total Newmont 2019 includes KCGM and Red Lake; excludes Nevada </t>
    </r>
    <r>
      <rPr>
        <sz val="8"/>
        <color rgb="FF000000"/>
        <rFont val="Arial"/>
        <family val="2"/>
      </rPr>
      <t>dat</t>
    </r>
    <r>
      <rPr>
        <sz val="8"/>
        <color rgb="FF000000"/>
        <rFont val="Arial"/>
        <family val="2"/>
      </rPr>
      <t>a</t>
    </r>
    <r>
      <rPr>
        <sz val="8"/>
        <color rgb="FF000000"/>
        <rFont val="Arial"/>
        <family val="2"/>
      </rPr>
      <t xml:space="preserve"> Jan</t>
    </r>
    <r>
      <rPr>
        <sz val="8"/>
        <color rgb="FF000000"/>
        <rFont val="Arial"/>
        <family val="2"/>
      </rPr>
      <t>uar</t>
    </r>
    <r>
      <rPr>
        <sz val="8"/>
        <color rgb="FF000000"/>
        <rFont val="Arial"/>
        <family val="2"/>
      </rPr>
      <t>y</t>
    </r>
    <r>
      <rPr>
        <sz val="8"/>
        <color rgb="FF000000"/>
        <rFont val="Arial"/>
        <family val="2"/>
      </rPr>
      <t xml:space="preserve"> 1 - June 30 2019.
</t>
    </r>
    <r>
      <rPr>
        <vertAlign val="superscript"/>
        <sz val="8"/>
        <color rgb="FF000000"/>
        <rFont val="Arial"/>
        <family val="2"/>
      </rPr>
      <t>3</t>
    </r>
    <r>
      <rPr>
        <sz val="8"/>
        <color rgb="FF000000"/>
        <rFont val="Arial"/>
        <family val="2"/>
      </rPr>
      <t xml:space="preserve"> Water intensity figures: GEO</t>
    </r>
    <r>
      <rPr>
        <sz val="8"/>
        <color rgb="FF000000"/>
        <rFont val="Arial"/>
        <family val="2"/>
      </rPr>
      <t xml:space="preserve"> (Gold </t>
    </r>
    <r>
      <rPr>
        <sz val="8"/>
        <color rgb="FF000000"/>
        <rFont val="Arial"/>
        <family val="2"/>
      </rPr>
      <t xml:space="preserve">Equivalent Ounces) </t>
    </r>
    <r>
      <rPr>
        <sz val="8"/>
        <color rgb="FF000000"/>
        <rFont val="Arial"/>
        <family val="2"/>
      </rPr>
      <t xml:space="preserve"> includes total produced and co-product GEO as originally defined in the Newmont December 2019 Financial Summary results and then adjusted to match the reporting boundary of the 2019 Beyond the Mine Report. The tonnes of ore produced is based on the operational statistics, publically available at: https://s2.q4cdn.com/575378270/files/doc_financials/2019/q4/Newmont-Full-Year-and-Q4-2019-Regional-Operating-Statistics_Final.pdf. Reported Newmont-only sites in 2019 included withdrawal - 230.3ML, discharge - 125.4ML/; for the former Goldcorp sites used water recycled plus water reused to estimate volume of water recycled</t>
    </r>
    <r>
      <rPr>
        <sz val="8"/>
        <color rgb="FF000000"/>
        <rFont val="Arial"/>
        <family val="2"/>
      </rPr>
      <t xml:space="preserve">.
</t>
    </r>
    <r>
      <rPr>
        <vertAlign val="superscript"/>
        <sz val="8"/>
        <color rgb="FF000000"/>
        <rFont val="Arial"/>
        <family val="2"/>
      </rPr>
      <t>4</t>
    </r>
    <r>
      <rPr>
        <sz val="8"/>
        <color rgb="FF000000"/>
        <rFont val="Arial"/>
        <family val="2"/>
      </rPr>
      <t xml:space="preserve"> Figure reflects combined water consumption for Porcupine and Borden mines. Borden operations began in October 2019.</t>
    </r>
  </si>
  <si>
    <r>
      <rPr>
        <b/>
        <sz val="10"/>
        <color rgb="FF000000"/>
        <rFont val="Arial"/>
        <family val="2"/>
      </rPr>
      <t>2019 Total water withdrawal</t>
    </r>
    <r>
      <rPr>
        <b/>
        <sz val="10"/>
        <color rgb="FF000000"/>
        <rFont val="Arial"/>
        <family val="2"/>
      </rPr>
      <t xml:space="preserve"> and dischar</t>
    </r>
    <r>
      <rPr>
        <b/>
        <sz val="10"/>
        <color rgb="FF000000"/>
        <rFont val="Arial"/>
        <family val="2"/>
      </rPr>
      <t>ge by category</t>
    </r>
    <r>
      <rPr>
        <b/>
        <vertAlign val="superscript"/>
        <sz val="10"/>
        <color rgb="FF000000"/>
        <rFont val="Arial"/>
        <family val="2"/>
      </rPr>
      <t xml:space="preserve"> </t>
    </r>
    <r>
      <rPr>
        <b/>
        <sz val="10"/>
        <color rgb="FF000000"/>
        <rFont val="Arial"/>
        <family val="2"/>
      </rPr>
      <t>and site</t>
    </r>
    <r>
      <rPr>
        <b/>
        <vertAlign val="superscript"/>
        <sz val="10"/>
        <color rgb="FF000000"/>
        <rFont val="Arial"/>
        <family val="2"/>
      </rPr>
      <t>1, 2,</t>
    </r>
    <r>
      <rPr>
        <b/>
        <vertAlign val="superscript"/>
        <sz val="10"/>
        <color rgb="FF000000"/>
        <rFont val="Arial"/>
        <family val="2"/>
      </rPr>
      <t xml:space="preserve"> </t>
    </r>
    <r>
      <rPr>
        <b/>
        <vertAlign val="superscript"/>
        <sz val="10"/>
        <color rgb="FF000000"/>
        <rFont val="Arial"/>
        <family val="2"/>
      </rPr>
      <t>3</t>
    </r>
  </si>
  <si>
    <t>Category 1</t>
  </si>
  <si>
    <t>Category 2</t>
  </si>
  <si>
    <t>Category 3</t>
  </si>
  <si>
    <r>
      <rPr>
        <b/>
        <sz val="10"/>
        <color rgb="FF000000"/>
        <rFont val="Arial"/>
        <family val="2"/>
      </rPr>
      <t>2019 Total treated water by destination and site (thousand kL)</t>
    </r>
    <r>
      <rPr>
        <b/>
        <vertAlign val="superscript"/>
        <sz val="10"/>
        <color rgb="FF000000"/>
        <rFont val="Arial"/>
        <family val="2"/>
      </rPr>
      <t>1</t>
    </r>
    <r>
      <rPr>
        <b/>
        <vertAlign val="superscript"/>
        <sz val="10"/>
        <color rgb="FF000000"/>
        <rFont val="Arial"/>
        <family val="2"/>
      </rPr>
      <t>,2</t>
    </r>
  </si>
  <si>
    <t>Treated discharge to surface water by acid water treatment</t>
  </si>
  <si>
    <t>Treated discharge by other</t>
  </si>
  <si>
    <t>Treated discharge by process water treatment</t>
  </si>
  <si>
    <t>Treated discharge by reverse osmosis</t>
  </si>
  <si>
    <t>Total treated water discharge</t>
  </si>
  <si>
    <r>
      <rPr>
        <sz val="10"/>
        <color rgb="FF000000"/>
        <rFont val="Arial"/>
        <family val="2"/>
      </rPr>
      <t>Porcupine</t>
    </r>
    <r>
      <rPr>
        <vertAlign val="superscript"/>
        <sz val="10"/>
        <color rgb="FF000000"/>
        <rFont val="Arial"/>
        <family val="2"/>
      </rPr>
      <t>3</t>
    </r>
  </si>
  <si>
    <r>
      <rPr>
        <b/>
        <sz val="10"/>
        <color rgb="FF000000"/>
        <rFont val="Arial"/>
        <family val="2"/>
      </rPr>
      <t>2019 Total untreated water by destination and site (thousand kL)</t>
    </r>
    <r>
      <rPr>
        <b/>
        <vertAlign val="superscript"/>
        <sz val="10"/>
        <color rgb="FF000000"/>
        <rFont val="Arial"/>
        <family val="2"/>
      </rPr>
      <t>1</t>
    </r>
  </si>
  <si>
    <t>Untreated discharge to groundwater</t>
  </si>
  <si>
    <t>Untreated discharge to sewers</t>
  </si>
  <si>
    <t>Untreated discharge to surface water</t>
  </si>
  <si>
    <t>Untreated discharge to ocean</t>
  </si>
  <si>
    <t>Total untreated water discharge</t>
  </si>
  <si>
    <r>
      <rPr>
        <sz val="10"/>
        <color rgb="FF000000"/>
        <rFont val="Arial"/>
        <family val="2"/>
      </rPr>
      <t>Porcupine</t>
    </r>
    <r>
      <rPr>
        <vertAlign val="superscript"/>
        <sz val="10"/>
        <color rgb="FF000000"/>
        <rFont val="Arial"/>
        <family val="2"/>
      </rPr>
      <t>2</t>
    </r>
  </si>
  <si>
    <r>
      <rPr>
        <b/>
        <sz val="10"/>
        <color rgb="FF000000"/>
        <rFont val="Arial"/>
        <family val="2"/>
      </rPr>
      <t xml:space="preserve">2019 Water </t>
    </r>
    <r>
      <rPr>
        <b/>
        <sz val="10"/>
        <color rgb="FF000000"/>
        <rFont val="Arial"/>
        <family val="2"/>
      </rPr>
      <t>w</t>
    </r>
    <r>
      <rPr>
        <b/>
        <sz val="10"/>
        <color rgb="FF000000"/>
        <rFont val="Arial"/>
        <family val="2"/>
      </rPr>
      <t>ithdrawal by site (thousand kL)</t>
    </r>
    <r>
      <rPr>
        <b/>
        <vertAlign val="superscript"/>
        <sz val="10"/>
        <color rgb="FF000000"/>
        <rFont val="Arial"/>
        <family val="2"/>
      </rPr>
      <t>1</t>
    </r>
  </si>
  <si>
    <t>Surface water</t>
  </si>
  <si>
    <r>
      <rPr>
        <b/>
        <sz val="10"/>
        <color rgb="FF000000"/>
        <rFont val="Arial"/>
        <family val="2"/>
      </rPr>
      <t>Groundwater</t>
    </r>
    <r>
      <rPr>
        <b/>
        <vertAlign val="superscript"/>
        <sz val="10"/>
        <color rgb="FF000000"/>
        <rFont val="Arial"/>
        <family val="2"/>
      </rPr>
      <t>2</t>
    </r>
  </si>
  <si>
    <r>
      <rPr>
        <b/>
        <sz val="10"/>
        <color rgb="FF000000"/>
        <rFont val="Arial"/>
        <family val="2"/>
      </rPr>
      <t>Precipitation</t>
    </r>
    <r>
      <rPr>
        <b/>
        <vertAlign val="superscript"/>
        <sz val="10"/>
        <color rgb="FF000000"/>
        <rFont val="Arial"/>
        <family val="2"/>
      </rPr>
      <t>3</t>
    </r>
  </si>
  <si>
    <t>Municipal water</t>
  </si>
  <si>
    <r>
      <rPr>
        <b/>
        <sz val="10"/>
        <color rgb="FF000000"/>
        <rFont val="Arial"/>
        <family val="2"/>
      </rPr>
      <t xml:space="preserve">Water </t>
    </r>
    <r>
      <rPr>
        <b/>
        <sz val="10"/>
        <color rgb="FF000000"/>
        <rFont val="Arial"/>
        <family val="2"/>
      </rPr>
      <t>s</t>
    </r>
    <r>
      <rPr>
        <b/>
        <sz val="10"/>
        <color rgb="FF000000"/>
        <rFont val="Arial"/>
        <family val="2"/>
      </rPr>
      <t>ummary</t>
    </r>
    <r>
      <rPr>
        <b/>
        <sz val="10"/>
        <color rgb="FF000000"/>
        <rFont val="Arial"/>
        <family val="2"/>
      </rPr>
      <t xml:space="preserve"> </t>
    </r>
    <r>
      <rPr>
        <b/>
        <sz val="10"/>
        <color rgb="FF000000"/>
        <rFont val="Arial"/>
        <family val="2"/>
      </rPr>
      <t>(thousand kL)</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r>
      <rPr>
        <b/>
        <vertAlign val="superscript"/>
        <sz val="10"/>
        <color rgb="FF000000"/>
        <rFont val="Arial"/>
        <family val="2"/>
      </rPr>
      <t>,</t>
    </r>
    <r>
      <rPr>
        <b/>
        <vertAlign val="superscript"/>
        <sz val="10"/>
        <color rgb="FF000000"/>
        <rFont val="Arial"/>
        <family val="2"/>
      </rPr>
      <t xml:space="preserve"> </t>
    </r>
    <r>
      <rPr>
        <b/>
        <vertAlign val="superscript"/>
        <sz val="10"/>
        <color rgb="FF000000"/>
        <rFont val="Arial"/>
        <family val="2"/>
      </rPr>
      <t>2</t>
    </r>
  </si>
  <si>
    <t>Total Water Withdrawn</t>
  </si>
  <si>
    <t>Groundwater</t>
  </si>
  <si>
    <t>Precipitation</t>
  </si>
  <si>
    <t>Ocean water used for processing</t>
  </si>
  <si>
    <t>Ocean water used for cooling</t>
  </si>
  <si>
    <r>
      <rPr>
        <b/>
        <sz val="10"/>
        <color rgb="FF000000"/>
        <rFont val="Arial"/>
        <family val="2"/>
      </rPr>
      <t xml:space="preserve">Total water consumed
</t>
    </r>
    <r>
      <rPr>
        <sz val="10"/>
        <color rgb="FF000000"/>
        <rFont val="Arial"/>
        <family val="2"/>
      </rPr>
      <t>(</t>
    </r>
    <r>
      <rPr>
        <sz val="10"/>
        <color rgb="FF000000"/>
        <rFont val="Arial"/>
        <family val="2"/>
      </rPr>
      <t xml:space="preserve">withdrawn minus </t>
    </r>
    <r>
      <rPr>
        <sz val="10"/>
        <color rgb="FF000000"/>
        <rFont val="Arial"/>
        <family val="2"/>
      </rPr>
      <t>discharged)</t>
    </r>
  </si>
  <si>
    <r>
      <rPr>
        <b/>
        <sz val="10"/>
        <color rgb="FF000000"/>
        <rFont val="Arial"/>
        <family val="2"/>
      </rPr>
      <t xml:space="preserve">Total water used
</t>
    </r>
    <r>
      <rPr>
        <sz val="10"/>
        <color rgb="FF000000"/>
        <rFont val="Arial"/>
        <family val="2"/>
      </rPr>
      <t xml:space="preserve">(consumed </t>
    </r>
    <r>
      <rPr>
        <sz val="10"/>
        <color rgb="FF000000"/>
        <rFont val="Arial"/>
        <family val="2"/>
      </rPr>
      <t xml:space="preserve">plus </t>
    </r>
    <r>
      <rPr>
        <sz val="10"/>
        <color rgb="FF000000"/>
        <rFont val="Arial"/>
        <family val="2"/>
      </rPr>
      <t>recycled)</t>
    </r>
  </si>
  <si>
    <r>
      <rPr>
        <b/>
        <sz val="10"/>
        <color rgb="FF000000"/>
        <rFont val="Arial"/>
        <family val="2"/>
      </rPr>
      <t xml:space="preserve">Percent recycled
</t>
    </r>
    <r>
      <rPr>
        <sz val="10"/>
        <color rgb="FF000000"/>
        <rFont val="Arial"/>
        <family val="2"/>
      </rPr>
      <t>(</t>
    </r>
    <r>
      <rPr>
        <sz val="10"/>
        <color rgb="FF000000"/>
        <rFont val="Arial"/>
        <family val="2"/>
      </rPr>
      <t>water recycled</t>
    </r>
    <r>
      <rPr>
        <sz val="10"/>
        <color rgb="FF000000"/>
        <rFont val="Arial"/>
        <family val="2"/>
      </rPr>
      <t xml:space="preserve"> divided by </t>
    </r>
    <r>
      <rPr>
        <sz val="10"/>
        <color rgb="FF000000"/>
        <rFont val="Arial"/>
        <family val="2"/>
      </rPr>
      <t>water used)</t>
    </r>
  </si>
  <si>
    <r>
      <rPr>
        <b/>
        <sz val="10"/>
        <color rgb="FF000000"/>
        <rFont val="Arial"/>
        <family val="2"/>
      </rPr>
      <t>2019 Total water discharge by destination (thousand kL)</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</si>
  <si>
    <t>Untreated discharge to external organizations for reuse</t>
  </si>
  <si>
    <t>Treated discharge by sewage treatment</t>
  </si>
  <si>
    <t>Total treated discharge of water</t>
  </si>
  <si>
    <r>
      <rPr>
        <vertAlign val="superscript"/>
        <sz val="8"/>
        <color rgb="FF000000"/>
        <rFont val="Arial"/>
        <family val="2"/>
      </rPr>
      <t>1</t>
    </r>
    <r>
      <rPr>
        <sz val="8"/>
        <color rgb="FF000000"/>
        <rFont val="Arial"/>
        <family val="2"/>
      </rPr>
      <t xml:space="preserve"> GRI Standards </t>
    </r>
    <r>
      <rPr>
        <sz val="8"/>
        <color rgb="FF000000"/>
        <rFont val="Arial"/>
        <family val="2"/>
      </rPr>
      <t>disclosures</t>
    </r>
    <r>
      <rPr>
        <sz val="8"/>
        <color rgb="FF000000"/>
        <rFont val="Arial"/>
        <family val="2"/>
      </rPr>
      <t xml:space="preserve"> GRI 303-2: Water discharge; GRI 306-1: Water discharge by quality and destination.</t>
    </r>
  </si>
  <si>
    <t>2019 Consumptive water quality (mL)</t>
  </si>
  <si>
    <t>As % of Total</t>
  </si>
  <si>
    <r>
      <rPr>
        <b/>
        <sz val="10"/>
        <color rgb="FF000000"/>
        <rFont val="Arial"/>
        <family val="2"/>
      </rPr>
      <t xml:space="preserve">2019 </t>
    </r>
    <r>
      <rPr>
        <b/>
        <sz val="10"/>
        <color rgb="FF000000"/>
        <rFont val="Arial"/>
        <family val="2"/>
      </rPr>
      <t>W</t>
    </r>
    <r>
      <rPr>
        <b/>
        <sz val="10"/>
        <color rgb="FF000000"/>
        <rFont val="Arial"/>
        <family val="2"/>
      </rPr>
      <t>ater balance</t>
    </r>
    <r>
      <rPr>
        <b/>
        <vertAlign val="superscript"/>
        <sz val="10"/>
        <color rgb="FF000000"/>
        <rFont val="Arial"/>
        <family val="2"/>
      </rPr>
      <t>1</t>
    </r>
    <r>
      <rPr>
        <b/>
        <vertAlign val="superscript"/>
        <sz val="10"/>
        <color rgb="FF000000"/>
        <rFont val="Arial"/>
        <family val="2"/>
      </rPr>
      <t>, 2</t>
    </r>
    <r>
      <rPr>
        <b/>
        <sz val="10"/>
        <color rgb="FF000000"/>
        <rFont val="Arial"/>
        <family val="2"/>
      </rPr>
      <t xml:space="preserve"> </t>
    </r>
  </si>
  <si>
    <t>Megaliters (ML)</t>
  </si>
  <si>
    <r>
      <rPr>
        <b/>
        <sz val="10"/>
        <color rgb="FF000000"/>
        <rFont val="Arial"/>
        <family val="2"/>
      </rPr>
      <t>Water withdrawn total</t>
    </r>
    <r>
      <rPr>
        <b/>
        <vertAlign val="superscript"/>
        <sz val="10"/>
        <color rgb="FF000000"/>
        <rFont val="Arial"/>
        <family val="2"/>
      </rPr>
      <t>3</t>
    </r>
  </si>
  <si>
    <t>Surface water withdrawn</t>
  </si>
  <si>
    <t>Groundwater withdrawn</t>
  </si>
  <si>
    <t>Precipitation water withdrawn</t>
  </si>
  <si>
    <r>
      <rPr>
        <sz val="10"/>
        <color rgb="FF000000"/>
        <rFont val="Arial"/>
        <family val="2"/>
      </rPr>
      <t>T</t>
    </r>
    <r>
      <rPr>
        <sz val="10"/>
        <color rgb="FF000000"/>
        <rFont val="Arial"/>
        <family val="2"/>
      </rPr>
      <t xml:space="preserve">hird-party </t>
    </r>
    <r>
      <rPr>
        <sz val="10"/>
        <color rgb="FF000000"/>
        <rFont val="Arial"/>
        <family val="2"/>
      </rPr>
      <t>(</t>
    </r>
    <r>
      <rPr>
        <sz val="10"/>
        <color rgb="FF000000"/>
        <rFont val="Arial"/>
        <family val="2"/>
      </rPr>
      <t xml:space="preserve">municipal) </t>
    </r>
    <r>
      <rPr>
        <sz val="10"/>
        <color rgb="FF000000"/>
        <rFont val="Arial"/>
        <family val="2"/>
      </rPr>
      <t>water withdrawn</t>
    </r>
    <r>
      <rPr>
        <vertAlign val="superscript"/>
        <sz val="10"/>
        <color rgb="FF000000"/>
        <rFont val="Arial"/>
        <family val="2"/>
      </rPr>
      <t>2</t>
    </r>
  </si>
  <si>
    <r>
      <rPr>
        <b/>
        <sz val="10"/>
        <color rgb="FF000000"/>
        <rFont val="Arial"/>
        <family val="2"/>
      </rPr>
      <t>Water recycled/reused</t>
    </r>
    <r>
      <rPr>
        <b/>
        <vertAlign val="superscript"/>
        <sz val="10"/>
        <color rgb="FF000000"/>
        <rFont val="Arial"/>
        <family val="2"/>
      </rPr>
      <t>4</t>
    </r>
  </si>
  <si>
    <r>
      <rPr>
        <b/>
        <sz val="10"/>
        <color rgb="FF000000"/>
        <rFont val="Arial"/>
        <family val="2"/>
      </rPr>
      <t>Water consumed</t>
    </r>
    <r>
      <rPr>
        <b/>
        <vertAlign val="superscript"/>
        <sz val="10"/>
        <color rgb="FF000000"/>
        <rFont val="Arial"/>
        <family val="2"/>
      </rPr>
      <t>5</t>
    </r>
  </si>
  <si>
    <r>
      <rPr>
        <b/>
        <sz val="10"/>
        <color rgb="FF000000"/>
        <rFont val="Arial"/>
        <family val="2"/>
      </rPr>
      <t>Water discharged total</t>
    </r>
    <r>
      <rPr>
        <b/>
        <vertAlign val="superscript"/>
        <sz val="10"/>
        <color rgb="FF000000"/>
        <rFont val="Arial"/>
        <family val="2"/>
      </rPr>
      <t>6</t>
    </r>
  </si>
  <si>
    <t>Surface water discharged</t>
  </si>
  <si>
    <t>Groundwater discharged</t>
  </si>
  <si>
    <r>
      <rPr>
        <vertAlign val="superscript"/>
        <sz val="8"/>
        <color rgb="FF000000"/>
        <rFont val="Arial"/>
        <family val="2"/>
      </rPr>
      <t>1</t>
    </r>
    <r>
      <rPr>
        <sz val="8"/>
        <color rgb="FF000000"/>
        <rFont val="Arial"/>
        <family val="2"/>
      </rPr>
      <t xml:space="preserve"> Disclosure follows Mining Canada Association (MCA) Water Accounting Framework and site-wide water balance reporting. 
</t>
    </r>
    <r>
      <rPr>
        <vertAlign val="superscript"/>
        <sz val="8"/>
        <color rgb="FF000000"/>
        <rFont val="Arial"/>
        <family val="2"/>
      </rPr>
      <t>2</t>
    </r>
    <r>
      <rPr>
        <sz val="8"/>
        <color rgb="FF000000"/>
        <rFont val="Arial"/>
        <family val="2"/>
      </rPr>
      <t xml:space="preserve"> Water withdrawal, recycled/reused, consumed and discharge figures for 2019 include all former Goldcorp sites (Peñasquito, Red Lake, Porcupine, Éléonore, Musselwhite and Cerro Negro) and omit Nevada operations. 
</t>
    </r>
    <r>
      <rPr>
        <vertAlign val="superscript"/>
        <sz val="8"/>
        <color rgb="FF000000"/>
        <rFont val="Arial"/>
        <family val="2"/>
      </rPr>
      <t>3</t>
    </r>
    <r>
      <rPr>
        <sz val="8"/>
        <color rgb="FF000000"/>
        <rFont val="Arial"/>
        <family val="2"/>
      </rPr>
      <t xml:space="preserve"> Water withdrawn is defined as water that is received extracted or managed by an operation; designated by type surface water, groundwater, third party (municipal) or seawater. 
</t>
    </r>
    <r>
      <rPr>
        <vertAlign val="superscript"/>
        <sz val="8"/>
        <color rgb="FF000000"/>
        <rFont val="Arial"/>
        <family val="2"/>
      </rPr>
      <t>4</t>
    </r>
    <r>
      <rPr>
        <sz val="8"/>
        <color rgb="FF000000"/>
        <rFont val="Arial"/>
        <family val="2"/>
      </rPr>
      <t xml:space="preserve"> Water recycled/reused is defined as water that is reused or recycled within the site for operational use.  
</t>
    </r>
    <r>
      <rPr>
        <vertAlign val="superscript"/>
        <sz val="8"/>
        <color rgb="FF000000"/>
        <rFont val="Arial"/>
        <family val="2"/>
      </rPr>
      <t>5</t>
    </r>
    <r>
      <rPr>
        <sz val="8"/>
        <color rgb="FF000000"/>
        <rFont val="Arial"/>
        <family val="2"/>
      </rPr>
      <t xml:space="preserve"> Water consumed is defined as water that is no longer available for use. The water consumed data in this table reflects the GRI definition for water consumption (withdrawal minus consumption); ICMM definition for water consumption is defined as evaporation plus entrainment (tailings/waste) plus other losses for operational use. Under the ICMM definition, our water consumption is 177,3</t>
    </r>
    <r>
      <rPr>
        <sz val="8"/>
        <color rgb="FF000000"/>
        <rFont val="Arial"/>
        <family val="2"/>
      </rPr>
      <t>90</t>
    </r>
    <r>
      <rPr>
        <sz val="8"/>
        <color rgb="FF000000"/>
        <rFont val="Arial"/>
        <family val="2"/>
      </rPr>
      <t xml:space="preserve"> megalitres.  
</t>
    </r>
    <r>
      <rPr>
        <vertAlign val="superscript"/>
        <sz val="8"/>
        <color rgb="FF000000"/>
        <rFont val="Arial"/>
        <family val="2"/>
      </rPr>
      <t>6</t>
    </r>
    <r>
      <rPr>
        <sz val="8"/>
        <color rgb="FF000000"/>
        <rFont val="Arial"/>
        <family val="2"/>
      </rPr>
      <t xml:space="preserve"> Water discharged is defined as water removed from the operation and returned to the environment; discharged water includes treated and untreated water as well as water that is provided to third parties.</t>
    </r>
  </si>
  <si>
    <r>
      <rPr>
        <b/>
        <sz val="10"/>
        <color rgb="FF000000"/>
        <rFont val="Arial"/>
        <family val="2"/>
      </rPr>
      <t>Water consumed, recycled and percentage recycled (thousand kL)</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1, 2</t>
    </r>
  </si>
  <si>
    <r>
      <rPr>
        <sz val="10"/>
        <color rgb="FF000000"/>
        <rFont val="Arial"/>
        <family val="2"/>
      </rPr>
      <t xml:space="preserve">Water </t>
    </r>
    <r>
      <rPr>
        <sz val="10"/>
        <color rgb="FF000000"/>
        <rFont val="Arial"/>
        <family val="2"/>
      </rPr>
      <t>c</t>
    </r>
    <r>
      <rPr>
        <sz val="10"/>
        <color rgb="FF000000"/>
        <rFont val="Arial"/>
        <family val="2"/>
      </rPr>
      <t>onsumed</t>
    </r>
    <r>
      <rPr>
        <vertAlign val="superscript"/>
        <sz val="10"/>
        <color rgb="FF000000"/>
        <rFont val="Arial"/>
        <family val="2"/>
      </rPr>
      <t>3</t>
    </r>
  </si>
  <si>
    <r>
      <rPr>
        <sz val="10"/>
        <color rgb="FF000000"/>
        <rFont val="Arial"/>
        <family val="2"/>
      </rPr>
      <t>Water recycled/reused</t>
    </r>
    <r>
      <rPr>
        <vertAlign val="superscript"/>
        <sz val="10"/>
        <color rgb="FF000000"/>
        <rFont val="Arial"/>
        <family val="2"/>
      </rPr>
      <t>4</t>
    </r>
  </si>
  <si>
    <r>
      <rPr>
        <sz val="10"/>
        <color rgb="FF000000"/>
        <rFont val="Arial"/>
        <family val="2"/>
      </rPr>
      <t>Percent recycled/reused</t>
    </r>
    <r>
      <rPr>
        <vertAlign val="superscript"/>
        <sz val="10"/>
        <color rgb="FF000000"/>
        <rFont val="Arial"/>
        <family val="2"/>
      </rPr>
      <t>4</t>
    </r>
    <r>
      <rPr>
        <sz val="10"/>
        <color rgb="FF000000"/>
        <rFont val="Arial"/>
        <family val="2"/>
      </rPr>
      <t xml:space="preserve"> </t>
    </r>
  </si>
  <si>
    <r>
      <rPr>
        <b/>
        <sz val="10"/>
        <color rgb="FF000000"/>
        <rFont val="Arial"/>
        <family val="2"/>
      </rPr>
      <t>Water intensity</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1, 2</t>
    </r>
  </si>
  <si>
    <t>kL / gold equivalent ounce (GEO)</t>
  </si>
  <si>
    <t>kL / tonnes ore processed</t>
  </si>
  <si>
    <t xml:space="preserve">kL / billions revenues </t>
  </si>
  <si>
    <r>
      <rPr>
        <vertAlign val="superscript"/>
        <sz val="8"/>
        <color rgb="FF000000"/>
        <rFont val="Arial"/>
        <family val="2"/>
      </rPr>
      <t>1</t>
    </r>
    <r>
      <rPr>
        <sz val="8"/>
        <color rgb="FF000000"/>
        <rFont val="Arial"/>
        <family val="2"/>
      </rPr>
      <t xml:space="preserve"> GRI Standards disclosure GRI 303-5: Water consumption
</t>
    </r>
    <r>
      <rPr>
        <vertAlign val="superscript"/>
        <sz val="8"/>
        <color rgb="FF000000"/>
        <rFont val="Arial"/>
        <family val="2"/>
      </rPr>
      <t>2</t>
    </r>
    <r>
      <rPr>
        <sz val="8"/>
        <color rgb="FF000000"/>
        <rFont val="Arial"/>
        <family val="2"/>
      </rPr>
      <t xml:space="preserve"> 2019 water intensity data includes former Goldcorp sites' full 2019 figures (rather than post-acquisition figures only) to provide greater year-over-year comparability. In addition to gold equivalent ounces, The methodology used to estimate comparable intensity-based revenues figures for pre-acquisition Goldcorp sites from Jan 1 to April 17</t>
    </r>
    <r>
      <rPr>
        <sz val="8"/>
        <color rgb="FF000000"/>
        <rFont val="Arial"/>
        <family val="2"/>
      </rPr>
      <t xml:space="preserve">, 2019 </t>
    </r>
    <r>
      <rPr>
        <sz val="8"/>
        <color rgb="FF000000"/>
        <rFont val="Arial"/>
        <family val="2"/>
      </rPr>
      <t>include adjustments to align former Goldcorp revenues with U.S. GAAP.  Newmont began reporting multiple intensity-based denominators (GEO, ore processes and revenues) in 2019; prior years are not reported (N/R), but may be updated in future disclosures.</t>
    </r>
  </si>
  <si>
    <t>Water-related risk by site</t>
  </si>
  <si>
    <t>Climate conditions</t>
  </si>
  <si>
    <r>
      <rPr>
        <b/>
        <sz val="10"/>
        <color rgb="FF000000"/>
        <rFont val="Arial"/>
        <family val="2"/>
      </rPr>
      <t>Water sources</t>
    </r>
    <r>
      <rPr>
        <b/>
        <vertAlign val="superscript"/>
        <sz val="10"/>
        <color rgb="FF000000"/>
        <rFont val="Arial"/>
        <family val="2"/>
      </rPr>
      <t>1</t>
    </r>
  </si>
  <si>
    <r>
      <rPr>
        <b/>
        <sz val="10"/>
        <color rgb="FF000000"/>
        <rFont val="Arial"/>
        <family val="2"/>
      </rPr>
      <t>Risk: Water stress</t>
    </r>
    <r>
      <rPr>
        <b/>
        <vertAlign val="superscript"/>
        <sz val="10"/>
        <color rgb="FF000000"/>
        <rFont val="Arial"/>
        <family val="2"/>
      </rPr>
      <t>2</t>
    </r>
  </si>
  <si>
    <t>Risk: Water quality</t>
  </si>
  <si>
    <t>Risk: Excess water</t>
  </si>
  <si>
    <r>
      <rPr>
        <b/>
        <sz val="10"/>
        <color rgb="FF000000"/>
        <rFont val="Arial"/>
        <family val="2"/>
      </rPr>
      <t>Risk: Watershed challenges</t>
    </r>
    <r>
      <rPr>
        <b/>
        <vertAlign val="superscript"/>
        <sz val="10"/>
        <color rgb="FF000000"/>
        <rFont val="Arial"/>
        <family val="2"/>
      </rPr>
      <t>3</t>
    </r>
  </si>
  <si>
    <t>Humid</t>
  </si>
  <si>
    <t>SW, GW</t>
  </si>
  <si>
    <t>X</t>
  </si>
  <si>
    <t>GW</t>
  </si>
  <si>
    <r>
      <rPr>
        <sz val="10"/>
        <color rgb="FF000000"/>
        <rFont val="Arial"/>
        <family val="2"/>
      </rPr>
      <t>Boddington</t>
    </r>
    <r>
      <rPr>
        <vertAlign val="superscript"/>
        <sz val="10"/>
        <color rgb="FF000000"/>
        <rFont val="Arial"/>
        <family val="2"/>
      </rPr>
      <t>2</t>
    </r>
  </si>
  <si>
    <t>Semi-arid</t>
  </si>
  <si>
    <t>Arid</t>
  </si>
  <si>
    <t>GW, MW</t>
  </si>
  <si>
    <t>Moderate precipitation</t>
  </si>
  <si>
    <t>MW</t>
  </si>
  <si>
    <t>Low to moderate precipitation</t>
  </si>
  <si>
    <t>SW, GW, MW</t>
  </si>
  <si>
    <t>Moderate precipitation with a distinct dry season</t>
  </si>
  <si>
    <r>
      <rPr>
        <vertAlign val="superscript"/>
        <sz val="8"/>
        <color rgb="FF000000"/>
        <rFont val="Arial"/>
        <family val="2"/>
      </rPr>
      <t>1</t>
    </r>
    <r>
      <rPr>
        <sz val="8"/>
        <color rgb="FF000000"/>
        <rFont val="Arial"/>
        <family val="2"/>
      </rPr>
      <t xml:space="preserve"> Water sources are defined as groundwater (GW), surface water (SW), and municipal / third-party water (MW).
</t>
    </r>
    <r>
      <rPr>
        <vertAlign val="superscript"/>
        <sz val="8"/>
        <color rgb="FF000000"/>
        <rFont val="Arial"/>
        <family val="2"/>
      </rPr>
      <t>2</t>
    </r>
    <r>
      <rPr>
        <sz val="8"/>
        <color rgb="FF000000"/>
        <rFont val="Arial"/>
        <family val="2"/>
      </rPr>
      <t xml:space="preserve"> Water stress is considered the baseline water stress as defined by the World Business Council for Sustainable Development (WBCSD) Water tool and/or the World Resources Institute (WRI) Aqueduct tool. The tools do not incorporate factors such as interannual variability in their assessments of water stress. For example, interannual variability for parts of Australia, South America and North America can also increase the risk of water stress; Boddington can have years of baseline water stress or excess water in wet years that may not be reflected in the WBCSD/WRI water stress assessments.
</t>
    </r>
    <r>
      <rPr>
        <vertAlign val="superscript"/>
        <sz val="8"/>
        <color rgb="FF000000"/>
        <rFont val="Arial"/>
        <family val="2"/>
      </rPr>
      <t>3</t>
    </r>
    <r>
      <rPr>
        <sz val="8"/>
        <color rgb="FF000000"/>
        <rFont val="Arial"/>
        <family val="2"/>
      </rPr>
      <t xml:space="preserve"> A 2018-2019 collaborative initiative between Newmont and WRI evaluated watershed stewardship challenges to identify watersheds where Newmont operates that have minimal or no multi-stakeholder watershed-level collaboration and/or governance in place.</t>
    </r>
  </si>
  <si>
    <r>
      <rPr>
        <b/>
        <sz val="10"/>
        <color rgb="FF000000"/>
        <rFont val="Arial"/>
        <family val="2"/>
      </rPr>
      <t>2019 Estimated site-level waste rock generated by type (</t>
    </r>
    <r>
      <rPr>
        <b/>
        <sz val="10"/>
        <color rgb="FF000000"/>
        <rFont val="Arial"/>
        <family val="2"/>
      </rPr>
      <t>metric tonnes)</t>
    </r>
    <r>
      <rPr>
        <b/>
        <vertAlign val="superscript"/>
        <sz val="10"/>
        <color rgb="FF000000"/>
        <rFont val="Arial"/>
        <family val="2"/>
      </rPr>
      <t>1</t>
    </r>
  </si>
  <si>
    <t>Acid generating/metal leaching</t>
  </si>
  <si>
    <t>Non-acid generating/non-metal leaching</t>
  </si>
  <si>
    <r>
      <rPr>
        <vertAlign val="superscript"/>
        <sz val="8"/>
        <color rgb="FF000000"/>
        <rFont val="Arial"/>
        <family val="2"/>
      </rPr>
      <t>1</t>
    </r>
    <r>
      <rPr>
        <sz val="8"/>
        <color rgb="FF000000"/>
        <rFont val="Arial"/>
        <family val="2"/>
      </rPr>
      <t xml:space="preserve"> GRI Standards disclosure GRI 306-2: Waste by type and disposal method; SASB Metals &amp; Mining Sustainability Accounting Standard disclosure EM-MM-150a.2: Total weight of mineral processing waste.</t>
    </r>
  </si>
  <si>
    <t>Elemental mercury</t>
  </si>
  <si>
    <r>
      <rPr>
        <b/>
        <sz val="10"/>
        <color rgb="FF000000"/>
        <rFont val="Arial"/>
        <family val="2"/>
      </rPr>
      <t>Mercuric chloride</t>
    </r>
    <r>
      <rPr>
        <b/>
        <vertAlign val="superscript"/>
        <sz val="10"/>
        <color rgb="FF000000"/>
        <rFont val="Arial"/>
        <family val="2"/>
      </rPr>
      <t>2</t>
    </r>
  </si>
  <si>
    <r>
      <rPr>
        <b/>
        <sz val="10"/>
        <color rgb="FF000000"/>
        <rFont val="Arial"/>
        <family val="2"/>
      </rPr>
      <t>Mercury-tainted carbon</t>
    </r>
    <r>
      <rPr>
        <b/>
        <vertAlign val="superscript"/>
        <sz val="10"/>
        <color rgb="FF000000"/>
        <rFont val="Arial"/>
        <family val="2"/>
      </rPr>
      <t>2</t>
    </r>
  </si>
  <si>
    <r>
      <rPr>
        <b/>
        <sz val="10"/>
        <color rgb="FF000000"/>
        <rFont val="Arial"/>
        <family val="2"/>
      </rPr>
      <t>Mercury-contaminated sludge</t>
    </r>
    <r>
      <rPr>
        <b/>
        <vertAlign val="superscript"/>
        <sz val="10"/>
        <color rgb="FF000000"/>
        <rFont val="Arial"/>
        <family val="2"/>
      </rPr>
      <t>2</t>
    </r>
  </si>
  <si>
    <r>
      <rPr>
        <b/>
        <sz val="10"/>
        <color rgb="FF000000"/>
        <rFont val="Arial"/>
        <family val="2"/>
      </rPr>
      <t>Other mercury-related waste</t>
    </r>
    <r>
      <rPr>
        <b/>
        <vertAlign val="superscript"/>
        <sz val="10"/>
        <color rgb="FF000000"/>
        <rFont val="Arial"/>
        <family val="2"/>
      </rPr>
      <t>2</t>
    </r>
  </si>
  <si>
    <r>
      <rPr>
        <b/>
        <sz val="10"/>
        <color rgb="FF000000"/>
        <rFont val="Arial"/>
        <family val="2"/>
      </rPr>
      <t>2019 Estimated site-level hazardous waste by site and disposal method (metric tonnes)</t>
    </r>
    <r>
      <rPr>
        <b/>
        <vertAlign val="superscript"/>
        <sz val="10"/>
        <color rgb="FF000000"/>
        <rFont val="Arial"/>
        <family val="2"/>
      </rPr>
      <t>1</t>
    </r>
  </si>
  <si>
    <t>Reused</t>
  </si>
  <si>
    <t>Recycled</t>
  </si>
  <si>
    <t>Composted</t>
  </si>
  <si>
    <t>Recovered, including energy recovery</t>
  </si>
  <si>
    <t>Incinerated (mass burn)</t>
  </si>
  <si>
    <t>Deep well injection</t>
  </si>
  <si>
    <t>Landfill</t>
  </si>
  <si>
    <t>On-site storage</t>
  </si>
  <si>
    <t>Other</t>
  </si>
  <si>
    <t>Total hazardous waste disposed</t>
  </si>
  <si>
    <r>
      <rPr>
        <vertAlign val="superscript"/>
        <sz val="9"/>
        <color rgb="FF000000"/>
        <rFont val="Arial"/>
        <family val="2"/>
      </rPr>
      <t xml:space="preserve">1 </t>
    </r>
    <r>
      <rPr>
        <sz val="9"/>
        <color rgb="FF000000"/>
        <rFont val="Arial"/>
        <family val="2"/>
      </rPr>
      <t>GRI Standards disclosure GRI 306-2: Waste by type and disposal method.</t>
    </r>
  </si>
  <si>
    <r>
      <rPr>
        <b/>
        <sz val="10"/>
        <color rgb="FF000000"/>
        <rFont val="Arial"/>
        <family val="2"/>
      </rPr>
      <t>2019 Estimated site-level non-hazardous waste by site and disposal method (metric tonnes)</t>
    </r>
    <r>
      <rPr>
        <b/>
        <vertAlign val="superscript"/>
        <sz val="10"/>
        <color rgb="FF000000"/>
        <rFont val="Arial"/>
        <family val="2"/>
      </rPr>
      <t>1</t>
    </r>
  </si>
  <si>
    <r>
      <rPr>
        <b/>
        <sz val="10"/>
        <color rgb="FF000000"/>
        <rFont val="Arial"/>
        <family val="2"/>
      </rPr>
      <t>Recycled</t>
    </r>
    <r>
      <rPr>
        <b/>
        <vertAlign val="superscript"/>
        <sz val="10"/>
        <color rgb="FF000000"/>
        <rFont val="Arial"/>
        <family val="2"/>
      </rPr>
      <t>2</t>
    </r>
  </si>
  <si>
    <t>Total non-hazardous waste disposed</t>
  </si>
  <si>
    <r>
      <rPr>
        <vertAlign val="superscript"/>
        <sz val="9"/>
        <color rgb="FF000000"/>
        <rFont val="Arial"/>
        <family val="2"/>
      </rPr>
      <t>1</t>
    </r>
    <r>
      <rPr>
        <sz val="9"/>
        <color rgb="FF000000"/>
        <rFont val="Arial"/>
        <family val="2"/>
      </rPr>
      <t xml:space="preserve"> GRI Standards disclosure GRI 306-2: Waste by type and disposal method. 
</t>
    </r>
    <r>
      <rPr>
        <vertAlign val="superscript"/>
        <sz val="9"/>
        <color rgb="FF000000"/>
        <rFont val="Arial"/>
        <family val="2"/>
      </rPr>
      <t>2</t>
    </r>
    <r>
      <rPr>
        <sz val="9"/>
        <color rgb="FF000000"/>
        <rFont val="Arial"/>
        <family val="2"/>
      </rPr>
      <t xml:space="preserve"> The estimated 2019 recycled data for the Ahafo site is based on 2018 recycling figures.</t>
    </r>
  </si>
  <si>
    <r>
      <rPr>
        <b/>
        <sz val="10"/>
        <color rgb="FF000000"/>
        <rFont val="Arial"/>
        <family val="2"/>
      </rPr>
      <t>Estimated waste</t>
    </r>
    <r>
      <rPr>
        <b/>
        <sz val="10"/>
        <color rgb="FF000000"/>
        <rFont val="Arial"/>
        <family val="2"/>
      </rPr>
      <t xml:space="preserve"> generated by type</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r>
      <rPr>
        <b/>
        <vertAlign val="superscript"/>
        <sz val="10"/>
        <color rgb="FF000000"/>
        <rFont val="Arial"/>
        <family val="2"/>
      </rPr>
      <t>, 2</t>
    </r>
  </si>
  <si>
    <t>Total waste rock generated
(million tonnes)</t>
  </si>
  <si>
    <t>Total tailings generated (million tonnes)</t>
  </si>
  <si>
    <t>Total hazardous waste generated (thousand tonnes)</t>
  </si>
  <si>
    <t>Total non-hazardous waste generated (thousand tonnes)</t>
  </si>
  <si>
    <t>Elemental mercury (Hg)</t>
  </si>
  <si>
    <r>
      <rPr>
        <vertAlign val="superscript"/>
        <sz val="9"/>
        <color rgb="FF000000"/>
        <rFont val="Arial"/>
        <family val="2"/>
      </rPr>
      <t>1</t>
    </r>
    <r>
      <rPr>
        <sz val="9"/>
        <color rgb="FF000000"/>
        <rFont val="Arial"/>
        <family val="2"/>
      </rPr>
      <t xml:space="preserve"> GRI Standards disclosure GRI 306-2: Waste by type and disposal method; GRI Metals &amp; Mining sector supplement disclosure MM3: Total amounts of overburden, rock, tailings, and sludges and their associated risks; SASB Metals &amp; Mining Sustainability Accounting Standard disclosure EM-MM-150a.1: Total weight of taillings waste, and EM-MM-150a.2: Total weight of minteral processing waste. 
</t>
    </r>
    <r>
      <rPr>
        <vertAlign val="superscript"/>
        <sz val="9"/>
        <color rgb="FF000000"/>
        <rFont val="Arial"/>
        <family val="2"/>
      </rPr>
      <t>2</t>
    </r>
    <r>
      <rPr>
        <sz val="9"/>
        <color rgb="FF000000"/>
        <rFont val="Arial"/>
        <family val="2"/>
      </rPr>
      <t xml:space="preserve"> For a 2019 site-level breakout of tailings, reference the 2019 Site-level tailings by type data table in the Tailings Management section of the Performance Data tables.</t>
    </r>
  </si>
  <si>
    <r>
      <rPr>
        <b/>
        <sz val="10"/>
        <color rgb="FF000000"/>
        <rFont val="Arial"/>
        <family val="2"/>
      </rPr>
      <t xml:space="preserve">Rapid Response </t>
    </r>
    <r>
      <rPr>
        <b/>
        <sz val="10"/>
        <color rgb="FF000000"/>
        <rFont val="Arial"/>
        <family val="2"/>
      </rPr>
      <t>performance data</t>
    </r>
    <r>
      <rPr>
        <b/>
        <sz val="10"/>
        <color rgb="FF000000"/>
        <rFont val="Arial"/>
        <family val="2"/>
      </rPr>
      <t xml:space="preserve"> 2019: Site level</t>
    </r>
    <r>
      <rPr>
        <b/>
        <vertAlign val="superscript"/>
        <sz val="10"/>
        <color rgb="FF000000"/>
        <rFont val="Arial"/>
        <family val="2"/>
      </rPr>
      <t>1</t>
    </r>
  </si>
  <si>
    <r>
      <rPr>
        <b/>
        <sz val="10"/>
        <color rgb="FF000000"/>
        <rFont val="Arial"/>
        <family val="2"/>
      </rPr>
      <t>Country/Site</t>
    </r>
    <r>
      <rPr>
        <b/>
        <vertAlign val="superscript"/>
        <sz val="10"/>
        <color rgb="FF000000"/>
        <rFont val="Arial"/>
        <family val="2"/>
      </rPr>
      <t>2</t>
    </r>
  </si>
  <si>
    <r>
      <rPr>
        <b/>
        <sz val="10"/>
        <color rgb="FF000000"/>
        <rFont val="Arial"/>
        <family val="2"/>
      </rPr>
      <t xml:space="preserve">No. </t>
    </r>
    <r>
      <rPr>
        <b/>
        <sz val="10"/>
        <color rgb="FF000000"/>
        <rFont val="Arial"/>
        <family val="2"/>
      </rPr>
      <t>e</t>
    </r>
    <r>
      <rPr>
        <b/>
        <sz val="10"/>
        <color rgb="FF000000"/>
        <rFont val="Arial"/>
        <family val="2"/>
      </rPr>
      <t xml:space="preserve">mergency response </t>
    </r>
    <r>
      <rPr>
        <b/>
        <sz val="10"/>
        <color rgb="FF000000"/>
        <rFont val="Arial"/>
        <family val="2"/>
      </rPr>
      <t>simulations and trainings</t>
    </r>
    <r>
      <rPr>
        <b/>
        <vertAlign val="superscript"/>
        <sz val="10"/>
        <color rgb="FF000000"/>
        <rFont val="Arial"/>
        <family val="2"/>
      </rPr>
      <t>3</t>
    </r>
  </si>
  <si>
    <t>No. Rapid Response team members at this location</t>
  </si>
  <si>
    <t>Accra</t>
  </si>
  <si>
    <t>Miami</t>
  </si>
  <si>
    <t>Vancouver</t>
  </si>
  <si>
    <t>OTHER</t>
  </si>
  <si>
    <t>Legacy/Exploration</t>
  </si>
  <si>
    <r>
      <rPr>
        <vertAlign val="superscript"/>
        <sz val="8"/>
        <color rgb="FF000000"/>
        <rFont val="Arial"/>
        <family val="2"/>
      </rPr>
      <t xml:space="preserve">1 </t>
    </r>
    <r>
      <rPr>
        <sz val="8"/>
        <color rgb="FF000000"/>
        <rFont val="Arial"/>
        <family val="2"/>
      </rPr>
      <t>Newmon</t>
    </r>
    <r>
      <rPr>
        <sz val="8"/>
        <color rgb="FF000000"/>
        <rFont val="Arial"/>
        <family val="2"/>
      </rPr>
      <t xml:space="preserve">t </t>
    </r>
    <r>
      <rPr>
        <sz val="8"/>
        <color rgb="FF000000"/>
        <rFont val="Arial"/>
        <family val="2"/>
      </rPr>
      <t>crisis management KPI</t>
    </r>
    <r>
      <rPr>
        <sz val="8"/>
        <color rgb="FF000000"/>
        <rFont val="Arial"/>
        <family val="2"/>
      </rPr>
      <t>: NEM Crisis Management</t>
    </r>
    <r>
      <rPr>
        <sz val="8"/>
        <color rgb="FF000000"/>
        <rFont val="Arial"/>
        <family val="2"/>
      </rPr>
      <t>.</t>
    </r>
    <r>
      <rPr>
        <sz val="8"/>
        <color rgb="FF000000"/>
        <rFont val="Arial"/>
        <family val="2"/>
      </rPr>
      <t xml:space="preserve"> </t>
    </r>
    <r>
      <rPr>
        <sz val="8"/>
        <color rgb="FF000000"/>
        <rFont val="Arial"/>
        <family val="2"/>
      </rPr>
      <t xml:space="preserve">Activities related to the COVID-19 pandemic occurred in 2020 and are not reflected in the </t>
    </r>
    <r>
      <rPr>
        <sz val="8"/>
        <color rgb="FF000000"/>
        <rFont val="Arial"/>
        <family val="2"/>
      </rPr>
      <t xml:space="preserve">2019 </t>
    </r>
    <r>
      <rPr>
        <sz val="8"/>
        <color rgb="FF000000"/>
        <rFont val="Arial"/>
        <family val="2"/>
      </rPr>
      <t xml:space="preserve">figures above. </t>
    </r>
    <r>
      <rPr>
        <sz val="8"/>
        <color rgb="FF000000"/>
        <rFont val="Arial"/>
        <family val="2"/>
      </rPr>
      <t>In future years, Newmont plans to report according to the SASB Metals and Mining Sustainability Accounting Standard EM-MM-320.a: Average hours of emerge</t>
    </r>
    <r>
      <rPr>
        <sz val="8"/>
        <color rgb="FF000000"/>
        <rFont val="Arial"/>
        <family val="2"/>
      </rPr>
      <t>ncy response training for full time and contract emplo</t>
    </r>
    <r>
      <rPr>
        <sz val="8"/>
        <color rgb="FF000000"/>
        <rFont val="Arial"/>
        <family val="2"/>
      </rPr>
      <t xml:space="preserve">yees. 
</t>
    </r>
    <r>
      <rPr>
        <vertAlign val="superscript"/>
        <sz val="8"/>
        <color rgb="FF000000"/>
        <rFont val="Arial"/>
        <family val="2"/>
      </rPr>
      <t>2</t>
    </r>
    <r>
      <rPr>
        <vertAlign val="superscript"/>
        <sz val="8"/>
        <color rgb="FF000000"/>
        <rFont val="Arial"/>
        <family val="2"/>
      </rPr>
      <t xml:space="preserve"> </t>
    </r>
    <r>
      <rPr>
        <sz val="8"/>
        <color rgb="FF000000"/>
        <rFont val="Arial"/>
        <family val="2"/>
      </rPr>
      <t>Non-</t>
    </r>
    <r>
      <rPr>
        <sz val="8"/>
        <color rgb="FF000000"/>
        <rFont val="Arial"/>
        <family val="2"/>
      </rPr>
      <t>mine sites</t>
    </r>
    <r>
      <rPr>
        <sz val="8"/>
        <color rgb="FF000000"/>
        <rFont val="Arial"/>
        <family val="2"/>
      </rPr>
      <t xml:space="preserve"> are</t>
    </r>
    <r>
      <rPr>
        <sz val="8"/>
        <color rgb="FF000000"/>
        <rFont val="Arial"/>
        <family val="2"/>
      </rPr>
      <t xml:space="preserve">: Accra, Africa regional headquarters; </t>
    </r>
    <r>
      <rPr>
        <sz val="8"/>
        <color rgb="FF000000"/>
        <rFont val="Arial"/>
        <family val="2"/>
      </rPr>
      <t>Denver, Colorado (U</t>
    </r>
    <r>
      <rPr>
        <sz val="8"/>
        <color rgb="FF000000"/>
        <rFont val="Arial"/>
        <family val="2"/>
      </rPr>
      <t>.S.) corporate headquarters a</t>
    </r>
    <r>
      <rPr>
        <sz val="8"/>
        <color rgb="FF000000"/>
        <rFont val="Arial"/>
        <family val="2"/>
      </rPr>
      <t xml:space="preserve">nd metallurgy lab; </t>
    </r>
    <r>
      <rPr>
        <sz val="8"/>
        <color rgb="FF000000"/>
        <rFont val="Arial"/>
        <family val="2"/>
      </rPr>
      <t xml:space="preserve">Perth, Australia regional headquarters; </t>
    </r>
    <r>
      <rPr>
        <sz val="8"/>
        <color rgb="FF000000"/>
        <rFont val="Arial"/>
        <family val="2"/>
      </rPr>
      <t>Miami, South America regional office; Vancouver, North America regional office</t>
    </r>
    <r>
      <rPr>
        <sz val="8"/>
        <color rgb="FF000000"/>
        <rFont val="Arial"/>
        <family val="2"/>
      </rPr>
      <t xml:space="preserve">.
</t>
    </r>
    <r>
      <rPr>
        <vertAlign val="superscript"/>
        <sz val="8"/>
        <color rgb="FF000000"/>
        <rFont val="Arial"/>
        <family val="2"/>
      </rPr>
      <t>3</t>
    </r>
    <r>
      <rPr>
        <sz val="8"/>
        <color rgb="FF000000"/>
        <rFont val="Arial"/>
        <family val="2"/>
      </rPr>
      <t xml:space="preserve"> </t>
    </r>
    <r>
      <rPr>
        <sz val="8"/>
        <color rgb="FF000000"/>
        <rFont val="Arial"/>
        <family val="2"/>
      </rPr>
      <t xml:space="preserve">Of the </t>
    </r>
    <r>
      <rPr>
        <sz val="8"/>
        <color rgb="FF000000"/>
        <rFont val="Arial"/>
        <family val="2"/>
      </rPr>
      <t>21</t>
    </r>
    <r>
      <rPr>
        <sz val="8"/>
        <color rgb="FF000000"/>
        <rFont val="Arial"/>
        <family val="2"/>
      </rPr>
      <t xml:space="preserve"> </t>
    </r>
    <r>
      <rPr>
        <sz val="8"/>
        <color rgb="FF000000"/>
        <rFont val="Arial"/>
        <family val="2"/>
      </rPr>
      <t>e</t>
    </r>
    <r>
      <rPr>
        <sz val="8"/>
        <color rgb="FF000000"/>
        <rFont val="Arial"/>
        <family val="2"/>
      </rPr>
      <t>mer</t>
    </r>
    <r>
      <rPr>
        <sz val="8"/>
        <color rgb="FF000000"/>
        <rFont val="Arial"/>
        <family val="2"/>
      </rPr>
      <t>gency prep</t>
    </r>
    <r>
      <rPr>
        <sz val="8"/>
        <color rgb="FF000000"/>
        <rFont val="Arial"/>
        <family val="2"/>
      </rPr>
      <t xml:space="preserve">aredness trainings </t>
    </r>
    <r>
      <rPr>
        <sz val="8"/>
        <color rgb="FF000000"/>
        <rFont val="Arial"/>
        <family val="2"/>
      </rPr>
      <t>and/or simulations</t>
    </r>
    <r>
      <rPr>
        <sz val="8"/>
        <color rgb="FF000000"/>
        <rFont val="Arial"/>
        <family val="2"/>
      </rPr>
      <t xml:space="preserve"> </t>
    </r>
    <r>
      <rPr>
        <sz val="8"/>
        <color rgb="FF000000"/>
        <rFont val="Arial"/>
        <family val="2"/>
      </rPr>
      <t xml:space="preserve">held in 2019, two were </t>
    </r>
    <r>
      <rPr>
        <sz val="8"/>
        <color rgb="FF000000"/>
        <rFont val="Arial"/>
        <family val="2"/>
      </rPr>
      <t>specific to tailings facility failures</t>
    </r>
    <r>
      <rPr>
        <sz val="8"/>
        <color rgb="FF000000"/>
        <rFont val="Arial"/>
        <family val="2"/>
      </rPr>
      <t>; these took place</t>
    </r>
    <r>
      <rPr>
        <sz val="8"/>
        <color rgb="FF000000"/>
        <rFont val="Arial"/>
        <family val="2"/>
      </rPr>
      <t xml:space="preserve"> </t>
    </r>
    <r>
      <rPr>
        <sz val="8"/>
        <color rgb="FF000000"/>
        <rFont val="Arial"/>
        <family val="2"/>
      </rPr>
      <t xml:space="preserve">in </t>
    </r>
    <r>
      <rPr>
        <sz val="8"/>
        <color rgb="FF000000"/>
        <rFont val="Arial"/>
        <family val="2"/>
      </rPr>
      <t>Ghana</t>
    </r>
    <r>
      <rPr>
        <sz val="8"/>
        <color rgb="FF000000"/>
        <rFont val="Arial"/>
        <family val="2"/>
      </rPr>
      <t>'s</t>
    </r>
    <r>
      <rPr>
        <sz val="8"/>
        <color rgb="FF000000"/>
        <rFont val="Arial"/>
        <family val="2"/>
      </rPr>
      <t xml:space="preserve"> </t>
    </r>
    <r>
      <rPr>
        <sz val="8"/>
        <color rgb="FF000000"/>
        <rFont val="Arial"/>
        <family val="2"/>
      </rPr>
      <t xml:space="preserve">Accra </t>
    </r>
    <r>
      <rPr>
        <sz val="8"/>
        <color rgb="FF000000"/>
        <rFont val="Arial"/>
        <family val="2"/>
      </rPr>
      <t xml:space="preserve">regional office </t>
    </r>
    <r>
      <rPr>
        <sz val="8"/>
        <color rgb="FF000000"/>
        <rFont val="Arial"/>
        <family val="2"/>
      </rPr>
      <t>and Aky</t>
    </r>
    <r>
      <rPr>
        <sz val="8"/>
        <color rgb="FF000000"/>
        <rFont val="Arial"/>
        <family val="2"/>
      </rPr>
      <t xml:space="preserve">em </t>
    </r>
    <r>
      <rPr>
        <sz val="8"/>
        <color rgb="FF000000"/>
        <rFont val="Arial"/>
        <family val="2"/>
      </rPr>
      <t>mine site</t>
    </r>
    <r>
      <rPr>
        <sz val="8"/>
        <color rgb="FF000000"/>
        <rFont val="Arial"/>
        <family val="2"/>
      </rPr>
      <t xml:space="preserve">.
</t>
    </r>
    <r>
      <rPr>
        <vertAlign val="superscript"/>
        <sz val="8"/>
        <color rgb="FF000000"/>
        <rFont val="Arial"/>
        <family val="2"/>
      </rPr>
      <t/>
    </r>
  </si>
  <si>
    <r>
      <rPr>
        <b/>
        <sz val="10"/>
        <color rgb="FF000000"/>
        <rFont val="Arial"/>
        <family val="2"/>
      </rPr>
      <t>Employee-only safety rate</t>
    </r>
    <r>
      <rPr>
        <b/>
        <sz val="10"/>
        <color rgb="FF000000"/>
        <rFont val="Arial"/>
        <family val="2"/>
      </rPr>
      <t>s</t>
    </r>
    <r>
      <rPr>
        <b/>
        <sz val="10"/>
        <color rgb="FF000000"/>
        <rFont val="Arial"/>
        <family val="2"/>
      </rPr>
      <t>: Trailing five year da</t>
    </r>
    <r>
      <rPr>
        <b/>
        <sz val="10"/>
        <color rgb="FF000000"/>
        <rFont val="Arial"/>
        <family val="2"/>
      </rPr>
      <t>ta</t>
    </r>
    <r>
      <rPr>
        <b/>
        <vertAlign val="superscript"/>
        <sz val="10"/>
        <color rgb="FF000000"/>
        <rFont val="Arial"/>
        <family val="2"/>
      </rPr>
      <t>1</t>
    </r>
    <r>
      <rPr>
        <b/>
        <vertAlign val="superscript"/>
        <sz val="10"/>
        <color rgb="FF000000"/>
        <rFont val="Arial"/>
        <family val="2"/>
      </rPr>
      <t>, 2</t>
    </r>
    <r>
      <rPr>
        <b/>
        <vertAlign val="superscript"/>
        <sz val="10"/>
        <color rgb="FF000000"/>
        <rFont val="Arial"/>
        <family val="2"/>
      </rPr>
      <t>, 3</t>
    </r>
  </si>
  <si>
    <t>LTIFR</t>
  </si>
  <si>
    <t>TRIFR</t>
  </si>
  <si>
    <t>OIFR</t>
  </si>
  <si>
    <r>
      <rPr>
        <b/>
        <sz val="10"/>
        <color rgb="FF000000"/>
        <rFont val="Arial"/>
        <family val="2"/>
      </rPr>
      <t>Employee</t>
    </r>
    <r>
      <rPr>
        <b/>
        <sz val="10"/>
        <color rgb="FF000000"/>
        <rFont val="Arial"/>
        <family val="2"/>
      </rPr>
      <t xml:space="preserve">-only safety data 2019: </t>
    </r>
    <r>
      <rPr>
        <b/>
        <sz val="10"/>
        <color rgb="FF000000"/>
        <rFont val="Arial"/>
        <family val="2"/>
      </rPr>
      <t>S</t>
    </r>
    <r>
      <rPr>
        <b/>
        <sz val="10"/>
        <color rgb="FF000000"/>
        <rFont val="Arial"/>
        <family val="2"/>
      </rPr>
      <t>ite level</t>
    </r>
    <r>
      <rPr>
        <b/>
        <vertAlign val="superscript"/>
        <sz val="10"/>
        <color rgb="FF000000"/>
        <rFont val="Arial"/>
        <family val="2"/>
      </rPr>
      <t>1</t>
    </r>
    <r>
      <rPr>
        <b/>
        <vertAlign val="superscript"/>
        <sz val="10"/>
        <color rgb="FF000000"/>
        <rFont val="Arial"/>
        <family val="2"/>
      </rPr>
      <t>, 2</t>
    </r>
  </si>
  <si>
    <t>Exposure hours</t>
  </si>
  <si>
    <t>Fatalities</t>
  </si>
  <si>
    <t>Restricted work injuries</t>
  </si>
  <si>
    <t>Medical treatment injuries</t>
  </si>
  <si>
    <t>Lost day injuries</t>
  </si>
  <si>
    <t>LTIFR
(lost time)</t>
  </si>
  <si>
    <t>TRIFR
(Total recordable)</t>
  </si>
  <si>
    <t>Recordable illnesses</t>
  </si>
  <si>
    <t>OIFR (occupational illness)</t>
  </si>
  <si>
    <t>Africa</t>
  </si>
  <si>
    <t>Accra - regional office</t>
  </si>
  <si>
    <t>Ahafo North project</t>
  </si>
  <si>
    <t>Perth - regional office</t>
  </si>
  <si>
    <t>Exploration</t>
  </si>
  <si>
    <t>Projects</t>
  </si>
  <si>
    <t>Legacy sites</t>
  </si>
  <si>
    <t>Denver - headquarters</t>
  </si>
  <si>
    <t>Denver - metallurgy lab</t>
  </si>
  <si>
    <t>Nevada mining complex</t>
  </si>
  <si>
    <t xml:space="preserve">Miami - regional office </t>
  </si>
  <si>
    <t>Vancouver - regional office</t>
  </si>
  <si>
    <t>North America</t>
  </si>
  <si>
    <t>South America</t>
  </si>
  <si>
    <r>
      <rPr>
        <b/>
        <sz val="10"/>
        <color rgb="FF000000"/>
        <rFont val="Arial"/>
        <family val="2"/>
      </rPr>
      <t>Contractor</t>
    </r>
    <r>
      <rPr>
        <b/>
        <sz val="10"/>
        <color rgb="FF000000"/>
        <rFont val="Arial"/>
        <family val="2"/>
      </rPr>
      <t>-only safety rates: Trailing five year data</t>
    </r>
    <r>
      <rPr>
        <b/>
        <vertAlign val="superscript"/>
        <sz val="10"/>
        <color rgb="FF000000"/>
        <rFont val="Arial"/>
        <family val="2"/>
      </rPr>
      <t>1, 2</t>
    </r>
    <r>
      <rPr>
        <b/>
        <vertAlign val="superscript"/>
        <sz val="10"/>
        <color rgb="FF000000"/>
        <rFont val="Arial"/>
        <family val="2"/>
      </rPr>
      <t>, 3</t>
    </r>
  </si>
  <si>
    <r>
      <rPr>
        <vertAlign val="superscript"/>
        <sz val="8"/>
        <color rgb="FF000000"/>
        <rFont val="Arial"/>
        <family val="2"/>
      </rPr>
      <t xml:space="preserve">1 </t>
    </r>
    <r>
      <rPr>
        <sz val="8"/>
        <color rgb="FF000000"/>
        <rFont val="Arial"/>
        <family val="2"/>
      </rPr>
      <t xml:space="preserve">GRI Standards disclosures </t>
    </r>
    <r>
      <rPr>
        <sz val="8"/>
        <color rgb="FF000000"/>
        <rFont val="Arial"/>
        <family val="2"/>
      </rPr>
      <t>GRI 403-9</t>
    </r>
    <r>
      <rPr>
        <sz val="8"/>
        <color rgb="FF000000"/>
        <rFont val="Arial"/>
        <family val="2"/>
      </rPr>
      <t>:</t>
    </r>
    <r>
      <rPr>
        <sz val="8"/>
        <color rgb="FF000000"/>
        <rFont val="Arial"/>
        <family val="2"/>
      </rPr>
      <t xml:space="preserve"> Work-related injuries and GRI 403-2: Types of injury and rates of injury, occupational diseases, lost days, and absenteeism, and number of work-related fatalities. 
</t>
    </r>
    <r>
      <rPr>
        <vertAlign val="superscript"/>
        <sz val="8"/>
        <color rgb="FF000000"/>
        <rFont val="Arial"/>
        <family val="2"/>
      </rPr>
      <t xml:space="preserve">2 </t>
    </r>
    <r>
      <rPr>
        <sz val="8"/>
        <color rgb="FF000000"/>
        <rFont val="Arial"/>
        <family val="2"/>
      </rPr>
      <t xml:space="preserve">OIFR rates include illnesses related to airborne agents as well as noise-induced hearing loss (NIHL), infectious diseases (such as malaria, tuberculosis and dengue fever) and musculoskeletal disorders). 
</t>
    </r>
    <r>
      <rPr>
        <vertAlign val="superscript"/>
        <sz val="8"/>
        <color rgb="FF000000"/>
        <rFont val="Arial"/>
        <family val="2"/>
      </rPr>
      <t xml:space="preserve">3 </t>
    </r>
    <r>
      <rPr>
        <sz val="8"/>
        <color rgb="FF000000"/>
        <rFont val="Arial"/>
        <family val="2"/>
      </rPr>
      <t>2019 data</t>
    </r>
    <r>
      <rPr>
        <sz val="8"/>
        <color rgb="FF000000"/>
        <rFont val="Arial"/>
        <family val="2"/>
      </rPr>
      <t xml:space="preserve"> include former Nevada assets from Jan 1 - June 30, 20</t>
    </r>
    <r>
      <rPr>
        <sz val="8"/>
        <color rgb="FF000000"/>
        <rFont val="Arial"/>
        <family val="2"/>
      </rPr>
      <t>19</t>
    </r>
    <r>
      <rPr>
        <sz val="8"/>
        <color rgb="FF000000"/>
        <rFont val="Arial"/>
        <family val="2"/>
      </rPr>
      <t xml:space="preserve"> and i</t>
    </r>
    <r>
      <rPr>
        <sz val="8"/>
        <color rgb="FF000000"/>
        <rFont val="Arial"/>
        <family val="2"/>
      </rPr>
      <t>ncludes all office, metallurgy laboratory, project and exploration sites. As we integrate reporting systems, Goldcorp data will be included in future data sets. We do not disaggregate safety data by gender. Beginning in 2017, we began reporting TRIFR and LTIFR data in alignment with ICMM guidelines. Data for the years 2015 and 2016 have been restated to reflect this reclassification.</t>
    </r>
  </si>
  <si>
    <r>
      <rPr>
        <b/>
        <sz val="10"/>
        <color rgb="FF000000"/>
        <rFont val="Arial"/>
        <family val="2"/>
      </rPr>
      <t>Contrac</t>
    </r>
    <r>
      <rPr>
        <b/>
        <sz val="10"/>
        <color rgb="FF000000"/>
        <rFont val="Arial"/>
        <family val="2"/>
      </rPr>
      <t>t</t>
    </r>
    <r>
      <rPr>
        <b/>
        <sz val="10"/>
        <color rgb="FF000000"/>
        <rFont val="Arial"/>
        <family val="2"/>
      </rPr>
      <t>o</t>
    </r>
    <r>
      <rPr>
        <b/>
        <sz val="10"/>
        <color rgb="FF000000"/>
        <rFont val="Arial"/>
        <family val="2"/>
      </rPr>
      <t>r</t>
    </r>
    <r>
      <rPr>
        <b/>
        <sz val="10"/>
        <color rgb="FF000000"/>
        <rFont val="Arial"/>
        <family val="2"/>
      </rPr>
      <t>-only</t>
    </r>
    <r>
      <rPr>
        <b/>
        <sz val="10"/>
        <color rgb="FF000000"/>
        <rFont val="Arial"/>
        <family val="2"/>
      </rPr>
      <t xml:space="preserve"> safety data 2019: </t>
    </r>
    <r>
      <rPr>
        <b/>
        <sz val="10"/>
        <color rgb="FF000000"/>
        <rFont val="Arial"/>
        <family val="2"/>
      </rPr>
      <t>S</t>
    </r>
    <r>
      <rPr>
        <b/>
        <sz val="10"/>
        <color rgb="FF000000"/>
        <rFont val="Arial"/>
        <family val="2"/>
      </rPr>
      <t>ite level</t>
    </r>
    <r>
      <rPr>
        <b/>
        <vertAlign val="superscript"/>
        <sz val="10"/>
        <color rgb="FF000000"/>
        <rFont val="Arial"/>
        <family val="2"/>
      </rPr>
      <t>1, 2</t>
    </r>
  </si>
  <si>
    <t>TRIFR
(total recordable)</t>
  </si>
  <si>
    <t>Africa Exploration</t>
  </si>
  <si>
    <t>Miami - regional office</t>
  </si>
  <si>
    <r>
      <rPr>
        <b/>
        <sz val="10"/>
        <color rgb="FF000000"/>
        <rFont val="Arial"/>
        <family val="2"/>
      </rPr>
      <t>Combined</t>
    </r>
    <r>
      <rPr>
        <b/>
        <sz val="10"/>
        <color rgb="FF000000"/>
        <rFont val="Arial"/>
        <family val="2"/>
      </rPr>
      <t xml:space="preserve"> safety rates: Trailing five year data</t>
    </r>
    <r>
      <rPr>
        <b/>
        <vertAlign val="superscript"/>
        <sz val="10"/>
        <color rgb="FF000000"/>
        <rFont val="Arial"/>
        <family val="2"/>
      </rPr>
      <t>1, 2</t>
    </r>
    <r>
      <rPr>
        <b/>
        <vertAlign val="superscript"/>
        <sz val="10"/>
        <color rgb="FF000000"/>
        <rFont val="Arial"/>
        <family val="2"/>
      </rPr>
      <t>, 3</t>
    </r>
  </si>
  <si>
    <r>
      <rPr>
        <b/>
        <sz val="10"/>
        <color rgb="FF000000"/>
        <rFont val="Arial"/>
        <family val="2"/>
      </rPr>
      <t>Workforce i</t>
    </r>
    <r>
      <rPr>
        <b/>
        <sz val="10"/>
        <color rgb="FF000000"/>
        <rFont val="Arial"/>
        <family val="2"/>
      </rPr>
      <t>njury frequency r</t>
    </r>
    <r>
      <rPr>
        <b/>
        <sz val="10"/>
        <color rgb="FF000000"/>
        <rFont val="Arial"/>
        <family val="2"/>
      </rPr>
      <t>ate (per 200,000 hours worked)</t>
    </r>
    <r>
      <rPr>
        <b/>
        <sz val="10"/>
        <color rgb="FF000000"/>
        <rFont val="Arial"/>
        <family val="2"/>
      </rPr>
      <t xml:space="preserve"> 2019</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r>
      <rPr>
        <b/>
        <vertAlign val="superscript"/>
        <sz val="10"/>
        <color rgb="FF000000"/>
        <rFont val="Arial"/>
        <family val="2"/>
      </rPr>
      <t xml:space="preserve">, </t>
    </r>
    <r>
      <rPr>
        <b/>
        <vertAlign val="superscript"/>
        <sz val="10"/>
        <color rgb="FF000000"/>
        <rFont val="Arial"/>
        <family val="2"/>
      </rPr>
      <t>2</t>
    </r>
    <r>
      <rPr>
        <b/>
        <vertAlign val="superscript"/>
        <sz val="10"/>
        <color rgb="FF000000"/>
        <rFont val="Arial"/>
        <family val="2"/>
      </rPr>
      <t>, 3</t>
    </r>
  </si>
  <si>
    <t>Total Recordable Injury Frequency Rate (TRIFR)</t>
  </si>
  <si>
    <t>Lost Time Injury Frequency Rate (LTIFR)</t>
  </si>
  <si>
    <r>
      <rPr>
        <sz val="10"/>
        <color rgb="FF000000"/>
        <rFont val="Arial"/>
        <family val="2"/>
      </rPr>
      <t>Permanently Disabling Injury (PDI)</t>
    </r>
    <r>
      <rPr>
        <vertAlign val="superscript"/>
        <sz val="10"/>
        <color rgb="FF000000"/>
        <rFont val="Arial"/>
        <family val="2"/>
      </rPr>
      <t>4</t>
    </r>
  </si>
  <si>
    <r>
      <rPr>
        <b/>
        <sz val="10"/>
        <color rgb="FF000000"/>
        <rFont val="Arial"/>
        <family val="2"/>
      </rPr>
      <t>Combined</t>
    </r>
    <r>
      <rPr>
        <b/>
        <sz val="10"/>
        <color rgb="FF000000"/>
        <rFont val="Arial"/>
        <family val="2"/>
      </rPr>
      <t xml:space="preserve"> safety rates</t>
    </r>
    <r>
      <rPr>
        <b/>
        <sz val="10"/>
        <color rgb="FF000000"/>
        <rFont val="Arial"/>
        <family val="2"/>
      </rPr>
      <t xml:space="preserve"> 2019: Site level</t>
    </r>
    <r>
      <rPr>
        <b/>
        <vertAlign val="superscript"/>
        <sz val="10"/>
        <color rgb="FF000000"/>
        <rFont val="Arial"/>
        <family val="2"/>
      </rPr>
      <t>1</t>
    </r>
    <r>
      <rPr>
        <b/>
        <vertAlign val="superscript"/>
        <sz val="10"/>
        <color rgb="FF000000"/>
        <rFont val="Arial"/>
        <family val="2"/>
      </rPr>
      <t>, 2</t>
    </r>
  </si>
  <si>
    <t>Denver headquarters</t>
  </si>
  <si>
    <t>Denver metallurgy lab</t>
  </si>
  <si>
    <r>
      <rPr>
        <b/>
        <sz val="10"/>
        <color rgb="FF000000"/>
        <rFont val="Arial"/>
        <family val="2"/>
      </rPr>
      <t>Safety trainings</t>
    </r>
    <r>
      <rPr>
        <b/>
        <sz val="10"/>
        <color rgb="FF000000"/>
        <rFont val="Arial"/>
        <family val="2"/>
      </rPr>
      <t xml:space="preserve"> 2019</t>
    </r>
    <r>
      <rPr>
        <b/>
        <sz val="10"/>
        <color rgb="FF000000"/>
        <rFont val="Arial"/>
        <family val="2"/>
      </rPr>
      <t>:</t>
    </r>
    <r>
      <rPr>
        <b/>
        <sz val="10"/>
        <color rgb="FF000000"/>
        <rFont val="Arial"/>
        <family val="2"/>
      </rPr>
      <t xml:space="preserve"> Site </t>
    </r>
    <r>
      <rPr>
        <b/>
        <sz val="10"/>
        <color rgb="FF000000"/>
        <rFont val="Arial"/>
        <family val="2"/>
      </rPr>
      <t>level</t>
    </r>
    <r>
      <rPr>
        <b/>
        <vertAlign val="superscript"/>
        <sz val="10"/>
        <color rgb="FF000000"/>
        <rFont val="Arial"/>
        <family val="2"/>
      </rPr>
      <t>1</t>
    </r>
    <r>
      <rPr>
        <b/>
        <vertAlign val="superscript"/>
        <sz val="10"/>
        <color rgb="FF000000"/>
        <rFont val="Arial"/>
        <family val="2"/>
      </rPr>
      <t>, 2</t>
    </r>
    <r>
      <rPr>
        <b/>
        <sz val="10"/>
        <color rgb="FF000000"/>
        <rFont val="Arial"/>
        <family val="2"/>
      </rPr>
      <t xml:space="preserve"> </t>
    </r>
  </si>
  <si>
    <t xml:space="preserve">General safety training </t>
  </si>
  <si>
    <r>
      <rPr>
        <b/>
        <sz val="10"/>
        <color rgb="FF000000"/>
        <rFont val="Arial"/>
        <family val="2"/>
      </rPr>
      <t>Topic</t>
    </r>
    <r>
      <rPr>
        <b/>
        <sz val="10"/>
        <color rgb="FF000000"/>
        <rFont val="Arial"/>
        <family val="2"/>
      </rPr>
      <t>-</t>
    </r>
    <r>
      <rPr>
        <b/>
        <sz val="10"/>
        <color rgb="FF000000"/>
        <rFont val="Arial"/>
        <family val="2"/>
      </rPr>
      <t>s</t>
    </r>
    <r>
      <rPr>
        <b/>
        <sz val="10"/>
        <color rgb="FF000000"/>
        <rFont val="Arial"/>
        <family val="2"/>
      </rPr>
      <t xml:space="preserve">pecific </t>
    </r>
    <r>
      <rPr>
        <b/>
        <sz val="10"/>
        <color rgb="FF000000"/>
        <rFont val="Arial"/>
        <family val="2"/>
      </rPr>
      <t>s</t>
    </r>
    <r>
      <rPr>
        <b/>
        <sz val="10"/>
        <color rgb="FF000000"/>
        <rFont val="Arial"/>
        <family val="2"/>
      </rPr>
      <t>afety training</t>
    </r>
    <r>
      <rPr>
        <b/>
        <vertAlign val="superscript"/>
        <sz val="10"/>
        <color rgb="FF000000"/>
        <rFont val="Arial"/>
        <family val="2"/>
      </rPr>
      <t>3</t>
    </r>
    <r>
      <rPr>
        <b/>
        <sz val="10"/>
        <color rgb="FF000000"/>
        <rFont val="Arial"/>
        <family val="2"/>
      </rPr>
      <t xml:space="preserve"> </t>
    </r>
  </si>
  <si>
    <t>No.  trainings</t>
  </si>
  <si>
    <t xml:space="preserve">Duration (hours) </t>
  </si>
  <si>
    <t>No. people trained</t>
  </si>
  <si>
    <t>No. trainings</t>
  </si>
  <si>
    <r>
      <rPr>
        <vertAlign val="superscript"/>
        <sz val="8"/>
        <color rgb="FF000000"/>
        <rFont val="Arial"/>
        <family val="2"/>
      </rPr>
      <t>1</t>
    </r>
    <r>
      <rPr>
        <vertAlign val="superscript"/>
        <sz val="8"/>
        <color rgb="FF000000"/>
        <rFont val="Arial"/>
        <family val="2"/>
      </rPr>
      <t xml:space="preserve"> </t>
    </r>
    <r>
      <rPr>
        <sz val="8"/>
        <color rgb="FF000000"/>
        <rFont val="Arial"/>
        <family val="2"/>
      </rPr>
      <t>G</t>
    </r>
    <r>
      <rPr>
        <sz val="8"/>
        <color rgb="FF000000"/>
        <rFont val="Arial"/>
        <family val="2"/>
      </rPr>
      <t>RI Standards disclosure</t>
    </r>
    <r>
      <rPr>
        <sz val="8"/>
        <color rgb="FF000000"/>
        <rFont val="Arial"/>
        <family val="2"/>
      </rPr>
      <t xml:space="preserve"> </t>
    </r>
    <r>
      <rPr>
        <sz val="8"/>
        <color rgb="FF000000"/>
        <rFont val="Arial"/>
        <family val="2"/>
      </rPr>
      <t>GRI: 403-5 Worker training on occupational health and safety</t>
    </r>
    <r>
      <rPr>
        <sz val="8"/>
        <color rgb="FF000000"/>
        <rFont val="Arial"/>
        <family val="2"/>
      </rPr>
      <t xml:space="preserve">; </t>
    </r>
    <r>
      <rPr>
        <sz val="8"/>
        <color rgb="FF000000"/>
        <rFont val="Arial"/>
        <family val="2"/>
      </rPr>
      <t xml:space="preserve">SASB Metals &amp; Mining Sustainability Accounting Standard EM-MM-320a.1. </t>
    </r>
    <r>
      <rPr>
        <sz val="8"/>
        <color rgb="FF000000"/>
        <rFont val="Arial"/>
        <family val="2"/>
      </rPr>
      <t>(4) average hours of health, safety, and emergency response training for (a) full-time employees and (b) contract employees.</t>
    </r>
    <r>
      <rPr>
        <sz val="8"/>
        <color rgb="FF000000"/>
        <rFont val="Arial"/>
        <family val="2"/>
      </rPr>
      <t xml:space="preserve"> Reference Emergency Prepared</t>
    </r>
    <r>
      <rPr>
        <sz val="8"/>
        <color rgb="FF000000"/>
        <rFont val="Arial"/>
        <family val="2"/>
      </rPr>
      <t>ness data tables for releva</t>
    </r>
    <r>
      <rPr>
        <sz val="8"/>
        <color rgb="FF000000"/>
        <rFont val="Arial"/>
        <family val="2"/>
      </rPr>
      <t>nt training and simulation data</t>
    </r>
    <r>
      <rPr>
        <sz val="8"/>
        <color rgb="FF000000"/>
        <rFont val="Arial"/>
        <family val="2"/>
      </rPr>
      <t xml:space="preserve"> for 2019. 
</t>
    </r>
    <r>
      <rPr>
        <vertAlign val="superscript"/>
        <sz val="8"/>
        <color rgb="FF000000"/>
        <rFont val="Arial"/>
        <family val="2"/>
      </rPr>
      <t xml:space="preserve">2 </t>
    </r>
    <r>
      <rPr>
        <sz val="8"/>
        <color rgb="FF000000"/>
        <rFont val="Arial"/>
        <family val="2"/>
      </rPr>
      <t>Canada sites are omitted from this table and will be included in future reporting years</t>
    </r>
    <r>
      <rPr>
        <sz val="8"/>
        <color rgb="FF000000"/>
        <rFont val="Arial"/>
        <family val="2"/>
      </rPr>
      <t xml:space="preserve">; data </t>
    </r>
    <r>
      <rPr>
        <sz val="8"/>
        <color rgb="FF000000"/>
        <rFont val="Arial"/>
        <family val="2"/>
      </rPr>
      <t>include</t>
    </r>
    <r>
      <rPr>
        <sz val="8"/>
        <color rgb="FF000000"/>
        <rFont val="Arial"/>
        <family val="2"/>
      </rPr>
      <t>s</t>
    </r>
    <r>
      <rPr>
        <sz val="8"/>
        <color rgb="FF000000"/>
        <rFont val="Arial"/>
        <family val="2"/>
      </rPr>
      <t xml:space="preserve"> former Nevada assets from Jan 1 - June 30, 20</t>
    </r>
    <r>
      <rPr>
        <sz val="8"/>
        <color rgb="FF000000"/>
        <rFont val="Arial"/>
        <family val="2"/>
      </rPr>
      <t>19</t>
    </r>
    <r>
      <rPr>
        <sz val="8"/>
        <color rgb="FF000000"/>
        <rFont val="Arial"/>
        <family val="2"/>
      </rPr>
      <t>.</t>
    </r>
    <r>
      <rPr>
        <vertAlign val="superscript"/>
        <sz val="8"/>
        <color rgb="FF000000"/>
        <rFont val="Arial"/>
        <family val="2"/>
      </rPr>
      <t xml:space="preserve"> </t>
    </r>
    <r>
      <rPr>
        <sz val="8"/>
        <color rgb="FF000000"/>
        <rFont val="Arial"/>
        <family val="2"/>
      </rPr>
      <t xml:space="preserve"> Note </t>
    </r>
    <r>
      <rPr>
        <sz val="8"/>
        <color rgb="FF000000"/>
        <rFont val="Arial"/>
        <family val="2"/>
      </rPr>
      <t>that emergency response training data is omitted f</t>
    </r>
    <r>
      <rPr>
        <sz val="8"/>
        <color rgb="FF000000"/>
        <rFont val="Arial"/>
        <family val="2"/>
      </rPr>
      <t>rom this SASB disclo</t>
    </r>
    <r>
      <rPr>
        <sz val="8"/>
        <color rgb="FF000000"/>
        <rFont val="Arial"/>
        <family val="2"/>
      </rPr>
      <t>sure; please reference Emergency Preparedness data table for the number of emergency response trainings and simulations a</t>
    </r>
    <r>
      <rPr>
        <sz val="8"/>
        <color rgb="FF000000"/>
        <rFont val="Arial"/>
        <family val="2"/>
      </rPr>
      <t xml:space="preserve">nd number of Rapid Response </t>
    </r>
    <r>
      <rPr>
        <sz val="8"/>
        <color rgb="FF000000"/>
        <rFont val="Arial"/>
        <family val="2"/>
      </rPr>
      <t xml:space="preserve">global team </t>
    </r>
    <r>
      <rPr>
        <sz val="8"/>
        <color rgb="FF000000"/>
        <rFont val="Arial"/>
        <family val="2"/>
      </rPr>
      <t>m</t>
    </r>
    <r>
      <rPr>
        <sz val="8"/>
        <color rgb="FF000000"/>
        <rFont val="Arial"/>
        <family val="2"/>
      </rPr>
      <t xml:space="preserve">embers in 2019. 
</t>
    </r>
    <r>
      <rPr>
        <vertAlign val="superscript"/>
        <sz val="8"/>
        <color rgb="FF000000"/>
        <rFont val="Arial"/>
        <family val="2"/>
      </rPr>
      <t>3</t>
    </r>
    <r>
      <rPr>
        <vertAlign val="superscript"/>
        <sz val="8"/>
        <color rgb="FF000000"/>
        <rFont val="Arial"/>
        <family val="2"/>
      </rPr>
      <t xml:space="preserve"> </t>
    </r>
    <r>
      <rPr>
        <sz val="8"/>
        <color rgb="FF000000"/>
        <rFont val="Arial"/>
        <family val="2"/>
      </rPr>
      <t>T</t>
    </r>
    <r>
      <rPr>
        <sz val="8"/>
        <color rgb="FF000000"/>
        <rFont val="Arial"/>
        <family val="2"/>
      </rPr>
      <t>opic-specific sa</t>
    </r>
    <r>
      <rPr>
        <sz val="8"/>
        <color rgb="FF000000"/>
        <rFont val="Arial"/>
        <family val="2"/>
      </rPr>
      <t>fety training di</t>
    </r>
    <r>
      <rPr>
        <sz val="8"/>
        <color rgb="FF000000"/>
        <rFont val="Arial"/>
        <family val="2"/>
      </rPr>
      <t>f</t>
    </r>
    <r>
      <rPr>
        <sz val="8"/>
        <color rgb="FF000000"/>
        <rFont val="Arial"/>
        <family val="2"/>
      </rPr>
      <t>fers from general safety cu</t>
    </r>
    <r>
      <rPr>
        <sz val="8"/>
        <color rgb="FF000000"/>
        <rFont val="Arial"/>
        <family val="2"/>
      </rPr>
      <t>lture and awareness trainings; topics covered in 2019 i</t>
    </r>
    <r>
      <rPr>
        <sz val="8"/>
        <color rgb="FF000000"/>
        <rFont val="Arial"/>
        <family val="2"/>
      </rPr>
      <t>nc</t>
    </r>
    <r>
      <rPr>
        <sz val="8"/>
        <color rgb="FF000000"/>
        <rFont val="Arial"/>
        <family val="2"/>
      </rPr>
      <t>lude specific safety fo</t>
    </r>
    <r>
      <rPr>
        <sz val="8"/>
        <color rgb="FF000000"/>
        <rFont val="Arial"/>
        <family val="2"/>
      </rPr>
      <t>c</t>
    </r>
    <r>
      <rPr>
        <sz val="8"/>
        <color rgb="FF000000"/>
        <rFont val="Arial"/>
        <family val="2"/>
      </rPr>
      <t xml:space="preserve">us areas </t>
    </r>
    <r>
      <rPr>
        <sz val="8"/>
        <color rgb="FF000000"/>
        <rFont val="Arial"/>
        <family val="2"/>
      </rPr>
      <t xml:space="preserve">that include </t>
    </r>
    <r>
      <rPr>
        <sz val="8"/>
        <color rgb="FF000000"/>
        <rFont val="Arial"/>
        <family val="2"/>
      </rPr>
      <t>f</t>
    </r>
    <r>
      <rPr>
        <sz val="8"/>
        <color rgb="FF000000"/>
        <rFont val="Arial"/>
        <family val="2"/>
      </rPr>
      <t>atality</t>
    </r>
    <r>
      <rPr>
        <sz val="8"/>
        <color rgb="FF000000"/>
        <rFont val="Arial"/>
        <family val="2"/>
      </rPr>
      <t xml:space="preserve"> risk management</t>
    </r>
    <r>
      <rPr>
        <sz val="8"/>
        <color rgb="FF000000"/>
        <rFont val="Arial"/>
        <family val="2"/>
      </rPr>
      <t>, fatigue</t>
    </r>
    <r>
      <rPr>
        <sz val="8"/>
        <color rgb="FF000000"/>
        <rFont val="Arial"/>
        <family val="2"/>
      </rPr>
      <t xml:space="preserve"> prevention</t>
    </r>
    <r>
      <rPr>
        <sz val="8"/>
        <color rgb="FF000000"/>
        <rFont val="Arial"/>
        <family val="2"/>
      </rPr>
      <t>, hazardous situation</t>
    </r>
    <r>
      <rPr>
        <sz val="8"/>
        <color rgb="FF000000"/>
        <rFont val="Arial"/>
        <family val="2"/>
      </rPr>
      <t xml:space="preserve"> trainings</t>
    </r>
    <r>
      <rPr>
        <sz val="8"/>
        <color rgb="FF000000"/>
        <rFont val="Arial"/>
        <family val="2"/>
      </rPr>
      <t>, material</t>
    </r>
    <r>
      <rPr>
        <sz val="8"/>
        <color rgb="FF000000"/>
        <rFont val="Arial"/>
        <family val="2"/>
      </rPr>
      <t>s handling</t>
    </r>
    <r>
      <rPr>
        <sz val="8"/>
        <color rgb="FF000000"/>
        <rFont val="Arial"/>
        <family val="2"/>
      </rPr>
      <t xml:space="preserve">, </t>
    </r>
    <r>
      <rPr>
        <sz val="8"/>
        <color rgb="FF000000"/>
        <rFont val="Arial"/>
        <family val="2"/>
      </rPr>
      <t xml:space="preserve">and </t>
    </r>
    <r>
      <rPr>
        <sz val="8"/>
        <color rgb="FF000000"/>
        <rFont val="Arial"/>
        <family val="2"/>
      </rPr>
      <t>hand injury</t>
    </r>
    <r>
      <rPr>
        <sz val="8"/>
        <color rgb="FF000000"/>
        <rFont val="Arial"/>
        <family val="2"/>
      </rPr>
      <t xml:space="preserve"> pre</t>
    </r>
    <r>
      <rPr>
        <sz val="8"/>
        <color rgb="FF000000"/>
        <rFont val="Arial"/>
        <family val="2"/>
      </rPr>
      <t>vention trainings</t>
    </r>
    <r>
      <rPr>
        <sz val="8"/>
        <color rgb="FF000000"/>
        <rFont val="Arial"/>
        <family val="2"/>
      </rPr>
      <t>.</t>
    </r>
    <r>
      <rPr>
        <vertAlign val="superscript"/>
        <sz val="8"/>
        <color rgb="FF000000"/>
        <rFont val="Arial"/>
        <family val="2"/>
      </rPr>
      <t xml:space="preserve"> </t>
    </r>
  </si>
  <si>
    <r>
      <rPr>
        <b/>
        <sz val="10"/>
        <color rgb="FF000000"/>
        <rFont val="Arial"/>
        <family val="2"/>
      </rPr>
      <t>Artis</t>
    </r>
    <r>
      <rPr>
        <b/>
        <sz val="10"/>
        <color rgb="FF000000"/>
        <rFont val="Arial"/>
        <family val="2"/>
      </rPr>
      <t>a</t>
    </r>
    <r>
      <rPr>
        <b/>
        <sz val="10"/>
        <color rgb="FF000000"/>
        <rFont val="Arial"/>
        <family val="2"/>
      </rPr>
      <t>nal and small-scale mining</t>
    </r>
    <r>
      <rPr>
        <b/>
        <sz val="10"/>
        <color rgb="FF000000"/>
        <rFont val="Arial"/>
        <family val="2"/>
      </rPr>
      <t xml:space="preserve"> </t>
    </r>
    <r>
      <rPr>
        <b/>
        <sz val="10"/>
        <color rgb="FF000000"/>
        <rFont val="Arial"/>
        <family val="2"/>
      </rPr>
      <t xml:space="preserve">(ASM) </t>
    </r>
    <r>
      <rPr>
        <b/>
        <sz val="10"/>
        <color rgb="FF000000"/>
        <rFont val="Arial"/>
        <family val="2"/>
      </rPr>
      <t>activity</t>
    </r>
    <r>
      <rPr>
        <b/>
        <sz val="10"/>
        <color rgb="FF000000"/>
        <rFont val="Arial"/>
        <family val="2"/>
      </rPr>
      <t xml:space="preserve"> 2019: Site le</t>
    </r>
    <r>
      <rPr>
        <b/>
        <sz val="10"/>
        <color rgb="FF000000"/>
        <rFont val="Arial"/>
        <family val="2"/>
      </rPr>
      <t>vel</t>
    </r>
    <r>
      <rPr>
        <b/>
        <sz val="10"/>
        <color rgb="FF000000"/>
        <rFont val="Arial"/>
        <family val="2"/>
      </rPr>
      <t xml:space="preserve"> activities</t>
    </r>
    <r>
      <rPr>
        <b/>
        <vertAlign val="superscript"/>
        <sz val="10"/>
        <color rgb="FF000000"/>
        <rFont val="Arial"/>
        <family val="2"/>
      </rPr>
      <t>1</t>
    </r>
  </si>
  <si>
    <t>Country/site</t>
  </si>
  <si>
    <t xml:space="preserve">CC&amp;V </t>
  </si>
  <si>
    <r>
      <rPr>
        <b/>
        <sz val="10"/>
        <color rgb="FF000000"/>
        <rFont val="Arial"/>
        <family val="2"/>
      </rPr>
      <t xml:space="preserve">Community </t>
    </r>
    <r>
      <rPr>
        <b/>
        <sz val="10"/>
        <color rgb="FF000000"/>
        <rFont val="Arial"/>
        <family val="2"/>
      </rPr>
      <t>development</t>
    </r>
    <r>
      <rPr>
        <b/>
        <sz val="10"/>
        <color rgb="FF000000"/>
        <rFont val="Arial"/>
        <family val="2"/>
      </rPr>
      <t xml:space="preserve"> leading practices</t>
    </r>
    <r>
      <rPr>
        <b/>
        <sz val="10"/>
        <color rgb="FF000000"/>
        <rFont val="Arial"/>
        <family val="2"/>
      </rPr>
      <t xml:space="preserve"> 2</t>
    </r>
    <r>
      <rPr>
        <b/>
        <sz val="10"/>
        <color rgb="FF000000"/>
        <rFont val="Arial"/>
        <family val="2"/>
      </rPr>
      <t>019: Site level</t>
    </r>
    <r>
      <rPr>
        <b/>
        <vertAlign val="superscript"/>
        <sz val="10"/>
        <color rgb="FF000000"/>
        <rFont val="Arial"/>
        <family val="2"/>
      </rPr>
      <t>1</t>
    </r>
  </si>
  <si>
    <t>Site coordinates with other agencies for social and community development programs</t>
  </si>
  <si>
    <r>
      <rPr>
        <b/>
        <sz val="10"/>
        <color rgb="FF000000"/>
        <rFont val="Arial"/>
        <family val="2"/>
      </rPr>
      <t>Sites has procedures for identifying and protecting subsistence-related resources of local communities</t>
    </r>
    <r>
      <rPr>
        <b/>
        <vertAlign val="superscript"/>
        <sz val="10"/>
        <color rgb="FF000000"/>
        <rFont val="Arial"/>
        <family val="2"/>
      </rPr>
      <t>2</t>
    </r>
  </si>
  <si>
    <r>
      <rPr>
        <b/>
        <sz val="10"/>
        <color rgb="FF000000"/>
        <rFont val="Arial"/>
        <family val="2"/>
      </rPr>
      <t>S</t>
    </r>
    <r>
      <rPr>
        <b/>
        <sz val="10"/>
        <color rgb="FF000000"/>
        <rFont val="Arial"/>
        <family val="2"/>
      </rPr>
      <t xml:space="preserve">ite engaged in </t>
    </r>
    <r>
      <rPr>
        <b/>
        <sz val="10"/>
        <color rgb="FF000000"/>
        <rFont val="Arial"/>
        <family val="2"/>
      </rPr>
      <t>community infrastructure developm</t>
    </r>
    <r>
      <rPr>
        <b/>
        <sz val="10"/>
        <color rgb="FF000000"/>
        <rFont val="Arial"/>
        <family val="2"/>
      </rPr>
      <t>ent in 2019</t>
    </r>
    <r>
      <rPr>
        <b/>
        <vertAlign val="superscript"/>
        <sz val="10"/>
        <color rgb="FF000000"/>
        <rFont val="Arial"/>
        <family val="2"/>
      </rPr>
      <t>3</t>
    </r>
  </si>
  <si>
    <r>
      <rPr>
        <b/>
        <sz val="10"/>
        <color rgb="FF000000"/>
        <rFont val="Arial"/>
        <family val="2"/>
      </rPr>
      <t>AMERICAS: NORTH</t>
    </r>
    <r>
      <rPr>
        <b/>
        <vertAlign val="superscript"/>
        <sz val="10"/>
        <color rgb="FF000000"/>
        <rFont val="Arial"/>
        <family val="2"/>
      </rPr>
      <t>4</t>
    </r>
  </si>
  <si>
    <r>
      <rPr>
        <vertAlign val="superscript"/>
        <sz val="8"/>
        <color rgb="FF000000"/>
        <rFont val="Arial"/>
        <family val="2"/>
      </rPr>
      <t xml:space="preserve">1 </t>
    </r>
    <r>
      <rPr>
        <sz val="8"/>
        <color rgb="FF000000"/>
        <rFont val="Arial"/>
        <family val="2"/>
      </rPr>
      <t xml:space="preserve">GRI </t>
    </r>
    <r>
      <rPr>
        <sz val="8"/>
        <color rgb="FF000000"/>
        <rFont val="Arial"/>
        <family val="2"/>
      </rPr>
      <t>Standards d</t>
    </r>
    <r>
      <rPr>
        <sz val="8"/>
        <color rgb="FF000000"/>
        <rFont val="Arial"/>
        <family val="2"/>
      </rPr>
      <t>iscl</t>
    </r>
    <r>
      <rPr>
        <sz val="8"/>
        <color rgb="FF000000"/>
        <rFont val="Arial"/>
        <family val="2"/>
      </rPr>
      <t>osure</t>
    </r>
    <r>
      <rPr>
        <sz val="8"/>
        <color rgb="FF000000"/>
        <rFont val="Arial"/>
        <family val="2"/>
      </rPr>
      <t xml:space="preserve"> </t>
    </r>
    <r>
      <rPr>
        <sz val="8"/>
        <color rgb="FF000000"/>
        <rFont val="Arial"/>
        <family val="2"/>
      </rPr>
      <t>GRI 413-1: Operations with local community engagement, impact assessments and development programs</t>
    </r>
    <r>
      <rPr>
        <sz val="8"/>
        <color rgb="FF000000"/>
        <rFont val="Arial"/>
        <family val="2"/>
      </rPr>
      <t xml:space="preserve">.
</t>
    </r>
    <r>
      <rPr>
        <vertAlign val="superscript"/>
        <sz val="8"/>
        <color rgb="FF000000"/>
        <rFont val="Arial"/>
        <family val="2"/>
      </rPr>
      <t>2</t>
    </r>
    <r>
      <rPr>
        <sz val="8"/>
        <color rgb="FF000000"/>
        <rFont val="Arial"/>
        <family val="2"/>
      </rPr>
      <t xml:space="preserve"> Subsistence-related resources include water, plants and wildlife</t>
    </r>
    <r>
      <rPr>
        <sz val="8"/>
        <color rgb="FF000000"/>
        <rFont val="Arial"/>
        <family val="2"/>
      </rPr>
      <t xml:space="preserve">.
</t>
    </r>
    <r>
      <rPr>
        <vertAlign val="superscript"/>
        <sz val="8"/>
        <color rgb="FF000000"/>
        <rFont val="Arial"/>
        <family val="2"/>
      </rPr>
      <t>3</t>
    </r>
    <r>
      <rPr>
        <sz val="8"/>
        <color rgb="FF000000"/>
        <rFont val="Arial"/>
        <family val="2"/>
      </rPr>
      <t xml:space="preserve"> Community infrastructure projects are defined as non-core business projects that have no direct business benefit to Newmont. 
</t>
    </r>
    <r>
      <rPr>
        <vertAlign val="superscript"/>
        <sz val="8"/>
        <color rgb="FF000000"/>
        <rFont val="Arial"/>
        <family val="2"/>
      </rPr>
      <t>4</t>
    </r>
    <r>
      <rPr>
        <sz val="8"/>
        <color rgb="FF000000"/>
        <rFont val="Arial"/>
        <family val="2"/>
      </rPr>
      <t xml:space="preserve"> </t>
    </r>
    <r>
      <rPr>
        <sz val="8"/>
        <color rgb="FF000000"/>
        <rFont val="Arial"/>
        <family val="2"/>
      </rPr>
      <t xml:space="preserve">Canada sites are </t>
    </r>
    <r>
      <rPr>
        <sz val="8"/>
        <color rgb="FF000000"/>
        <rFont val="Arial"/>
        <family val="2"/>
      </rPr>
      <t>not reported (N/R) in</t>
    </r>
    <r>
      <rPr>
        <sz val="8"/>
        <color rgb="FF000000"/>
        <rFont val="Arial"/>
        <family val="2"/>
      </rPr>
      <t xml:space="preserve"> this year's report; these will be included in fu</t>
    </r>
    <r>
      <rPr>
        <sz val="8"/>
        <color rgb="FF000000"/>
        <rFont val="Arial"/>
        <family val="2"/>
      </rPr>
      <t xml:space="preserve">ture reporting years. </t>
    </r>
  </si>
  <si>
    <r>
      <rPr>
        <b/>
        <sz val="10"/>
        <color rgb="FF000000"/>
        <rFont val="Arial"/>
        <family val="2"/>
      </rPr>
      <t>Actual and/or potential community impacts and mitigation responses by site</t>
    </r>
    <r>
      <rPr>
        <b/>
        <vertAlign val="superscript"/>
        <sz val="10"/>
        <color rgb="FF000000"/>
        <rFont val="Arial"/>
        <family val="2"/>
      </rPr>
      <t>1</t>
    </r>
  </si>
  <si>
    <t>Impact #1</t>
  </si>
  <si>
    <t xml:space="preserve">Sample(s) of management response to mitigate impact #1 </t>
  </si>
  <si>
    <t xml:space="preserve">Impact #2 </t>
  </si>
  <si>
    <t xml:space="preserve">Sample(s) of management response to mitigate impact #2 </t>
  </si>
  <si>
    <t>Impact #3</t>
  </si>
  <si>
    <t xml:space="preserve">Sample(s) of management response to mitigate impact #3 </t>
  </si>
  <si>
    <t>Reduction in local employment opportunities following the completion of the construction phase of the Ahafo Mill Expansion and Subika Underground projects</t>
  </si>
  <si>
    <r>
      <rPr>
        <sz val="10"/>
        <color rgb="FF000000"/>
        <rFont val="Arial"/>
        <family val="2"/>
      </rPr>
      <t xml:space="preserve">	•Engage regularly with stakeholders to discuss local employment concerns 
</t>
    </r>
    <r>
      <rPr>
        <sz val="10"/>
        <color rgb="FF000000"/>
        <rFont val="Arial"/>
        <family val="2"/>
      </rPr>
      <t xml:space="preserve">	•Support alternative livelihood opportunities such as the Local Economic Diversification Support (LEDS) project
</t>
    </r>
    <r>
      <rPr>
        <sz val="10"/>
        <color rgb="FF000000"/>
        <rFont val="Arial"/>
        <family val="2"/>
      </rPr>
      <t xml:space="preserve">	•Engage local contractors and suppliers to identify indirect employment opportunities 
</t>
    </r>
    <r>
      <rPr>
        <sz val="10"/>
        <color rgb="FF000000"/>
        <rFont val="Arial"/>
        <family val="2"/>
      </rPr>
      <t/>
    </r>
  </si>
  <si>
    <r>
      <rPr>
        <sz val="10"/>
        <color rgb="FF000000"/>
        <rFont val="Arial"/>
        <family val="2"/>
      </rPr>
      <t>Loss of livelihoods related to physical and economic displacement due to the Awonsu and Apensu pit expansion projects and the Subika East waste dump expansion</t>
    </r>
  </si>
  <si>
    <r>
      <rPr>
        <sz val="10"/>
        <color rgb="FF000000"/>
        <rFont val="Arial"/>
        <family val="2"/>
      </rPr>
      <t xml:space="preserve">	•Conducted independent study to identify households affected by projects</t>
    </r>
    <r>
      <rPr>
        <sz val="10"/>
        <color rgb="FF000000"/>
        <rFont val="Arial"/>
        <family val="2"/>
      </rPr>
      <t>ct</t>
    </r>
    <r>
      <rPr>
        <sz val="10"/>
        <color rgb="FF000000"/>
        <rFont val="Arial"/>
        <family val="2"/>
      </rPr>
      <t xml:space="preserve">ed independent study to identify households affected by projec
</t>
    </r>
    <r>
      <rPr>
        <sz val="10"/>
        <color rgb="FF000000"/>
        <rFont val="Arial"/>
        <family val="2"/>
      </rPr>
      <t xml:space="preserve">	•Developed a resettlement action plan (RAP) and/or livelihood action plan (LAP) to address the impacts of resettlement</t>
    </r>
    <r>
      <rPr>
        <sz val="10"/>
        <color rgb="FF000000"/>
        <rFont val="Arial"/>
        <family val="2"/>
      </rPr>
      <t>op</t>
    </r>
    <r>
      <rPr>
        <sz val="10"/>
        <color rgb="FF000000"/>
        <rFont val="Arial"/>
        <family val="2"/>
      </rPr>
      <t xml:space="preserve">ed a resettlement action plan (RAP) and/or livelihood action plan (LAP) to address the impacts of resettleme
</t>
    </r>
    <r>
      <rPr>
        <sz val="10"/>
        <color rgb="FF000000"/>
        <rFont val="Arial"/>
        <family val="2"/>
      </rPr>
      <t xml:space="preserve">	•Formed committee led by community leaders to approve plans for resettlement, payment of adequate compensation and/or establishment of alternative livelihood support</t>
    </r>
  </si>
  <si>
    <t xml:space="preserve">Population influx due to mining activities resulting in increased pressure on social amenities and social disruptions (e.g., illegal mining, increase in crimes, gender imbalance, alcoholism) within the communities </t>
  </si>
  <si>
    <r>
      <rPr>
        <sz val="10"/>
        <color rgb="FF000000"/>
        <rFont val="Arial"/>
        <family val="2"/>
      </rPr>
      <t>Complaints of building cracks attributed to blasting activities at the mine</t>
    </r>
  </si>
  <si>
    <r>
      <rPr>
        <sz val="10"/>
        <color rgb="FF000000"/>
        <rFont val="Arial"/>
        <family val="2"/>
      </rPr>
      <t xml:space="preserve">	•Formed a joint Company-Community-District Assembly committee for engagement and resolution planning
</t>
    </r>
    <r>
      <rPr>
        <sz val="10"/>
        <color rgb="FF000000"/>
        <rFont val="Arial"/>
        <family val="2"/>
      </rPr>
      <t xml:space="preserve">	•Categorized complaint as tier 3 to involve legal resolution mechanisms, and agreed to a third-party (regulatory) assessment of cracks for adjudication at the direction of a court of law</t>
    </r>
  </si>
  <si>
    <t xml:space="preserve">Deprivation of land-based livelihoods </t>
  </si>
  <si>
    <r>
      <rPr>
        <sz val="10"/>
        <color rgb="FF000000"/>
        <rFont val="Arial"/>
        <family val="2"/>
      </rPr>
      <t xml:space="preserve">Damage to farms (flooding) due to exploration activities </t>
    </r>
  </si>
  <si>
    <r>
      <rPr>
        <sz val="10"/>
        <color rgb="FF000000"/>
        <rFont val="Arial"/>
        <family val="2"/>
      </rPr>
      <t xml:space="preserve">	•Provide complaints and grievance process for community members to lodge complaints on flooding of farms 
</t>
    </r>
    <r>
      <rPr>
        <sz val="10"/>
        <color rgb="FF000000"/>
        <rFont val="Arial"/>
        <family val="2"/>
      </rPr>
      <t xml:space="preserve">	•Provide fair and equitable compensation to those with affected farms </t>
    </r>
    <r>
      <rPr>
        <sz val="10"/>
        <color rgb="FF000000"/>
        <rFont val="Arial"/>
        <family val="2"/>
      </rPr>
      <t>de fair and equitable compensation to those with affected farm</t>
    </r>
  </si>
  <si>
    <r>
      <rPr>
        <sz val="10"/>
        <color rgb="FF000000"/>
        <rFont val="Arial"/>
        <family val="2"/>
      </rPr>
      <t xml:space="preserve">Complaints associated with the mine’s blasting activities </t>
    </r>
  </si>
  <si>
    <r>
      <rPr>
        <sz val="10"/>
        <color rgb="FF000000"/>
        <rFont val="Arial"/>
        <family val="2"/>
      </rPr>
      <t xml:space="preserve">	•Blasting vibration grievance resolution program includes third-party facilitation of claims </t>
    </r>
  </si>
  <si>
    <r>
      <rPr>
        <sz val="10"/>
        <color rgb="FF000000"/>
        <rFont val="Arial"/>
        <family val="2"/>
      </rPr>
      <t>Complaints related to noise generated by mining activities (e.g., back-up alarms)</t>
    </r>
  </si>
  <si>
    <t xml:space="preserve">Provide general complaints and grievance mechanism for community members to lodge concerns </t>
  </si>
  <si>
    <r>
      <rPr>
        <sz val="10"/>
        <color rgb="FF000000"/>
        <rFont val="Arial"/>
        <family val="2"/>
      </rPr>
      <t>Local business development issue related to access to public parking near offices in the towns of Cripple Creek and Victor</t>
    </r>
  </si>
  <si>
    <r>
      <rPr>
        <sz val="10"/>
        <color rgb="FF000000"/>
        <rFont val="Arial"/>
        <family val="2"/>
      </rPr>
      <t xml:space="preserve">	•Provide general complaints and grievance mechanism for community members to lodge concerns </t>
    </r>
  </si>
  <si>
    <r>
      <rPr>
        <sz val="10"/>
        <color rgb="FF000000"/>
        <rFont val="Arial"/>
        <family val="2"/>
      </rPr>
      <t>Complaints related to contractors driving at the junction of Mora Kondre and Kraboe Olo</t>
    </r>
  </si>
  <si>
    <r>
      <rPr>
        <sz val="10"/>
        <color rgb="FF000000"/>
        <rFont val="Arial"/>
        <family val="2"/>
      </rPr>
      <t xml:space="preserve">	•Ongoing communications with Newmont’s Health and Safety and Supply Chain departments, the relevant contractors using this road, and the complainants</t>
    </r>
  </si>
  <si>
    <r>
      <rPr>
        <sz val="10"/>
        <color rgb="FF000000"/>
        <rFont val="Arial"/>
        <family val="2"/>
      </rPr>
      <t xml:space="preserve">Local supplier concerns regarding procurement for seeds and plants that the suppliers invested time and materials to complete preparation work. </t>
    </r>
  </si>
  <si>
    <r>
      <rPr>
        <sz val="10"/>
        <color rgb="FF000000"/>
        <rFont val="Arial"/>
        <family val="2"/>
      </rPr>
      <t xml:space="preserve">	•Ongoing communication between Newmont’s Environmental, Supply Chain and Accounts Payable departments and the local suppliers
</t>
    </r>
    <r>
      <rPr>
        <sz val="10"/>
        <color rgb="FF000000"/>
        <rFont val="Arial"/>
        <family val="2"/>
      </rPr>
      <t xml:space="preserve">	•Continued discussions between Newmont and the suppliers on the unit price of the plants</t>
    </r>
  </si>
  <si>
    <r>
      <rPr>
        <sz val="10"/>
        <color rgb="FF000000"/>
        <rFont val="Arial"/>
        <family val="2"/>
      </rPr>
      <t>Excessive dust and speeding causing contaminated water and nuisance in communities along the transport route</t>
    </r>
  </si>
  <si>
    <r>
      <rPr>
        <sz val="10"/>
        <color rgb="FF000000"/>
        <rFont val="Arial"/>
        <family val="2"/>
      </rPr>
      <t xml:space="preserve">	•Purchased a bigger truck for road wetting, which will be used until a more long-term solution has been implemented</t>
    </r>
  </si>
  <si>
    <r>
      <rPr>
        <sz val="10"/>
        <color rgb="FF000000"/>
        <rFont val="Arial"/>
        <family val="2"/>
      </rPr>
      <t>Complaints from the Canal Tual users claiming the water catchment area has been reduced due to mining activities</t>
    </r>
  </si>
  <si>
    <r>
      <rPr>
        <sz val="10"/>
        <color rgb="FF000000"/>
        <rFont val="Arial"/>
        <family val="2"/>
      </rPr>
      <t xml:space="preserve">	•Formed a task force led by the Cajamarca Water Authority, the canal users and Yanacocha (2017) 
</t>
    </r>
    <r>
      <rPr>
        <sz val="10"/>
        <color rgb="FF000000"/>
        <rFont val="Arial"/>
        <family val="2"/>
      </rPr>
      <t xml:space="preserve">	•Developed the Water Availability Study and Water Use Plan for the Quebrada Pampa Larga Hydrographic Unit (2018)
</t>
    </r>
    <r>
      <rPr>
        <sz val="10"/>
        <color rgb="FF000000"/>
        <rFont val="Arial"/>
        <family val="2"/>
      </rPr>
      <t xml:space="preserve">	•Installed a roundtable for dialogue and negotiations with Canal Tual users to determine the volume of water affected, and the environmental and social mitigation measures needed (2019)</t>
    </r>
  </si>
  <si>
    <r>
      <rPr>
        <sz val="10"/>
        <color rgb="FF000000"/>
        <rFont val="Arial"/>
        <family val="2"/>
      </rPr>
      <t xml:space="preserve">Complaints from Canal Azufre Ventanillas users claiming decreased water and the disappearance of water sources due to Yanacocha's operations (Chaquicocha, Carachugo) </t>
    </r>
  </si>
  <si>
    <r>
      <rPr>
        <sz val="10"/>
        <color rgb="FF000000"/>
        <rFont val="Arial"/>
        <family val="2"/>
      </rPr>
      <t xml:space="preserve">	•Formed a task force led by the Management of Environment and Natural Resources (RENAMA) of the Regional Government of Cajamarca, the Cajamarca Water Authority (ALA/ANA), the canal committee, Azufre river basin users and Yanacocha
</t>
    </r>
    <r>
      <rPr>
        <sz val="10"/>
        <color rgb="FF000000"/>
        <rFont val="Arial"/>
        <family val="2"/>
      </rPr>
      <t xml:space="preserve">	•Proposed the Azufre river sub-basin, a water reservoir, as a water management alternative 
</t>
    </r>
    <r>
      <rPr>
        <sz val="10"/>
        <color rgb="FF000000"/>
        <rFont val="Arial"/>
        <family val="2"/>
      </rPr>
      <t xml:space="preserve">	•Signed an inter-institutional agreement in July 2019 for the preparation of the technical profile of the project for a reservoir on the Azufre river (process under way)</t>
    </r>
  </si>
  <si>
    <r>
      <rPr>
        <sz val="10"/>
        <color rgb="FF000000"/>
        <rFont val="Arial"/>
        <family val="2"/>
      </rPr>
      <t>Complaints regarding turbidity in the El Chorro spring water that supplies the drinking water system (SAP) of the Totorococha farmhouse and claims that the turbidity was caused by drilling related to the China Linda quarry hydrogeological study</t>
    </r>
  </si>
  <si>
    <r>
      <rPr>
        <sz val="10"/>
        <color rgb="FF000000"/>
        <rFont val="Arial"/>
        <family val="2"/>
      </rPr>
      <t xml:space="preserve">	•Established a commission that includes the Office of Social Management of the Ministry of Energy and Mines-Cajamarca, Sub-Prefecture of Bambamarca, water users and Yanacocha
</t>
    </r>
    <r>
      <rPr>
        <sz val="10"/>
        <color rgb="FF000000"/>
        <rFont val="Arial"/>
        <family val="2"/>
      </rPr>
      <t xml:space="preserve">	•Reached agreement to recognize the social discomfort of 80 SAP users, improve and extend the SAP, and prepare both a technical study for the biodigester project and a technical profile for the improvement of a 4 kilometer road </t>
    </r>
  </si>
  <si>
    <r>
      <rPr>
        <sz val="10"/>
        <color rgb="FF000000"/>
        <rFont val="Arial"/>
        <family val="2"/>
      </rPr>
      <t>Local employment</t>
    </r>
  </si>
  <si>
    <r>
      <rPr>
        <sz val="10"/>
        <color rgb="FF000000"/>
        <rFont val="Arial"/>
        <family val="2"/>
      </rPr>
      <t xml:space="preserve">	•Locally advertise positions and encourage suppliers/business partners to recruit local people through criteria in tenders, employment pathways specific to local Indigenous people and the availability of scholarships through tertiary institutions</t>
    </r>
  </si>
  <si>
    <r>
      <rPr>
        <sz val="10"/>
        <color rgb="FF000000"/>
        <rFont val="Arial"/>
        <family val="2"/>
      </rPr>
      <t xml:space="preserve">A negative perception that the operation is maintaining its mining camp accommodations and encouraging drive-in, drive-out (DIDO) workers rather than supporting local economic growth through hiring from the local community </t>
    </r>
  </si>
  <si>
    <r>
      <rPr>
        <sz val="10"/>
        <color rgb="FF000000"/>
        <rFont val="Arial"/>
        <family val="2"/>
      </rPr>
      <t xml:space="preserve">	•Engage in ongoing dialogue with the communities on Newmont’s policies supporting local residency by workers
</t>
    </r>
    <r>
      <rPr>
        <sz val="10"/>
        <color rgb="FF000000"/>
        <rFont val="Arial"/>
        <family val="2"/>
      </rPr>
      <t xml:space="preserve">	•Facilitate opportunities for greater interaction between the camp workforce and the community</t>
    </r>
  </si>
  <si>
    <r>
      <rPr>
        <sz val="10"/>
        <color rgb="FF000000"/>
        <rFont val="Arial"/>
        <family val="2"/>
      </rPr>
      <t>Traffic concerns related to the vehicle and truck movements through Boddington and the surrounding area</t>
    </r>
  </si>
  <si>
    <r>
      <rPr>
        <sz val="10"/>
        <color rgb="FF000000"/>
        <rFont val="Arial"/>
        <family val="2"/>
      </rPr>
      <t xml:space="preserve">
</t>
    </r>
    <r>
      <rPr>
        <sz val="10"/>
        <color rgb="FF000000"/>
        <rFont val="Arial"/>
        <family val="2"/>
      </rPr>
      <t xml:space="preserve">
</t>
    </r>
    <r>
      <rPr>
        <sz val="10"/>
        <color rgb="FF000000"/>
        <rFont val="Arial"/>
        <family val="2"/>
      </rPr>
      <t xml:space="preserve">	•Serve as a member of the Industry Road Safety Alliance South West
</t>
    </r>
    <r>
      <rPr>
        <sz val="10"/>
        <color rgb="FF000000"/>
        <rFont val="Arial"/>
        <family val="2"/>
      </rPr>
      <t xml:space="preserve">	•Implement curfews for transporting copper concentrate to reduce trucking during sensitive times of the day (e.g., end of school day)
</t>
    </r>
    <r>
      <rPr>
        <sz val="12"/>
        <color rgb="FF000000"/>
        <rFont val="Arial"/>
        <family val="2"/>
      </rPr>
      <t/>
    </r>
  </si>
  <si>
    <r>
      <rPr>
        <sz val="10"/>
        <color rgb="FF000000"/>
        <rFont val="Arial"/>
        <family val="2"/>
      </rPr>
      <t xml:space="preserve">Indigenous participation specific to employment and procurement </t>
    </r>
  </si>
  <si>
    <r>
      <rPr>
        <sz val="10"/>
        <color rgb="FF000000"/>
        <rFont val="Arial"/>
        <family val="2"/>
      </rPr>
      <t xml:space="preserve">	•Revised Indigenous recruitment and training procedures
</t>
    </r>
    <r>
      <rPr>
        <sz val="10"/>
        <color rgb="FF000000"/>
        <rFont val="Arial"/>
        <family val="2"/>
      </rPr>
      <t xml:space="preserve">	•Included a discrete Indigenous people engagement domain in a revised and extended stakeholder engagement management plan (SEMP)
</t>
    </r>
    <r>
      <rPr>
        <sz val="10"/>
        <color rgb="FF000000"/>
        <rFont val="Arial"/>
        <family val="2"/>
      </rPr>
      <t xml:space="preserve">	•Developed an Indigenous Employment Pathways (IEP) steering Committee and annual action plan</t>
    </r>
  </si>
  <si>
    <r>
      <rPr>
        <sz val="10"/>
        <color rgb="FF000000"/>
        <rFont val="Arial"/>
        <family val="2"/>
      </rPr>
      <t>Delay in extension, renewal and recommencement of Yapa Crew (primary employment pathway/program for Priority Warlpiri and AOI communities)</t>
    </r>
  </si>
  <si>
    <r>
      <rPr>
        <sz val="10"/>
        <color rgb="FF000000"/>
        <rFont val="Arial"/>
        <family val="2"/>
      </rPr>
      <t xml:space="preserve">	•Recruited internal central Australian language group (CALG) Yapa Crew supervisor
</t>
    </r>
    <r>
      <rPr>
        <sz val="10"/>
        <color rgb="FF000000"/>
        <rFont val="Arial"/>
        <family val="2"/>
      </rPr>
      <t xml:space="preserve">	•Completed program delivery model options analysis</t>
    </r>
  </si>
  <si>
    <r>
      <rPr>
        <sz val="10"/>
        <color rgb="FF000000"/>
        <rFont val="Arial"/>
        <family val="2"/>
      </rPr>
      <t>Lack of coordinated and collaborative engagement with Indigenous rangers on land management programs</t>
    </r>
  </si>
  <si>
    <r>
      <rPr>
        <sz val="10"/>
        <color rgb="FF000000"/>
        <rFont val="Arial"/>
        <family val="2"/>
      </rPr>
      <t xml:space="preserve">	•Co-funding regional biodiversity monitoring program (RBM) to conduct independent data reviews in collaboration with the Central Land Council (CLC)
</t>
    </r>
    <r>
      <rPr>
        <sz val="10"/>
        <color rgb="FF000000"/>
        <rFont val="Arial"/>
        <family val="2"/>
      </rPr>
      <t xml:space="preserve">	•Engaged the University of Queensland Centre for Social Responsibility in Mining (CSRM) on a scoping study related to Indigenous groups land rehabilitation and mine closure 
</t>
    </r>
    <r>
      <rPr>
        <sz val="10"/>
        <color rgb="FF000000"/>
        <rFont val="Arial"/>
        <family val="2"/>
      </rPr>
      <t xml:space="preserve">	•Participated in and contributed to RBM stakeholders planning workshop, and committed to expanding the partnership and supporting an independent-facilitated workshop in 2020
</t>
    </r>
    <r>
      <rPr>
        <sz val="10"/>
        <color rgb="FF000000"/>
        <rFont val="Arial"/>
        <family val="2"/>
      </rPr>
      <t xml:space="preserve">	•Provided input on a consulting scoping project (to be conducted by Social Ventures Australia, which was engaged by the CLC) to identify and analyse market opportunities for expanding the ranger program’s fee-for-service work</t>
    </r>
  </si>
  <si>
    <r>
      <rPr>
        <b/>
        <sz val="10"/>
        <color rgb="FF000000"/>
        <rFont val="Arial"/>
        <family val="2"/>
      </rPr>
      <t>Compla</t>
    </r>
    <r>
      <rPr>
        <b/>
        <sz val="10"/>
        <color rgb="FF000000"/>
        <rFont val="Arial"/>
        <family val="2"/>
      </rPr>
      <t>ints and Gri</t>
    </r>
    <r>
      <rPr>
        <b/>
        <sz val="10"/>
        <color rgb="FF000000"/>
        <rFont val="Arial"/>
        <family val="2"/>
      </rPr>
      <t>e</t>
    </r>
    <r>
      <rPr>
        <b/>
        <sz val="10"/>
        <color rgb="FF000000"/>
        <rFont val="Arial"/>
        <family val="2"/>
      </rPr>
      <t>vances due in</t>
    </r>
    <r>
      <rPr>
        <b/>
        <sz val="10"/>
        <color rgb="FF000000"/>
        <rFont val="Arial"/>
        <family val="2"/>
      </rPr>
      <t xml:space="preserve"> 2019: </t>
    </r>
    <r>
      <rPr>
        <b/>
        <sz val="10"/>
        <color rgb="FF000000"/>
        <rFont val="Arial"/>
        <family val="2"/>
      </rPr>
      <t>Site level</t>
    </r>
    <r>
      <rPr>
        <b/>
        <vertAlign val="superscript"/>
        <sz val="10"/>
        <color rgb="FF000000"/>
        <rFont val="Arial"/>
        <family val="2"/>
      </rPr>
      <t>1</t>
    </r>
  </si>
  <si>
    <t>No. received</t>
  </si>
  <si>
    <t>% resolved within 30 days</t>
  </si>
  <si>
    <t>Ahafo (Ghana)</t>
  </si>
  <si>
    <t>Yanacocha (Peru)</t>
  </si>
  <si>
    <t>Akyem (Ghana)</t>
  </si>
  <si>
    <t>KCGM (Australia)</t>
  </si>
  <si>
    <t>Merian (Suriname)</t>
  </si>
  <si>
    <t>Boddington (Australia)</t>
  </si>
  <si>
    <t>CC&amp;V (U.S.)</t>
  </si>
  <si>
    <t>Perth - Subiaco (Australia)</t>
  </si>
  <si>
    <r>
      <rPr>
        <vertAlign val="superscript"/>
        <sz val="8"/>
        <color rgb="FF000000"/>
        <rFont val="Arial"/>
        <family val="2"/>
      </rPr>
      <t>1</t>
    </r>
    <r>
      <rPr>
        <sz val="8"/>
        <color rgb="FF000000"/>
        <rFont val="Arial"/>
        <family val="2"/>
      </rPr>
      <t xml:space="preserve"> </t>
    </r>
    <r>
      <rPr>
        <sz val="8"/>
        <color rgb="FF000000"/>
        <rFont val="Arial"/>
        <family val="2"/>
      </rPr>
      <t>Data omits former Goldcorp sites, which used a separate, but comparable tier classification in 2019. Former</t>
    </r>
    <r>
      <rPr>
        <sz val="8"/>
        <color rgb="FF000000"/>
        <rFont val="Arial"/>
        <family val="2"/>
      </rPr>
      <t xml:space="preserve"> Goldcorp sites wil</t>
    </r>
    <r>
      <rPr>
        <sz val="8"/>
        <color rgb="FF000000"/>
        <rFont val="Arial"/>
        <family val="2"/>
      </rPr>
      <t>l</t>
    </r>
    <r>
      <rPr>
        <sz val="8"/>
        <color rgb="FF000000"/>
        <rFont val="Arial"/>
        <family val="2"/>
      </rPr>
      <t xml:space="preserve"> be</t>
    </r>
    <r>
      <rPr>
        <sz val="8"/>
        <color rgb="FF000000"/>
        <rFont val="Arial"/>
        <family val="2"/>
      </rPr>
      <t xml:space="preserve"> integrated into the Newmont tier classification and reported in our 2020 report.</t>
    </r>
    <r>
      <rPr>
        <sz val="8"/>
        <color rgb="FF000000"/>
        <rFont val="Arial"/>
        <family val="2"/>
      </rPr>
      <t xml:space="preserve"> </t>
    </r>
  </si>
  <si>
    <r>
      <rPr>
        <b/>
        <sz val="10"/>
        <color rgb="FF000000"/>
        <rFont val="Arial"/>
        <family val="2"/>
      </rPr>
      <t>Complaints and griev</t>
    </r>
    <r>
      <rPr>
        <b/>
        <sz val="10"/>
        <color rgb="FF000000"/>
        <rFont val="Arial"/>
        <family val="2"/>
      </rPr>
      <t>a</t>
    </r>
    <r>
      <rPr>
        <b/>
        <sz val="10"/>
        <color rgb="FF000000"/>
        <rFont val="Arial"/>
        <family val="2"/>
      </rPr>
      <t xml:space="preserve">nces by </t>
    </r>
    <r>
      <rPr>
        <b/>
        <sz val="10"/>
        <color rgb="FF000000"/>
        <rFont val="Arial"/>
        <family val="2"/>
      </rPr>
      <t>c</t>
    </r>
    <r>
      <rPr>
        <b/>
        <sz val="10"/>
        <color rgb="FF000000"/>
        <rFont val="Arial"/>
        <family val="2"/>
      </rPr>
      <t>atego</t>
    </r>
    <r>
      <rPr>
        <b/>
        <sz val="10"/>
        <color rgb="FF000000"/>
        <rFont val="Arial"/>
        <family val="2"/>
      </rPr>
      <t>r</t>
    </r>
    <r>
      <rPr>
        <b/>
        <sz val="10"/>
        <color rgb="FF000000"/>
        <rFont val="Arial"/>
        <family val="2"/>
      </rPr>
      <t>y</t>
    </r>
    <r>
      <rPr>
        <b/>
        <sz val="10"/>
        <color rgb="FF000000"/>
        <rFont val="Arial"/>
        <family val="2"/>
      </rPr>
      <t xml:space="preserve"> 2019: </t>
    </r>
    <r>
      <rPr>
        <b/>
        <sz val="10"/>
        <color rgb="FF000000"/>
        <rFont val="Arial"/>
        <family val="2"/>
      </rPr>
      <t>S</t>
    </r>
    <r>
      <rPr>
        <b/>
        <sz val="10"/>
        <color rgb="FF000000"/>
        <rFont val="Arial"/>
        <family val="2"/>
      </rPr>
      <t>ite</t>
    </r>
    <r>
      <rPr>
        <b/>
        <sz val="10"/>
        <color rgb="FF000000"/>
        <rFont val="Arial"/>
        <family val="2"/>
      </rPr>
      <t xml:space="preserve"> </t>
    </r>
    <r>
      <rPr>
        <b/>
        <sz val="10"/>
        <color rgb="FF000000"/>
        <rFont val="Arial"/>
        <family val="2"/>
      </rPr>
      <t>level</t>
    </r>
    <r>
      <rPr>
        <b/>
        <vertAlign val="superscript"/>
        <sz val="10"/>
        <color rgb="FF000000"/>
        <rFont val="Arial"/>
        <family val="2"/>
      </rPr>
      <t>1</t>
    </r>
    <r>
      <rPr>
        <b/>
        <vertAlign val="superscript"/>
        <sz val="10"/>
        <color rgb="FF000000"/>
        <rFont val="Arial"/>
        <family val="2"/>
      </rPr>
      <t>, 2</t>
    </r>
  </si>
  <si>
    <r>
      <rPr>
        <b/>
        <sz val="10"/>
        <color rgb="FF000000"/>
        <rFont val="Arial"/>
        <family val="2"/>
      </rPr>
      <t>No. received</t>
    </r>
    <r>
      <rPr>
        <b/>
        <vertAlign val="superscript"/>
        <sz val="10"/>
        <color rgb="FF000000"/>
        <rFont val="Arial"/>
        <family val="2"/>
      </rPr>
      <t>3</t>
    </r>
  </si>
  <si>
    <t>% of total by category</t>
  </si>
  <si>
    <t>Noise, vibration and air quality/dust</t>
  </si>
  <si>
    <t>Business partners (contractors)</t>
  </si>
  <si>
    <t>Compensation practices</t>
  </si>
  <si>
    <t>Other (miscellaneous)</t>
  </si>
  <si>
    <t>Land access</t>
  </si>
  <si>
    <t>Consultation and access to information</t>
  </si>
  <si>
    <t>Blast events</t>
  </si>
  <si>
    <t>Employment</t>
  </si>
  <si>
    <t>Infrastructure improvement</t>
  </si>
  <si>
    <t>Local business development</t>
  </si>
  <si>
    <t>Property damage</t>
  </si>
  <si>
    <t>Community investment</t>
  </si>
  <si>
    <t>Livelihoods/living conditions and wellbeing</t>
  </si>
  <si>
    <t>Workforce behavior</t>
  </si>
  <si>
    <t>Resettlement</t>
  </si>
  <si>
    <t>Environment</t>
  </si>
  <si>
    <t>Media request or attention</t>
  </si>
  <si>
    <t>Accounts payable</t>
  </si>
  <si>
    <t>Procurement practices</t>
  </si>
  <si>
    <t>Training</t>
  </si>
  <si>
    <t>Transport</t>
  </si>
  <si>
    <t>Government payments or financial regulations</t>
  </si>
  <si>
    <t>Community events</t>
  </si>
  <si>
    <t>Health and safety</t>
  </si>
  <si>
    <t>Industry engagement</t>
  </si>
  <si>
    <t>Small-scale mining</t>
  </si>
  <si>
    <r>
      <rPr>
        <vertAlign val="superscript"/>
        <sz val="8"/>
        <color rgb="FF000000"/>
        <rFont val="Arial"/>
        <family val="2"/>
      </rPr>
      <t>1</t>
    </r>
    <r>
      <rPr>
        <sz val="8"/>
        <color rgb="FF000000"/>
        <rFont val="Arial"/>
        <family val="2"/>
      </rPr>
      <t xml:space="preserve"> </t>
    </r>
    <r>
      <rPr>
        <sz val="8"/>
        <color rgb="FF000000"/>
        <rFont val="Arial"/>
        <family val="2"/>
      </rPr>
      <t>GRI</t>
    </r>
    <r>
      <rPr>
        <sz val="8"/>
        <color rgb="FF000000"/>
        <rFont val="Arial"/>
        <family val="2"/>
      </rPr>
      <t xml:space="preserve"> Standards disclosure </t>
    </r>
    <r>
      <rPr>
        <sz val="8"/>
        <color rgb="FF000000"/>
        <rFont val="Arial"/>
        <family val="2"/>
      </rPr>
      <t xml:space="preserve">GRI 102-44: Stakeholder </t>
    </r>
    <r>
      <rPr>
        <sz val="8"/>
        <color rgb="FF000000"/>
        <rFont val="Arial"/>
        <family val="2"/>
      </rPr>
      <t>k</t>
    </r>
    <r>
      <rPr>
        <sz val="8"/>
        <color rgb="FF000000"/>
        <rFont val="Arial"/>
        <family val="2"/>
      </rPr>
      <t xml:space="preserve">ey </t>
    </r>
    <r>
      <rPr>
        <sz val="8"/>
        <color rgb="FF000000"/>
        <rFont val="Arial"/>
        <family val="2"/>
      </rPr>
      <t>t</t>
    </r>
    <r>
      <rPr>
        <sz val="8"/>
        <color rgb="FF000000"/>
        <rFont val="Arial"/>
        <family val="2"/>
      </rPr>
      <t xml:space="preserve">opics and </t>
    </r>
    <r>
      <rPr>
        <sz val="8"/>
        <color rgb="FF000000"/>
        <rFont val="Arial"/>
        <family val="2"/>
      </rPr>
      <t>c</t>
    </r>
    <r>
      <rPr>
        <sz val="8"/>
        <color rgb="FF000000"/>
        <rFont val="Arial"/>
        <family val="2"/>
      </rPr>
      <t xml:space="preserve">oncerns </t>
    </r>
    <r>
      <rPr>
        <sz val="8"/>
        <color rgb="FF000000"/>
        <rFont val="Arial"/>
        <family val="2"/>
      </rPr>
      <t>r</t>
    </r>
    <r>
      <rPr>
        <sz val="8"/>
        <color rgb="FF000000"/>
        <rFont val="Arial"/>
        <family val="2"/>
      </rPr>
      <t>aised</t>
    </r>
    <r>
      <rPr>
        <sz val="8"/>
        <color rgb="FF000000"/>
        <rFont val="Arial"/>
        <family val="2"/>
      </rPr>
      <t xml:space="preserve">.
</t>
    </r>
    <r>
      <rPr>
        <vertAlign val="superscript"/>
        <sz val="8"/>
        <color rgb="FF000000"/>
        <rFont val="Arial"/>
        <family val="2"/>
      </rPr>
      <t>2</t>
    </r>
    <r>
      <rPr>
        <vertAlign val="superscript"/>
        <sz val="8"/>
        <color rgb="FF000000"/>
        <rFont val="Arial"/>
        <family val="2"/>
      </rPr>
      <t xml:space="preserve"> </t>
    </r>
    <r>
      <rPr>
        <sz val="8"/>
        <color rgb="FF000000"/>
        <rFont val="Arial"/>
        <family val="2"/>
      </rPr>
      <t xml:space="preserve">Data reflects the combined reasons for complaints and grievances for Newmont sites and former Goldcorp sites.
</t>
    </r>
    <r>
      <rPr>
        <vertAlign val="superscript"/>
        <sz val="8"/>
        <color rgb="FF000000"/>
        <rFont val="Arial"/>
        <family val="2"/>
      </rPr>
      <t>3</t>
    </r>
    <r>
      <rPr>
        <sz val="8"/>
        <color rgb="FF000000"/>
        <rFont val="Arial"/>
        <family val="2"/>
      </rPr>
      <t xml:space="preserve"> </t>
    </r>
    <r>
      <rPr>
        <sz val="8"/>
        <color rgb="FF000000"/>
        <rFont val="Arial"/>
        <family val="2"/>
      </rPr>
      <t>A single complaint or gr</t>
    </r>
    <r>
      <rPr>
        <sz val="8"/>
        <color rgb="FF000000"/>
        <rFont val="Arial"/>
        <family val="2"/>
      </rPr>
      <t>ievance may have multiple categori</t>
    </r>
    <r>
      <rPr>
        <sz val="8"/>
        <color rgb="FF000000"/>
        <rFont val="Arial"/>
        <family val="2"/>
      </rPr>
      <t>es; the total number of</t>
    </r>
    <r>
      <rPr>
        <sz val="8"/>
        <color rgb="FF000000"/>
        <rFont val="Arial"/>
        <family val="2"/>
      </rPr>
      <t xml:space="preserve"> </t>
    </r>
    <r>
      <rPr>
        <sz val="8"/>
        <color rgb="FF000000"/>
        <rFont val="Arial"/>
        <family val="2"/>
      </rPr>
      <t xml:space="preserve">actual </t>
    </r>
    <r>
      <rPr>
        <sz val="8"/>
        <color rgb="FF000000"/>
        <rFont val="Arial"/>
        <family val="2"/>
      </rPr>
      <t xml:space="preserve">complaints and grievances reported in 2019 were </t>
    </r>
    <r>
      <rPr>
        <sz val="8"/>
        <color rgb="FF000000"/>
        <rFont val="Arial"/>
        <family val="2"/>
      </rPr>
      <t xml:space="preserve">895; the data table shows </t>
    </r>
    <r>
      <rPr>
        <sz val="8"/>
        <color rgb="FF000000"/>
        <rFont val="Arial"/>
        <family val="2"/>
      </rPr>
      <t xml:space="preserve">the 948 </t>
    </r>
    <r>
      <rPr>
        <sz val="8"/>
        <color rgb="FF000000"/>
        <rFont val="Arial"/>
        <family val="2"/>
      </rPr>
      <t>c</t>
    </r>
    <r>
      <rPr>
        <sz val="8"/>
        <color rgb="FF000000"/>
        <rFont val="Arial"/>
        <family val="2"/>
      </rPr>
      <t xml:space="preserve">ategories </t>
    </r>
    <r>
      <rPr>
        <sz val="8"/>
        <color rgb="FF000000"/>
        <rFont val="Arial"/>
        <family val="2"/>
      </rPr>
      <t xml:space="preserve">associated </t>
    </r>
    <r>
      <rPr>
        <sz val="8"/>
        <color rgb="FF000000"/>
        <rFont val="Arial"/>
        <family val="2"/>
      </rPr>
      <t>with the 895 a</t>
    </r>
    <r>
      <rPr>
        <sz val="8"/>
        <color rgb="FF000000"/>
        <rFont val="Arial"/>
        <family val="2"/>
      </rPr>
      <t>ctual complaints and grievance</t>
    </r>
    <r>
      <rPr>
        <sz val="8"/>
        <color rgb="FF000000"/>
        <rFont val="Arial"/>
        <family val="2"/>
      </rPr>
      <t>s</t>
    </r>
    <r>
      <rPr>
        <sz val="8"/>
        <color rgb="FF000000"/>
        <rFont val="Arial"/>
        <family val="2"/>
      </rPr>
      <t xml:space="preserve">. </t>
    </r>
  </si>
  <si>
    <r>
      <rPr>
        <b/>
        <sz val="10"/>
        <color rgb="FF000000"/>
        <rFont val="Arial"/>
        <family val="2"/>
      </rPr>
      <t>H</t>
    </r>
    <r>
      <rPr>
        <b/>
        <sz val="10"/>
        <color rgb="FF000000"/>
        <rFont val="Arial"/>
        <family val="2"/>
      </rPr>
      <t>uman rights allegations by country, category and outcome</t>
    </r>
    <r>
      <rPr>
        <b/>
        <sz val="10"/>
        <color rgb="FF000000"/>
        <rFont val="Arial"/>
        <family val="2"/>
      </rPr>
      <t xml:space="preserve"> 2019</t>
    </r>
    <r>
      <rPr>
        <b/>
        <sz val="10"/>
        <color rgb="FF000000"/>
        <rFont val="Arial"/>
        <family val="2"/>
      </rPr>
      <t>: Site level</t>
    </r>
    <r>
      <rPr>
        <b/>
        <vertAlign val="superscript"/>
        <sz val="10"/>
        <color rgb="FF000000"/>
        <rFont val="Arial"/>
        <family val="2"/>
      </rPr>
      <t>1</t>
    </r>
  </si>
  <si>
    <t>Category</t>
  </si>
  <si>
    <t>Outcome (substantiated or unsubstantiated)</t>
  </si>
  <si>
    <t>Misconduct or inappropriate behavior</t>
  </si>
  <si>
    <t>Substantiated – employee terminated</t>
  </si>
  <si>
    <t>Unsubstantiated</t>
  </si>
  <si>
    <t>Substantiated – employee disciplined</t>
  </si>
  <si>
    <t>In process</t>
  </si>
  <si>
    <r>
      <rPr>
        <sz val="10"/>
        <color rgb="FF000000"/>
        <rFont val="Arial"/>
        <family val="2"/>
      </rPr>
      <t>Environmental, health or safety</t>
    </r>
    <r>
      <rPr>
        <vertAlign val="superscript"/>
        <sz val="10"/>
        <color rgb="FF000000"/>
        <rFont val="Arial"/>
        <family val="2"/>
      </rPr>
      <t>2</t>
    </r>
  </si>
  <si>
    <t>U.S. - CC&amp;V</t>
  </si>
  <si>
    <t>Substantiated – employee counseled</t>
  </si>
  <si>
    <t>U.S. - Corporate</t>
  </si>
  <si>
    <t>U.S. - Nevada</t>
  </si>
  <si>
    <t>U.S.- Nevada</t>
  </si>
  <si>
    <r>
      <rPr>
        <vertAlign val="superscript"/>
        <sz val="8"/>
        <color rgb="FF000000"/>
        <rFont val="Arial"/>
        <family val="2"/>
      </rPr>
      <t xml:space="preserve">1 </t>
    </r>
    <r>
      <rPr>
        <vertAlign val="superscript"/>
        <sz val="8"/>
        <color rgb="FF000000"/>
        <rFont val="Arial"/>
        <family val="2"/>
      </rPr>
      <t xml:space="preserve"> </t>
    </r>
    <r>
      <rPr>
        <sz val="8"/>
        <color rgb="FF000000"/>
        <rFont val="Arial"/>
        <family val="2"/>
      </rPr>
      <t xml:space="preserve">In 2019, our Ethics Solutions Tool recorded five substantiated and 12 unsubstantiated cases that were internally classified as human rights-related. Another two cases were under review </t>
    </r>
    <r>
      <rPr>
        <sz val="8"/>
        <color rgb="FF000000"/>
        <rFont val="Arial"/>
        <family val="2"/>
      </rPr>
      <t>as of Dec. 31,</t>
    </r>
    <r>
      <rPr>
        <sz val="8"/>
        <color rgb="FF000000"/>
        <rFont val="Arial"/>
        <family val="2"/>
      </rPr>
      <t xml:space="preserve"> 2019 and are noted as "in process". 
</t>
    </r>
    <r>
      <rPr>
        <vertAlign val="superscript"/>
        <sz val="8"/>
        <color rgb="FF000000"/>
        <rFont val="Arial"/>
        <family val="2"/>
      </rPr>
      <t xml:space="preserve">2 </t>
    </r>
    <r>
      <rPr>
        <vertAlign val="superscript"/>
        <sz val="8"/>
        <color rgb="FF000000"/>
        <rFont val="Arial"/>
        <family val="2"/>
      </rPr>
      <t xml:space="preserve"> </t>
    </r>
    <r>
      <rPr>
        <sz val="8"/>
        <color rgb="FF000000"/>
        <rFont val="Arial"/>
        <family val="2"/>
      </rPr>
      <t>This in-</t>
    </r>
    <r>
      <rPr>
        <sz val="8"/>
        <color rgb="FF000000"/>
        <rFont val="Arial"/>
        <family val="2"/>
      </rPr>
      <t>p</t>
    </r>
    <r>
      <rPr>
        <sz val="8"/>
        <color rgb="FF000000"/>
        <rFont val="Arial"/>
        <family val="2"/>
      </rPr>
      <t>rocess review relates to a</t>
    </r>
    <r>
      <rPr>
        <sz val="8"/>
        <color rgb="FF000000"/>
        <rFont val="Arial"/>
        <family val="2"/>
      </rPr>
      <t>n allegation deeme</t>
    </r>
    <r>
      <rPr>
        <sz val="8"/>
        <color rgb="FF000000"/>
        <rFont val="Arial"/>
        <family val="2"/>
      </rPr>
      <t xml:space="preserve">d as a </t>
    </r>
    <r>
      <rPr>
        <sz val="8"/>
        <color rgb="FF000000"/>
        <rFont val="Arial"/>
        <family val="2"/>
      </rPr>
      <t>n</t>
    </r>
    <r>
      <rPr>
        <sz val="8"/>
        <color rgb="FF000000"/>
        <rFont val="Arial"/>
        <family val="2"/>
      </rPr>
      <t>on-criminal act</t>
    </r>
    <r>
      <rPr>
        <sz val="8"/>
        <color rgb="FF000000"/>
        <rFont val="Arial"/>
        <family val="2"/>
      </rPr>
      <t xml:space="preserve">.
</t>
    </r>
    <r>
      <rPr>
        <vertAlign val="superscript"/>
        <sz val="8"/>
        <color rgb="FF000000"/>
        <rFont val="Arial"/>
        <family val="2"/>
      </rPr>
      <t xml:space="preserve">	</t>
    </r>
    <r>
      <rPr>
        <vertAlign val="superscript"/>
        <sz val="8"/>
        <color rgb="FF000000"/>
        <rFont val="Arial"/>
        <family val="2"/>
      </rPr>
      <t xml:space="preserve">	</t>
    </r>
    <r>
      <rPr>
        <vertAlign val="superscript"/>
        <sz val="8"/>
        <color rgb="FF000000"/>
        <rFont val="Arial"/>
        <family val="2"/>
      </rPr>
      <t xml:space="preserve">	</t>
    </r>
    <r>
      <rPr>
        <vertAlign val="superscript"/>
        <sz val="8"/>
        <color rgb="FF000000"/>
        <rFont val="Arial"/>
        <family val="2"/>
      </rPr>
      <t xml:space="preserve">	</t>
    </r>
  </si>
  <si>
    <r>
      <rPr>
        <b/>
        <sz val="10"/>
        <color rgb="FF000000"/>
        <rFont val="Arial"/>
        <family val="2"/>
      </rPr>
      <t>No. h</t>
    </r>
    <r>
      <rPr>
        <b/>
        <sz val="10"/>
        <color rgb="FF000000"/>
        <rFont val="Arial"/>
        <family val="2"/>
      </rPr>
      <t>uman rights allegations by country, category and outcome</t>
    </r>
    <r>
      <rPr>
        <b/>
        <sz val="10"/>
        <color rgb="FF000000"/>
        <rFont val="Arial"/>
        <family val="2"/>
      </rPr>
      <t xml:space="preserve"> 2019: </t>
    </r>
    <r>
      <rPr>
        <b/>
        <sz val="10"/>
        <color rgb="FF000000"/>
        <rFont val="Arial"/>
        <family val="2"/>
      </rPr>
      <t>Site level</t>
    </r>
    <r>
      <rPr>
        <b/>
        <vertAlign val="superscript"/>
        <sz val="10"/>
        <color rgb="FF000000"/>
        <rFont val="Arial"/>
        <family val="2"/>
      </rPr>
      <t>1</t>
    </r>
  </si>
  <si>
    <r>
      <rPr>
        <b/>
        <sz val="10"/>
        <color rgb="FF000000"/>
        <rFont val="Arial"/>
        <family val="2"/>
      </rPr>
      <t xml:space="preserve">Environmental, </t>
    </r>
    <r>
      <rPr>
        <b/>
        <sz val="10"/>
        <color rgb="FF000000"/>
        <rFont val="Arial"/>
        <family val="2"/>
      </rPr>
      <t>h</t>
    </r>
    <r>
      <rPr>
        <b/>
        <sz val="10"/>
        <color rgb="FF000000"/>
        <rFont val="Arial"/>
        <family val="2"/>
      </rPr>
      <t xml:space="preserve">ealth or </t>
    </r>
    <r>
      <rPr>
        <b/>
        <sz val="10"/>
        <color rgb="FF000000"/>
        <rFont val="Arial"/>
        <family val="2"/>
      </rPr>
      <t>s</t>
    </r>
    <r>
      <rPr>
        <b/>
        <sz val="10"/>
        <color rgb="FF000000"/>
        <rFont val="Arial"/>
        <family val="2"/>
      </rPr>
      <t>afety</t>
    </r>
    <r>
      <rPr>
        <b/>
        <vertAlign val="superscript"/>
        <sz val="10"/>
        <color rgb="FF000000"/>
        <rFont val="Arial"/>
        <family val="2"/>
      </rPr>
      <t>2</t>
    </r>
    <r>
      <rPr>
        <b/>
        <sz val="10"/>
        <color rgb="FF000000"/>
        <rFont val="Arial"/>
        <family val="2"/>
      </rPr>
      <t xml:space="preserve"> </t>
    </r>
  </si>
  <si>
    <t>Substantiated</t>
  </si>
  <si>
    <t>In process as of Dec. 31, 2019</t>
  </si>
  <si>
    <t xml:space="preserve">Totals </t>
  </si>
  <si>
    <r>
      <rPr>
        <vertAlign val="superscript"/>
        <sz val="8"/>
        <color rgb="FF000000"/>
        <rFont val="Arial"/>
        <family val="2"/>
      </rPr>
      <t xml:space="preserve">1  </t>
    </r>
    <r>
      <rPr>
        <sz val="8"/>
        <color rgb="FF000000"/>
        <rFont val="Arial"/>
        <family val="2"/>
      </rPr>
      <t xml:space="preserve">In 2019, our Ethics Solutions Tool recorded five substantiated and 12 unsubstantiated cases that were internally classified as human rights-related. Another two cases were under review at the end of 2019 and are noted as "in process". 
</t>
    </r>
    <r>
      <rPr>
        <vertAlign val="superscript"/>
        <sz val="8"/>
        <color rgb="FF000000"/>
        <rFont val="Arial"/>
        <family val="2"/>
      </rPr>
      <t>2</t>
    </r>
    <r>
      <rPr>
        <sz val="8"/>
        <color rgb="FF000000"/>
        <rFont val="Arial"/>
        <family val="2"/>
      </rPr>
      <t xml:space="preserve"> </t>
    </r>
    <r>
      <rPr>
        <sz val="8"/>
        <color rgb="FF000000"/>
        <rFont val="Arial"/>
        <family val="2"/>
      </rPr>
      <t xml:space="preserve">This in-process review relates to an allegation deemed as a </t>
    </r>
    <r>
      <rPr>
        <sz val="8"/>
        <color rgb="FF000000"/>
        <rFont val="Arial"/>
        <family val="2"/>
      </rPr>
      <t>n</t>
    </r>
    <r>
      <rPr>
        <sz val="8"/>
        <color rgb="FF000000"/>
        <rFont val="Arial"/>
        <family val="2"/>
      </rPr>
      <t>on-criminal act.</t>
    </r>
    <r>
      <rPr>
        <vertAlign val="superscript"/>
        <sz val="8"/>
        <color rgb="FF000000"/>
        <rFont val="Arial"/>
        <family val="2"/>
      </rPr>
      <t xml:space="preserve">	</t>
    </r>
    <r>
      <rPr>
        <vertAlign val="superscript"/>
        <sz val="8"/>
        <color rgb="FF000000"/>
        <rFont val="Arial"/>
        <family val="2"/>
      </rPr>
      <t xml:space="preserve">	</t>
    </r>
    <r>
      <rPr>
        <vertAlign val="superscript"/>
        <sz val="8"/>
        <color rgb="FF000000"/>
        <rFont val="Arial"/>
        <family val="2"/>
      </rPr>
      <t xml:space="preserve">	</t>
    </r>
    <r>
      <rPr>
        <vertAlign val="superscript"/>
        <sz val="8"/>
        <color rgb="FF000000"/>
        <rFont val="Arial"/>
        <family val="2"/>
      </rPr>
      <t xml:space="preserve">	</t>
    </r>
  </si>
  <si>
    <r>
      <rPr>
        <b/>
        <sz val="10"/>
        <color rgb="FF000000"/>
        <rFont val="Arial"/>
        <family val="2"/>
      </rPr>
      <t xml:space="preserve">Human </t>
    </r>
    <r>
      <rPr>
        <b/>
        <sz val="10"/>
        <color rgb="FF000000"/>
        <rFont val="Arial"/>
        <family val="2"/>
      </rPr>
      <t>rights</t>
    </r>
    <r>
      <rPr>
        <b/>
        <sz val="10"/>
        <color rgb="FF000000"/>
        <rFont val="Arial"/>
        <family val="2"/>
      </rPr>
      <t xml:space="preserve"> </t>
    </r>
    <r>
      <rPr>
        <b/>
        <sz val="10"/>
        <color rgb="FF000000"/>
        <rFont val="Arial"/>
        <family val="2"/>
      </rPr>
      <t xml:space="preserve">assessments </t>
    </r>
    <r>
      <rPr>
        <b/>
        <sz val="10"/>
        <color rgb="FF000000"/>
        <rFont val="Arial"/>
        <family val="2"/>
      </rPr>
      <t xml:space="preserve">or reviews </t>
    </r>
    <r>
      <rPr>
        <b/>
        <sz val="10"/>
        <color rgb="FF000000"/>
        <rFont val="Arial"/>
        <family val="2"/>
      </rPr>
      <t xml:space="preserve">conducted </t>
    </r>
    <r>
      <rPr>
        <b/>
        <sz val="10"/>
        <color rgb="FF000000"/>
        <rFont val="Arial"/>
        <family val="2"/>
      </rPr>
      <t>2017-2019</t>
    </r>
    <r>
      <rPr>
        <b/>
        <sz val="10"/>
        <color rgb="FF000000"/>
        <rFont val="Arial"/>
        <family val="2"/>
      </rPr>
      <t>: Site-level</t>
    </r>
    <r>
      <rPr>
        <b/>
        <vertAlign val="superscript"/>
        <sz val="10"/>
        <color rgb="FF000000"/>
        <rFont val="Arial"/>
        <family val="2"/>
      </rPr>
      <t>1</t>
    </r>
    <r>
      <rPr>
        <b/>
        <vertAlign val="superscript"/>
        <sz val="10"/>
        <color rgb="FF000000"/>
        <rFont val="Arial"/>
        <family val="2"/>
      </rPr>
      <t>, 2</t>
    </r>
  </si>
  <si>
    <t>Country/Site</t>
  </si>
  <si>
    <t>Assessment summary and context</t>
  </si>
  <si>
    <t>Human Rights Baseline and Impact Assessment Study for the proposed Ahafo North project</t>
  </si>
  <si>
    <t>Newmont risk assessment process that incorporates human rights impact assessments on an ongoing basis</t>
  </si>
  <si>
    <t xml:space="preserve">All-Ghana locations </t>
  </si>
  <si>
    <t>Human Rights Supplier Risk Assessments/Audits</t>
  </si>
  <si>
    <t>Marlin</t>
  </si>
  <si>
    <t>Marlin Mine Closure: A Review of Goldcorp Commitments to the 2010 Human Rights Assessment</t>
  </si>
  <si>
    <t xml:space="preserve">Merian </t>
  </si>
  <si>
    <t>Merian's cross-functional Human Rights Working Group refined the site's human rights action plan and undertook an assessment to determine the most salient human rights risks for the region</t>
  </si>
  <si>
    <t>Human Rights Impact Assessment</t>
  </si>
  <si>
    <t>Sabajo</t>
  </si>
  <si>
    <r>
      <rPr>
        <sz val="10"/>
        <color rgb="FF000000"/>
        <rFont val="Arial"/>
        <family val="2"/>
      </rPr>
      <t xml:space="preserve">Human rights integrated into the public Environmental and Social Impact Assessment </t>
    </r>
  </si>
  <si>
    <t>Peru - all locations</t>
  </si>
  <si>
    <t>Human Rights Risk Assessment of new security system</t>
  </si>
  <si>
    <t xml:space="preserve">Yanacocha </t>
  </si>
  <si>
    <t>Percentage coverage:</t>
  </si>
  <si>
    <r>
      <rPr>
        <b/>
        <sz val="10"/>
        <color rgb="FF000000"/>
        <rFont val="Arial"/>
        <family val="2"/>
      </rPr>
      <t xml:space="preserve">Human rights </t>
    </r>
    <r>
      <rPr>
        <b/>
        <sz val="10"/>
        <color rgb="FF000000"/>
        <rFont val="Arial"/>
        <family val="2"/>
      </rPr>
      <t>new supplier screening</t>
    </r>
    <r>
      <rPr>
        <b/>
        <sz val="10"/>
        <color rgb="FF000000"/>
        <rFont val="Arial"/>
        <family val="2"/>
      </rPr>
      <t xml:space="preserve"> 2019: Country level</t>
    </r>
    <r>
      <rPr>
        <b/>
        <vertAlign val="superscript"/>
        <sz val="10"/>
        <color rgb="FF000000"/>
        <rFont val="Arial"/>
        <family val="2"/>
      </rPr>
      <t>1</t>
    </r>
    <r>
      <rPr>
        <b/>
        <vertAlign val="superscript"/>
        <sz val="10"/>
        <color rgb="FF000000"/>
        <rFont val="Arial"/>
        <family val="2"/>
      </rPr>
      <t>, 2</t>
    </r>
  </si>
  <si>
    <t>New supplier human rights screenings</t>
  </si>
  <si>
    <t xml:space="preserve">Screened 'at-risk' suppliers receiving human rights training </t>
  </si>
  <si>
    <t>No. new suppliers</t>
  </si>
  <si>
    <t>No. new suppliers screened for human rights risks</t>
  </si>
  <si>
    <t xml:space="preserve">% of new suppliers screened for human rights </t>
  </si>
  <si>
    <r>
      <rPr>
        <b/>
        <sz val="10"/>
        <color rgb="FF000000"/>
        <rFont val="Arial"/>
        <family val="2"/>
      </rPr>
      <t>No.</t>
    </r>
    <r>
      <rPr>
        <b/>
        <sz val="10"/>
        <color rgb="FF000000"/>
        <rFont val="Arial"/>
        <family val="2"/>
      </rPr>
      <t xml:space="preserve"> of suppliers identified through the pre-qualification process as having potential human rights risks</t>
    </r>
    <r>
      <rPr>
        <b/>
        <vertAlign val="superscript"/>
        <sz val="10"/>
        <color rgb="FF000000"/>
        <rFont val="Arial"/>
        <family val="2"/>
      </rPr>
      <t>2</t>
    </r>
    <r>
      <rPr>
        <b/>
        <sz val="10"/>
        <color rgb="FF000000"/>
        <rFont val="Arial"/>
        <family val="2"/>
      </rPr>
      <t xml:space="preserve"> </t>
    </r>
  </si>
  <si>
    <r>
      <rPr>
        <vertAlign val="superscript"/>
        <sz val="8"/>
        <color rgb="FF000000"/>
        <rFont val="Arial"/>
        <family val="2"/>
      </rPr>
      <t>1</t>
    </r>
    <r>
      <rPr>
        <sz val="8"/>
        <color rgb="FF000000"/>
        <rFont val="Arial"/>
        <family val="2"/>
      </rPr>
      <t xml:space="preserve"> </t>
    </r>
    <r>
      <rPr>
        <sz val="8"/>
        <color rgb="FF000000"/>
        <rFont val="Arial"/>
        <family val="2"/>
      </rPr>
      <t>GRI 412-1: Operations that have been subject to human rights reviews or impact assessments</t>
    </r>
    <r>
      <rPr>
        <sz val="8"/>
        <color rgb="FF000000"/>
        <rFont val="Arial"/>
        <family val="2"/>
      </rPr>
      <t xml:space="preserve">.
</t>
    </r>
    <r>
      <rPr>
        <vertAlign val="superscript"/>
        <sz val="8"/>
        <color rgb="FF000000"/>
        <rFont val="Arial"/>
        <family val="2"/>
      </rPr>
      <t>2</t>
    </r>
    <r>
      <rPr>
        <sz val="8"/>
        <color rgb="FF000000"/>
        <rFont val="Arial"/>
        <family val="2"/>
      </rPr>
      <t xml:space="preserve"> </t>
    </r>
    <r>
      <rPr>
        <sz val="8"/>
        <color rgb="FF000000"/>
        <rFont val="Arial"/>
        <family val="2"/>
      </rPr>
      <t xml:space="preserve">We pre-screened all new suppliers in Australia, Ghana and Peru against human rights criteria, and suppliers identified as having potential human rights risks were provided human rights training. </t>
    </r>
    <r>
      <rPr>
        <sz val="8"/>
        <color rgb="FF000000"/>
        <rFont val="Arial"/>
        <family val="2"/>
      </rPr>
      <t xml:space="preserve">Australia region data includes </t>
    </r>
    <r>
      <rPr>
        <sz val="8"/>
        <color rgb="FF000000"/>
        <rFont val="Arial"/>
        <family val="2"/>
      </rPr>
      <t>projects</t>
    </r>
    <r>
      <rPr>
        <sz val="8"/>
        <color rgb="FF000000"/>
        <rFont val="Arial"/>
        <family val="2"/>
      </rPr>
      <t xml:space="preserve"> and </t>
    </r>
    <r>
      <rPr>
        <sz val="8"/>
        <color rgb="FF000000"/>
        <rFont val="Arial"/>
        <family val="2"/>
      </rPr>
      <t>exploration</t>
    </r>
    <r>
      <rPr>
        <sz val="8"/>
        <color rgb="FF000000"/>
        <rFont val="Arial"/>
        <family val="2"/>
      </rPr>
      <t>; U</t>
    </r>
    <r>
      <rPr>
        <sz val="8"/>
        <color rgb="FF000000"/>
        <rFont val="Arial"/>
        <family val="2"/>
      </rPr>
      <t>.S.</t>
    </r>
    <r>
      <rPr>
        <sz val="8"/>
        <color rgb="FF000000"/>
        <rFont val="Arial"/>
        <family val="2"/>
      </rPr>
      <t xml:space="preserve"> includes corporate headquarters and metallurgy lab</t>
    </r>
    <r>
      <rPr>
        <sz val="8"/>
        <color rgb="FF000000"/>
        <rFont val="Arial"/>
        <family val="2"/>
      </rPr>
      <t xml:space="preserve"> (Colorado), and Miami </t>
    </r>
    <r>
      <rPr>
        <sz val="8"/>
        <color rgb="FF000000"/>
        <rFont val="Arial"/>
        <family val="2"/>
      </rPr>
      <t>regional office</t>
    </r>
    <r>
      <rPr>
        <sz val="8"/>
        <color rgb="FF000000"/>
        <rFont val="Arial"/>
        <family val="2"/>
      </rPr>
      <t xml:space="preserve">. </t>
    </r>
    <r>
      <rPr>
        <sz val="8"/>
        <color rgb="FF000000"/>
        <rFont val="Arial"/>
        <family val="2"/>
      </rPr>
      <t>Sites that are not wi</t>
    </r>
    <r>
      <rPr>
        <sz val="8"/>
        <color rgb="FF000000"/>
        <rFont val="Arial"/>
        <family val="2"/>
      </rPr>
      <t>th</t>
    </r>
    <r>
      <rPr>
        <sz val="8"/>
        <color rgb="FF000000"/>
        <rFont val="Arial"/>
        <family val="2"/>
      </rPr>
      <t xml:space="preserve"> the scope of the supplier risk assessment </t>
    </r>
    <r>
      <rPr>
        <sz val="8"/>
        <color rgb="FF000000"/>
        <rFont val="Arial"/>
        <family val="2"/>
      </rPr>
      <t>program</t>
    </r>
    <r>
      <rPr>
        <sz val="8"/>
        <color rgb="FF000000"/>
        <rFont val="Arial"/>
        <family val="2"/>
      </rPr>
      <t xml:space="preserve"> </t>
    </r>
    <r>
      <rPr>
        <sz val="8"/>
        <color rgb="FF000000"/>
        <rFont val="Arial"/>
        <family val="2"/>
      </rPr>
      <t xml:space="preserve">(SRiM) </t>
    </r>
    <r>
      <rPr>
        <sz val="8"/>
        <color rgb="FF000000"/>
        <rFont val="Arial"/>
        <family val="2"/>
      </rPr>
      <t>are: U.S. CC&amp;V</t>
    </r>
    <r>
      <rPr>
        <sz val="8"/>
        <color rgb="FF000000"/>
        <rFont val="Arial"/>
        <family val="2"/>
      </rPr>
      <t>; Canada sites; Mexico, Argentina and Suriname.</t>
    </r>
    <r>
      <rPr>
        <sz val="8"/>
        <color rgb="FF000000"/>
        <rFont val="Arial"/>
        <family val="2"/>
      </rPr>
      <t xml:space="preserve"> </t>
    </r>
    <r>
      <rPr>
        <sz val="8"/>
        <color rgb="FF000000"/>
        <rFont val="Arial"/>
        <family val="2"/>
      </rPr>
      <t>O</t>
    </r>
    <r>
      <rPr>
        <sz val="8"/>
        <color rgb="FF000000"/>
        <rFont val="Arial"/>
        <family val="2"/>
      </rPr>
      <t>u</t>
    </r>
    <r>
      <rPr>
        <sz val="8"/>
        <color rgb="FF000000"/>
        <rFont val="Arial"/>
        <family val="2"/>
      </rPr>
      <t xml:space="preserve">tside of the SRiM process, 14 </t>
    </r>
    <r>
      <rPr>
        <sz val="8"/>
        <color rgb="FF000000"/>
        <rFont val="Arial"/>
        <family val="2"/>
      </rPr>
      <t xml:space="preserve">Suriname </t>
    </r>
    <r>
      <rPr>
        <sz val="8"/>
        <color rgb="FF000000"/>
        <rFont val="Arial"/>
        <family val="2"/>
      </rPr>
      <t xml:space="preserve">suppliers received </t>
    </r>
    <r>
      <rPr>
        <sz val="8"/>
        <color rgb="FF000000"/>
        <rFont val="Arial"/>
        <family val="2"/>
      </rPr>
      <t>in-person human rights training</t>
    </r>
    <r>
      <rPr>
        <sz val="8"/>
        <color rgb="FF000000"/>
        <rFont val="Arial"/>
        <family val="2"/>
      </rPr>
      <t xml:space="preserve"> in 2019</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vertAlign val="superscript"/>
        <sz val="8"/>
        <color rgb="FF000000"/>
        <rFont val="Arial"/>
        <family val="2"/>
      </rPr>
      <t xml:space="preserve">
</t>
    </r>
    <r>
      <rPr>
        <vertAlign val="superscript"/>
        <sz val="8"/>
        <color rgb="FF000000"/>
        <rFont val="Arial"/>
        <family val="2"/>
      </rPr>
      <t/>
    </r>
  </si>
  <si>
    <r>
      <rPr>
        <b/>
        <sz val="10"/>
        <color rgb="FF000000"/>
        <rFont val="Arial"/>
        <family val="2"/>
      </rPr>
      <t>S</t>
    </r>
    <r>
      <rPr>
        <b/>
        <sz val="10"/>
        <color rgb="FF000000"/>
        <rFont val="Arial"/>
        <family val="2"/>
      </rPr>
      <t>ecurity personnel trained in human rights policies or procedures</t>
    </r>
    <r>
      <rPr>
        <b/>
        <sz val="10"/>
        <color rgb="FF000000"/>
        <rFont val="Arial"/>
        <family val="2"/>
      </rPr>
      <t xml:space="preserve"> 2019: Site level</t>
    </r>
    <r>
      <rPr>
        <b/>
        <vertAlign val="superscript"/>
        <sz val="10"/>
        <color rgb="FF000000"/>
        <rFont val="Arial"/>
        <family val="2"/>
      </rPr>
      <t>1</t>
    </r>
    <r>
      <rPr>
        <b/>
        <vertAlign val="superscript"/>
        <sz val="10"/>
        <color rgb="FF000000"/>
        <rFont val="Arial"/>
        <family val="2"/>
      </rPr>
      <t>, 2</t>
    </r>
  </si>
  <si>
    <t>Session details</t>
  </si>
  <si>
    <t>Total number of participants in security training</t>
  </si>
  <si>
    <t>No. of sessions conducted</t>
  </si>
  <si>
    <t>Total duration of all sessions (hours)</t>
  </si>
  <si>
    <t>No. of employees trained</t>
  </si>
  <si>
    <t>No. of private security contractors trained</t>
  </si>
  <si>
    <t>No. of public security/law enforcement personnel trained</t>
  </si>
  <si>
    <t>Other external stakeholders trained</t>
  </si>
  <si>
    <t>Percentage of Newmont security personnel trained</t>
  </si>
  <si>
    <r>
      <rPr>
        <sz val="10"/>
        <color rgb="FF000000"/>
        <rFont val="Arial"/>
        <family val="2"/>
      </rPr>
      <t>Yanacocha</t>
    </r>
    <r>
      <rPr>
        <vertAlign val="superscript"/>
        <sz val="10"/>
        <color rgb="FF000000"/>
        <rFont val="Arial"/>
        <family val="2"/>
      </rPr>
      <t>4</t>
    </r>
  </si>
  <si>
    <r>
      <rPr>
        <vertAlign val="superscript"/>
        <sz val="8"/>
        <color rgb="FF000000"/>
        <rFont val="Arial"/>
        <family val="2"/>
      </rPr>
      <t>1</t>
    </r>
    <r>
      <rPr>
        <sz val="8"/>
        <color rgb="FF000000"/>
        <rFont val="Arial"/>
        <family val="2"/>
      </rPr>
      <t xml:space="preserve"> </t>
    </r>
    <r>
      <rPr>
        <sz val="8"/>
        <color rgb="FF000000"/>
        <rFont val="Arial"/>
        <family val="2"/>
      </rPr>
      <t>GRI Standards disclosure</t>
    </r>
    <r>
      <rPr>
        <sz val="8"/>
        <color rgb="FF000000"/>
        <rFont val="Arial"/>
        <family val="2"/>
      </rPr>
      <t xml:space="preserve"> </t>
    </r>
    <r>
      <rPr>
        <sz val="8"/>
        <color rgb="FF000000"/>
        <rFont val="Arial"/>
        <family val="2"/>
      </rPr>
      <t>GRI 410-1: Security personnel trained in human rights policies or procedures</t>
    </r>
    <r>
      <rPr>
        <sz val="8"/>
        <color rgb="FF000000"/>
        <rFont val="Arial"/>
        <family val="2"/>
      </rPr>
      <t xml:space="preserve">. 
</t>
    </r>
    <r>
      <rPr>
        <vertAlign val="superscript"/>
        <sz val="8"/>
        <color rgb="FF000000"/>
        <rFont val="Arial"/>
        <family val="2"/>
      </rPr>
      <t>2</t>
    </r>
    <r>
      <rPr>
        <vertAlign val="superscript"/>
        <sz val="8"/>
        <color rgb="FF000000"/>
        <rFont val="Arial"/>
        <family val="2"/>
      </rPr>
      <t xml:space="preserve"> </t>
    </r>
    <r>
      <rPr>
        <sz val="8"/>
        <color rgb="FF000000"/>
        <rFont val="Arial"/>
        <family val="2"/>
      </rPr>
      <t>S</t>
    </r>
    <r>
      <rPr>
        <sz val="8"/>
        <color rgb="FF000000"/>
        <rFont val="Arial"/>
        <family val="2"/>
      </rPr>
      <t xml:space="preserve">ecurity training did not take place in </t>
    </r>
    <r>
      <rPr>
        <sz val="8"/>
        <color rgb="FF000000"/>
        <rFont val="Arial"/>
        <family val="2"/>
      </rPr>
      <t>2019</t>
    </r>
    <r>
      <rPr>
        <sz val="8"/>
        <color rgb="FF000000"/>
        <rFont val="Arial"/>
        <family val="2"/>
      </rPr>
      <t xml:space="preserve"> </t>
    </r>
    <r>
      <rPr>
        <sz val="8"/>
        <color rgb="FF000000"/>
        <rFont val="Arial"/>
        <family val="2"/>
      </rPr>
      <t>in Can</t>
    </r>
    <r>
      <rPr>
        <sz val="8"/>
        <color rgb="FF000000"/>
        <rFont val="Arial"/>
        <family val="2"/>
      </rPr>
      <t>ada, U.S., and Australia</t>
    </r>
    <r>
      <rPr>
        <sz val="8"/>
        <color rgb="FF000000"/>
        <rFont val="Arial"/>
        <family val="2"/>
      </rPr>
      <t xml:space="preserve">; </t>
    </r>
    <r>
      <rPr>
        <sz val="8"/>
        <color rgb="FF000000"/>
        <rFont val="Arial"/>
        <family val="2"/>
      </rPr>
      <t xml:space="preserve">these </t>
    </r>
    <r>
      <rPr>
        <sz val="8"/>
        <color rgb="FF000000"/>
        <rFont val="Arial"/>
        <family val="2"/>
      </rPr>
      <t>dat</t>
    </r>
    <r>
      <rPr>
        <sz val="8"/>
        <color rgb="FF000000"/>
        <rFont val="Arial"/>
        <family val="2"/>
      </rPr>
      <t>a are omitted from</t>
    </r>
    <r>
      <rPr>
        <sz val="8"/>
        <color rgb="FF000000"/>
        <rFont val="Arial"/>
        <family val="2"/>
      </rPr>
      <t xml:space="preserve"> the table.
</t>
    </r>
    <r>
      <rPr>
        <vertAlign val="superscript"/>
        <sz val="8"/>
        <color rgb="FF000000"/>
        <rFont val="Arial"/>
        <family val="2"/>
      </rPr>
      <t>3</t>
    </r>
    <r>
      <rPr>
        <sz val="8"/>
        <color rgb="FF000000"/>
        <rFont val="Arial"/>
        <family val="2"/>
      </rPr>
      <t xml:space="preserve"> North America's Marlin and </t>
    </r>
    <r>
      <rPr>
        <sz val="8"/>
        <color rgb="FF000000"/>
        <rFont val="Arial"/>
        <family val="2"/>
      </rPr>
      <t>Peñasquito</t>
    </r>
    <r>
      <rPr>
        <sz val="8"/>
        <color rgb="FF000000"/>
        <rFont val="Arial"/>
        <family val="2"/>
      </rPr>
      <t xml:space="preserve"> sites will track the number of sessions conducted in future reporting years; 2019 data is not reported (N/R). The CC&amp;V site </t>
    </r>
    <r>
      <rPr>
        <sz val="8"/>
        <color rgb="FF000000"/>
        <rFont val="Arial"/>
        <family val="2"/>
      </rPr>
      <t xml:space="preserve">located in Colorado, U.S., </t>
    </r>
    <r>
      <rPr>
        <sz val="8"/>
        <color rgb="FF000000"/>
        <rFont val="Arial"/>
        <family val="2"/>
      </rPr>
      <t xml:space="preserve">did not conduct security training in 2019.  
</t>
    </r>
    <r>
      <rPr>
        <vertAlign val="superscript"/>
        <sz val="8"/>
        <color rgb="FF000000"/>
        <rFont val="Arial"/>
        <family val="2"/>
      </rPr>
      <t>4</t>
    </r>
    <r>
      <rPr>
        <sz val="8"/>
        <color rgb="FF000000"/>
        <rFont val="Arial"/>
        <family val="2"/>
      </rPr>
      <t xml:space="preserve"> Figures for 2019 Yanacocha security training sessions and hours are significantly higher than other sites due to increased number of training sessions with private security contractors and public security/law enforcement personnel.
</t>
    </r>
    <r>
      <rPr>
        <vertAlign val="superscript"/>
        <sz val="8"/>
        <color rgb="FF000000"/>
        <rFont val="Arial"/>
        <family val="2"/>
      </rPr>
      <t/>
    </r>
  </si>
  <si>
    <r>
      <rPr>
        <b/>
        <sz val="10"/>
        <color rgb="FF000000"/>
        <rFont val="Arial"/>
        <family val="2"/>
      </rPr>
      <t xml:space="preserve">Human rights </t>
    </r>
    <r>
      <rPr>
        <b/>
        <sz val="10"/>
        <color rgb="FF000000"/>
        <rFont val="Arial"/>
        <family val="2"/>
      </rPr>
      <t xml:space="preserve">workforce </t>
    </r>
    <r>
      <rPr>
        <b/>
        <sz val="10"/>
        <color rgb="FF000000"/>
        <rFont val="Arial"/>
        <family val="2"/>
      </rPr>
      <t>trai</t>
    </r>
    <r>
      <rPr>
        <b/>
        <sz val="10"/>
        <color rgb="FF000000"/>
        <rFont val="Arial"/>
        <family val="2"/>
      </rPr>
      <t>nings conducted</t>
    </r>
    <r>
      <rPr>
        <b/>
        <sz val="10"/>
        <color rgb="FF000000"/>
        <rFont val="Arial"/>
        <family val="2"/>
      </rPr>
      <t xml:space="preserve"> </t>
    </r>
    <r>
      <rPr>
        <b/>
        <sz val="10"/>
        <color rgb="FF000000"/>
        <rFont val="Arial"/>
        <family val="2"/>
      </rPr>
      <t>2</t>
    </r>
    <r>
      <rPr>
        <b/>
        <sz val="10"/>
        <color rgb="FF000000"/>
        <rFont val="Arial"/>
        <family val="2"/>
      </rPr>
      <t>0</t>
    </r>
    <r>
      <rPr>
        <b/>
        <sz val="10"/>
        <color rgb="FF000000"/>
        <rFont val="Arial"/>
        <family val="2"/>
      </rPr>
      <t>19:</t>
    </r>
    <r>
      <rPr>
        <b/>
        <sz val="10"/>
        <color rgb="FF000000"/>
        <rFont val="Arial"/>
        <family val="2"/>
      </rPr>
      <t xml:space="preserve"> Site level</t>
    </r>
    <r>
      <rPr>
        <b/>
        <vertAlign val="superscript"/>
        <sz val="10"/>
        <color rgb="FF000000"/>
        <rFont val="Arial"/>
        <family val="2"/>
      </rPr>
      <t>1</t>
    </r>
  </si>
  <si>
    <t>Human rights training courses delivered in 2019</t>
  </si>
  <si>
    <t>Total combined course length (hours)</t>
  </si>
  <si>
    <t>Internal or external trainer(s) delivered course(s)</t>
  </si>
  <si>
    <t>No. employee trainees</t>
  </si>
  <si>
    <t>No. contractor trainees</t>
  </si>
  <si>
    <t>Total no. workforce trainees</t>
  </si>
  <si>
    <t xml:space="preserve">Internal </t>
  </si>
  <si>
    <t>Internal</t>
  </si>
  <si>
    <t xml:space="preserve"> Internal</t>
  </si>
  <si>
    <t>External</t>
  </si>
  <si>
    <r>
      <rPr>
        <vertAlign val="superscript"/>
        <sz val="8"/>
        <color rgb="FF000000"/>
        <rFont val="Arial"/>
        <family val="2"/>
      </rPr>
      <t>1</t>
    </r>
    <r>
      <rPr>
        <vertAlign val="superscript"/>
        <sz val="8"/>
        <color rgb="FF000000"/>
        <rFont val="Arial"/>
        <family val="2"/>
      </rPr>
      <t xml:space="preserve"> </t>
    </r>
    <r>
      <rPr>
        <sz val="8"/>
        <color rgb="FF000000"/>
        <rFont val="Arial"/>
        <family val="2"/>
      </rPr>
      <t xml:space="preserve">GRI Standards disclosure 412-2: Employee training on human rights policies or procedures. In 2019, former Goldcorp sites in Argentina and Canada delivered human rights training courses, and the Australia Boddington site also delivered training courses; detailed breakout data for these courses, such as course length, attendees and so on, is unavailable at time of printing. In future reporting years, as reporting systems are fully integrated, all sites will track detailed training statistics, which will allow Newmont to include the total percentage of employees trained and meet the full disclosure requirements for GRI 412-2. </t>
    </r>
  </si>
  <si>
    <r>
      <rPr>
        <b/>
        <sz val="10"/>
        <color rgb="FF000000"/>
        <rFont val="Arial"/>
        <family val="2"/>
      </rPr>
      <t>L</t>
    </r>
    <r>
      <rPr>
        <b/>
        <sz val="10"/>
        <color rgb="FF000000"/>
        <rFont val="Arial"/>
        <family val="2"/>
      </rPr>
      <t>ands, agreements, significant events 2019: Site level</t>
    </r>
    <r>
      <rPr>
        <b/>
        <vertAlign val="superscript"/>
        <sz val="10"/>
        <color rgb="FF000000"/>
        <rFont val="Arial"/>
        <family val="2"/>
      </rPr>
      <t>1</t>
    </r>
    <r>
      <rPr>
        <b/>
        <vertAlign val="superscript"/>
        <sz val="10"/>
        <color rgb="FF000000"/>
        <rFont val="Arial"/>
        <family val="2"/>
      </rPr>
      <t>, 2</t>
    </r>
    <r>
      <rPr>
        <b/>
        <vertAlign val="superscript"/>
        <sz val="10"/>
        <color rgb="FF000000"/>
        <rFont val="Arial"/>
        <family val="2"/>
      </rPr>
      <t>, 4</t>
    </r>
  </si>
  <si>
    <t>Gnaala Karla Booja</t>
  </si>
  <si>
    <r>
      <rPr>
        <sz val="10"/>
        <color rgb="FF000000"/>
        <rFont val="Arial"/>
        <family val="2"/>
      </rPr>
      <t>Tanami (Australia)</t>
    </r>
    <r>
      <rPr>
        <vertAlign val="superscript"/>
        <sz val="10"/>
        <color rgb="FF000000"/>
        <rFont val="Arial"/>
        <family val="2"/>
      </rPr>
      <t>3</t>
    </r>
  </si>
  <si>
    <t>Warlpiri</t>
  </si>
  <si>
    <t>Ninga Mia</t>
  </si>
  <si>
    <t xml:space="preserve">Coffee (Canada) </t>
  </si>
  <si>
    <r>
      <rPr>
        <sz val="10"/>
        <color rgb="FF000000"/>
        <rFont val="Arial"/>
        <family val="2"/>
      </rPr>
      <t xml:space="preserve">Tr’ondëk Hwëch’in 
</t>
    </r>
    <r>
      <rPr>
        <sz val="10"/>
        <color rgb="FF000000"/>
        <rFont val="Arial"/>
        <family val="2"/>
      </rPr>
      <t xml:space="preserve">Selkirk First Nation
</t>
    </r>
    <r>
      <rPr>
        <sz val="10"/>
        <color rgb="FF000000"/>
        <rFont val="Arial"/>
        <family val="2"/>
      </rPr>
      <t xml:space="preserve">White River First Nation
</t>
    </r>
    <r>
      <rPr>
        <sz val="10"/>
        <color rgb="FF000000"/>
        <rFont val="Arial"/>
        <family val="2"/>
      </rPr>
      <t>First Nation of Na-cho Nyak Dun</t>
    </r>
  </si>
  <si>
    <t>Éléonore (Canada)</t>
  </si>
  <si>
    <t>Cree Nation of Wemindj
Grand Council of the Crees (Eeyou Iscthee)/Cree Nation Government</t>
  </si>
  <si>
    <t>Musselwhite (Canada)</t>
  </si>
  <si>
    <t>Mishkeegogamang First Nation
North Caribou Lake First Nation
Cat Lake First Nation
Wunnumin Lake First Nation
Kingfisher Lake First Nation
Windigo First Nation Council
Shibogama First Nation Council</t>
  </si>
  <si>
    <t>Porcupine - Chapleau (Canada)</t>
  </si>
  <si>
    <t>Chapleau Cree First Nation
Brunswick House First Nation
Chapleau Ojibwe First Nation
Michipicoten First Nation</t>
  </si>
  <si>
    <t>Porcupine - Timmins (Canada)</t>
  </si>
  <si>
    <t>Mattagami First Nation
Matachewan First Nation
Flying Post First Nation
Wahgoshing First Nation
Metis Nation of Ontario</t>
  </si>
  <si>
    <t>Red Lake (Canada)</t>
  </si>
  <si>
    <t>Lac Seul First Nation
Wabauskang First Nation</t>
  </si>
  <si>
    <t>Galore Creek project (Canada)</t>
  </si>
  <si>
    <t>Tahltan First Nation</t>
  </si>
  <si>
    <t>Norte Abierto project (Chile)</t>
  </si>
  <si>
    <t>Colla</t>
  </si>
  <si>
    <t>Pamaka Maroon Tribe of the Marowijne River</t>
  </si>
  <si>
    <t>Merian / Sabajo project (Suriname)</t>
  </si>
  <si>
    <t>Kawina Maroon Tribe</t>
  </si>
  <si>
    <t>Midnite mine legacy site (U.S.)</t>
  </si>
  <si>
    <t>Spokane Tribe of Indians</t>
  </si>
  <si>
    <r>
      <rPr>
        <b/>
        <sz val="10"/>
        <color rgb="FF000000"/>
        <rFont val="Arial"/>
        <family val="2"/>
      </rPr>
      <t>Signi</t>
    </r>
    <r>
      <rPr>
        <b/>
        <sz val="10"/>
        <color rgb="FF000000"/>
        <rFont val="Arial"/>
        <family val="2"/>
      </rPr>
      <t>ficant disputes rela</t>
    </r>
    <r>
      <rPr>
        <b/>
        <sz val="10"/>
        <color rgb="FF000000"/>
        <rFont val="Arial"/>
        <family val="2"/>
      </rPr>
      <t>ted to land or resource use</t>
    </r>
    <r>
      <rPr>
        <b/>
        <sz val="10"/>
        <color rgb="FF000000"/>
        <rFont val="Arial"/>
        <family val="2"/>
      </rPr>
      <t xml:space="preserve"> 2019: Site level</t>
    </r>
    <r>
      <rPr>
        <b/>
        <vertAlign val="superscript"/>
        <sz val="10"/>
        <color rgb="FF000000"/>
        <rFont val="Arial"/>
        <family val="2"/>
      </rPr>
      <t>1</t>
    </r>
    <r>
      <rPr>
        <b/>
        <vertAlign val="superscript"/>
        <sz val="10"/>
        <color rgb="FF000000"/>
        <rFont val="Arial"/>
        <family val="2"/>
      </rPr>
      <t>, 2</t>
    </r>
  </si>
  <si>
    <t>Number of significant land use dispute in 2019</t>
  </si>
  <si>
    <t>No. disputes addressed through complaints and grievances resolution process</t>
  </si>
  <si>
    <t xml:space="preserve">Reference the Social Acceptance and Water Stewardship sections of the 2019 Beyond the Mine report for details on the dispute and resolution process between the Peñasquito operation and surrounding communities. </t>
  </si>
  <si>
    <r>
      <rPr>
        <b/>
        <sz val="10"/>
        <color rgb="FF000000"/>
        <rFont val="Arial"/>
        <family val="2"/>
      </rPr>
      <t>Res</t>
    </r>
    <r>
      <rPr>
        <b/>
        <sz val="10"/>
        <color rgb="FF000000"/>
        <rFont val="Arial"/>
        <family val="2"/>
      </rPr>
      <t>ettlement and/or r</t>
    </r>
    <r>
      <rPr>
        <b/>
        <sz val="10"/>
        <color rgb="FF000000"/>
        <rFont val="Arial"/>
        <family val="2"/>
      </rPr>
      <t>el</t>
    </r>
    <r>
      <rPr>
        <b/>
        <sz val="10"/>
        <color rgb="FF000000"/>
        <rFont val="Arial"/>
        <family val="2"/>
      </rPr>
      <t>ocation activity</t>
    </r>
    <r>
      <rPr>
        <b/>
        <sz val="10"/>
        <color rgb="FF000000"/>
        <rFont val="Arial"/>
        <family val="2"/>
      </rPr>
      <t xml:space="preserve"> 201</t>
    </r>
    <r>
      <rPr>
        <b/>
        <sz val="10"/>
        <color rgb="FF000000"/>
        <rFont val="Arial"/>
        <family val="2"/>
      </rPr>
      <t>9: Site level</t>
    </r>
    <r>
      <rPr>
        <b/>
        <vertAlign val="superscript"/>
        <sz val="10"/>
        <color rgb="FF000000"/>
        <rFont val="Arial"/>
        <family val="2"/>
      </rPr>
      <t>1</t>
    </r>
    <r>
      <rPr>
        <b/>
        <vertAlign val="superscript"/>
        <sz val="10"/>
        <color rgb="FF000000"/>
        <rFont val="Arial"/>
        <family val="2"/>
      </rPr>
      <t>, 2</t>
    </r>
  </si>
  <si>
    <t>Resettlement and/or relocation activity occured in 2019</t>
  </si>
  <si>
    <t>No. households resettled and/or relocated</t>
  </si>
  <si>
    <r>
      <rPr>
        <b/>
        <sz val="10"/>
        <color rgb="FF000000"/>
        <rFont val="Arial"/>
        <family val="2"/>
      </rPr>
      <t>Social impact assessment and engagement practices 2019: Site level</t>
    </r>
    <r>
      <rPr>
        <b/>
        <vertAlign val="superscript"/>
        <sz val="10"/>
        <color rgb="FF000000"/>
        <rFont val="Arial"/>
        <family val="2"/>
      </rPr>
      <t>1,2</t>
    </r>
  </si>
  <si>
    <t>Social Impact Assessment  (SIA) is conducted at this site; date of last SIA</t>
  </si>
  <si>
    <t>Site's stakeholder enagement plans are based on stakeholder mapping</t>
  </si>
  <si>
    <t>Site engages with broad-based local community consultation committees that include vulnerable groups</t>
  </si>
  <si>
    <t>Site has formal local community grievance process</t>
  </si>
  <si>
    <t>2020</t>
  </si>
  <si>
    <t>2014</t>
  </si>
  <si>
    <r>
      <rPr>
        <vertAlign val="superscript"/>
        <sz val="8"/>
        <color rgb="FF000000"/>
        <rFont val="Arial"/>
        <family val="2"/>
      </rPr>
      <t xml:space="preserve">1 </t>
    </r>
    <r>
      <rPr>
        <sz val="8"/>
        <color rgb="FF000000"/>
        <rFont val="Arial"/>
        <family val="2"/>
      </rPr>
      <t xml:space="preserve">GRI Standards disclosure GRI 413-1: Operations with local community engagement, impact assessments and development programs.GRI 413-1 is partially disclosed for the 2019 reporting year due to integration activities; this will be fully disclosed, included percentage totals, for the 2020 reporting year. 
</t>
    </r>
    <r>
      <rPr>
        <vertAlign val="superscript"/>
        <sz val="8"/>
        <color rgb="FF000000"/>
        <rFont val="Arial"/>
        <family val="2"/>
      </rPr>
      <t>2</t>
    </r>
    <r>
      <rPr>
        <sz val="8"/>
        <color rgb="FF000000"/>
        <rFont val="Arial"/>
        <family val="2"/>
      </rPr>
      <t xml:space="preserve"> Former Goldcorp sites (Canada, Mexico, Argentina) will be included in future reporting years.</t>
    </r>
  </si>
  <si>
    <t xml:space="preserve">VALUE SHARING: COMMUNITY INVESTMENTS </t>
  </si>
  <si>
    <r>
      <rPr>
        <b/>
        <sz val="10"/>
        <color rgb="FF000000"/>
        <rFont val="Arial"/>
        <family val="2"/>
      </rPr>
      <t>Community investments</t>
    </r>
    <r>
      <rPr>
        <b/>
        <sz val="10"/>
        <color rgb="FF000000"/>
        <rFont val="Arial"/>
        <family val="2"/>
      </rPr>
      <t xml:space="preserve"> 2019: Site level</t>
    </r>
    <r>
      <rPr>
        <b/>
        <sz val="10"/>
        <color rgb="FF000000"/>
        <rFont val="Arial"/>
        <family val="2"/>
      </rPr>
      <t xml:space="preserve"> (</t>
    </r>
    <r>
      <rPr>
        <b/>
        <sz val="10"/>
        <color rgb="FF000000"/>
        <rFont val="Arial"/>
        <family val="2"/>
      </rPr>
      <t>millions)</t>
    </r>
    <r>
      <rPr>
        <b/>
        <vertAlign val="superscript"/>
        <sz val="10"/>
        <color rgb="FF000000"/>
        <rFont val="Arial"/>
        <family val="2"/>
      </rPr>
      <t>1</t>
    </r>
  </si>
  <si>
    <r>
      <rPr>
        <b/>
        <sz val="10"/>
        <color rgb="FF000000"/>
        <rFont val="Arial"/>
        <family val="2"/>
      </rPr>
      <t>Country/</t>
    </r>
    <r>
      <rPr>
        <b/>
        <sz val="10"/>
        <color rgb="FF000000"/>
        <rFont val="Arial"/>
        <family val="2"/>
      </rPr>
      <t>s</t>
    </r>
    <r>
      <rPr>
        <b/>
        <sz val="10"/>
        <color rgb="FF000000"/>
        <rFont val="Arial"/>
        <family val="2"/>
      </rPr>
      <t>ite</t>
    </r>
    <r>
      <rPr>
        <b/>
        <vertAlign val="superscript"/>
        <sz val="10"/>
        <color rgb="FF000000"/>
        <rFont val="Arial"/>
        <family val="2"/>
      </rPr>
      <t>2</t>
    </r>
  </si>
  <si>
    <r>
      <rPr>
        <b/>
        <sz val="10"/>
        <color rgb="FF000000"/>
        <rFont val="Arial"/>
        <family val="2"/>
      </rPr>
      <t>Community development expenditures</t>
    </r>
    <r>
      <rPr>
        <b/>
        <vertAlign val="superscript"/>
        <sz val="10"/>
        <color rgb="FF000000"/>
        <rFont val="Arial"/>
        <family val="2"/>
      </rPr>
      <t>3</t>
    </r>
  </si>
  <si>
    <r>
      <rPr>
        <b/>
        <sz val="10"/>
        <color rgb="FF000000"/>
        <rFont val="Arial"/>
        <family val="2"/>
      </rPr>
      <t>Donations</t>
    </r>
    <r>
      <rPr>
        <b/>
        <vertAlign val="superscript"/>
        <sz val="10"/>
        <color rgb="FF000000"/>
        <rFont val="Arial"/>
        <family val="2"/>
      </rPr>
      <t>4</t>
    </r>
  </si>
  <si>
    <t>Totals</t>
  </si>
  <si>
    <r>
      <rPr>
        <sz val="10"/>
        <color rgb="FF000000"/>
        <rFont val="Arial"/>
        <family val="2"/>
      </rPr>
      <t>Vancouver</t>
    </r>
    <r>
      <rPr>
        <vertAlign val="superscript"/>
        <sz val="10"/>
        <color rgb="FF000000"/>
        <rFont val="Arial"/>
        <family val="2"/>
      </rPr>
      <t>4</t>
    </r>
  </si>
  <si>
    <r>
      <rPr>
        <vertAlign val="superscript"/>
        <sz val="8"/>
        <color rgb="FF000000"/>
        <rFont val="Arial"/>
        <family val="2"/>
      </rPr>
      <t>1</t>
    </r>
    <r>
      <rPr>
        <vertAlign val="superscript"/>
        <sz val="8"/>
        <color rgb="FF000000"/>
        <rFont val="Arial"/>
        <family val="2"/>
      </rPr>
      <t xml:space="preserve"> </t>
    </r>
    <r>
      <rPr>
        <sz val="8"/>
        <color rgb="FF000000"/>
        <rFont val="Arial"/>
        <family val="2"/>
      </rPr>
      <t>GRI Standards disclosure</t>
    </r>
    <r>
      <rPr>
        <sz val="8"/>
        <color rgb="FF000000"/>
        <rFont val="Arial"/>
        <family val="2"/>
      </rPr>
      <t xml:space="preserve"> </t>
    </r>
    <r>
      <rPr>
        <sz val="8"/>
        <color rgb="FF000000"/>
        <rFont val="Arial"/>
        <family val="2"/>
      </rPr>
      <t>GRI 201-1: Direct Economic Value Generated and Distributed</t>
    </r>
    <r>
      <rPr>
        <sz val="8"/>
        <color rgb="FF000000"/>
        <rFont val="Arial"/>
        <family val="2"/>
      </rPr>
      <t xml:space="preserve"> (</t>
    </r>
    <r>
      <rPr>
        <sz val="8"/>
        <color rgb="FF000000"/>
        <rFont val="Arial"/>
        <family val="2"/>
      </rPr>
      <t>t</t>
    </r>
    <r>
      <rPr>
        <sz val="8"/>
        <color rgb="FF000000"/>
        <rFont val="Arial"/>
        <family val="2"/>
      </rPr>
      <t xml:space="preserve">his table shows </t>
    </r>
    <r>
      <rPr>
        <sz val="8"/>
        <color rgb="FF000000"/>
        <rFont val="Arial"/>
        <family val="2"/>
      </rPr>
      <t xml:space="preserve">GRI </t>
    </r>
    <r>
      <rPr>
        <sz val="8"/>
        <color rgb="FF000000"/>
        <rFont val="Arial"/>
        <family val="2"/>
      </rPr>
      <t>201-1</t>
    </r>
    <r>
      <rPr>
        <sz val="8"/>
        <color rgb="FF000000"/>
        <rFont val="Arial"/>
        <family val="2"/>
      </rPr>
      <t>-</t>
    </r>
    <r>
      <rPr>
        <sz val="8"/>
        <color rgb="FF000000"/>
        <rFont val="Arial"/>
        <family val="2"/>
      </rPr>
      <t>iii</t>
    </r>
    <r>
      <rPr>
        <sz val="8"/>
        <color rgb="FF000000"/>
        <rFont val="Arial"/>
        <family val="2"/>
      </rPr>
      <t xml:space="preserve"> only</t>
    </r>
    <r>
      <rPr>
        <sz val="8"/>
        <color rgb="FF000000"/>
        <rFont val="Arial"/>
        <family val="2"/>
      </rPr>
      <t xml:space="preserve">); </t>
    </r>
    <r>
      <rPr>
        <sz val="8"/>
        <color rgb="FF000000"/>
        <rFont val="Arial"/>
        <family val="2"/>
      </rPr>
      <t xml:space="preserve"> </t>
    </r>
    <r>
      <rPr>
        <sz val="8"/>
        <color rgb="FF000000"/>
        <rFont val="Arial"/>
        <family val="2"/>
      </rPr>
      <t>full</t>
    </r>
    <r>
      <rPr>
        <sz val="8"/>
        <color rgb="FF000000"/>
        <rFont val="Arial"/>
        <family val="2"/>
      </rPr>
      <t xml:space="preserve"> di</t>
    </r>
    <r>
      <rPr>
        <sz val="8"/>
        <color rgb="FF000000"/>
        <rFont val="Arial"/>
        <family val="2"/>
      </rPr>
      <t>sclosures are detailed</t>
    </r>
    <r>
      <rPr>
        <sz val="8"/>
        <color rgb="FF000000"/>
        <rFont val="Arial"/>
        <family val="2"/>
      </rPr>
      <t xml:space="preserve"> in </t>
    </r>
    <r>
      <rPr>
        <sz val="8"/>
        <color rgb="FF000000"/>
        <rFont val="Arial"/>
        <family val="2"/>
      </rPr>
      <t xml:space="preserve">the </t>
    </r>
    <r>
      <rPr>
        <sz val="8"/>
        <color rgb="FF000000"/>
        <rFont val="Arial"/>
        <family val="2"/>
      </rPr>
      <t xml:space="preserve">Economic Value Generated and </t>
    </r>
    <r>
      <rPr>
        <sz val="8"/>
        <color rgb="FF000000"/>
        <rFont val="Arial"/>
        <family val="2"/>
      </rPr>
      <t xml:space="preserve">Economic Value </t>
    </r>
    <r>
      <rPr>
        <sz val="8"/>
        <color rgb="FF000000"/>
        <rFont val="Arial"/>
        <family val="2"/>
      </rPr>
      <t>Distributed tab</t>
    </r>
    <r>
      <rPr>
        <sz val="8"/>
        <color rgb="FF000000"/>
        <rFont val="Arial"/>
        <family val="2"/>
      </rPr>
      <t>le</t>
    </r>
    <r>
      <rPr>
        <sz val="8"/>
        <color rgb="FF000000"/>
        <rFont val="Arial"/>
        <family val="2"/>
      </rPr>
      <t>s</t>
    </r>
    <r>
      <rPr>
        <sz val="8"/>
        <color rgb="FF000000"/>
        <rFont val="Arial"/>
        <family val="2"/>
      </rPr>
      <t>.</t>
    </r>
    <r>
      <rPr>
        <sz val="8"/>
        <color rgb="FF000000"/>
        <rFont val="Arial"/>
        <family val="2"/>
      </rPr>
      <t xml:space="preserve"> </t>
    </r>
    <r>
      <rPr>
        <sz val="8"/>
        <color rgb="FF000000"/>
        <rFont val="Arial"/>
        <family val="2"/>
      </rPr>
      <t>Amounts may not recalculate due to rounding.</t>
    </r>
    <r>
      <rPr>
        <sz val="8"/>
        <color rgb="FF000000"/>
        <rFont val="Arial"/>
        <family val="2"/>
      </rPr>
      <t xml:space="preserve"> </t>
    </r>
    <r>
      <rPr>
        <sz val="8"/>
        <color rgb="FF000000"/>
        <rFont val="Arial"/>
        <family val="2"/>
      </rPr>
      <t xml:space="preserve">Differences in </t>
    </r>
    <r>
      <rPr>
        <sz val="8"/>
        <color rgb="FF000000"/>
        <rFont val="Arial"/>
        <family val="2"/>
      </rPr>
      <t>c</t>
    </r>
    <r>
      <rPr>
        <sz val="8"/>
        <color rgb="FF000000"/>
        <rFont val="Arial"/>
        <family val="2"/>
      </rPr>
      <t>ommunity investm</t>
    </r>
    <r>
      <rPr>
        <sz val="8"/>
        <color rgb="FF000000"/>
        <rFont val="Arial"/>
        <family val="2"/>
      </rPr>
      <t>ents totals</t>
    </r>
    <r>
      <rPr>
        <sz val="8"/>
        <color rgb="FF000000"/>
        <rFont val="Arial"/>
        <family val="2"/>
      </rPr>
      <t xml:space="preserve"> </t>
    </r>
    <r>
      <rPr>
        <sz val="8"/>
        <color rgb="FF000000"/>
        <rFont val="Arial"/>
        <family val="2"/>
      </rPr>
      <t>are</t>
    </r>
    <r>
      <rPr>
        <sz val="8"/>
        <color rgb="FF000000"/>
        <rFont val="Arial"/>
        <family val="2"/>
      </rPr>
      <t xml:space="preserve"> shown in </t>
    </r>
    <r>
      <rPr>
        <sz val="8"/>
        <color rgb="FF000000"/>
        <rFont val="Arial"/>
        <family val="2"/>
      </rPr>
      <t>this ta</t>
    </r>
    <r>
      <rPr>
        <sz val="8"/>
        <color rgb="FF000000"/>
        <rFont val="Arial"/>
        <family val="2"/>
      </rPr>
      <t xml:space="preserve">ble and </t>
    </r>
    <r>
      <rPr>
        <sz val="8"/>
        <color rgb="FF000000"/>
        <rFont val="Arial"/>
        <family val="2"/>
      </rPr>
      <t xml:space="preserve">totals shown in the Economic Value </t>
    </r>
    <r>
      <rPr>
        <sz val="8"/>
        <color rgb="FF000000"/>
        <rFont val="Arial"/>
        <family val="2"/>
      </rPr>
      <t xml:space="preserve">Distributed data are due to </t>
    </r>
    <r>
      <rPr>
        <sz val="8"/>
        <color rgb="FF000000"/>
        <rFont val="Arial"/>
        <family val="2"/>
      </rPr>
      <t xml:space="preserve">decimal </t>
    </r>
    <r>
      <rPr>
        <sz val="8"/>
        <color rgb="FF000000"/>
        <rFont val="Arial"/>
        <family val="2"/>
      </rPr>
      <t xml:space="preserve">place </t>
    </r>
    <r>
      <rPr>
        <sz val="8"/>
        <color rgb="FF000000"/>
        <rFont val="Arial"/>
        <family val="2"/>
      </rPr>
      <t>roun</t>
    </r>
    <r>
      <rPr>
        <sz val="8"/>
        <color rgb="FF000000"/>
        <rFont val="Arial"/>
        <family val="2"/>
      </rPr>
      <t>ding</t>
    </r>
    <r>
      <rPr>
        <sz val="8"/>
        <color rgb="FF000000"/>
        <rFont val="Arial"/>
        <family val="2"/>
      </rPr>
      <t xml:space="preserve">. 
</t>
    </r>
    <r>
      <rPr>
        <vertAlign val="superscript"/>
        <sz val="8"/>
        <color rgb="FF000000"/>
        <rFont val="Arial"/>
        <family val="2"/>
      </rPr>
      <t>2</t>
    </r>
    <r>
      <rPr>
        <vertAlign val="superscript"/>
        <sz val="8"/>
        <color rgb="FF000000"/>
        <rFont val="Arial"/>
        <family val="2"/>
      </rPr>
      <t xml:space="preserve"> </t>
    </r>
    <r>
      <rPr>
        <sz val="8"/>
        <color rgb="FF000000"/>
        <rFont val="Arial"/>
        <family val="2"/>
      </rPr>
      <t xml:space="preserve">Australia includes Perth regional office and excludes the KCGM site; Canada includes Vancouver regional office; U.S. excludes Nevada and Denver corporate headquarters. 
</t>
    </r>
    <r>
      <rPr>
        <vertAlign val="superscript"/>
        <sz val="8"/>
        <color rgb="FF000000"/>
        <rFont val="Arial"/>
        <family val="2"/>
      </rPr>
      <t>3</t>
    </r>
    <r>
      <rPr>
        <sz val="8"/>
        <color rgb="FF000000"/>
        <rFont val="Arial"/>
        <family val="2"/>
      </rPr>
      <t xml:space="preserve"> </t>
    </r>
    <r>
      <rPr>
        <sz val="8"/>
        <color rgb="FF000000"/>
        <rFont val="Arial"/>
        <family val="2"/>
      </rPr>
      <t xml:space="preserve">Community development expenditures reported by sites reflect direct expenditures on programs and partnerships that support local community development programs and partnerships. Expenditures omit outside grant funding received from partner agencies; overhead expenses such as community relations year-end reporting costs, salaries and administrative costs; monetary value of in-kind donations and volunteerism; and expenditures related to mitigation including exploration and land use payments. 
</t>
    </r>
    <r>
      <rPr>
        <vertAlign val="superscript"/>
        <sz val="8"/>
        <color rgb="FF000000"/>
        <rFont val="Arial"/>
        <family val="2"/>
      </rPr>
      <t>4</t>
    </r>
    <r>
      <rPr>
        <sz val="8"/>
        <color rgb="FF000000"/>
        <rFont val="Arial"/>
        <family val="2"/>
      </rPr>
      <t xml:space="preserve"> </t>
    </r>
    <r>
      <rPr>
        <sz val="8"/>
        <color rgb="FF000000"/>
        <rFont val="Arial"/>
        <family val="2"/>
      </rPr>
      <t xml:space="preserve">Donations data reflects direct monetary investments and the book value of in-kind donations. 
</t>
    </r>
    <r>
      <rPr>
        <vertAlign val="superscript"/>
        <sz val="8"/>
        <color rgb="FF000000"/>
        <rFont val="Arial"/>
        <family val="2"/>
      </rPr>
      <t/>
    </r>
  </si>
  <si>
    <t>VALUE SHARING: ECONOMIC VALUE GENERATED AND DISTRIBUTED</t>
  </si>
  <si>
    <r>
      <rPr>
        <b/>
        <sz val="10"/>
        <color rgb="FF000000"/>
        <rFont val="Arial"/>
        <family val="2"/>
      </rPr>
      <t>Economic value distributed</t>
    </r>
    <r>
      <rPr>
        <b/>
        <sz val="10"/>
        <color rgb="FF000000"/>
        <rFont val="Arial"/>
        <family val="2"/>
      </rPr>
      <t xml:space="preserve"> </t>
    </r>
    <r>
      <rPr>
        <b/>
        <sz val="10"/>
        <color rgb="FF000000"/>
        <rFont val="Arial"/>
        <family val="2"/>
      </rPr>
      <t xml:space="preserve">2019: </t>
    </r>
    <r>
      <rPr>
        <b/>
        <sz val="10"/>
        <color rgb="FF000000"/>
        <rFont val="Arial"/>
        <family val="2"/>
      </rPr>
      <t>Co</t>
    </r>
    <r>
      <rPr>
        <b/>
        <sz val="10"/>
        <color rgb="FF000000"/>
        <rFont val="Arial"/>
        <family val="2"/>
      </rPr>
      <t>untry</t>
    </r>
    <r>
      <rPr>
        <b/>
        <sz val="10"/>
        <color rgb="FF000000"/>
        <rFont val="Arial"/>
        <family val="2"/>
      </rPr>
      <t xml:space="preserve"> level </t>
    </r>
    <r>
      <rPr>
        <b/>
        <sz val="10"/>
        <color rgb="FF000000"/>
        <rFont val="Arial"/>
        <family val="2"/>
      </rPr>
      <t>(</t>
    </r>
    <r>
      <rPr>
        <b/>
        <sz val="10"/>
        <color rgb="FF000000"/>
        <rFont val="Arial"/>
        <family val="2"/>
      </rPr>
      <t>millions)</t>
    </r>
    <r>
      <rPr>
        <b/>
        <vertAlign val="superscript"/>
        <sz val="10"/>
        <color rgb="FF000000"/>
        <rFont val="Arial"/>
        <family val="2"/>
      </rPr>
      <t>1,2</t>
    </r>
  </si>
  <si>
    <r>
      <rPr>
        <b/>
        <sz val="9"/>
        <color rgb="FF000000"/>
        <rFont val="Arial"/>
        <family val="2"/>
      </rPr>
      <t>Operating costs</t>
    </r>
    <r>
      <rPr>
        <b/>
        <vertAlign val="superscript"/>
        <sz val="9"/>
        <color rgb="FF000000"/>
        <rFont val="Arial"/>
        <family val="2"/>
      </rPr>
      <t>3</t>
    </r>
  </si>
  <si>
    <t>Employee wages and benefits</t>
  </si>
  <si>
    <r>
      <rPr>
        <b/>
        <sz val="9"/>
        <color rgb="FF000000"/>
        <rFont val="Arial"/>
        <family val="2"/>
      </rPr>
      <t xml:space="preserve">Capital 
</t>
    </r>
    <r>
      <rPr>
        <b/>
        <sz val="9"/>
        <color rgb="FF000000"/>
        <rFont val="Arial"/>
        <family val="2"/>
      </rPr>
      <t>spend</t>
    </r>
    <r>
      <rPr>
        <b/>
        <vertAlign val="superscript"/>
        <sz val="9"/>
        <color rgb="FF000000"/>
        <rFont val="Arial"/>
        <family val="2"/>
      </rPr>
      <t>4</t>
    </r>
  </si>
  <si>
    <r>
      <rPr>
        <b/>
        <sz val="9"/>
        <color rgb="FF000000"/>
        <rFont val="Arial"/>
        <family val="2"/>
      </rPr>
      <t>Payments to providers of capital</t>
    </r>
    <r>
      <rPr>
        <b/>
        <vertAlign val="superscript"/>
        <sz val="9"/>
        <color rgb="FF000000"/>
        <rFont val="Arial"/>
        <family val="2"/>
      </rPr>
      <t>5</t>
    </r>
  </si>
  <si>
    <r>
      <rPr>
        <b/>
        <sz val="9"/>
        <color rgb="FF000000"/>
        <rFont val="Arial"/>
        <family val="2"/>
      </rPr>
      <t>Payments to governments</t>
    </r>
    <r>
      <rPr>
        <b/>
        <vertAlign val="superscript"/>
        <sz val="9"/>
        <color rgb="FF000000"/>
        <rFont val="Arial"/>
        <family val="2"/>
      </rPr>
      <t>6</t>
    </r>
  </si>
  <si>
    <r>
      <rPr>
        <b/>
        <sz val="9"/>
        <color rgb="FF000000"/>
        <rFont val="Arial"/>
        <family val="2"/>
      </rPr>
      <t>Community investments</t>
    </r>
    <r>
      <rPr>
        <b/>
        <vertAlign val="superscript"/>
        <sz val="9"/>
        <color rgb="FF000000"/>
        <rFont val="Arial"/>
        <family val="2"/>
      </rPr>
      <t>7</t>
    </r>
  </si>
  <si>
    <r>
      <rPr>
        <vertAlign val="superscript"/>
        <sz val="8"/>
        <color rgb="FF000000"/>
        <rFont val="Arial"/>
        <family val="2"/>
      </rPr>
      <t>1</t>
    </r>
    <r>
      <rPr>
        <vertAlign val="superscript"/>
        <sz val="8"/>
        <color rgb="FF000000"/>
        <rFont val="Arial"/>
        <family val="2"/>
      </rPr>
      <t xml:space="preserve"> </t>
    </r>
    <r>
      <rPr>
        <sz val="8"/>
        <color rgb="FF000000"/>
        <rFont val="Arial"/>
        <family val="2"/>
      </rPr>
      <t xml:space="preserve">GRI </t>
    </r>
    <r>
      <rPr>
        <sz val="8"/>
        <color rgb="FF000000"/>
        <rFont val="Arial"/>
        <family val="2"/>
      </rPr>
      <t xml:space="preserve">Standards disclosure </t>
    </r>
    <r>
      <rPr>
        <sz val="8"/>
        <color rgb="FF000000"/>
        <rFont val="Arial"/>
        <family val="2"/>
      </rPr>
      <t>201-1: Direct Economic Value Generated and Distributed</t>
    </r>
    <r>
      <rPr>
        <sz val="8"/>
        <color rgb="FF000000"/>
        <rFont val="Arial"/>
        <family val="2"/>
      </rPr>
      <t xml:space="preserve">.
</t>
    </r>
    <r>
      <rPr>
        <vertAlign val="superscript"/>
        <sz val="8"/>
        <color rgb="FF000000"/>
        <rFont val="Arial"/>
        <family val="2"/>
      </rPr>
      <t>2</t>
    </r>
    <r>
      <rPr>
        <sz val="8"/>
        <color rgb="FF000000"/>
        <rFont val="Arial"/>
        <family val="2"/>
      </rPr>
      <t xml:space="preserve"> Amounts are on a consolidated basis as described in our 2019 10-K</t>
    </r>
    <r>
      <rPr>
        <sz val="8"/>
        <color rgb="FF000000"/>
        <rFont val="Arial"/>
        <family val="2"/>
      </rPr>
      <t xml:space="preserve">; </t>
    </r>
    <r>
      <rPr>
        <sz val="8"/>
        <color rgb="FF000000"/>
        <rFont val="Arial"/>
        <family val="2"/>
      </rPr>
      <t xml:space="preserve">however </t>
    </r>
    <r>
      <rPr>
        <sz val="8"/>
        <color rgb="FF000000"/>
        <rFont val="Arial"/>
        <family val="2"/>
      </rPr>
      <t xml:space="preserve">to </t>
    </r>
    <r>
      <rPr>
        <sz val="8"/>
        <color rgb="FF000000"/>
        <rFont val="Arial"/>
        <family val="2"/>
      </rPr>
      <t>ensure comparable reporting boundaries across financial data disclosed in this report (economic value generated, distributed and community investments data tables), the U.S. figures omit Nevada data</t>
    </r>
    <r>
      <rPr>
        <sz val="8"/>
        <color rgb="FF000000"/>
        <rFont val="Arial"/>
        <family val="2"/>
      </rPr>
      <t xml:space="preserve">. </t>
    </r>
    <r>
      <rPr>
        <sz val="8"/>
        <color rgb="FF000000"/>
        <rFont val="Arial"/>
        <family val="2"/>
      </rPr>
      <t xml:space="preserve">Amounts may not recalculate due to rounding.
</t>
    </r>
    <r>
      <rPr>
        <vertAlign val="superscript"/>
        <sz val="8"/>
        <color rgb="FF000000"/>
        <rFont val="Arial"/>
        <family val="2"/>
      </rPr>
      <t>3</t>
    </r>
    <r>
      <rPr>
        <sz val="8"/>
        <color rgb="FF000000"/>
        <rFont val="Arial"/>
        <family val="2"/>
      </rPr>
      <t xml:space="preserve"> </t>
    </r>
    <r>
      <rPr>
        <sz val="8"/>
        <color rgb="FF000000"/>
        <rFont val="Arial"/>
        <family val="2"/>
      </rPr>
      <t xml:space="preserve">Operating costs are comprised of costs applicable to sales of $4,050 (excluding Nevada of $1,145), exploration of $220 (excluding Nevada of $45), advanced projects, research and development of $132 (excluding Nevada of $18), and general and administrative expenses of $302 (excluding Nevada of $11) on an accrued basis and cash paid for reclamation in 2019 of $115 (excluding Nevada of </t>
    </r>
    <r>
      <rPr>
        <sz val="8"/>
        <color rgb="FF000000"/>
        <rFont val="Arial"/>
        <family val="2"/>
      </rPr>
      <t>(</t>
    </r>
    <r>
      <rPr>
        <sz val="8"/>
        <color rgb="FF000000"/>
        <rFont val="Arial"/>
        <family val="2"/>
      </rPr>
      <t>$9)</t>
    </r>
    <r>
      <rPr>
        <sz val="8"/>
        <color rgb="FF000000"/>
        <rFont val="Arial"/>
        <family val="2"/>
      </rPr>
      <t>)</t>
    </r>
    <r>
      <rPr>
        <sz val="8"/>
        <color rgb="FF000000"/>
        <rFont val="Arial"/>
        <family val="2"/>
      </rPr>
      <t xml:space="preserve">. Operating costs omit employee wages and benefits of $1,315 (excluding Nevada of $263), included in the employee wages and benefits column; $320 (excluding Nevada of $31) in payments to governments for employer and property taxes included in the payments to governments column; $167 (excluding Nevada of $9) of indirect costs; and, $65 (excluding Nevada of $29) of byproduct sales, which are recognized as credits to costs applicable to sales in our 2019 10-K. 
</t>
    </r>
    <r>
      <rPr>
        <vertAlign val="superscript"/>
        <sz val="8"/>
        <color rgb="FF000000"/>
        <rFont val="Arial"/>
        <family val="2"/>
      </rPr>
      <t>4</t>
    </r>
    <r>
      <rPr>
        <sz val="8"/>
        <color rgb="FF000000"/>
        <rFont val="Arial"/>
        <family val="2"/>
      </rPr>
      <t xml:space="preserve"> Capital spend is presented on an accrued basis and excludes Nevada spend of $257. </t>
    </r>
    <r>
      <rPr>
        <sz val="8"/>
        <color rgb="FF000000"/>
        <rFont val="Arial"/>
        <family val="2"/>
      </rPr>
      <t xml:space="preserve">  
</t>
    </r>
    <r>
      <rPr>
        <vertAlign val="superscript"/>
        <sz val="8"/>
        <color rgb="FF000000"/>
        <rFont val="Arial"/>
        <family val="2"/>
      </rPr>
      <t>5</t>
    </r>
    <r>
      <rPr>
        <sz val="8"/>
        <color rgb="FF000000"/>
        <rFont val="Arial"/>
        <family val="2"/>
      </rPr>
      <t xml:space="preserve"> Payments to providers of capital includes interest expense, net of capitalized interest of $</t>
    </r>
    <r>
      <rPr>
        <sz val="8"/>
        <color rgb="FF000000"/>
        <rFont val="Arial"/>
        <family val="2"/>
      </rPr>
      <t>300</t>
    </r>
    <r>
      <rPr>
        <sz val="8"/>
        <color rgb="FF000000"/>
        <rFont val="Arial"/>
        <family val="2"/>
      </rPr>
      <t xml:space="preserve"> (excluding Nevada of $</t>
    </r>
    <r>
      <rPr>
        <sz val="8"/>
        <color rgb="FF000000"/>
        <rFont val="Arial"/>
        <family val="2"/>
      </rPr>
      <t>1</t>
    </r>
    <r>
      <rPr>
        <sz val="8"/>
        <color rgb="FF000000"/>
        <rFont val="Arial"/>
        <family val="2"/>
      </rPr>
      <t xml:space="preserve">), dividends paid to common stockholders of $889, and repurchases of common stock of $479.
</t>
    </r>
    <r>
      <rPr>
        <vertAlign val="superscript"/>
        <sz val="8"/>
        <color rgb="FF000000"/>
        <rFont val="Arial"/>
        <family val="2"/>
      </rPr>
      <t>6</t>
    </r>
    <r>
      <rPr>
        <sz val="8"/>
        <color rgb="FF000000"/>
        <rFont val="Arial"/>
        <family val="2"/>
      </rPr>
      <t xml:space="preserve"> </t>
    </r>
    <r>
      <rPr>
        <sz val="8"/>
        <color rgb="FF000000"/>
        <rFont val="Arial"/>
        <family val="2"/>
      </rPr>
      <t xml:space="preserve">Taxes include current year cash payments for income and mining taxes, accrued employer, property, sales and production taxes. In addition, taxes include export duties paid in Argentina and duties paid in Africa. </t>
    </r>
    <r>
      <rPr>
        <sz val="8"/>
        <color rgb="FF000000"/>
        <rFont val="Arial"/>
        <family val="2"/>
      </rPr>
      <t>T</t>
    </r>
    <r>
      <rPr>
        <sz val="8"/>
        <color rgb="FF000000"/>
        <rFont val="Arial"/>
        <family val="2"/>
      </rPr>
      <t xml:space="preserve">he U.S. payments to governments figure omits $70.9 paid to the state of Nevada. Should that figure have been included, the total U.S. payments to governments would have totaled $90.7.
</t>
    </r>
    <r>
      <rPr>
        <vertAlign val="superscript"/>
        <sz val="8"/>
        <color rgb="FF000000"/>
        <rFont val="Arial"/>
        <family val="2"/>
      </rPr>
      <t>7</t>
    </r>
    <r>
      <rPr>
        <sz val="8"/>
        <color rgb="FF000000"/>
        <rFont val="Arial"/>
        <family val="2"/>
      </rPr>
      <t xml:space="preserve"> </t>
    </r>
    <r>
      <rPr>
        <sz val="8"/>
        <color rgb="FF000000"/>
        <rFont val="Arial"/>
        <family val="2"/>
      </rPr>
      <t>Community investments</t>
    </r>
    <r>
      <rPr>
        <sz val="8"/>
        <color rgb="FF000000"/>
        <rFont val="Arial"/>
        <family val="2"/>
      </rPr>
      <t xml:space="preserve"> </t>
    </r>
    <r>
      <rPr>
        <sz val="8"/>
        <color rgb="FF000000"/>
        <rFont val="Arial"/>
        <family val="2"/>
      </rPr>
      <t xml:space="preserve">data </t>
    </r>
    <r>
      <rPr>
        <sz val="8"/>
        <color rgb="FF000000"/>
        <rFont val="Arial"/>
        <family val="2"/>
      </rPr>
      <t xml:space="preserve">include direct monetary investments and the book value of in-kind donations. </t>
    </r>
    <r>
      <rPr>
        <sz val="8"/>
        <color rgb="FF000000"/>
        <rFont val="Arial"/>
        <family val="2"/>
      </rPr>
      <t>Austr</t>
    </r>
    <r>
      <rPr>
        <sz val="8"/>
        <color rgb="FF000000"/>
        <rFont val="Arial"/>
        <family val="2"/>
      </rPr>
      <t xml:space="preserve">alia </t>
    </r>
    <r>
      <rPr>
        <sz val="8"/>
        <color rgb="FF000000"/>
        <rFont val="Arial"/>
        <family val="2"/>
      </rPr>
      <t>includes</t>
    </r>
    <r>
      <rPr>
        <sz val="8"/>
        <color rgb="FF000000"/>
        <rFont val="Arial"/>
        <family val="2"/>
      </rPr>
      <t xml:space="preserve"> Perth </t>
    </r>
    <r>
      <rPr>
        <sz val="8"/>
        <color rgb="FF000000"/>
        <rFont val="Arial"/>
        <family val="2"/>
      </rPr>
      <t>regional office and excludes</t>
    </r>
    <r>
      <rPr>
        <sz val="8"/>
        <color rgb="FF000000"/>
        <rFont val="Arial"/>
        <family val="2"/>
      </rPr>
      <t xml:space="preserve"> the KCGM site; Canada includes</t>
    </r>
    <r>
      <rPr>
        <sz val="8"/>
        <color rgb="FF000000"/>
        <rFont val="Arial"/>
        <family val="2"/>
      </rPr>
      <t xml:space="preserve"> Vancouver regional office</t>
    </r>
    <r>
      <rPr>
        <sz val="8"/>
        <color rgb="FF000000"/>
        <rFont val="Arial"/>
        <family val="2"/>
      </rPr>
      <t>; U.S. excludes Neva</t>
    </r>
    <r>
      <rPr>
        <sz val="8"/>
        <color rgb="FF000000"/>
        <rFont val="Arial"/>
        <family val="2"/>
      </rPr>
      <t>da</t>
    </r>
    <r>
      <rPr>
        <sz val="8"/>
        <color rgb="FF000000"/>
        <rFont val="Arial"/>
        <family val="2"/>
      </rPr>
      <t xml:space="preserve"> and Denver corporate headquarters. </t>
    </r>
    <r>
      <rPr>
        <sz val="8"/>
        <color rgb="FF000000"/>
        <rFont val="Arial"/>
        <family val="2"/>
      </rPr>
      <t xml:space="preserve">Differences in community investments </t>
    </r>
    <r>
      <rPr>
        <sz val="8"/>
        <color rgb="FF000000"/>
        <rFont val="Arial"/>
        <family val="2"/>
      </rPr>
      <t xml:space="preserve">column </t>
    </r>
    <r>
      <rPr>
        <sz val="8"/>
        <color rgb="FF000000"/>
        <rFont val="Arial"/>
        <family val="2"/>
      </rPr>
      <t xml:space="preserve">totals </t>
    </r>
    <r>
      <rPr>
        <sz val="8"/>
        <color rgb="FF000000"/>
        <rFont val="Arial"/>
        <family val="2"/>
      </rPr>
      <t xml:space="preserve">shown in this table and totals shown in the </t>
    </r>
    <r>
      <rPr>
        <sz val="8"/>
        <color rgb="FF000000"/>
        <rFont val="Arial"/>
        <family val="2"/>
      </rPr>
      <t>Community Investm</t>
    </r>
    <r>
      <rPr>
        <sz val="8"/>
        <color rgb="FF000000"/>
        <rFont val="Arial"/>
        <family val="2"/>
      </rPr>
      <t>e</t>
    </r>
    <r>
      <rPr>
        <sz val="8"/>
        <color rgb="FF000000"/>
        <rFont val="Arial"/>
        <family val="2"/>
      </rPr>
      <t>nts</t>
    </r>
    <r>
      <rPr>
        <sz val="8"/>
        <color rgb="FF000000"/>
        <rFont val="Arial"/>
        <family val="2"/>
      </rPr>
      <t xml:space="preserve"> </t>
    </r>
    <r>
      <rPr>
        <sz val="8"/>
        <color rgb="FF000000"/>
        <rFont val="Arial"/>
        <family val="2"/>
      </rPr>
      <t xml:space="preserve">table </t>
    </r>
    <r>
      <rPr>
        <sz val="8"/>
        <color rgb="FF000000"/>
        <rFont val="Arial"/>
        <family val="2"/>
      </rPr>
      <t xml:space="preserve">are due to decimal place rounding. </t>
    </r>
  </si>
  <si>
    <r>
      <rPr>
        <b/>
        <sz val="10"/>
        <color rgb="FF000000"/>
        <rFont val="Arial"/>
        <family val="2"/>
      </rPr>
      <t>Economic value generated</t>
    </r>
    <r>
      <rPr>
        <b/>
        <sz val="10"/>
        <color rgb="FF000000"/>
        <rFont val="Arial"/>
        <family val="2"/>
      </rPr>
      <t xml:space="preserve"> 2019: </t>
    </r>
    <r>
      <rPr>
        <b/>
        <sz val="10"/>
        <color rgb="FF000000"/>
        <rFont val="Arial"/>
        <family val="2"/>
      </rPr>
      <t>Country</t>
    </r>
    <r>
      <rPr>
        <b/>
        <sz val="10"/>
        <color rgb="FF000000"/>
        <rFont val="Arial"/>
        <family val="2"/>
      </rPr>
      <t xml:space="preserve"> level</t>
    </r>
    <r>
      <rPr>
        <b/>
        <vertAlign val="superscript"/>
        <sz val="10"/>
        <color rgb="FF000000"/>
        <rFont val="Arial"/>
        <family val="2"/>
      </rPr>
      <t>1</t>
    </r>
    <r>
      <rPr>
        <b/>
        <vertAlign val="superscript"/>
        <sz val="10"/>
        <color rgb="FF000000"/>
        <rFont val="Arial"/>
        <family val="2"/>
      </rPr>
      <t>, 2</t>
    </r>
    <r>
      <rPr>
        <b/>
        <sz val="10"/>
        <color rgb="FF000000"/>
        <rFont val="Arial"/>
        <family val="2"/>
      </rPr>
      <t xml:space="preserve"> </t>
    </r>
    <r>
      <rPr>
        <b/>
        <sz val="10"/>
        <color rgb="FF000000"/>
        <rFont val="Arial"/>
        <family val="2"/>
      </rPr>
      <t>(</t>
    </r>
    <r>
      <rPr>
        <b/>
        <sz val="10"/>
        <color rgb="FF000000"/>
        <rFont val="Arial"/>
        <family val="2"/>
      </rPr>
      <t>millions)</t>
    </r>
  </si>
  <si>
    <t>Amount</t>
  </si>
  <si>
    <r>
      <rPr>
        <vertAlign val="superscript"/>
        <sz val="8"/>
        <color rgb="FF000000"/>
        <rFont val="Arial"/>
        <family val="2"/>
      </rPr>
      <t>1</t>
    </r>
    <r>
      <rPr>
        <sz val="8"/>
        <color rgb="FF000000"/>
        <rFont val="Arial"/>
        <family val="2"/>
      </rPr>
      <t xml:space="preserve"> </t>
    </r>
    <r>
      <rPr>
        <sz val="8"/>
        <color rgb="FF000000"/>
        <rFont val="Arial"/>
        <family val="2"/>
      </rPr>
      <t xml:space="preserve">GRI Standards disclosure 201-1: Direct Economic Value Generated and Distributed.
</t>
    </r>
    <r>
      <rPr>
        <vertAlign val="superscript"/>
        <sz val="8"/>
        <color rgb="FF000000"/>
        <rFont val="Arial"/>
        <family val="2"/>
      </rPr>
      <t>2</t>
    </r>
    <r>
      <rPr>
        <sz val="8"/>
        <color rgb="FF000000"/>
        <rFont val="Arial"/>
        <family val="2"/>
      </rPr>
      <t xml:space="preserve"> </t>
    </r>
    <r>
      <rPr>
        <sz val="8"/>
        <color rgb="FF000000"/>
        <rFont val="Arial"/>
        <family val="2"/>
      </rPr>
      <t>Amounts are on a consolidated bas</t>
    </r>
    <r>
      <rPr>
        <sz val="8"/>
        <color rgb="FF000000"/>
        <rFont val="Arial"/>
        <family val="2"/>
      </rPr>
      <t>is as described in</t>
    </r>
    <r>
      <rPr>
        <sz val="8"/>
        <color rgb="FF000000"/>
        <rFont val="Arial"/>
        <family val="2"/>
      </rPr>
      <t xml:space="preserve"> our 2019 10K; </t>
    </r>
    <r>
      <rPr>
        <sz val="8"/>
        <color rgb="FF000000"/>
        <rFont val="Arial"/>
        <family val="2"/>
      </rPr>
      <t xml:space="preserve">however, </t>
    </r>
    <r>
      <rPr>
        <sz val="8"/>
        <color rgb="FF000000"/>
        <rFont val="Arial"/>
        <family val="2"/>
      </rPr>
      <t xml:space="preserve">to </t>
    </r>
    <r>
      <rPr>
        <sz val="8"/>
        <color rgb="FF000000"/>
        <rFont val="Arial"/>
        <family val="2"/>
      </rPr>
      <t>ensure comparable reporting boundaries across value sharing data disclosed in this report (economic value generated, distributed, payments to governments, and community investments data tables), Nevada data is omitted.</t>
    </r>
    <r>
      <rPr>
        <sz val="8"/>
        <color rgb="FF000000"/>
        <rFont val="Arial"/>
        <family val="2"/>
      </rPr>
      <t xml:space="preserve"> </t>
    </r>
    <r>
      <rPr>
        <sz val="8"/>
        <color rgb="FF000000"/>
        <rFont val="Arial"/>
        <family val="2"/>
      </rPr>
      <t xml:space="preserve">Economic value generated includes sales of $7,634 (excluding Nevada of $2,106), as well as byproduct sales of $65 (excluding Nevada of $29), which are recognized as credits to costs applicable to sales in our 2019 10-K.
</t>
    </r>
    <r>
      <rPr>
        <vertAlign val="superscript"/>
        <sz val="8"/>
        <color rgb="FF000000"/>
        <rFont val="Arial"/>
        <family val="2"/>
      </rPr>
      <t/>
    </r>
  </si>
  <si>
    <t xml:space="preserve">VALUE SHARING: SUPPLY CHAIN </t>
  </si>
  <si>
    <r>
      <rPr>
        <b/>
        <sz val="10"/>
        <color rgb="FF000000"/>
        <rFont val="Arial"/>
        <family val="2"/>
      </rPr>
      <t xml:space="preserve">Number of </t>
    </r>
    <r>
      <rPr>
        <b/>
        <sz val="10"/>
        <color rgb="FF000000"/>
        <rFont val="Arial"/>
        <family val="2"/>
      </rPr>
      <t>suppliers</t>
    </r>
    <r>
      <rPr>
        <b/>
        <sz val="10"/>
        <color rgb="FF000000"/>
        <rFont val="Arial"/>
        <family val="2"/>
      </rPr>
      <t xml:space="preserve"> 201</t>
    </r>
    <r>
      <rPr>
        <b/>
        <sz val="10"/>
        <color rgb="FF000000"/>
        <rFont val="Arial"/>
        <family val="2"/>
      </rPr>
      <t>9</t>
    </r>
    <r>
      <rPr>
        <b/>
        <vertAlign val="superscript"/>
        <sz val="10"/>
        <color rgb="FF000000"/>
        <rFont val="Arial"/>
        <family val="2"/>
      </rPr>
      <t>1</t>
    </r>
  </si>
  <si>
    <t xml:space="preserve">Number of Suppliers in 2019: 8,585				</t>
  </si>
  <si>
    <r>
      <rPr>
        <b/>
        <sz val="10"/>
        <color rgb="FF000000"/>
        <rFont val="Arial"/>
        <family val="2"/>
      </rPr>
      <t xml:space="preserve">Spending on local suppliers </t>
    </r>
    <r>
      <rPr>
        <b/>
        <sz val="10"/>
        <color rgb="FF000000"/>
        <rFont val="Arial"/>
        <family val="2"/>
      </rPr>
      <t xml:space="preserve">2019: </t>
    </r>
    <r>
      <rPr>
        <b/>
        <sz val="10"/>
        <color rgb="FF000000"/>
        <rFont val="Arial"/>
        <family val="2"/>
      </rPr>
      <t>Region</t>
    </r>
    <r>
      <rPr>
        <b/>
        <sz val="10"/>
        <color rgb="FF000000"/>
        <rFont val="Arial"/>
        <family val="2"/>
      </rPr>
      <t xml:space="preserve"> level </t>
    </r>
    <r>
      <rPr>
        <b/>
        <sz val="10"/>
        <color rgb="FF000000"/>
        <rFont val="Arial"/>
        <family val="2"/>
      </rPr>
      <t>(millions)</t>
    </r>
    <r>
      <rPr>
        <b/>
        <vertAlign val="superscript"/>
        <sz val="10"/>
        <color rgb="FF000000"/>
        <rFont val="Arial"/>
        <family val="2"/>
      </rPr>
      <t>1</t>
    </r>
    <r>
      <rPr>
        <b/>
        <vertAlign val="superscript"/>
        <sz val="10"/>
        <color rgb="FF000000"/>
        <rFont val="Arial"/>
        <family val="2"/>
      </rPr>
      <t>, 2</t>
    </r>
    <r>
      <rPr>
        <b/>
        <sz val="10"/>
        <color rgb="FF000000"/>
        <rFont val="Arial"/>
        <family val="2"/>
      </rPr>
      <t xml:space="preserve"> </t>
    </r>
  </si>
  <si>
    <t>Total spent on all suppliers</t>
  </si>
  <si>
    <t>Total spent with local suppliers</t>
  </si>
  <si>
    <t>% spent with local suppliers</t>
  </si>
  <si>
    <t>Total spent with national suppliers</t>
  </si>
  <si>
    <t>% spent with national suppliers</t>
  </si>
  <si>
    <t>Total spent with local and national suppliers</t>
  </si>
  <si>
    <t>% spent with local and national suppliers</t>
  </si>
  <si>
    <r>
      <rPr>
        <vertAlign val="superscript"/>
        <sz val="8"/>
        <color rgb="FF000000"/>
        <rFont val="Arial"/>
        <family val="2"/>
      </rPr>
      <t>1</t>
    </r>
    <r>
      <rPr>
        <sz val="8"/>
        <color rgb="FF000000"/>
        <rFont val="Arial"/>
        <family val="2"/>
      </rPr>
      <t xml:space="preserve"> </t>
    </r>
    <r>
      <rPr>
        <sz val="8"/>
        <color rgb="FF000000"/>
        <rFont val="Arial"/>
        <family val="2"/>
      </rPr>
      <t>GRI Standards disclosure</t>
    </r>
    <r>
      <rPr>
        <sz val="8"/>
        <color rgb="FF000000"/>
        <rFont val="Arial"/>
        <family val="2"/>
      </rPr>
      <t xml:space="preserve"> </t>
    </r>
    <r>
      <rPr>
        <sz val="8"/>
        <color rgb="FF000000"/>
        <rFont val="Arial"/>
        <family val="2"/>
      </rPr>
      <t xml:space="preserve">GRI 204-1: Proportion of spending on </t>
    </r>
    <r>
      <rPr>
        <sz val="8"/>
        <color rgb="FF000000"/>
        <rFont val="Arial"/>
        <family val="2"/>
      </rPr>
      <t>l</t>
    </r>
    <r>
      <rPr>
        <sz val="8"/>
        <color rgb="FF000000"/>
        <rFont val="Arial"/>
        <family val="2"/>
      </rPr>
      <t xml:space="preserve">ocal </t>
    </r>
    <r>
      <rPr>
        <sz val="8"/>
        <color rgb="FF000000"/>
        <rFont val="Arial"/>
        <family val="2"/>
      </rPr>
      <t>s</t>
    </r>
    <r>
      <rPr>
        <sz val="8"/>
        <color rgb="FF000000"/>
        <rFont val="Arial"/>
        <family val="2"/>
      </rPr>
      <t>uppliers</t>
    </r>
    <r>
      <rPr>
        <sz val="8"/>
        <color rgb="FF000000"/>
        <rFont val="Arial"/>
        <family val="2"/>
      </rPr>
      <t xml:space="preserve">.
</t>
    </r>
    <r>
      <rPr>
        <vertAlign val="superscript"/>
        <sz val="8"/>
        <color rgb="FF000000"/>
        <rFont val="Arial"/>
        <family val="2"/>
      </rPr>
      <t>2</t>
    </r>
    <r>
      <rPr>
        <sz val="8"/>
        <color rgb="FF000000"/>
        <rFont val="Arial"/>
        <family val="2"/>
      </rPr>
      <t xml:space="preserve"> </t>
    </r>
    <r>
      <rPr>
        <sz val="8"/>
        <color rgb="FF000000"/>
        <rFont val="Arial"/>
        <family val="2"/>
      </rPr>
      <t>North Ame</t>
    </r>
    <r>
      <rPr>
        <sz val="8"/>
        <color rgb="FF000000"/>
        <rFont val="Arial"/>
        <family val="2"/>
      </rPr>
      <t xml:space="preserve">rica </t>
    </r>
    <r>
      <rPr>
        <sz val="8"/>
        <color rgb="FF000000"/>
        <rFont val="Arial"/>
        <family val="2"/>
      </rPr>
      <t>l</t>
    </r>
    <r>
      <rPr>
        <sz val="8"/>
        <color rgb="FF000000"/>
        <rFont val="Arial"/>
        <family val="2"/>
      </rPr>
      <t xml:space="preserve">ocal </t>
    </r>
    <r>
      <rPr>
        <sz val="8"/>
        <color rgb="FF000000"/>
        <rFont val="Arial"/>
        <family val="2"/>
      </rPr>
      <t xml:space="preserve">supplier spending figures </t>
    </r>
    <r>
      <rPr>
        <sz val="8"/>
        <color rgb="FF000000"/>
        <rFont val="Arial"/>
        <family val="2"/>
      </rPr>
      <t xml:space="preserve">include Nevada spending from Jan 1 - June 30 and </t>
    </r>
    <r>
      <rPr>
        <sz val="8"/>
        <color rgb="FF000000"/>
        <rFont val="Arial"/>
        <family val="2"/>
      </rPr>
      <t>exclude</t>
    </r>
    <r>
      <rPr>
        <sz val="8"/>
        <color rgb="FF000000"/>
        <rFont val="Arial"/>
        <family val="2"/>
      </rPr>
      <t xml:space="preserve"> the </t>
    </r>
    <r>
      <rPr>
        <sz val="8"/>
        <color rgb="FF000000"/>
        <rFont val="Arial"/>
        <family val="2"/>
      </rPr>
      <t xml:space="preserve">Colorado, U.S. </t>
    </r>
    <r>
      <rPr>
        <sz val="8"/>
        <color rgb="FF000000"/>
        <rFont val="Arial"/>
        <family val="2"/>
      </rPr>
      <t>corporate office</t>
    </r>
    <r>
      <rPr>
        <sz val="8"/>
        <color rgb="FF000000"/>
        <rFont val="Arial"/>
        <family val="2"/>
      </rPr>
      <t>;</t>
    </r>
    <r>
      <rPr>
        <sz val="8"/>
        <color rgb="FF000000"/>
        <rFont val="Arial"/>
        <family val="2"/>
      </rPr>
      <t xml:space="preserve"> </t>
    </r>
    <r>
      <rPr>
        <sz val="8"/>
        <color rgb="FF000000"/>
        <rFont val="Arial"/>
        <family val="2"/>
      </rPr>
      <t xml:space="preserve">Australia local supplier spending </t>
    </r>
    <r>
      <rPr>
        <sz val="8"/>
        <color rgb="FF000000"/>
        <rFont val="Arial"/>
        <family val="2"/>
      </rPr>
      <t>figures excl</t>
    </r>
    <r>
      <rPr>
        <sz val="8"/>
        <color rgb="FF000000"/>
        <rFont val="Arial"/>
        <family val="2"/>
      </rPr>
      <t xml:space="preserve">ude </t>
    </r>
    <r>
      <rPr>
        <sz val="8"/>
        <color rgb="FF000000"/>
        <rFont val="Arial"/>
        <family val="2"/>
      </rPr>
      <t>KCGM</t>
    </r>
    <r>
      <rPr>
        <sz val="8"/>
        <color rgb="FF000000"/>
        <rFont val="Arial"/>
        <family val="2"/>
      </rPr>
      <t xml:space="preserve">. </t>
    </r>
  </si>
  <si>
    <t xml:space="preserve">VALUE SHARING: TAX TRANSPARENCY  </t>
  </si>
  <si>
    <r>
      <rPr>
        <b/>
        <sz val="10"/>
        <color rgb="FF000000"/>
        <rFont val="Arial"/>
        <family val="2"/>
      </rPr>
      <t>Payments to governments</t>
    </r>
    <r>
      <rPr>
        <b/>
        <sz val="10"/>
        <color rgb="FF000000"/>
        <rFont val="Arial"/>
        <family val="2"/>
      </rPr>
      <t xml:space="preserve"> 2019: Country level</t>
    </r>
    <r>
      <rPr>
        <b/>
        <vertAlign val="superscript"/>
        <sz val="10"/>
        <color rgb="FF000000"/>
        <rFont val="Arial"/>
        <family val="2"/>
      </rPr>
      <t>1</t>
    </r>
    <r>
      <rPr>
        <b/>
        <vertAlign val="superscript"/>
        <sz val="10"/>
        <color rgb="FF000000"/>
        <rFont val="Arial"/>
        <family val="2"/>
      </rPr>
      <t>, 2</t>
    </r>
    <r>
      <rPr>
        <b/>
        <sz val="10"/>
        <color rgb="FF000000"/>
        <rFont val="Arial"/>
        <family val="2"/>
      </rPr>
      <t xml:space="preserve"> </t>
    </r>
    <r>
      <rPr>
        <b/>
        <sz val="10"/>
        <color rgb="FF000000"/>
        <rFont val="Arial"/>
        <family val="2"/>
      </rPr>
      <t>(</t>
    </r>
    <r>
      <rPr>
        <b/>
        <sz val="10"/>
        <color rgb="FF000000"/>
        <rFont val="Arial"/>
        <family val="2"/>
      </rPr>
      <t>millions)</t>
    </r>
  </si>
  <si>
    <t>Government royalties</t>
  </si>
  <si>
    <t>Taxes</t>
  </si>
  <si>
    <t>Payments to governments</t>
  </si>
  <si>
    <r>
      <rPr>
        <sz val="10"/>
        <color rgb="FF000000"/>
        <rFont val="Arial"/>
        <family val="2"/>
      </rPr>
      <t>U.S.</t>
    </r>
    <r>
      <rPr>
        <vertAlign val="superscript"/>
        <sz val="10"/>
        <color rgb="FF000000"/>
        <rFont val="Arial"/>
        <family val="2"/>
      </rPr>
      <t>3</t>
    </r>
  </si>
  <si>
    <r>
      <rPr>
        <vertAlign val="superscript"/>
        <sz val="8"/>
        <color rgb="FF000000"/>
        <rFont val="Arial"/>
        <family val="2"/>
      </rPr>
      <t>1</t>
    </r>
    <r>
      <rPr>
        <vertAlign val="superscript"/>
        <sz val="8"/>
        <color rgb="FF000000"/>
        <rFont val="Arial"/>
        <family val="2"/>
      </rPr>
      <t xml:space="preserve"> </t>
    </r>
    <r>
      <rPr>
        <sz val="8"/>
        <color rgb="FF000000"/>
        <rFont val="Arial"/>
        <family val="2"/>
      </rPr>
      <t>GRI Standards disclosure</t>
    </r>
    <r>
      <rPr>
        <sz val="8"/>
        <color rgb="FF000000"/>
        <rFont val="Arial"/>
        <family val="2"/>
      </rPr>
      <t xml:space="preserve"> </t>
    </r>
    <r>
      <rPr>
        <sz val="8"/>
        <color rgb="FF000000"/>
        <rFont val="Arial"/>
        <family val="2"/>
      </rPr>
      <t>GRI 207-4</t>
    </r>
    <r>
      <rPr>
        <sz val="8"/>
        <color rgb="FF000000"/>
        <rFont val="Arial"/>
        <family val="2"/>
      </rPr>
      <t>:</t>
    </r>
    <r>
      <rPr>
        <sz val="8"/>
        <color rgb="FF000000"/>
        <rFont val="Arial"/>
        <family val="2"/>
      </rPr>
      <t xml:space="preserve"> Country</t>
    </r>
    <r>
      <rPr>
        <sz val="8"/>
        <color rgb="FF000000"/>
        <rFont val="Arial"/>
        <family val="2"/>
      </rPr>
      <t xml:space="preserve">-by-Country </t>
    </r>
    <r>
      <rPr>
        <sz val="8"/>
        <color rgb="FF000000"/>
        <rFont val="Arial"/>
        <family val="2"/>
      </rPr>
      <t>T</t>
    </r>
    <r>
      <rPr>
        <sz val="8"/>
        <color rgb="FF000000"/>
        <rFont val="Arial"/>
        <family val="2"/>
      </rPr>
      <t>a</t>
    </r>
    <r>
      <rPr>
        <sz val="8"/>
        <color rgb="FF000000"/>
        <rFont val="Arial"/>
        <family val="2"/>
      </rPr>
      <t xml:space="preserve">x </t>
    </r>
    <r>
      <rPr>
        <sz val="8"/>
        <color rgb="FF000000"/>
        <rFont val="Arial"/>
        <family val="2"/>
      </rPr>
      <t>Reporting</t>
    </r>
    <r>
      <rPr>
        <sz val="8"/>
        <color rgb="FF000000"/>
        <rFont val="Arial"/>
        <family val="2"/>
      </rPr>
      <t xml:space="preserve">.
</t>
    </r>
    <r>
      <rPr>
        <vertAlign val="superscript"/>
        <sz val="8"/>
        <color rgb="FF000000"/>
        <rFont val="Arial"/>
        <family val="2"/>
      </rPr>
      <t>2</t>
    </r>
    <r>
      <rPr>
        <sz val="8"/>
        <color rgb="FF000000"/>
        <rFont val="Arial"/>
        <family val="2"/>
      </rPr>
      <t xml:space="preserve"> </t>
    </r>
    <r>
      <rPr>
        <sz val="8"/>
        <color rgb="FF000000"/>
        <rFont val="Arial"/>
        <family val="2"/>
      </rPr>
      <t xml:space="preserve">Taxes include current year cash payments for income and mining taxes, accrued employer, property, sales and production taxes. In addition, taxes include export duties paid in Argentina and duties paid in Africa. </t>
    </r>
    <r>
      <rPr>
        <sz val="8"/>
        <color rgb="FF000000"/>
        <rFont val="Arial"/>
        <family val="2"/>
      </rPr>
      <t>Amounts may not calcula</t>
    </r>
    <r>
      <rPr>
        <sz val="8"/>
        <color rgb="FF000000"/>
        <rFont val="Arial"/>
        <family val="2"/>
      </rPr>
      <t xml:space="preserve">te due to rounding.
</t>
    </r>
    <r>
      <rPr>
        <vertAlign val="superscript"/>
        <sz val="8"/>
        <color rgb="FF000000"/>
        <rFont val="Arial"/>
        <family val="2"/>
      </rPr>
      <t>3</t>
    </r>
    <r>
      <rPr>
        <vertAlign val="superscript"/>
        <sz val="8"/>
        <color rgb="FF000000"/>
        <rFont val="Arial"/>
        <family val="2"/>
      </rPr>
      <t xml:space="preserve"> </t>
    </r>
    <r>
      <rPr>
        <sz val="8"/>
        <color rgb="FF000000"/>
        <rFont val="Arial"/>
        <family val="2"/>
      </rPr>
      <t xml:space="preserve">To ensure comparable reporting boundaries across </t>
    </r>
    <r>
      <rPr>
        <sz val="8"/>
        <color rgb="FF000000"/>
        <rFont val="Arial"/>
        <family val="2"/>
      </rPr>
      <t>value sharing</t>
    </r>
    <r>
      <rPr>
        <sz val="8"/>
        <color rgb="FF000000"/>
        <rFont val="Arial"/>
        <family val="2"/>
      </rPr>
      <t xml:space="preserve"> data disclosed in this report (economic value generated, distributed</t>
    </r>
    <r>
      <rPr>
        <sz val="8"/>
        <color rgb="FF000000"/>
        <rFont val="Arial"/>
        <family val="2"/>
      </rPr>
      <t>, payments to governments</t>
    </r>
    <r>
      <rPr>
        <sz val="8"/>
        <color rgb="FF000000"/>
        <rFont val="Arial"/>
        <family val="2"/>
      </rPr>
      <t xml:space="preserve">, </t>
    </r>
    <r>
      <rPr>
        <sz val="8"/>
        <color rgb="FF000000"/>
        <rFont val="Arial"/>
        <family val="2"/>
      </rPr>
      <t>and community investments data tables),</t>
    </r>
    <r>
      <rPr>
        <sz val="8"/>
        <color rgb="FF000000"/>
        <rFont val="Arial"/>
        <family val="2"/>
      </rPr>
      <t xml:space="preserve"> </t>
    </r>
    <r>
      <rPr>
        <sz val="8"/>
        <color rgb="FF000000"/>
        <rFont val="Arial"/>
        <family val="2"/>
      </rPr>
      <t>Nevada data is omitted</t>
    </r>
    <r>
      <rPr>
        <sz val="8"/>
        <color rgb="FF000000"/>
        <rFont val="Arial"/>
        <family val="2"/>
      </rPr>
      <t>. T</t>
    </r>
    <r>
      <rPr>
        <sz val="8"/>
        <color rgb="FF000000"/>
        <rFont val="Arial"/>
        <family val="2"/>
      </rPr>
      <t>he U.S. payments to governments figure omits $70.9 paid to the state of Nevada. Should that figure have been included, the total U.S. payments to governments would have totaled $90.7.</t>
    </r>
  </si>
  <si>
    <r>
      <rPr>
        <b/>
        <sz val="10"/>
        <color rgb="FF000000"/>
        <rFont val="Arial"/>
        <family val="2"/>
      </rPr>
      <t xml:space="preserve">Effective tax rates </t>
    </r>
    <r>
      <rPr>
        <b/>
        <sz val="10"/>
        <color rgb="FF000000"/>
        <rFont val="Arial"/>
        <family val="2"/>
      </rPr>
      <t xml:space="preserve">2019: Country level </t>
    </r>
    <r>
      <rPr>
        <b/>
        <sz val="10"/>
        <color rgb="FF000000"/>
        <rFont val="Arial"/>
        <family val="2"/>
      </rPr>
      <t>(percentage)</t>
    </r>
    <r>
      <rPr>
        <b/>
        <vertAlign val="superscript"/>
        <sz val="10"/>
        <color rgb="FF000000"/>
        <rFont val="Arial"/>
        <family val="2"/>
      </rPr>
      <t>1</t>
    </r>
    <r>
      <rPr>
        <b/>
        <vertAlign val="superscript"/>
        <sz val="10"/>
        <color rgb="FF000000"/>
        <rFont val="Arial"/>
        <family val="2"/>
      </rPr>
      <t>,2</t>
    </r>
  </si>
  <si>
    <t>Rate</t>
  </si>
  <si>
    <t>Other foreign</t>
  </si>
  <si>
    <t>Consolidated</t>
  </si>
  <si>
    <r>
      <rPr>
        <vertAlign val="superscript"/>
        <sz val="8"/>
        <color rgb="FF000000"/>
        <rFont val="Arial"/>
        <family val="2"/>
      </rPr>
      <t xml:space="preserve">1 </t>
    </r>
    <r>
      <rPr>
        <sz val="8"/>
        <color rgb="FF000000"/>
        <rFont val="Arial"/>
        <family val="2"/>
      </rPr>
      <t>GRI Standards disclosure GRI 207-4: Country-by-Country Tax Reporting</t>
    </r>
    <r>
      <rPr>
        <sz val="8"/>
        <color rgb="FF000000"/>
        <rFont val="Arial"/>
        <family val="2"/>
      </rPr>
      <t xml:space="preserve">.
</t>
    </r>
    <r>
      <rPr>
        <vertAlign val="superscript"/>
        <sz val="8"/>
        <color rgb="FF000000"/>
        <rFont val="Arial"/>
        <family val="2"/>
      </rPr>
      <t>2</t>
    </r>
    <r>
      <rPr>
        <vertAlign val="superscript"/>
        <sz val="8"/>
        <color rgb="FF000000"/>
        <rFont val="Arial"/>
        <family val="2"/>
      </rPr>
      <t xml:space="preserve"> </t>
    </r>
    <r>
      <rPr>
        <sz val="8"/>
        <color rgb="FF000000"/>
        <rFont val="Arial"/>
        <family val="2"/>
      </rPr>
      <t xml:space="preserve">The effective tax rate is driven by a number of factors and can fluctuate from year to year. For a more detailed discussion of tax expenses, refer to page 65 of </t>
    </r>
    <r>
      <rPr>
        <sz val="8"/>
        <color rgb="FF000000"/>
        <rFont val="Arial"/>
        <family val="2"/>
      </rPr>
      <t>N</t>
    </r>
    <r>
      <rPr>
        <sz val="8"/>
        <color rgb="FF000000"/>
        <rFont val="Arial"/>
        <family val="2"/>
      </rPr>
      <t>ewmont's 2019 Form 10K report.</t>
    </r>
    <r>
      <rPr>
        <sz val="8"/>
        <color rgb="FF000000"/>
        <rFont val="Arial"/>
        <family val="2"/>
      </rPr>
      <t xml:space="preserve"> </t>
    </r>
    <r>
      <rPr>
        <sz val="8"/>
        <color rgb="FF000000"/>
        <rFont val="Arial"/>
        <family val="2"/>
      </rPr>
      <t xml:space="preserve">Amounts may not calculate due to rounding. 
</t>
    </r>
    <r>
      <rPr>
        <vertAlign val="superscript"/>
        <sz val="8"/>
        <color rgb="FF000000"/>
        <rFont val="Arial"/>
        <family val="2"/>
      </rPr>
      <t>3</t>
    </r>
    <r>
      <rPr>
        <sz val="8"/>
        <color rgb="FF000000"/>
        <rFont val="Arial"/>
        <family val="2"/>
      </rPr>
      <t xml:space="preserve"> </t>
    </r>
    <r>
      <rPr>
        <sz val="8"/>
        <color rgb="FF000000"/>
        <rFont val="Arial"/>
        <family val="2"/>
      </rPr>
      <t xml:space="preserve">The US effective tax rate includes CC&amp;V, Corporate Headquarters (Colorado), Nevada, and </t>
    </r>
    <r>
      <rPr>
        <sz val="8"/>
        <color rgb="FF000000"/>
        <rFont val="Arial"/>
        <family val="2"/>
      </rPr>
      <t>o</t>
    </r>
    <r>
      <rPr>
        <sz val="8"/>
        <color rgb="FF000000"/>
        <rFont val="Arial"/>
        <family val="2"/>
      </rPr>
      <t>ther U.S.</t>
    </r>
  </si>
  <si>
    <t>WORKFORCE DEMOGRAPHICS</t>
  </si>
  <si>
    <r>
      <rPr>
        <b/>
        <sz val="9"/>
        <color rgb="FF000000"/>
        <rFont val="Arial"/>
        <family val="2"/>
      </rPr>
      <t xml:space="preserve">Total </t>
    </r>
    <r>
      <rPr>
        <b/>
        <sz val="9"/>
        <color rgb="FF000000"/>
        <rFont val="Arial"/>
        <family val="2"/>
      </rPr>
      <t>w</t>
    </r>
    <r>
      <rPr>
        <b/>
        <sz val="9"/>
        <color rgb="FF000000"/>
        <rFont val="Arial"/>
        <family val="2"/>
      </rPr>
      <t>orkforce</t>
    </r>
    <r>
      <rPr>
        <b/>
        <sz val="9"/>
        <color rgb="FF000000"/>
        <rFont val="Arial"/>
        <family val="2"/>
      </rPr>
      <t xml:space="preserve">: </t>
    </r>
    <r>
      <rPr>
        <b/>
        <sz val="9"/>
        <color rgb="FF000000"/>
        <rFont val="Arial"/>
        <family val="2"/>
      </rPr>
      <t>Trailing five year data</t>
    </r>
    <r>
      <rPr>
        <b/>
        <vertAlign val="superscript"/>
        <sz val="9"/>
        <color rgb="FF000000"/>
        <rFont val="Arial"/>
        <family val="2"/>
      </rPr>
      <t>1</t>
    </r>
    <r>
      <rPr>
        <b/>
        <vertAlign val="superscript"/>
        <sz val="9"/>
        <color rgb="FF000000"/>
        <rFont val="Arial"/>
        <family val="2"/>
      </rPr>
      <t>, 2</t>
    </r>
  </si>
  <si>
    <t>Employees</t>
  </si>
  <si>
    <t>Contractors</t>
  </si>
  <si>
    <r>
      <rPr>
        <vertAlign val="superscript"/>
        <sz val="8"/>
        <color rgb="FF000000"/>
        <rFont val="Arial"/>
        <family val="2"/>
      </rPr>
      <t xml:space="preserve">1 </t>
    </r>
    <r>
      <rPr>
        <sz val="8"/>
        <color rgb="FF000000"/>
        <rFont val="Arial"/>
        <family val="2"/>
      </rPr>
      <t xml:space="preserve">GRI Standards disclosure GRI 102-08: Information on employees and other workers.
</t>
    </r>
    <r>
      <rPr>
        <vertAlign val="superscript"/>
        <sz val="8"/>
        <color rgb="FF000000"/>
        <rFont val="Arial"/>
        <family val="2"/>
      </rPr>
      <t>2</t>
    </r>
    <r>
      <rPr>
        <sz val="8"/>
        <color rgb="FF000000"/>
        <rFont val="Arial"/>
        <family val="2"/>
      </rPr>
      <t xml:space="preserve"> </t>
    </r>
    <r>
      <rPr>
        <sz val="8"/>
        <color rgb="FF000000"/>
        <rFont val="Arial"/>
        <family val="2"/>
      </rPr>
      <t>Significant 2018-2019 changes reflect the April 18</t>
    </r>
    <r>
      <rPr>
        <sz val="8"/>
        <color rgb="FF000000"/>
        <rFont val="Arial"/>
        <family val="2"/>
      </rPr>
      <t>, 2019</t>
    </r>
    <r>
      <rPr>
        <sz val="8"/>
        <color rgb="FF000000"/>
        <rFont val="Arial"/>
        <family val="2"/>
      </rPr>
      <t xml:space="preserve"> acquisition of Goldcorp and the omission of Nevada workforce due to the Nevada Gold Mines JV formation on July 1</t>
    </r>
    <r>
      <rPr>
        <sz val="8"/>
        <color rgb="FF000000"/>
        <rFont val="Arial"/>
        <family val="2"/>
      </rPr>
      <t>, 2019.</t>
    </r>
  </si>
  <si>
    <r>
      <rPr>
        <b/>
        <sz val="9"/>
        <color rgb="FF000000"/>
        <rFont val="Arial"/>
        <family val="2"/>
      </rPr>
      <t xml:space="preserve">Employees by </t>
    </r>
    <r>
      <rPr>
        <b/>
        <sz val="9"/>
        <color rgb="FF000000"/>
        <rFont val="Arial"/>
        <family val="2"/>
      </rPr>
      <t>r</t>
    </r>
    <r>
      <rPr>
        <b/>
        <sz val="9"/>
        <color rgb="FF000000"/>
        <rFont val="Arial"/>
        <family val="2"/>
      </rPr>
      <t>egion</t>
    </r>
    <r>
      <rPr>
        <b/>
        <sz val="9"/>
        <color rgb="FF000000"/>
        <rFont val="Arial"/>
        <family val="2"/>
      </rPr>
      <t xml:space="preserve">: </t>
    </r>
    <r>
      <rPr>
        <b/>
        <sz val="9"/>
        <color rgb="FF000000"/>
        <rFont val="Arial"/>
        <family val="2"/>
      </rPr>
      <t>Trailing five year data</t>
    </r>
    <r>
      <rPr>
        <b/>
        <vertAlign val="superscript"/>
        <sz val="9"/>
        <color rgb="FF000000"/>
        <rFont val="Arial"/>
        <family val="2"/>
      </rPr>
      <t>1</t>
    </r>
    <r>
      <rPr>
        <b/>
        <vertAlign val="superscript"/>
        <sz val="9"/>
        <color rgb="FF000000"/>
        <rFont val="Arial"/>
        <family val="2"/>
      </rPr>
      <t>, 2</t>
    </r>
  </si>
  <si>
    <r>
      <rPr>
        <b/>
        <sz val="9"/>
        <color rgb="FF000000"/>
        <rFont val="Arial"/>
        <family val="2"/>
      </rPr>
      <t>A</t>
    </r>
    <r>
      <rPr>
        <b/>
        <sz val="9"/>
        <color rgb="FF000000"/>
        <rFont val="Arial"/>
        <family val="2"/>
      </rPr>
      <t>ustralia</t>
    </r>
    <r>
      <rPr>
        <b/>
        <vertAlign val="superscript"/>
        <sz val="9"/>
        <color rgb="FF000000"/>
        <rFont val="Arial"/>
        <family val="2"/>
      </rPr>
      <t>3</t>
    </r>
  </si>
  <si>
    <r>
      <rPr>
        <b/>
        <sz val="9"/>
        <color rgb="FF000000"/>
        <rFont val="Arial"/>
        <family val="2"/>
      </rPr>
      <t>Americas: North</t>
    </r>
    <r>
      <rPr>
        <b/>
        <vertAlign val="superscript"/>
        <sz val="9"/>
        <color rgb="FF000000"/>
        <rFont val="Arial"/>
        <family val="2"/>
      </rPr>
      <t>4</t>
    </r>
  </si>
  <si>
    <r>
      <rPr>
        <b/>
        <sz val="9"/>
        <color rgb="FF000000"/>
        <rFont val="Arial"/>
        <family val="2"/>
      </rPr>
      <t>Americas: South</t>
    </r>
    <r>
      <rPr>
        <b/>
        <vertAlign val="superscript"/>
        <sz val="9"/>
        <color rgb="FF000000"/>
        <rFont val="Arial"/>
        <family val="2"/>
      </rPr>
      <t>5</t>
    </r>
  </si>
  <si>
    <r>
      <rPr>
        <vertAlign val="superscript"/>
        <sz val="8"/>
        <color rgb="FF000000"/>
        <rFont val="Arial"/>
        <family val="2"/>
      </rPr>
      <t>1</t>
    </r>
    <r>
      <rPr>
        <vertAlign val="superscript"/>
        <sz val="8"/>
        <color rgb="FF000000"/>
        <rFont val="Arial"/>
        <family val="2"/>
      </rPr>
      <t xml:space="preserve"> </t>
    </r>
    <r>
      <rPr>
        <sz val="8"/>
        <color rgb="FF000000"/>
        <rFont val="Arial"/>
        <family val="2"/>
      </rPr>
      <t>GR</t>
    </r>
    <r>
      <rPr>
        <sz val="8"/>
        <color rgb="FF000000"/>
        <rFont val="Arial"/>
        <family val="2"/>
      </rPr>
      <t>I St</t>
    </r>
    <r>
      <rPr>
        <sz val="8"/>
        <color rgb="FF000000"/>
        <rFont val="Arial"/>
        <family val="2"/>
      </rPr>
      <t>andards discl</t>
    </r>
    <r>
      <rPr>
        <sz val="8"/>
        <color rgb="FF000000"/>
        <rFont val="Arial"/>
        <family val="2"/>
      </rPr>
      <t xml:space="preserve">osure </t>
    </r>
    <r>
      <rPr>
        <sz val="8"/>
        <color rgb="FF000000"/>
        <rFont val="Arial"/>
        <family val="2"/>
      </rPr>
      <t>GRI 102-08:</t>
    </r>
    <r>
      <rPr>
        <sz val="8"/>
        <color rgb="FF000000"/>
        <rFont val="Arial"/>
        <family val="2"/>
      </rPr>
      <t xml:space="preserve"> Information on </t>
    </r>
    <r>
      <rPr>
        <sz val="8"/>
        <color rgb="FF000000"/>
        <rFont val="Arial"/>
        <family val="2"/>
      </rPr>
      <t>e</t>
    </r>
    <r>
      <rPr>
        <sz val="8"/>
        <color rgb="FF000000"/>
        <rFont val="Arial"/>
        <family val="2"/>
      </rPr>
      <t xml:space="preserve">mployees and </t>
    </r>
    <r>
      <rPr>
        <sz val="8"/>
        <color rgb="FF000000"/>
        <rFont val="Arial"/>
        <family val="2"/>
      </rPr>
      <t>o</t>
    </r>
    <r>
      <rPr>
        <sz val="8"/>
        <color rgb="FF000000"/>
        <rFont val="Arial"/>
        <family val="2"/>
      </rPr>
      <t xml:space="preserve">ther </t>
    </r>
    <r>
      <rPr>
        <sz val="8"/>
        <color rgb="FF000000"/>
        <rFont val="Arial"/>
        <family val="2"/>
      </rPr>
      <t>w</t>
    </r>
    <r>
      <rPr>
        <sz val="8"/>
        <color rgb="FF000000"/>
        <rFont val="Arial"/>
        <family val="2"/>
      </rPr>
      <t>orkers</t>
    </r>
    <r>
      <rPr>
        <sz val="8"/>
        <color rgb="FF000000"/>
        <rFont val="Arial"/>
        <family val="2"/>
      </rPr>
      <t xml:space="preserve">.
</t>
    </r>
    <r>
      <rPr>
        <vertAlign val="superscript"/>
        <sz val="8"/>
        <color rgb="FF000000"/>
        <rFont val="Arial"/>
        <family val="2"/>
      </rPr>
      <t>2</t>
    </r>
    <r>
      <rPr>
        <sz val="8"/>
        <color rgb="FF000000"/>
        <rFont val="Arial"/>
        <family val="2"/>
      </rPr>
      <t xml:space="preserve"> </t>
    </r>
    <r>
      <rPr>
        <sz val="8"/>
        <color rgb="FF000000"/>
        <rFont val="Arial"/>
        <family val="2"/>
      </rPr>
      <t>Significant 2018-2019 changes reflect the April 18</t>
    </r>
    <r>
      <rPr>
        <sz val="8"/>
        <color rgb="FF000000"/>
        <rFont val="Arial"/>
        <family val="2"/>
      </rPr>
      <t>, 2019</t>
    </r>
    <r>
      <rPr>
        <sz val="8"/>
        <color rgb="FF000000"/>
        <rFont val="Arial"/>
        <family val="2"/>
      </rPr>
      <t xml:space="preserve"> acquisition of Goldcorp and the omission of Nevada workforce due to the Nevada Gold Mines JV formation on July 1</t>
    </r>
    <r>
      <rPr>
        <sz val="8"/>
        <color rgb="FF000000"/>
        <rFont val="Arial"/>
        <family val="2"/>
      </rPr>
      <t xml:space="preserve">, 2019.
</t>
    </r>
    <r>
      <rPr>
        <vertAlign val="superscript"/>
        <sz val="8"/>
        <color rgb="FF000000"/>
        <rFont val="Arial"/>
        <family val="2"/>
      </rPr>
      <t>3</t>
    </r>
    <r>
      <rPr>
        <sz val="8"/>
        <color rgb="FF000000"/>
        <rFont val="Arial"/>
        <family val="2"/>
      </rPr>
      <t xml:space="preserve"> </t>
    </r>
    <r>
      <rPr>
        <sz val="8"/>
        <color rgb="FF000000"/>
        <rFont val="Arial"/>
        <family val="2"/>
      </rPr>
      <t xml:space="preserve">Australia region was once the Asia Pacific region and included the Waihi operation in New Zealand, which was divested in 2015 and the Batu Hijau operation in Indonesia, which was divested in 2016. Table includes Batu Hijau operations in 2015. Employees associated with reclamation in Indonesia are included in Australia employee count in 2017,  2018, and 2019 and total two employees in 2019. </t>
    </r>
    <r>
      <rPr>
        <sz val="8"/>
        <color rgb="FF000000"/>
        <rFont val="Arial"/>
        <family val="2"/>
      </rPr>
      <t xml:space="preserve"> 
</t>
    </r>
    <r>
      <rPr>
        <vertAlign val="superscript"/>
        <sz val="8"/>
        <color rgb="FF000000"/>
        <rFont val="Arial"/>
        <family val="2"/>
      </rPr>
      <t>4</t>
    </r>
    <r>
      <rPr>
        <vertAlign val="superscript"/>
        <sz val="8"/>
        <color rgb="FF000000"/>
        <rFont val="Arial"/>
        <family val="2"/>
      </rPr>
      <t xml:space="preserve"> </t>
    </r>
    <r>
      <rPr>
        <sz val="8"/>
        <color rgb="FF000000"/>
        <rFont val="Arial"/>
        <family val="2"/>
      </rPr>
      <t xml:space="preserve">Two employees located in France and seven employees located in Barbados are reported under the North America Region for consolidated reporting purposes.
</t>
    </r>
    <r>
      <rPr>
        <vertAlign val="superscript"/>
        <sz val="8"/>
        <color rgb="FF000000"/>
        <rFont val="Arial"/>
        <family val="2"/>
      </rPr>
      <t>5</t>
    </r>
    <r>
      <rPr>
        <vertAlign val="superscript"/>
        <sz val="8"/>
        <color rgb="FF000000"/>
        <rFont val="Arial"/>
        <family val="2"/>
      </rPr>
      <t xml:space="preserve"> </t>
    </r>
    <r>
      <rPr>
        <sz val="8"/>
        <color rgb="FF000000"/>
        <rFont val="Arial"/>
        <family val="2"/>
      </rPr>
      <t xml:space="preserve">Forty two employees in Miami, </t>
    </r>
    <r>
      <rPr>
        <sz val="8"/>
        <color rgb="FF000000"/>
        <rFont val="Arial"/>
        <family val="2"/>
      </rPr>
      <t>U.S.</t>
    </r>
    <r>
      <rPr>
        <sz val="8"/>
        <color rgb="FF000000"/>
        <rFont val="Arial"/>
        <family val="2"/>
      </rPr>
      <t xml:space="preserve"> are located in South America for consolidated reporting purposes.
</t>
    </r>
    <r>
      <rPr>
        <sz val="8"/>
        <color rgb="FF000000"/>
        <rFont val="Arial"/>
        <family val="2"/>
      </rPr>
      <t/>
    </r>
  </si>
  <si>
    <r>
      <rPr>
        <b/>
        <sz val="9"/>
        <color rgb="FF000000"/>
        <rFont val="Arial"/>
        <family val="2"/>
      </rPr>
      <t>Contractors</t>
    </r>
    <r>
      <rPr>
        <b/>
        <sz val="9"/>
        <color rgb="FF000000"/>
        <rFont val="Arial"/>
        <family val="2"/>
      </rPr>
      <t xml:space="preserve"> by </t>
    </r>
    <r>
      <rPr>
        <b/>
        <sz val="9"/>
        <color rgb="FF000000"/>
        <rFont val="Arial"/>
        <family val="2"/>
      </rPr>
      <t>r</t>
    </r>
    <r>
      <rPr>
        <b/>
        <sz val="9"/>
        <color rgb="FF000000"/>
        <rFont val="Arial"/>
        <family val="2"/>
      </rPr>
      <t>egion</t>
    </r>
    <r>
      <rPr>
        <b/>
        <sz val="9"/>
        <color rgb="FF000000"/>
        <rFont val="Arial"/>
        <family val="2"/>
      </rPr>
      <t xml:space="preserve">: </t>
    </r>
    <r>
      <rPr>
        <b/>
        <sz val="9"/>
        <color rgb="FF000000"/>
        <rFont val="Arial"/>
        <family val="2"/>
      </rPr>
      <t>Trailing five year data</t>
    </r>
    <r>
      <rPr>
        <b/>
        <vertAlign val="superscript"/>
        <sz val="9"/>
        <color rgb="FF000000"/>
        <rFont val="Arial"/>
        <family val="2"/>
      </rPr>
      <t>1</t>
    </r>
    <r>
      <rPr>
        <b/>
        <vertAlign val="superscript"/>
        <sz val="9"/>
        <color rgb="FF000000"/>
        <rFont val="Arial"/>
        <family val="2"/>
      </rPr>
      <t>, 2</t>
    </r>
  </si>
  <si>
    <r>
      <rPr>
        <b/>
        <sz val="9"/>
        <color rgb="FF000000"/>
        <rFont val="Arial"/>
        <family val="2"/>
      </rPr>
      <t>Australia</t>
    </r>
    <r>
      <rPr>
        <b/>
        <vertAlign val="superscript"/>
        <sz val="9"/>
        <color rgb="FF000000"/>
        <rFont val="Arial"/>
        <family val="2"/>
      </rPr>
      <t>3</t>
    </r>
  </si>
  <si>
    <r>
      <rPr>
        <vertAlign val="superscript"/>
        <sz val="8"/>
        <color rgb="FF000000"/>
        <rFont val="Arial"/>
        <family val="2"/>
      </rPr>
      <t xml:space="preserve">1 </t>
    </r>
    <r>
      <rPr>
        <sz val="8"/>
        <color rgb="FF000000"/>
        <rFont val="Arial"/>
        <family val="2"/>
      </rPr>
      <t xml:space="preserve">GRI Standards disclosure GRI 102-08: Information on employees and other workers.
</t>
    </r>
    <r>
      <rPr>
        <vertAlign val="superscript"/>
        <sz val="8"/>
        <color rgb="FF000000"/>
        <rFont val="Arial"/>
        <family val="2"/>
      </rPr>
      <t>2</t>
    </r>
    <r>
      <rPr>
        <sz val="8"/>
        <color rgb="FF000000"/>
        <rFont val="Arial"/>
        <family val="2"/>
      </rPr>
      <t xml:space="preserve"> </t>
    </r>
    <r>
      <rPr>
        <sz val="8"/>
        <color rgb="FF000000"/>
        <rFont val="Arial"/>
        <family val="2"/>
      </rPr>
      <t>Significant 2018-2019 changes reflect the April 18</t>
    </r>
    <r>
      <rPr>
        <sz val="8"/>
        <color rgb="FF000000"/>
        <rFont val="Arial"/>
        <family val="2"/>
      </rPr>
      <t>, 2019</t>
    </r>
    <r>
      <rPr>
        <sz val="8"/>
        <color rgb="FF000000"/>
        <rFont val="Arial"/>
        <family val="2"/>
      </rPr>
      <t xml:space="preserve"> acquisition of Goldcorp and the omission of Nevada workforce due to the Nevada Gold Mines JV formation on July 1</t>
    </r>
    <r>
      <rPr>
        <sz val="8"/>
        <color rgb="FF000000"/>
        <rFont val="Arial"/>
        <family val="2"/>
      </rPr>
      <t xml:space="preserve">, 2019.
</t>
    </r>
    <r>
      <rPr>
        <vertAlign val="superscript"/>
        <sz val="8"/>
        <color rgb="FF000000"/>
        <rFont val="Arial"/>
        <family val="2"/>
      </rPr>
      <t>3</t>
    </r>
    <r>
      <rPr>
        <sz val="8"/>
        <color rgb="FF000000"/>
        <rFont val="Arial"/>
        <family val="2"/>
      </rPr>
      <t xml:space="preserve"> Australia region was once the Asia Pacific region and included the Waihi operation in New Zealand, which was divested in 2015 and the Batu Hijau operation in Indonesia, which was divested in 2016. Table includes Batu Hijau operations in 2015. Employees associated with reclamation in Indonesia are included in Australia employee count in 2017,  2018, and 2019 and total two employees in 2019. 
</t>
    </r>
    <r>
      <rPr>
        <vertAlign val="superscript"/>
        <sz val="8"/>
        <color rgb="FF000000"/>
        <rFont val="Arial"/>
        <family val="2"/>
      </rPr>
      <t>4</t>
    </r>
    <r>
      <rPr>
        <sz val="8"/>
        <color rgb="FF000000"/>
        <rFont val="Arial"/>
        <family val="2"/>
      </rPr>
      <t xml:space="preserve"> Four contractors in Haiti and </t>
    </r>
    <r>
      <rPr>
        <sz val="8"/>
        <color rgb="FF000000"/>
        <rFont val="Arial"/>
        <family val="2"/>
      </rPr>
      <t>one</t>
    </r>
    <r>
      <rPr>
        <sz val="8"/>
        <color rgb="FF000000"/>
        <rFont val="Arial"/>
        <family val="2"/>
      </rPr>
      <t xml:space="preserve"> contractor in Honduras are located in North America for consolidated reporting purposes.
</t>
    </r>
    <r>
      <rPr>
        <vertAlign val="superscript"/>
        <sz val="8"/>
        <color rgb="FF000000"/>
        <rFont val="Arial"/>
        <family val="2"/>
      </rPr>
      <t>5</t>
    </r>
    <r>
      <rPr>
        <sz val="8"/>
        <color rgb="FF000000"/>
        <rFont val="Arial"/>
        <family val="2"/>
      </rPr>
      <t xml:space="preserve"> Two contractors in Miami, </t>
    </r>
    <r>
      <rPr>
        <sz val="8"/>
        <color rgb="FF000000"/>
        <rFont val="Arial"/>
        <family val="2"/>
      </rPr>
      <t>U.S.</t>
    </r>
    <r>
      <rPr>
        <sz val="8"/>
        <color rgb="FF000000"/>
        <rFont val="Arial"/>
        <family val="2"/>
      </rPr>
      <t xml:space="preserve"> are located in South America for consolidated reporting purposes.</t>
    </r>
  </si>
  <si>
    <r>
      <rPr>
        <b/>
        <sz val="10"/>
        <color rgb="FF000000"/>
        <rFont val="Arial"/>
        <family val="2"/>
      </rPr>
      <t xml:space="preserve">Ratio of </t>
    </r>
    <r>
      <rPr>
        <b/>
        <sz val="10"/>
        <color rgb="FF000000"/>
        <rFont val="Arial"/>
        <family val="2"/>
      </rPr>
      <t>a</t>
    </r>
    <r>
      <rPr>
        <b/>
        <sz val="10"/>
        <color rgb="FF000000"/>
        <rFont val="Arial"/>
        <family val="2"/>
      </rPr>
      <t>verage female salary to average male salary</t>
    </r>
    <r>
      <rPr>
        <b/>
        <sz val="10"/>
        <color rgb="FF000000"/>
        <rFont val="Arial"/>
        <family val="2"/>
      </rPr>
      <t xml:space="preserve"> 201</t>
    </r>
    <r>
      <rPr>
        <b/>
        <sz val="10"/>
        <color rgb="FF000000"/>
        <rFont val="Arial"/>
        <family val="2"/>
      </rPr>
      <t xml:space="preserve">9: </t>
    </r>
    <r>
      <rPr>
        <b/>
        <sz val="10"/>
        <color rgb="FF000000"/>
        <rFont val="Arial"/>
        <family val="2"/>
      </rPr>
      <t>Employee</t>
    </r>
    <r>
      <rPr>
        <b/>
        <sz val="10"/>
        <color rgb="FF000000"/>
        <rFont val="Arial"/>
        <family val="2"/>
      </rPr>
      <t xml:space="preserve"> category</t>
    </r>
    <r>
      <rPr>
        <b/>
        <vertAlign val="superscript"/>
        <sz val="10"/>
        <color rgb="FF000000"/>
        <rFont val="Arial"/>
        <family val="2"/>
      </rPr>
      <t>1</t>
    </r>
  </si>
  <si>
    <t>Number of female employees</t>
  </si>
  <si>
    <t>Average female salary</t>
  </si>
  <si>
    <t>Number of male employees</t>
  </si>
  <si>
    <t>Average male salary</t>
  </si>
  <si>
    <t>Ratio female/male average salary</t>
  </si>
  <si>
    <t>Senior Leadership</t>
  </si>
  <si>
    <t>People Manager</t>
  </si>
  <si>
    <t>Individual Contributors</t>
  </si>
  <si>
    <t>Operators and Maintainers</t>
  </si>
  <si>
    <r>
      <rPr>
        <vertAlign val="superscript"/>
        <sz val="8"/>
        <color rgb="FF000000"/>
        <rFont val="Arial"/>
        <family val="2"/>
      </rPr>
      <t>1</t>
    </r>
    <r>
      <rPr>
        <vertAlign val="superscript"/>
        <sz val="8"/>
        <color rgb="FF000000"/>
        <rFont val="Arial"/>
        <family val="2"/>
      </rPr>
      <t xml:space="preserve"> </t>
    </r>
    <r>
      <rPr>
        <sz val="8"/>
        <color rgb="FF000000"/>
        <rFont val="Arial"/>
        <family val="2"/>
      </rPr>
      <t xml:space="preserve">GRI </t>
    </r>
    <r>
      <rPr>
        <sz val="8"/>
        <color rgb="FF000000"/>
        <rFont val="Arial"/>
        <family val="2"/>
      </rPr>
      <t>Standards discl</t>
    </r>
    <r>
      <rPr>
        <sz val="8"/>
        <color rgb="FF000000"/>
        <rFont val="Arial"/>
        <family val="2"/>
      </rPr>
      <t xml:space="preserve">osure </t>
    </r>
    <r>
      <rPr>
        <sz val="8"/>
        <color rgb="FF000000"/>
        <rFont val="Arial"/>
        <family val="2"/>
      </rPr>
      <t>405-2: Ratio of basic salary and remuneration of women to men</t>
    </r>
    <r>
      <rPr>
        <sz val="8"/>
        <color rgb="FF000000"/>
        <rFont val="Arial"/>
        <family val="2"/>
      </rPr>
      <t>.</t>
    </r>
  </si>
  <si>
    <r>
      <rPr>
        <b/>
        <sz val="10"/>
        <color rgb="FF000000"/>
        <rFont val="Arial"/>
        <family val="2"/>
      </rPr>
      <t xml:space="preserve">Ratio of </t>
    </r>
    <r>
      <rPr>
        <b/>
        <sz val="10"/>
        <color rgb="FF000000"/>
        <rFont val="Arial"/>
        <family val="2"/>
      </rPr>
      <t>a</t>
    </r>
    <r>
      <rPr>
        <b/>
        <sz val="10"/>
        <color rgb="FF000000"/>
        <rFont val="Arial"/>
        <family val="2"/>
      </rPr>
      <t xml:space="preserve">verage </t>
    </r>
    <r>
      <rPr>
        <b/>
        <sz val="10"/>
        <color rgb="FF000000"/>
        <rFont val="Arial"/>
        <family val="2"/>
      </rPr>
      <t>f</t>
    </r>
    <r>
      <rPr>
        <b/>
        <sz val="10"/>
        <color rgb="FF000000"/>
        <rFont val="Arial"/>
        <family val="2"/>
      </rPr>
      <t xml:space="preserve">emale </t>
    </r>
    <r>
      <rPr>
        <b/>
        <sz val="10"/>
        <color rgb="FF000000"/>
        <rFont val="Arial"/>
        <family val="2"/>
      </rPr>
      <t>s</t>
    </r>
    <r>
      <rPr>
        <b/>
        <sz val="10"/>
        <color rgb="FF000000"/>
        <rFont val="Arial"/>
        <family val="2"/>
      </rPr>
      <t xml:space="preserve">alary to </t>
    </r>
    <r>
      <rPr>
        <b/>
        <sz val="10"/>
        <color rgb="FF000000"/>
        <rFont val="Arial"/>
        <family val="2"/>
      </rPr>
      <t>a</t>
    </r>
    <r>
      <rPr>
        <b/>
        <sz val="10"/>
        <color rgb="FF000000"/>
        <rFont val="Arial"/>
        <family val="2"/>
      </rPr>
      <t xml:space="preserve">verage </t>
    </r>
    <r>
      <rPr>
        <b/>
        <sz val="10"/>
        <color rgb="FF000000"/>
        <rFont val="Arial"/>
        <family val="2"/>
      </rPr>
      <t>m</t>
    </r>
    <r>
      <rPr>
        <b/>
        <sz val="10"/>
        <color rgb="FF000000"/>
        <rFont val="Arial"/>
        <family val="2"/>
      </rPr>
      <t xml:space="preserve">ale </t>
    </r>
    <r>
      <rPr>
        <b/>
        <sz val="10"/>
        <color rgb="FF000000"/>
        <rFont val="Arial"/>
        <family val="2"/>
      </rPr>
      <t>s</t>
    </r>
    <r>
      <rPr>
        <b/>
        <sz val="10"/>
        <color rgb="FF000000"/>
        <rFont val="Arial"/>
        <family val="2"/>
      </rPr>
      <t xml:space="preserve">alary </t>
    </r>
    <r>
      <rPr>
        <b/>
        <sz val="10"/>
        <color rgb="FF000000"/>
        <rFont val="Arial"/>
        <family val="2"/>
      </rPr>
      <t xml:space="preserve">2019: </t>
    </r>
    <r>
      <rPr>
        <b/>
        <sz val="10"/>
        <color rgb="FF000000"/>
        <rFont val="Arial"/>
        <family val="2"/>
      </rPr>
      <t>C</t>
    </r>
    <r>
      <rPr>
        <b/>
        <sz val="10"/>
        <color rgb="FF000000"/>
        <rFont val="Arial"/>
        <family val="2"/>
      </rPr>
      <t>ountry</t>
    </r>
    <r>
      <rPr>
        <b/>
        <sz val="10"/>
        <color rgb="FF000000"/>
        <rFont val="Arial"/>
        <family val="2"/>
      </rPr>
      <t xml:space="preserve"> </t>
    </r>
    <r>
      <rPr>
        <b/>
        <sz val="10"/>
        <color rgb="FF000000"/>
        <rFont val="Arial"/>
        <family val="2"/>
      </rPr>
      <t>le</t>
    </r>
    <r>
      <rPr>
        <b/>
        <sz val="10"/>
        <color rgb="FF000000"/>
        <rFont val="Arial"/>
        <family val="2"/>
      </rPr>
      <t>vel</t>
    </r>
    <r>
      <rPr>
        <b/>
        <vertAlign val="superscript"/>
        <sz val="10"/>
        <color rgb="FF000000"/>
        <rFont val="Arial"/>
        <family val="2"/>
      </rPr>
      <t>1</t>
    </r>
    <r>
      <rPr>
        <b/>
        <vertAlign val="superscript"/>
        <sz val="10"/>
        <color rgb="FF000000"/>
        <rFont val="Arial"/>
        <family val="2"/>
      </rPr>
      <t>,</t>
    </r>
    <r>
      <rPr>
        <b/>
        <vertAlign val="superscript"/>
        <sz val="10"/>
        <color rgb="FF000000"/>
        <rFont val="Arial"/>
        <family val="2"/>
      </rPr>
      <t xml:space="preserve"> </t>
    </r>
    <r>
      <rPr>
        <b/>
        <vertAlign val="superscript"/>
        <sz val="10"/>
        <color rgb="FF000000"/>
        <rFont val="Arial"/>
        <family val="2"/>
      </rPr>
      <t>2</t>
    </r>
    <r>
      <rPr>
        <b/>
        <vertAlign val="superscript"/>
        <sz val="10"/>
        <color rgb="FF000000"/>
        <rFont val="Arial"/>
        <family val="2"/>
      </rPr>
      <t>, 3</t>
    </r>
  </si>
  <si>
    <r>
      <rPr>
        <vertAlign val="superscript"/>
        <sz val="8"/>
        <color rgb="FF000000"/>
        <rFont val="Arial"/>
        <family val="2"/>
      </rPr>
      <t xml:space="preserve">1 </t>
    </r>
    <r>
      <rPr>
        <sz val="8"/>
        <color rgb="FF000000"/>
        <rFont val="Arial"/>
        <family val="2"/>
      </rPr>
      <t xml:space="preserve">GRI Standards disclosure 405-2: Ratio of basic salary and remuneration of women to men.
</t>
    </r>
    <r>
      <rPr>
        <vertAlign val="superscript"/>
        <sz val="8"/>
        <color rgb="FF000000"/>
        <rFont val="Arial"/>
        <family val="2"/>
      </rPr>
      <t>2</t>
    </r>
    <r>
      <rPr>
        <vertAlign val="superscript"/>
        <sz val="8"/>
        <color rgb="FF000000"/>
        <rFont val="Arial"/>
        <family val="2"/>
      </rPr>
      <t xml:space="preserve"> </t>
    </r>
    <r>
      <rPr>
        <sz val="8"/>
        <color rgb="FF000000"/>
        <rFont val="Arial"/>
        <family val="2"/>
      </rPr>
      <t xml:space="preserve">Countries with fewer than 10 employees by gender are excluded for privacy purposes.
</t>
    </r>
    <r>
      <rPr>
        <vertAlign val="superscript"/>
        <sz val="8"/>
        <color rgb="FF000000"/>
        <rFont val="Arial"/>
        <family val="2"/>
      </rPr>
      <t>3</t>
    </r>
    <r>
      <rPr>
        <vertAlign val="superscript"/>
        <sz val="8"/>
        <color rgb="FF000000"/>
        <rFont val="Arial"/>
        <family val="2"/>
      </rPr>
      <t xml:space="preserve"> </t>
    </r>
    <r>
      <rPr>
        <sz val="8"/>
        <color rgb="FF000000"/>
        <rFont val="Arial"/>
        <family val="2"/>
      </rPr>
      <t>Table represents average of all salaries, regardless of level of position. For an additional compensation comparison disclosure, please see p. 44 of our 2020 Proxy Statement.</t>
    </r>
  </si>
  <si>
    <r>
      <rPr>
        <b/>
        <sz val="10"/>
        <color rgb="FF000000"/>
        <rFont val="Arial"/>
        <family val="2"/>
      </rPr>
      <t>Employee</t>
    </r>
    <r>
      <rPr>
        <b/>
        <sz val="10"/>
        <color rgb="FF000000"/>
        <rFont val="Arial"/>
        <family val="2"/>
      </rPr>
      <t xml:space="preserve"> gender breakout</t>
    </r>
    <r>
      <rPr>
        <b/>
        <sz val="10"/>
        <color rgb="FF000000"/>
        <rFont val="Arial"/>
        <family val="2"/>
      </rPr>
      <t xml:space="preserve"> 2019</t>
    </r>
    <r>
      <rPr>
        <b/>
        <sz val="10"/>
        <color rgb="FF000000"/>
        <rFont val="Arial"/>
        <family val="2"/>
      </rPr>
      <t xml:space="preserve">: </t>
    </r>
    <r>
      <rPr>
        <b/>
        <sz val="10"/>
        <color rgb="FF000000"/>
        <rFont val="Arial"/>
        <family val="2"/>
      </rPr>
      <t xml:space="preserve">Number </t>
    </r>
    <r>
      <rPr>
        <b/>
        <sz val="10"/>
        <color rgb="FF000000"/>
        <rFont val="Arial"/>
        <family val="2"/>
      </rPr>
      <t xml:space="preserve">by </t>
    </r>
    <r>
      <rPr>
        <b/>
        <sz val="10"/>
        <color rgb="FF000000"/>
        <rFont val="Arial"/>
        <family val="2"/>
      </rPr>
      <t>country</t>
    </r>
    <r>
      <rPr>
        <b/>
        <vertAlign val="superscript"/>
        <sz val="10"/>
        <color rgb="FF000000"/>
        <rFont val="Arial"/>
        <family val="2"/>
      </rPr>
      <t>1</t>
    </r>
  </si>
  <si>
    <t>Female</t>
  </si>
  <si>
    <t>Male</t>
  </si>
  <si>
    <t>Ethiopia</t>
  </si>
  <si>
    <t>French Guiana</t>
  </si>
  <si>
    <r>
      <rPr>
        <b/>
        <sz val="10"/>
        <color rgb="FF000000"/>
        <rFont val="Arial"/>
        <family val="2"/>
      </rPr>
      <t>Other</t>
    </r>
    <r>
      <rPr>
        <b/>
        <vertAlign val="superscript"/>
        <sz val="10"/>
        <color rgb="FF000000"/>
        <rFont val="Arial"/>
        <family val="2"/>
      </rPr>
      <t>2</t>
    </r>
  </si>
  <si>
    <r>
      <rPr>
        <vertAlign val="superscript"/>
        <sz val="8"/>
        <color rgb="FF000000"/>
        <rFont val="Arial"/>
        <family val="2"/>
      </rPr>
      <t xml:space="preserve">1 </t>
    </r>
    <r>
      <rPr>
        <sz val="8"/>
        <color rgb="FF000000"/>
        <rFont val="Arial"/>
        <family val="2"/>
      </rPr>
      <t xml:space="preserve">GRI </t>
    </r>
    <r>
      <rPr>
        <sz val="8"/>
        <color rgb="FF000000"/>
        <rFont val="Arial"/>
        <family val="2"/>
      </rPr>
      <t>Standards discl</t>
    </r>
    <r>
      <rPr>
        <sz val="8"/>
        <color rgb="FF000000"/>
        <rFont val="Arial"/>
        <family val="2"/>
      </rPr>
      <t xml:space="preserve">osure </t>
    </r>
    <r>
      <rPr>
        <sz val="8"/>
        <color rgb="FF000000"/>
        <rFont val="Arial"/>
        <family val="2"/>
      </rPr>
      <t>405-1: Diversity of governance bodies and employees</t>
    </r>
    <r>
      <rPr>
        <sz val="8"/>
        <color rgb="FF000000"/>
        <rFont val="Arial"/>
        <family val="2"/>
      </rPr>
      <t xml:space="preserve">.
</t>
    </r>
    <r>
      <rPr>
        <vertAlign val="superscript"/>
        <sz val="8"/>
        <color rgb="FF000000"/>
        <rFont val="Arial"/>
        <family val="2"/>
      </rPr>
      <t>2</t>
    </r>
    <r>
      <rPr>
        <vertAlign val="superscript"/>
        <sz val="8"/>
        <color rgb="FF000000"/>
        <rFont val="Arial"/>
        <family val="2"/>
      </rPr>
      <t xml:space="preserve"> </t>
    </r>
    <r>
      <rPr>
        <vertAlign val="superscript"/>
        <sz val="8"/>
        <color rgb="FF000000"/>
        <rFont val="Arial"/>
        <family val="2"/>
      </rPr>
      <t>'</t>
    </r>
    <r>
      <rPr>
        <sz val="8"/>
        <color rgb="FF000000"/>
        <rFont val="Arial"/>
        <family val="2"/>
      </rPr>
      <t>Other</t>
    </r>
    <r>
      <rPr>
        <sz val="8"/>
        <color rgb="FF000000"/>
        <rFont val="Arial"/>
        <family val="2"/>
      </rPr>
      <t>' category</t>
    </r>
    <r>
      <rPr>
        <sz val="8"/>
        <color rgb="FF000000"/>
        <rFont val="Arial"/>
        <family val="2"/>
      </rPr>
      <t xml:space="preserve"> accounts for countries with fewer than 10 employees.</t>
    </r>
  </si>
  <si>
    <t>Senior leadership</t>
  </si>
  <si>
    <t>People manager</t>
  </si>
  <si>
    <t>Individual contributors</t>
  </si>
  <si>
    <t>Operators and maintainers</t>
  </si>
  <si>
    <r>
      <rPr>
        <vertAlign val="superscript"/>
        <sz val="8"/>
        <color rgb="FF000000"/>
        <rFont val="Arial"/>
        <family val="2"/>
      </rPr>
      <t xml:space="preserve">1 </t>
    </r>
    <r>
      <rPr>
        <sz val="8"/>
        <color rgb="FF000000"/>
        <rFont val="Arial"/>
        <family val="2"/>
      </rPr>
      <t>GRI Standards disclosure 405-1: Diversity of governance bodies and employees.</t>
    </r>
  </si>
  <si>
    <r>
      <rPr>
        <b/>
        <sz val="10"/>
        <color rgb="FF000000"/>
        <rFont val="Arial"/>
        <family val="2"/>
      </rPr>
      <t xml:space="preserve">Female representation </t>
    </r>
    <r>
      <rPr>
        <b/>
        <sz val="10"/>
        <color rgb="FF000000"/>
        <rFont val="Arial"/>
        <family val="2"/>
      </rPr>
      <t xml:space="preserve">2019: Percentage </t>
    </r>
    <r>
      <rPr>
        <b/>
        <sz val="10"/>
        <color rgb="FF000000"/>
        <rFont val="Arial"/>
        <family val="2"/>
      </rPr>
      <t>by employee category</t>
    </r>
    <r>
      <rPr>
        <b/>
        <vertAlign val="superscript"/>
        <sz val="10"/>
        <color rgb="FF000000"/>
        <rFont val="Arial"/>
        <family val="2"/>
      </rPr>
      <t>1</t>
    </r>
    <r>
      <rPr>
        <b/>
        <vertAlign val="superscript"/>
        <sz val="10"/>
        <color rgb="FF000000"/>
        <rFont val="Arial"/>
        <family val="2"/>
      </rPr>
      <t>, 2</t>
    </r>
  </si>
  <si>
    <t>Board of directors</t>
  </si>
  <si>
    <t>Executive leadership team</t>
  </si>
  <si>
    <t>Total employees</t>
  </si>
  <si>
    <r>
      <rPr>
        <vertAlign val="superscript"/>
        <sz val="8"/>
        <color rgb="FF000000"/>
        <rFont val="Arial"/>
        <family val="2"/>
      </rPr>
      <t xml:space="preserve">1 </t>
    </r>
    <r>
      <rPr>
        <sz val="8"/>
        <color rgb="FF000000"/>
        <rFont val="Arial"/>
        <family val="2"/>
      </rPr>
      <t xml:space="preserve">GRI Standards disclosure 405-1: Diversity of governance bodies and employees.
</t>
    </r>
    <r>
      <rPr>
        <vertAlign val="superscript"/>
        <sz val="8"/>
        <color rgb="FF000000"/>
        <rFont val="Arial"/>
        <family val="2"/>
      </rPr>
      <t>2</t>
    </r>
    <r>
      <rPr>
        <sz val="8"/>
        <color rgb="FF000000"/>
        <rFont val="Arial"/>
        <family val="2"/>
      </rPr>
      <t xml:space="preserve"> </t>
    </r>
    <r>
      <rPr>
        <sz val="8"/>
        <color rgb="FF000000"/>
        <rFont val="Arial"/>
        <family val="2"/>
      </rPr>
      <t xml:space="preserve">Beginning in 2016, we began reporting female representation to the tenth of a percent to better track our progress against our targets. Female representation includes all employees. Public targets discussed elsewhere in this report do not include fixed term positions such as internships and those with a contract that ends on a specific date. </t>
    </r>
  </si>
  <si>
    <r>
      <rPr>
        <b/>
        <sz val="10"/>
        <color rgb="FF000000"/>
        <rFont val="Arial"/>
        <family val="2"/>
      </rPr>
      <t xml:space="preserve">Employee age distribution 2019: Number and percentage </t>
    </r>
    <r>
      <rPr>
        <b/>
        <sz val="10"/>
        <color rgb="FF000000"/>
        <rFont val="Arial"/>
        <family val="2"/>
      </rPr>
      <t xml:space="preserve">by </t>
    </r>
    <r>
      <rPr>
        <b/>
        <sz val="10"/>
        <color rgb="FF000000"/>
        <rFont val="Arial"/>
        <family val="2"/>
      </rPr>
      <t>age</t>
    </r>
    <r>
      <rPr>
        <b/>
        <sz val="10"/>
        <color rgb="FF000000"/>
        <rFont val="Arial"/>
        <family val="2"/>
      </rPr>
      <t xml:space="preserve"> range and</t>
    </r>
    <r>
      <rPr>
        <b/>
        <sz val="10"/>
        <color rgb="FF000000"/>
        <rFont val="Arial"/>
        <family val="2"/>
      </rPr>
      <t xml:space="preserve"> </t>
    </r>
    <r>
      <rPr>
        <b/>
        <sz val="10"/>
        <color rgb="FF000000"/>
        <rFont val="Arial"/>
        <family val="2"/>
      </rPr>
      <t>category</t>
    </r>
    <r>
      <rPr>
        <b/>
        <vertAlign val="superscript"/>
        <sz val="10"/>
        <color rgb="FF000000"/>
        <rFont val="Arial"/>
        <family val="2"/>
      </rPr>
      <t>1</t>
    </r>
  </si>
  <si>
    <t>Age under 30: No. employees</t>
  </si>
  <si>
    <t>Age under 30: % employees</t>
  </si>
  <si>
    <t>Age 30-50: No. employees</t>
  </si>
  <si>
    <t>Age 30-50: % employees</t>
  </si>
  <si>
    <t>Age over 50: No. employees</t>
  </si>
  <si>
    <t>Age over 50: % employees</t>
  </si>
  <si>
    <r>
      <rPr>
        <b/>
        <sz val="10"/>
        <color rgb="FF000000"/>
        <rFont val="Arial"/>
        <family val="2"/>
      </rPr>
      <t>Total number employees all categories</t>
    </r>
    <r>
      <rPr>
        <b/>
        <vertAlign val="superscript"/>
        <sz val="10"/>
        <color rgb="FF000000"/>
        <rFont val="Arial"/>
        <family val="2"/>
      </rPr>
      <t>2</t>
    </r>
  </si>
  <si>
    <t>Total % by category -  all ages</t>
  </si>
  <si>
    <t>1 GRI Standards disclosure 405-1: Diversity of governance bodies and employees.
2 Total employees all categories excludes 31 employees where age is not available.</t>
  </si>
  <si>
    <r>
      <rPr>
        <b/>
        <sz val="10"/>
        <color rgb="FF000000"/>
        <rFont val="Arial"/>
        <family val="2"/>
      </rPr>
      <t xml:space="preserve">Percentage of </t>
    </r>
    <r>
      <rPr>
        <b/>
        <sz val="10"/>
        <color rgb="FF000000"/>
        <rFont val="Arial"/>
        <family val="2"/>
      </rPr>
      <t>w</t>
    </r>
    <r>
      <rPr>
        <b/>
        <sz val="10"/>
        <color rgb="FF000000"/>
        <rFont val="Arial"/>
        <family val="2"/>
      </rPr>
      <t xml:space="preserve">orkforce </t>
    </r>
    <r>
      <rPr>
        <b/>
        <sz val="10"/>
        <color rgb="FF000000"/>
        <rFont val="Arial"/>
        <family val="2"/>
      </rPr>
      <t>r</t>
    </r>
    <r>
      <rPr>
        <b/>
        <sz val="10"/>
        <color rgb="FF000000"/>
        <rFont val="Arial"/>
        <family val="2"/>
      </rPr>
      <t xml:space="preserve">epresented by </t>
    </r>
    <r>
      <rPr>
        <b/>
        <sz val="10"/>
        <color rgb="FF000000"/>
        <rFont val="Arial"/>
        <family val="2"/>
      </rPr>
      <t>u</t>
    </r>
    <r>
      <rPr>
        <b/>
        <sz val="10"/>
        <color rgb="FF000000"/>
        <rFont val="Arial"/>
        <family val="2"/>
      </rPr>
      <t xml:space="preserve">nion or </t>
    </r>
    <r>
      <rPr>
        <b/>
        <sz val="10"/>
        <color rgb="FF000000"/>
        <rFont val="Arial"/>
        <family val="2"/>
      </rPr>
      <t>w</t>
    </r>
    <r>
      <rPr>
        <b/>
        <sz val="10"/>
        <color rgb="FF000000"/>
        <rFont val="Arial"/>
        <family val="2"/>
      </rPr>
      <t xml:space="preserve">orkplace </t>
    </r>
    <r>
      <rPr>
        <b/>
        <sz val="10"/>
        <color rgb="FF000000"/>
        <rFont val="Arial"/>
        <family val="2"/>
      </rPr>
      <t>a</t>
    </r>
    <r>
      <rPr>
        <b/>
        <sz val="10"/>
        <color rgb="FF000000"/>
        <rFont val="Arial"/>
        <family val="2"/>
      </rPr>
      <t>greement</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r>
      <rPr>
        <b/>
        <vertAlign val="superscript"/>
        <sz val="10"/>
        <color rgb="FF000000"/>
        <rFont val="Arial"/>
        <family val="2"/>
      </rPr>
      <t>, 2</t>
    </r>
  </si>
  <si>
    <r>
      <rPr>
        <b/>
        <sz val="10"/>
        <color rgb="FF000000"/>
        <rFont val="Arial"/>
        <family val="2"/>
      </rPr>
      <t>Ghana</t>
    </r>
    <r>
      <rPr>
        <b/>
        <vertAlign val="superscript"/>
        <sz val="10"/>
        <color rgb="FF000000"/>
        <rFont val="Arial"/>
        <family val="2"/>
      </rPr>
      <t>3</t>
    </r>
  </si>
  <si>
    <r>
      <rPr>
        <b/>
        <sz val="10"/>
        <color rgb="FF000000"/>
        <rFont val="Arial"/>
        <family val="2"/>
      </rPr>
      <t>Other</t>
    </r>
    <r>
      <rPr>
        <b/>
        <vertAlign val="superscript"/>
        <sz val="10"/>
        <color rgb="FF000000"/>
        <rFont val="Arial"/>
        <family val="2"/>
      </rPr>
      <t>4</t>
    </r>
  </si>
  <si>
    <r>
      <rPr>
        <b/>
        <sz val="10"/>
        <color rgb="FF000000"/>
        <rFont val="Arial"/>
        <family val="2"/>
      </rPr>
      <t>U.S.</t>
    </r>
    <r>
      <rPr>
        <b/>
        <vertAlign val="superscript"/>
        <sz val="10"/>
        <color rgb="FF000000"/>
        <rFont val="Arial"/>
        <family val="2"/>
      </rPr>
      <t>5</t>
    </r>
  </si>
  <si>
    <r>
      <rPr>
        <vertAlign val="superscript"/>
        <sz val="8"/>
        <color rgb="FF000000"/>
        <rFont val="Arial"/>
        <family val="2"/>
      </rPr>
      <t>1</t>
    </r>
    <r>
      <rPr>
        <sz val="8"/>
        <color rgb="FF000000"/>
        <rFont val="Arial"/>
        <family val="2"/>
      </rPr>
      <t xml:space="preserve"> GRI Standards disclosure</t>
    </r>
    <r>
      <rPr>
        <sz val="8"/>
        <color rgb="FF000000"/>
        <rFont val="Arial"/>
        <family val="2"/>
      </rPr>
      <t xml:space="preserve"> </t>
    </r>
    <r>
      <rPr>
        <sz val="8"/>
        <color rgb="FF000000"/>
        <rFont val="Arial"/>
        <family val="2"/>
      </rPr>
      <t xml:space="preserve">GRI 102-41: </t>
    </r>
    <r>
      <rPr>
        <sz val="8"/>
        <color rgb="FF000000"/>
        <rFont val="Arial"/>
        <family val="2"/>
      </rPr>
      <t xml:space="preserve">Collective bargaining agreements.
</t>
    </r>
    <r>
      <rPr>
        <vertAlign val="superscript"/>
        <sz val="8"/>
        <color rgb="FF000000"/>
        <rFont val="Arial"/>
        <family val="2"/>
      </rPr>
      <t>2</t>
    </r>
    <r>
      <rPr>
        <sz val="8"/>
        <color rgb="FF000000"/>
        <rFont val="Arial"/>
        <family val="2"/>
      </rPr>
      <t xml:space="preserve"> </t>
    </r>
    <r>
      <rPr>
        <sz val="8"/>
        <color rgb="FF000000"/>
        <rFont val="Arial"/>
        <family val="2"/>
      </rPr>
      <t xml:space="preserve">Country data marked as </t>
    </r>
    <r>
      <rPr>
        <sz val="8"/>
        <color rgb="FF000000"/>
        <rFont val="Arial"/>
        <family val="2"/>
      </rPr>
      <t>'</t>
    </r>
    <r>
      <rPr>
        <sz val="8"/>
        <color rgb="FF000000"/>
        <rFont val="Arial"/>
        <family val="2"/>
      </rPr>
      <t>N/A</t>
    </r>
    <r>
      <rPr>
        <sz val="8"/>
        <color rgb="FF000000"/>
        <rFont val="Arial"/>
        <family val="2"/>
      </rPr>
      <t xml:space="preserve">' (not applicable) </t>
    </r>
    <r>
      <rPr>
        <sz val="8"/>
        <color rgb="FF000000"/>
        <rFont val="Arial"/>
        <family val="2"/>
      </rPr>
      <t>represent</t>
    </r>
    <r>
      <rPr>
        <sz val="8"/>
        <color rgb="FF000000"/>
        <rFont val="Arial"/>
        <family val="2"/>
      </rPr>
      <t xml:space="preserve"> </t>
    </r>
    <r>
      <rPr>
        <sz val="8"/>
        <color rgb="FF000000"/>
        <rFont val="Arial"/>
        <family val="2"/>
      </rPr>
      <t>year</t>
    </r>
    <r>
      <rPr>
        <sz val="8"/>
        <color rgb="FF000000"/>
        <rFont val="Arial"/>
        <family val="2"/>
      </rPr>
      <t xml:space="preserve">(s) when </t>
    </r>
    <r>
      <rPr>
        <sz val="8"/>
        <color rgb="FF000000"/>
        <rFont val="Arial"/>
        <family val="2"/>
      </rPr>
      <t xml:space="preserve">Newmont </t>
    </r>
    <r>
      <rPr>
        <sz val="8"/>
        <color rgb="FF000000"/>
        <rFont val="Arial"/>
        <family val="2"/>
      </rPr>
      <t>did not have workforce in that country durin</t>
    </r>
    <r>
      <rPr>
        <sz val="8"/>
        <color rgb="FF000000"/>
        <rFont val="Arial"/>
        <family val="2"/>
      </rPr>
      <t xml:space="preserve">g a given year. 
</t>
    </r>
    <r>
      <rPr>
        <vertAlign val="superscript"/>
        <sz val="8"/>
        <color rgb="FF000000"/>
        <rFont val="Arial"/>
        <family val="2"/>
      </rPr>
      <t>3</t>
    </r>
    <r>
      <rPr>
        <vertAlign val="superscript"/>
        <sz val="8"/>
        <color rgb="FF000000"/>
        <rFont val="Arial"/>
        <family val="2"/>
      </rPr>
      <t xml:space="preserve"> </t>
    </r>
    <r>
      <rPr>
        <sz val="8"/>
        <color rgb="FF000000"/>
        <rFont val="Arial"/>
        <family val="2"/>
      </rPr>
      <t xml:space="preserve">Workplace agreement in Ghana represents Junior and Senior Staff members only.
</t>
    </r>
    <r>
      <rPr>
        <vertAlign val="superscript"/>
        <sz val="8"/>
        <color rgb="FF000000"/>
        <rFont val="Arial"/>
        <family val="2"/>
      </rPr>
      <t>4</t>
    </r>
    <r>
      <rPr>
        <sz val="8"/>
        <color rgb="FF000000"/>
        <rFont val="Arial"/>
        <family val="2"/>
      </rPr>
      <t xml:space="preserve"> Other accounts for countries with fewer than 10 employees. 
</t>
    </r>
    <r>
      <rPr>
        <vertAlign val="superscript"/>
        <sz val="8"/>
        <color rgb="FF000000"/>
        <rFont val="Arial"/>
        <family val="2"/>
      </rPr>
      <t>5</t>
    </r>
    <r>
      <rPr>
        <sz val="8"/>
        <color rgb="FF000000"/>
        <rFont val="Arial"/>
        <family val="2"/>
      </rPr>
      <t xml:space="preserve"> </t>
    </r>
    <r>
      <rPr>
        <sz val="8"/>
        <color rgb="FF000000"/>
        <rFont val="Arial"/>
        <family val="2"/>
      </rPr>
      <t>Significant 2018-2019 changes reflect the April 18</t>
    </r>
    <r>
      <rPr>
        <sz val="8"/>
        <color rgb="FF000000"/>
        <rFont val="Arial"/>
        <family val="2"/>
      </rPr>
      <t>, 2019</t>
    </r>
    <r>
      <rPr>
        <sz val="8"/>
        <color rgb="FF000000"/>
        <rFont val="Arial"/>
        <family val="2"/>
      </rPr>
      <t xml:space="preserve"> acquisition of Goldcorp and the omission of Nevada workforce due to the Nevada Gold Mines JV formation on July 1</t>
    </r>
    <r>
      <rPr>
        <sz val="8"/>
        <color rgb="FF000000"/>
        <rFont val="Arial"/>
        <family val="2"/>
      </rPr>
      <t>, 2019.</t>
    </r>
  </si>
  <si>
    <r>
      <rPr>
        <b/>
        <sz val="10"/>
        <color rgb="FF000000"/>
        <rFont val="Arial"/>
        <family val="2"/>
      </rPr>
      <t>M</t>
    </r>
    <r>
      <rPr>
        <b/>
        <sz val="10"/>
        <color rgb="FF000000"/>
        <rFont val="Arial"/>
        <family val="2"/>
      </rPr>
      <t>inimum notice period</t>
    </r>
    <r>
      <rPr>
        <b/>
        <sz val="10"/>
        <color rgb="FF000000"/>
        <rFont val="Arial"/>
        <family val="2"/>
      </rPr>
      <t>s regard</t>
    </r>
    <r>
      <rPr>
        <b/>
        <sz val="10"/>
        <color rgb="FF000000"/>
        <rFont val="Arial"/>
        <family val="2"/>
      </rPr>
      <t>ing operational changes</t>
    </r>
    <r>
      <rPr>
        <b/>
        <sz val="10"/>
        <color rgb="FF000000"/>
        <rFont val="Arial"/>
        <family val="2"/>
      </rPr>
      <t xml:space="preserve"> 2019</t>
    </r>
    <r>
      <rPr>
        <b/>
        <sz val="10"/>
        <color rgb="FF000000"/>
        <rFont val="Arial"/>
        <family val="2"/>
      </rPr>
      <t>:</t>
    </r>
    <r>
      <rPr>
        <b/>
        <sz val="10"/>
        <color rgb="FF000000"/>
        <rFont val="Arial"/>
        <family val="2"/>
      </rPr>
      <t xml:space="preserve"> </t>
    </r>
    <r>
      <rPr>
        <b/>
        <sz val="10"/>
        <color rgb="FF000000"/>
        <rFont val="Arial"/>
        <family val="2"/>
      </rPr>
      <t>B</t>
    </r>
    <r>
      <rPr>
        <b/>
        <sz val="10"/>
        <color rgb="FF000000"/>
        <rFont val="Arial"/>
        <family val="2"/>
      </rPr>
      <t>y country</t>
    </r>
    <r>
      <rPr>
        <b/>
        <vertAlign val="superscript"/>
        <sz val="10"/>
        <color rgb="FF000000"/>
        <rFont val="Arial"/>
        <family val="2"/>
      </rPr>
      <t>1</t>
    </r>
    <r>
      <rPr>
        <b/>
        <vertAlign val="superscript"/>
        <sz val="10"/>
        <color rgb="FF000000"/>
        <rFont val="Arial"/>
        <family val="2"/>
      </rPr>
      <t>, 2</t>
    </r>
  </si>
  <si>
    <t>Notification period</t>
  </si>
  <si>
    <t>Ghana - Collective bargaining agreements (CBAs) only</t>
  </si>
  <si>
    <t>Ahafo and Akyem</t>
  </si>
  <si>
    <t>Seven days for communicating operational changes and three months for communicating a reduction in the workforce</t>
  </si>
  <si>
    <t>Australia - CBAs only</t>
  </si>
  <si>
    <t>Four weeks</t>
  </si>
  <si>
    <t>Between 24 hours and several weeks, depending on the change</t>
  </si>
  <si>
    <t>Mexico - CBAs only</t>
  </si>
  <si>
    <t>Global - all workforce not covered by CBAs</t>
  </si>
  <si>
    <t>All employees, all sites</t>
  </si>
  <si>
    <r>
      <rPr>
        <b/>
        <sz val="10"/>
        <color rgb="FF000000"/>
        <rFont val="Arial"/>
        <family val="2"/>
      </rPr>
      <t>S</t>
    </r>
    <r>
      <rPr>
        <b/>
        <sz val="10"/>
        <color rgb="FF000000"/>
        <rFont val="Arial"/>
        <family val="2"/>
      </rPr>
      <t>trikes and lockouts exceeding one week's duration</t>
    </r>
    <r>
      <rPr>
        <b/>
        <sz val="10"/>
        <color rgb="FF000000"/>
        <rFont val="Arial"/>
        <family val="2"/>
      </rPr>
      <t xml:space="preserve"> 2019: </t>
    </r>
    <r>
      <rPr>
        <b/>
        <sz val="10"/>
        <color rgb="FF000000"/>
        <rFont val="Arial"/>
        <family val="2"/>
      </rPr>
      <t>B</t>
    </r>
    <r>
      <rPr>
        <b/>
        <sz val="10"/>
        <color rgb="FF000000"/>
        <rFont val="Arial"/>
        <family val="2"/>
      </rPr>
      <t>y country</t>
    </r>
    <r>
      <rPr>
        <b/>
        <vertAlign val="superscript"/>
        <sz val="10"/>
        <color rgb="FF000000"/>
        <rFont val="Arial"/>
        <family val="2"/>
      </rPr>
      <t>1, 2</t>
    </r>
  </si>
  <si>
    <t xml:space="preserve">Newmont did not experience any strikes or lockouts exceeding one week's duration in 2019. </t>
  </si>
  <si>
    <r>
      <rPr>
        <vertAlign val="superscript"/>
        <sz val="8"/>
        <color rgb="FF000000"/>
        <rFont val="Arial"/>
        <family val="2"/>
      </rPr>
      <t xml:space="preserve">1 </t>
    </r>
    <r>
      <rPr>
        <sz val="8"/>
        <color rgb="FF000000"/>
        <rFont val="Arial"/>
        <family val="2"/>
      </rPr>
      <t xml:space="preserve">GRI Standards </t>
    </r>
    <r>
      <rPr>
        <sz val="8"/>
        <color rgb="FF000000"/>
        <rFont val="Arial"/>
        <family val="2"/>
      </rPr>
      <t>Metals and Mining Sector Supplemen</t>
    </r>
    <r>
      <rPr>
        <sz val="8"/>
        <color rgb="FF000000"/>
        <rFont val="Arial"/>
        <family val="2"/>
      </rPr>
      <t>t</t>
    </r>
    <r>
      <rPr>
        <sz val="8"/>
        <color rgb="FF000000"/>
        <rFont val="Arial"/>
        <family val="2"/>
      </rPr>
      <t xml:space="preserve"> </t>
    </r>
    <r>
      <rPr>
        <sz val="8"/>
        <color rgb="FF000000"/>
        <rFont val="Arial"/>
        <family val="2"/>
      </rPr>
      <t xml:space="preserve">MM4: </t>
    </r>
    <r>
      <rPr>
        <sz val="8"/>
        <color rgb="FF000000"/>
        <rFont val="Arial"/>
        <family val="2"/>
      </rPr>
      <t>Number of st</t>
    </r>
    <r>
      <rPr>
        <sz val="8"/>
        <color rgb="FF000000"/>
        <rFont val="Arial"/>
        <family val="2"/>
      </rPr>
      <t>rikes</t>
    </r>
    <r>
      <rPr>
        <sz val="8"/>
        <color rgb="FF000000"/>
        <rFont val="Arial"/>
        <family val="2"/>
      </rPr>
      <t xml:space="preserve"> and lockouts exceeding one week's duration by country. 
</t>
    </r>
    <r>
      <rPr>
        <vertAlign val="superscript"/>
        <sz val="8"/>
        <color rgb="FF000000"/>
        <rFont val="Arial"/>
        <family val="2"/>
      </rPr>
      <t>2</t>
    </r>
    <r>
      <rPr>
        <vertAlign val="superscript"/>
        <sz val="8"/>
        <color rgb="FF000000"/>
        <rFont val="Arial"/>
        <family val="2"/>
      </rPr>
      <t xml:space="preserve"> </t>
    </r>
    <r>
      <rPr>
        <sz val="8"/>
        <color rgb="FF000000"/>
        <rFont val="Arial"/>
        <family val="2"/>
      </rPr>
      <t>Argentina's Cerro Negro location experienced several short</t>
    </r>
    <r>
      <rPr>
        <sz val="8"/>
        <color rgb="FF000000"/>
        <rFont val="Arial"/>
        <family val="2"/>
      </rPr>
      <t xml:space="preserve"> </t>
    </r>
    <r>
      <rPr>
        <sz val="8"/>
        <color rgb="FF000000"/>
        <rFont val="Arial"/>
        <family val="2"/>
      </rPr>
      <t>duration work stoppages in 2019, with</t>
    </r>
    <r>
      <rPr>
        <sz val="8"/>
        <color rgb="FF000000"/>
        <rFont val="Arial"/>
        <family val="2"/>
      </rPr>
      <t xml:space="preserve"> no single event lasting more than seven consecutive days; however the hours lost equates to approximately 52,528 hours (equivalent to 8.92 days, had these stoppages been consecutive). </t>
    </r>
    <r>
      <rPr>
        <sz val="8"/>
        <color rgb="FF000000"/>
        <rFont val="Arial"/>
        <family val="2"/>
      </rPr>
      <t>Reference Our Workplace chapter, labor relations section and/or Newmont.com for additional details and updates.</t>
    </r>
  </si>
  <si>
    <r>
      <rPr>
        <b/>
        <sz val="10"/>
        <color rgb="FF000000"/>
        <rFont val="Arial"/>
        <family val="2"/>
      </rPr>
      <t xml:space="preserve">Employee turnover 2019: By </t>
    </r>
    <r>
      <rPr>
        <b/>
        <sz val="10"/>
        <color rgb="FF000000"/>
        <rFont val="Arial"/>
        <family val="2"/>
      </rPr>
      <t>region</t>
    </r>
    <r>
      <rPr>
        <b/>
        <vertAlign val="superscript"/>
        <sz val="10"/>
        <color rgb="FF000000"/>
        <rFont val="Arial"/>
        <family val="2"/>
      </rPr>
      <t>1</t>
    </r>
  </si>
  <si>
    <t>Employee initiated</t>
  </si>
  <si>
    <t>Company initiated</t>
  </si>
  <si>
    <r>
      <rPr>
        <b/>
        <sz val="10"/>
        <color rgb="FF000000"/>
        <rFont val="Arial"/>
        <family val="2"/>
      </rPr>
      <t>Americas: North</t>
    </r>
    <r>
      <rPr>
        <b/>
        <vertAlign val="superscript"/>
        <sz val="10"/>
        <color rgb="FF000000"/>
        <rFont val="Arial"/>
        <family val="2"/>
      </rPr>
      <t>2</t>
    </r>
  </si>
  <si>
    <r>
      <rPr>
        <b/>
        <sz val="10"/>
        <color rgb="FF000000"/>
        <rFont val="Arial"/>
        <family val="2"/>
      </rPr>
      <t>Americas: South</t>
    </r>
    <r>
      <rPr>
        <b/>
        <vertAlign val="superscript"/>
        <sz val="10"/>
        <color rgb="FF000000"/>
        <rFont val="Arial"/>
        <family val="2"/>
      </rPr>
      <t>3</t>
    </r>
  </si>
  <si>
    <r>
      <rPr>
        <vertAlign val="superscript"/>
        <sz val="8"/>
        <color rgb="FF000000"/>
        <rFont val="Arial"/>
        <family val="2"/>
      </rPr>
      <t>1</t>
    </r>
    <r>
      <rPr>
        <vertAlign val="superscript"/>
        <sz val="8"/>
        <color rgb="FF000000"/>
        <rFont val="Arial"/>
        <family val="2"/>
      </rPr>
      <t xml:space="preserve"> </t>
    </r>
    <r>
      <rPr>
        <sz val="8"/>
        <color rgb="FF000000"/>
        <rFont val="Arial"/>
        <family val="2"/>
      </rPr>
      <t xml:space="preserve">GRI </t>
    </r>
    <r>
      <rPr>
        <sz val="8"/>
        <color rgb="FF000000"/>
        <rFont val="Arial"/>
        <family val="2"/>
      </rPr>
      <t>Standards discl</t>
    </r>
    <r>
      <rPr>
        <sz val="8"/>
        <color rgb="FF000000"/>
        <rFont val="Arial"/>
        <family val="2"/>
      </rPr>
      <t xml:space="preserve">osure </t>
    </r>
    <r>
      <rPr>
        <sz val="8"/>
        <color rgb="FF000000"/>
        <rFont val="Arial"/>
        <family val="2"/>
      </rPr>
      <t>401-1: New employee hires and employee turnover</t>
    </r>
    <r>
      <rPr>
        <sz val="8"/>
        <color rgb="FF000000"/>
        <rFont val="Arial"/>
        <family val="2"/>
      </rPr>
      <t xml:space="preserve">.
</t>
    </r>
    <r>
      <rPr>
        <vertAlign val="superscript"/>
        <sz val="8"/>
        <color rgb="FF000000"/>
        <rFont val="Arial"/>
        <family val="2"/>
      </rPr>
      <t>2</t>
    </r>
    <r>
      <rPr>
        <sz val="8"/>
        <color rgb="FF000000"/>
        <rFont val="Arial"/>
        <family val="2"/>
      </rPr>
      <t xml:space="preserve"> Employees located in France and Barbados are reported under the North </t>
    </r>
    <r>
      <rPr>
        <sz val="8"/>
        <color rgb="FF000000"/>
        <rFont val="Arial"/>
        <family val="2"/>
      </rPr>
      <t xml:space="preserve">America </t>
    </r>
    <r>
      <rPr>
        <sz val="8"/>
        <color rgb="FF000000"/>
        <rFont val="Arial"/>
        <family val="2"/>
      </rPr>
      <t>r</t>
    </r>
    <r>
      <rPr>
        <sz val="8"/>
        <color rgb="FF000000"/>
        <rFont val="Arial"/>
        <family val="2"/>
      </rPr>
      <t xml:space="preserve">egion for consolidated reporting purposes.
</t>
    </r>
    <r>
      <rPr>
        <vertAlign val="superscript"/>
        <sz val="8"/>
        <color rgb="FF000000"/>
        <rFont val="Arial"/>
        <family val="2"/>
      </rPr>
      <t>3</t>
    </r>
    <r>
      <rPr>
        <vertAlign val="superscript"/>
        <sz val="8"/>
        <color rgb="FF000000"/>
        <rFont val="Arial"/>
        <family val="2"/>
      </rPr>
      <t xml:space="preserve"> </t>
    </r>
    <r>
      <rPr>
        <vertAlign val="superscript"/>
        <sz val="8"/>
        <color rgb="FF000000"/>
        <rFont val="Arial"/>
        <family val="2"/>
      </rPr>
      <t xml:space="preserve"> </t>
    </r>
    <r>
      <rPr>
        <sz val="8"/>
        <color rgb="FF000000"/>
        <rFont val="Arial"/>
        <family val="2"/>
      </rPr>
      <t>Employees in Miami,</t>
    </r>
    <r>
      <rPr>
        <sz val="8"/>
        <color rgb="FF000000"/>
        <rFont val="Arial"/>
        <family val="2"/>
      </rPr>
      <t xml:space="preserve"> </t>
    </r>
    <r>
      <rPr>
        <sz val="8"/>
        <color rgb="FF000000"/>
        <rFont val="Arial"/>
        <family val="2"/>
      </rPr>
      <t xml:space="preserve">U.S., </t>
    </r>
    <r>
      <rPr>
        <sz val="8"/>
        <color rgb="FF000000"/>
        <rFont val="Arial"/>
        <family val="2"/>
      </rPr>
      <t xml:space="preserve">the South America regional headquarters location in 2019, </t>
    </r>
    <r>
      <rPr>
        <sz val="8"/>
        <color rgb="FF000000"/>
        <rFont val="Arial"/>
        <family val="2"/>
      </rPr>
      <t xml:space="preserve">are </t>
    </r>
    <r>
      <rPr>
        <sz val="8"/>
        <color rgb="FF000000"/>
        <rFont val="Arial"/>
        <family val="2"/>
      </rPr>
      <t>c</t>
    </r>
    <r>
      <rPr>
        <sz val="8"/>
        <color rgb="FF000000"/>
        <rFont val="Arial"/>
        <family val="2"/>
      </rPr>
      <t>o</t>
    </r>
    <r>
      <rPr>
        <sz val="8"/>
        <color rgb="FF000000"/>
        <rFont val="Arial"/>
        <family val="2"/>
      </rPr>
      <t xml:space="preserve">unted as </t>
    </r>
    <r>
      <rPr>
        <sz val="8"/>
        <color rgb="FF000000"/>
        <rFont val="Arial"/>
        <family val="2"/>
      </rPr>
      <t>South Americ</t>
    </r>
    <r>
      <rPr>
        <sz val="8"/>
        <color rgb="FF000000"/>
        <rFont val="Arial"/>
        <family val="2"/>
      </rPr>
      <t>a region employees for</t>
    </r>
    <r>
      <rPr>
        <sz val="8"/>
        <color rgb="FF000000"/>
        <rFont val="Arial"/>
        <family val="2"/>
      </rPr>
      <t xml:space="preserve"> consolidated reporting purposes.</t>
    </r>
  </si>
  <si>
    <r>
      <rPr>
        <b/>
        <sz val="10"/>
        <color rgb="FF000000"/>
        <rFont val="Arial"/>
        <family val="2"/>
      </rPr>
      <t>Employee</t>
    </r>
    <r>
      <rPr>
        <b/>
        <sz val="10"/>
        <color rgb="FF000000"/>
        <rFont val="Arial"/>
        <family val="2"/>
      </rPr>
      <t xml:space="preserve"> </t>
    </r>
    <r>
      <rPr>
        <b/>
        <sz val="10"/>
        <color rgb="FF000000"/>
        <rFont val="Arial"/>
        <family val="2"/>
      </rPr>
      <t>t</t>
    </r>
    <r>
      <rPr>
        <b/>
        <sz val="10"/>
        <color rgb="FF000000"/>
        <rFont val="Arial"/>
        <family val="2"/>
      </rPr>
      <t xml:space="preserve">urnover </t>
    </r>
    <r>
      <rPr>
        <b/>
        <sz val="10"/>
        <color rgb="FF000000"/>
        <rFont val="Arial"/>
        <family val="2"/>
      </rPr>
      <t xml:space="preserve">2019: </t>
    </r>
    <r>
      <rPr>
        <b/>
        <sz val="10"/>
        <color rgb="FF000000"/>
        <rFont val="Arial"/>
        <family val="2"/>
      </rPr>
      <t>B</t>
    </r>
    <r>
      <rPr>
        <b/>
        <sz val="10"/>
        <color rgb="FF000000"/>
        <rFont val="Arial"/>
        <family val="2"/>
      </rPr>
      <t xml:space="preserve">y </t>
    </r>
    <r>
      <rPr>
        <b/>
        <sz val="10"/>
        <color rgb="FF000000"/>
        <rFont val="Arial"/>
        <family val="2"/>
      </rPr>
      <t>a</t>
    </r>
    <r>
      <rPr>
        <b/>
        <sz val="10"/>
        <color rgb="FF000000"/>
        <rFont val="Arial"/>
        <family val="2"/>
      </rPr>
      <t xml:space="preserve">ge </t>
    </r>
    <r>
      <rPr>
        <b/>
        <sz val="10"/>
        <color rgb="FF000000"/>
        <rFont val="Arial"/>
        <family val="2"/>
      </rPr>
      <t>g</t>
    </r>
    <r>
      <rPr>
        <b/>
        <sz val="10"/>
        <color rgb="FF000000"/>
        <rFont val="Arial"/>
        <family val="2"/>
      </rPr>
      <t>roup</t>
    </r>
    <r>
      <rPr>
        <b/>
        <vertAlign val="superscript"/>
        <sz val="10"/>
        <color rgb="FF000000"/>
        <rFont val="Arial"/>
        <family val="2"/>
      </rPr>
      <t>1</t>
    </r>
    <r>
      <rPr>
        <b/>
        <vertAlign val="superscript"/>
        <sz val="10"/>
        <color rgb="FF000000"/>
        <rFont val="Arial"/>
        <family val="2"/>
      </rPr>
      <t>, 2</t>
    </r>
  </si>
  <si>
    <t>Total turnover</t>
  </si>
  <si>
    <t>Turnover rate</t>
  </si>
  <si>
    <t>Age</t>
  </si>
  <si>
    <t>&lt;30</t>
  </si>
  <si>
    <t>30 to 50</t>
  </si>
  <si>
    <t>51+</t>
  </si>
  <si>
    <r>
      <rPr>
        <vertAlign val="superscript"/>
        <sz val="8"/>
        <color rgb="FF000000"/>
        <rFont val="Arial"/>
        <family val="2"/>
      </rPr>
      <t xml:space="preserve">1 </t>
    </r>
    <r>
      <rPr>
        <sz val="8"/>
        <color rgb="FF000000"/>
        <rFont val="Arial"/>
        <family val="2"/>
      </rPr>
      <t xml:space="preserve">GRI Standards disclosure 401-1: New employee hires and employee turnover.
</t>
    </r>
    <r>
      <rPr>
        <vertAlign val="superscript"/>
        <sz val="8"/>
        <color rgb="FF000000"/>
        <rFont val="Arial"/>
        <family val="2"/>
      </rPr>
      <t>2</t>
    </r>
    <r>
      <rPr>
        <vertAlign val="superscript"/>
        <sz val="8"/>
        <color rgb="FF000000"/>
        <rFont val="Arial"/>
        <family val="2"/>
      </rPr>
      <t xml:space="preserve"> </t>
    </r>
    <r>
      <rPr>
        <sz val="8"/>
        <color rgb="FF000000"/>
        <rFont val="Arial"/>
        <family val="2"/>
      </rPr>
      <t>2019 data</t>
    </r>
    <r>
      <rPr>
        <sz val="8"/>
        <color rgb="FF000000"/>
        <rFont val="Arial"/>
        <family val="2"/>
      </rPr>
      <t xml:space="preserve"> omits </t>
    </r>
    <r>
      <rPr>
        <sz val="8"/>
        <color rgb="FF000000"/>
        <rFont val="Arial"/>
        <family val="2"/>
      </rPr>
      <t>two withdrawn employees whose birth dates are not available.</t>
    </r>
  </si>
  <si>
    <r>
      <rPr>
        <b/>
        <sz val="10"/>
        <color rgb="FF000000"/>
        <rFont val="Arial"/>
        <family val="2"/>
      </rPr>
      <t xml:space="preserve">Employee </t>
    </r>
    <r>
      <rPr>
        <b/>
        <sz val="10"/>
        <color rgb="FF000000"/>
        <rFont val="Arial"/>
        <family val="2"/>
      </rPr>
      <t>t</t>
    </r>
    <r>
      <rPr>
        <b/>
        <sz val="10"/>
        <color rgb="FF000000"/>
        <rFont val="Arial"/>
        <family val="2"/>
      </rPr>
      <t>urnover</t>
    </r>
    <r>
      <rPr>
        <b/>
        <sz val="10"/>
        <color rgb="FF000000"/>
        <rFont val="Arial"/>
        <family val="2"/>
      </rPr>
      <t xml:space="preserve">: </t>
    </r>
    <r>
      <rPr>
        <b/>
        <sz val="10"/>
        <color rgb="FF000000"/>
        <rFont val="Arial"/>
        <family val="2"/>
      </rPr>
      <t>Trailing five year data</t>
    </r>
    <r>
      <rPr>
        <b/>
        <vertAlign val="superscript"/>
        <sz val="10"/>
        <color rgb="FF000000"/>
        <rFont val="Arial"/>
        <family val="2"/>
      </rPr>
      <t>1</t>
    </r>
    <r>
      <rPr>
        <b/>
        <vertAlign val="superscript"/>
        <sz val="10"/>
        <color rgb="FF000000"/>
        <rFont val="Arial"/>
        <family val="2"/>
      </rPr>
      <t>, 2</t>
    </r>
  </si>
  <si>
    <r>
      <rPr>
        <vertAlign val="superscript"/>
        <sz val="8"/>
        <color rgb="FF000000"/>
        <rFont val="Arial"/>
        <family val="2"/>
      </rPr>
      <t xml:space="preserve">1 </t>
    </r>
    <r>
      <rPr>
        <sz val="8"/>
        <color rgb="FF000000"/>
        <rFont val="Arial"/>
        <family val="2"/>
      </rPr>
      <t xml:space="preserve">GRI Standards disclosure 401-1: New employee hires and employee turnover.
</t>
    </r>
    <r>
      <rPr>
        <vertAlign val="superscript"/>
        <sz val="8"/>
        <color rgb="FF000000"/>
        <rFont val="Arial"/>
        <family val="2"/>
      </rPr>
      <t xml:space="preserve">2 </t>
    </r>
    <r>
      <rPr>
        <sz val="8"/>
        <color rgb="FF000000"/>
        <rFont val="Arial"/>
        <family val="2"/>
      </rPr>
      <t>2019 data omits two withdrawn employees whose birth dates are not available.</t>
    </r>
    <r>
      <rPr>
        <sz val="8"/>
        <color rgb="FF000000"/>
        <rFont val="Arial"/>
        <family val="2"/>
      </rPr>
      <t xml:space="preserve"> </t>
    </r>
    <r>
      <rPr>
        <sz val="8"/>
        <color rgb="FF000000"/>
        <rFont val="Arial"/>
        <family val="2"/>
      </rPr>
      <t>Significant 2018-2019 changes reflect the April 18</t>
    </r>
    <r>
      <rPr>
        <sz val="8"/>
        <color rgb="FF000000"/>
        <rFont val="Arial"/>
        <family val="2"/>
      </rPr>
      <t>, 2019</t>
    </r>
    <r>
      <rPr>
        <sz val="8"/>
        <color rgb="FF000000"/>
        <rFont val="Arial"/>
        <family val="2"/>
      </rPr>
      <t xml:space="preserve"> acquisition of Goldcorp and the omission of Nevada workforce due to the Nevada Gold Mines JV formation on July 1</t>
    </r>
    <r>
      <rPr>
        <sz val="8"/>
        <color rgb="FF000000"/>
        <rFont val="Arial"/>
        <family val="2"/>
      </rPr>
      <t>, 2019</t>
    </r>
    <r>
      <rPr>
        <sz val="8"/>
        <color rgb="FF000000"/>
        <rFont val="Arial"/>
        <family val="2"/>
      </rPr>
      <t>.</t>
    </r>
  </si>
  <si>
    <r>
      <rPr>
        <b/>
        <sz val="10"/>
        <color rgb="FF000000"/>
        <rFont val="Arial"/>
        <family val="2"/>
      </rPr>
      <t xml:space="preserve">Employee turnover </t>
    </r>
    <r>
      <rPr>
        <b/>
        <sz val="10"/>
        <color rgb="FF000000"/>
        <rFont val="Arial"/>
        <family val="2"/>
      </rPr>
      <t xml:space="preserve">by gender and initiation: </t>
    </r>
    <r>
      <rPr>
        <b/>
        <sz val="10"/>
        <color rgb="FF000000"/>
        <rFont val="Arial"/>
        <family val="2"/>
      </rPr>
      <t>Trailing five year data</t>
    </r>
    <r>
      <rPr>
        <b/>
        <vertAlign val="superscript"/>
        <sz val="10"/>
        <color rgb="FF000000"/>
        <rFont val="Arial"/>
        <family val="2"/>
      </rPr>
      <t>1</t>
    </r>
  </si>
  <si>
    <t>Males</t>
  </si>
  <si>
    <t>Total number of males</t>
  </si>
  <si>
    <t>Company-initiated rate</t>
  </si>
  <si>
    <t>Employee-initiated rate</t>
  </si>
  <si>
    <t xml:space="preserve">Total rate for males </t>
  </si>
  <si>
    <t>Females</t>
  </si>
  <si>
    <t>Total number of females</t>
  </si>
  <si>
    <t>Total rate for females</t>
  </si>
  <si>
    <r>
      <rPr>
        <vertAlign val="superscript"/>
        <sz val="8"/>
        <color rgb="FF000000"/>
        <rFont val="Arial"/>
        <family val="2"/>
      </rPr>
      <t xml:space="preserve">1 </t>
    </r>
    <r>
      <rPr>
        <sz val="8"/>
        <color rgb="FF000000"/>
        <rFont val="Arial"/>
        <family val="2"/>
      </rPr>
      <t>GRI Standards disclosure 401-1: New employee hires and employee turnover.</t>
    </r>
    <r>
      <rPr>
        <sz val="8"/>
        <color rgb="FF000000"/>
        <rFont val="Arial"/>
        <family val="2"/>
      </rPr>
      <t xml:space="preserve"> </t>
    </r>
    <r>
      <rPr>
        <sz val="8"/>
        <color rgb="FF000000"/>
        <rFont val="Arial"/>
        <family val="2"/>
      </rPr>
      <t>Significant 2018-2019 changes reflect the April 18, 2019 acquisition of Goldcorp and the omission of Nevada workforce due to the Nevada Gold Mines JV formation on July 1, 2019.</t>
    </r>
  </si>
  <si>
    <r>
      <rPr>
        <b/>
        <sz val="10"/>
        <color rgb="FF000000"/>
        <rFont val="Arial"/>
        <family val="2"/>
      </rPr>
      <t>New hires 2019: By country, gender and age group</t>
    </r>
    <r>
      <rPr>
        <b/>
        <vertAlign val="superscript"/>
        <sz val="10"/>
        <color rgb="FF000000"/>
        <rFont val="Arial"/>
        <family val="2"/>
      </rPr>
      <t>1</t>
    </r>
  </si>
  <si>
    <t>Total new hires</t>
  </si>
  <si>
    <t>Percent of enterprise population</t>
  </si>
  <si>
    <t>By region</t>
  </si>
  <si>
    <r>
      <rPr>
        <sz val="10"/>
        <color rgb="FF000000"/>
        <rFont val="Arial"/>
        <family val="2"/>
      </rPr>
      <t>North America</t>
    </r>
    <r>
      <rPr>
        <vertAlign val="superscript"/>
        <sz val="10"/>
        <color rgb="FF000000"/>
        <rFont val="Arial"/>
        <family val="2"/>
      </rPr>
      <t>2</t>
    </r>
  </si>
  <si>
    <r>
      <rPr>
        <sz val="10"/>
        <color rgb="FF000000"/>
        <rFont val="Arial"/>
        <family val="2"/>
      </rPr>
      <t>South America</t>
    </r>
    <r>
      <rPr>
        <vertAlign val="superscript"/>
        <sz val="10"/>
        <color rgb="FF000000"/>
        <rFont val="Arial"/>
        <family val="2"/>
      </rPr>
      <t>3</t>
    </r>
  </si>
  <si>
    <t>By gender</t>
  </si>
  <si>
    <r>
      <rPr>
        <b/>
        <sz val="10"/>
        <color rgb="FF000000"/>
        <rFont val="Arial"/>
        <family val="2"/>
      </rPr>
      <t>New hires by age group</t>
    </r>
    <r>
      <rPr>
        <b/>
        <vertAlign val="superscript"/>
        <sz val="10"/>
        <color rgb="FF000000"/>
        <rFont val="Arial"/>
        <family val="2"/>
      </rPr>
      <t>4</t>
    </r>
  </si>
  <si>
    <r>
      <rPr>
        <b/>
        <sz val="10"/>
        <color rgb="FF000000"/>
        <rFont val="Arial"/>
        <family val="2"/>
      </rPr>
      <t>Total new hires</t>
    </r>
    <r>
      <rPr>
        <b/>
        <vertAlign val="superscript"/>
        <sz val="10"/>
        <color rgb="FF000000"/>
        <rFont val="Arial"/>
        <family val="2"/>
      </rPr>
      <t>4</t>
    </r>
  </si>
  <si>
    <r>
      <rPr>
        <b/>
        <sz val="10"/>
        <color rgb="FF000000"/>
        <rFont val="Arial"/>
        <family val="2"/>
      </rPr>
      <t xml:space="preserve">New </t>
    </r>
    <r>
      <rPr>
        <b/>
        <sz val="10"/>
        <color rgb="FF000000"/>
        <rFont val="Arial"/>
        <family val="2"/>
      </rPr>
      <t>h</t>
    </r>
    <r>
      <rPr>
        <b/>
        <sz val="10"/>
        <color rgb="FF000000"/>
        <rFont val="Arial"/>
        <family val="2"/>
      </rPr>
      <t>i</t>
    </r>
    <r>
      <rPr>
        <b/>
        <sz val="10"/>
        <color rgb="FF000000"/>
        <rFont val="Arial"/>
        <family val="2"/>
      </rPr>
      <t>res</t>
    </r>
    <r>
      <rPr>
        <b/>
        <sz val="10"/>
        <color rgb="FF000000"/>
        <rFont val="Arial"/>
        <family val="2"/>
      </rPr>
      <t xml:space="preserve"> 2019: </t>
    </r>
    <r>
      <rPr>
        <b/>
        <sz val="10"/>
        <color rgb="FF000000"/>
        <rFont val="Arial"/>
        <family val="2"/>
      </rPr>
      <t>By country, gender and age group</t>
    </r>
    <r>
      <rPr>
        <b/>
        <vertAlign val="superscript"/>
        <sz val="10"/>
        <color rgb="FF000000"/>
        <rFont val="Arial"/>
        <family val="2"/>
      </rPr>
      <t>1</t>
    </r>
  </si>
  <si>
    <r>
      <rPr>
        <b/>
        <sz val="10"/>
        <color rgb="FF000000"/>
        <rFont val="Arial"/>
        <family val="2"/>
      </rPr>
      <t>Total</t>
    </r>
    <r>
      <rPr>
        <b/>
        <sz val="10"/>
        <color rgb="FF000000"/>
        <rFont val="Arial"/>
        <family val="2"/>
      </rPr>
      <t xml:space="preserve"> new</t>
    </r>
    <r>
      <rPr>
        <b/>
        <sz val="10"/>
        <color rgb="FF000000"/>
        <rFont val="Arial"/>
        <family val="2"/>
      </rPr>
      <t xml:space="preserve"> </t>
    </r>
    <r>
      <rPr>
        <b/>
        <sz val="10"/>
        <color rgb="FF000000"/>
        <rFont val="Arial"/>
        <family val="2"/>
      </rPr>
      <t>hires</t>
    </r>
    <r>
      <rPr>
        <b/>
        <vertAlign val="superscript"/>
        <sz val="10"/>
        <color rgb="FF000000"/>
        <rFont val="Arial"/>
        <family val="2"/>
      </rPr>
      <t>4</t>
    </r>
  </si>
  <si>
    <r>
      <rPr>
        <b/>
        <sz val="10"/>
        <color rgb="FF000000"/>
        <rFont val="Arial"/>
        <family val="2"/>
      </rPr>
      <t xml:space="preserve">Percentage of </t>
    </r>
    <r>
      <rPr>
        <b/>
        <sz val="10"/>
        <color rgb="FF000000"/>
        <rFont val="Arial"/>
        <family val="2"/>
      </rPr>
      <t>e</t>
    </r>
    <r>
      <rPr>
        <b/>
        <sz val="10"/>
        <color rgb="FF000000"/>
        <rFont val="Arial"/>
        <family val="2"/>
      </rPr>
      <t xml:space="preserve">mployees who are </t>
    </r>
    <r>
      <rPr>
        <b/>
        <sz val="10"/>
        <color rgb="FF000000"/>
        <rFont val="Arial"/>
        <family val="2"/>
      </rPr>
      <t>p</t>
    </r>
    <r>
      <rPr>
        <b/>
        <sz val="10"/>
        <color rgb="FF000000"/>
        <rFont val="Arial"/>
        <family val="2"/>
      </rPr>
      <t xml:space="preserve">erformance </t>
    </r>
    <r>
      <rPr>
        <b/>
        <sz val="10"/>
        <color rgb="FF000000"/>
        <rFont val="Arial"/>
        <family val="2"/>
      </rPr>
      <t>r</t>
    </r>
    <r>
      <rPr>
        <b/>
        <sz val="10"/>
        <color rgb="FF000000"/>
        <rFont val="Arial"/>
        <family val="2"/>
      </rPr>
      <t xml:space="preserve">eview </t>
    </r>
    <r>
      <rPr>
        <b/>
        <sz val="10"/>
        <color rgb="FF000000"/>
        <rFont val="Arial"/>
        <family val="2"/>
      </rPr>
      <t>e</t>
    </r>
    <r>
      <rPr>
        <b/>
        <sz val="10"/>
        <color rgb="FF000000"/>
        <rFont val="Arial"/>
        <family val="2"/>
      </rPr>
      <t>ligible</t>
    </r>
    <r>
      <rPr>
        <b/>
        <sz val="10"/>
        <color rgb="FF000000"/>
        <rFont val="Arial"/>
        <family val="2"/>
      </rPr>
      <t xml:space="preserve"> 2019: By gender, employee category</t>
    </r>
    <r>
      <rPr>
        <b/>
        <vertAlign val="superscript"/>
        <sz val="10"/>
        <color rgb="FF000000"/>
        <rFont val="Arial"/>
        <family val="2"/>
      </rPr>
      <t>1</t>
    </r>
  </si>
  <si>
    <t>Number of Female Employees</t>
  </si>
  <si>
    <t>Number of females who are performance review eligible</t>
  </si>
  <si>
    <t>% Females who are performance review eligible</t>
  </si>
  <si>
    <t>Number of males who are performance review eligible</t>
  </si>
  <si>
    <t>% Males who are performance review eligible</t>
  </si>
  <si>
    <t>Operators &amp; maintainers</t>
  </si>
  <si>
    <r>
      <rPr>
        <vertAlign val="superscript"/>
        <sz val="8"/>
        <color rgb="FF000000"/>
        <rFont val="Arial"/>
        <family val="2"/>
      </rPr>
      <t>1</t>
    </r>
    <r>
      <rPr>
        <vertAlign val="superscript"/>
        <sz val="8"/>
        <color rgb="FF000000"/>
        <rFont val="Arial"/>
        <family val="2"/>
      </rPr>
      <t xml:space="preserve"> </t>
    </r>
    <r>
      <rPr>
        <sz val="8"/>
        <color rgb="FF000000"/>
        <rFont val="Arial"/>
        <family val="2"/>
      </rPr>
      <t xml:space="preserve">GRI </t>
    </r>
    <r>
      <rPr>
        <sz val="8"/>
        <color rgb="FF000000"/>
        <rFont val="Arial"/>
        <family val="2"/>
      </rPr>
      <t xml:space="preserve">Standards disclosure </t>
    </r>
    <r>
      <rPr>
        <sz val="8"/>
        <color rgb="FF000000"/>
        <rFont val="Arial"/>
        <family val="2"/>
      </rPr>
      <t>40</t>
    </r>
    <r>
      <rPr>
        <sz val="8"/>
        <color rgb="FF000000"/>
        <rFont val="Arial"/>
        <family val="2"/>
      </rPr>
      <t>4</t>
    </r>
    <r>
      <rPr>
        <sz val="8"/>
        <color rgb="FF000000"/>
        <rFont val="Arial"/>
        <family val="2"/>
      </rPr>
      <t>-3: Percentage of employees receiving regular performance and career development reviews</t>
    </r>
    <r>
      <rPr>
        <sz val="8"/>
        <color rgb="FF000000"/>
        <rFont val="Arial"/>
        <family val="2"/>
      </rPr>
      <t>;</t>
    </r>
    <r>
      <rPr>
        <sz val="8"/>
        <color rgb="FF000000"/>
        <rFont val="Arial"/>
        <family val="2"/>
      </rPr>
      <t xml:space="preserve"> </t>
    </r>
    <r>
      <rPr>
        <sz val="8"/>
        <color rgb="FF000000"/>
        <rFont val="Arial"/>
        <family val="2"/>
      </rPr>
      <t>GRI disclosure modified for 2019 integration year - refer to GRI Content Index for full details</t>
    </r>
    <r>
      <rPr>
        <sz val="8"/>
        <color rgb="FF000000"/>
        <rFont val="Arial"/>
        <family val="2"/>
      </rPr>
      <t>.</t>
    </r>
  </si>
  <si>
    <r>
      <rPr>
        <b/>
        <sz val="10"/>
        <color rgb="FF000000"/>
        <rFont val="Arial"/>
        <family val="2"/>
      </rPr>
      <t xml:space="preserve">Training and </t>
    </r>
    <r>
      <rPr>
        <b/>
        <sz val="10"/>
        <color rgb="FF000000"/>
        <rFont val="Arial"/>
        <family val="2"/>
      </rPr>
      <t>d</t>
    </r>
    <r>
      <rPr>
        <b/>
        <sz val="10"/>
        <color rgb="FF000000"/>
        <rFont val="Arial"/>
        <family val="2"/>
      </rPr>
      <t>ev</t>
    </r>
    <r>
      <rPr>
        <b/>
        <sz val="10"/>
        <color rgb="FF000000"/>
        <rFont val="Arial"/>
        <family val="2"/>
      </rPr>
      <t>e</t>
    </r>
    <r>
      <rPr>
        <b/>
        <sz val="10"/>
        <color rgb="FF000000"/>
        <rFont val="Arial"/>
        <family val="2"/>
      </rPr>
      <t xml:space="preserve">lopment </t>
    </r>
    <r>
      <rPr>
        <b/>
        <sz val="10"/>
        <color rgb="FF000000"/>
        <rFont val="Arial"/>
        <family val="2"/>
      </rPr>
      <t>i</t>
    </r>
    <r>
      <rPr>
        <b/>
        <sz val="10"/>
        <color rgb="FF000000"/>
        <rFont val="Arial"/>
        <family val="2"/>
      </rPr>
      <t>nvestment</t>
    </r>
    <r>
      <rPr>
        <b/>
        <sz val="10"/>
        <color rgb="FF000000"/>
        <rFont val="Arial"/>
        <family val="2"/>
      </rPr>
      <t xml:space="preserve"> spending and hours: </t>
    </r>
    <r>
      <rPr>
        <b/>
        <sz val="10"/>
        <color rgb="FF000000"/>
        <rFont val="Arial"/>
        <family val="2"/>
      </rPr>
      <t>Trailing</t>
    </r>
    <r>
      <rPr>
        <b/>
        <sz val="10"/>
        <color rgb="FF000000"/>
        <rFont val="Arial"/>
        <family val="2"/>
      </rPr>
      <t xml:space="preserve"> five year</t>
    </r>
    <r>
      <rPr>
        <b/>
        <sz val="10"/>
        <color rgb="FF000000"/>
        <rFont val="Arial"/>
        <family val="2"/>
      </rPr>
      <t xml:space="preserve"> </t>
    </r>
    <r>
      <rPr>
        <b/>
        <sz val="10"/>
        <color rgb="FF000000"/>
        <rFont val="Arial"/>
        <family val="2"/>
      </rPr>
      <t>data</t>
    </r>
    <r>
      <rPr>
        <b/>
        <vertAlign val="superscript"/>
        <sz val="10"/>
        <color rgb="FF000000"/>
        <rFont val="Arial"/>
        <family val="2"/>
      </rPr>
      <t>1</t>
    </r>
    <r>
      <rPr>
        <b/>
        <vertAlign val="superscript"/>
        <sz val="10"/>
        <color rgb="FF000000"/>
        <rFont val="Arial"/>
        <family val="2"/>
      </rPr>
      <t>, 2</t>
    </r>
  </si>
  <si>
    <t>Total ($ million)</t>
  </si>
  <si>
    <t>Total (hours)</t>
  </si>
  <si>
    <r>
      <rPr>
        <vertAlign val="superscript"/>
        <sz val="8"/>
        <color rgb="FF000000"/>
        <rFont val="Arial"/>
        <family val="2"/>
      </rPr>
      <t xml:space="preserve">1 </t>
    </r>
    <r>
      <rPr>
        <sz val="8"/>
        <color rgb="FF000000"/>
        <rFont val="Arial"/>
        <family val="2"/>
      </rPr>
      <t xml:space="preserve">GRI Standards disclosure 404-1: Average hours of training per year per employee.
</t>
    </r>
    <r>
      <rPr>
        <vertAlign val="superscript"/>
        <sz val="8"/>
        <color rgb="FF000000"/>
        <rFont val="Arial"/>
        <family val="2"/>
      </rPr>
      <t>2</t>
    </r>
    <r>
      <rPr>
        <vertAlign val="superscript"/>
        <sz val="8"/>
        <color rgb="FF000000"/>
        <rFont val="Arial"/>
        <family val="2"/>
      </rPr>
      <t xml:space="preserve"> </t>
    </r>
    <r>
      <rPr>
        <sz val="8"/>
        <color rgb="FF000000"/>
        <rFont val="Arial"/>
        <family val="2"/>
      </rPr>
      <t xml:space="preserve">The CC&amp;V operation is excluded from 2019 data due to changes related to the </t>
    </r>
    <r>
      <rPr>
        <sz val="8"/>
        <color rgb="FF000000"/>
        <rFont val="Arial"/>
        <family val="2"/>
      </rPr>
      <t>Nevada Gold Mines JV.</t>
    </r>
    <r>
      <rPr>
        <sz val="8"/>
        <color rgb="FF000000"/>
        <rFont val="Arial"/>
        <family val="2"/>
      </rPr>
      <t xml:space="preserve"> The Red Lake site, which was divested in the first quarter of 2020, is excluded from this table.</t>
    </r>
    <r>
      <rPr>
        <sz val="8"/>
        <color rgb="FF000000"/>
        <rFont val="Arial"/>
        <family val="2"/>
      </rPr>
      <t xml:space="preserve"> </t>
    </r>
    <r>
      <rPr>
        <sz val="8"/>
        <color rgb="FF000000"/>
        <rFont val="Arial"/>
        <family val="2"/>
      </rPr>
      <t>Significant 2018-2019 changes reflect the April 18</t>
    </r>
    <r>
      <rPr>
        <sz val="8"/>
        <color rgb="FF000000"/>
        <rFont val="Arial"/>
        <family val="2"/>
      </rPr>
      <t>, 2019</t>
    </r>
    <r>
      <rPr>
        <sz val="8"/>
        <color rgb="FF000000"/>
        <rFont val="Arial"/>
        <family val="2"/>
      </rPr>
      <t xml:space="preserve"> acquisition of Goldcorp and the omission of Nevada workforce due to the Nevada Gold Mines JV formation on July 1</t>
    </r>
    <r>
      <rPr>
        <sz val="8"/>
        <color rgb="FF000000"/>
        <rFont val="Arial"/>
        <family val="2"/>
      </rPr>
      <t>, 2019</t>
    </r>
    <r>
      <rPr>
        <sz val="8"/>
        <color rgb="FF000000"/>
        <rFont val="Arial"/>
        <family val="2"/>
      </rPr>
      <t>.</t>
    </r>
    <r>
      <rPr>
        <sz val="8"/>
        <color rgb="FF000000"/>
        <rFont val="Arial"/>
        <family val="2"/>
      </rPr>
      <t xml:space="preserve"> 
</t>
    </r>
    <r>
      <rPr>
        <sz val="8"/>
        <color rgb="FF000000"/>
        <rFont val="Arial"/>
        <family val="2"/>
      </rPr>
      <t/>
    </r>
  </si>
  <si>
    <r>
      <rPr>
        <b/>
        <sz val="10"/>
        <color rgb="FF000000"/>
        <rFont val="Arial"/>
        <family val="2"/>
      </rPr>
      <t xml:space="preserve">Average </t>
    </r>
    <r>
      <rPr>
        <b/>
        <sz val="10"/>
        <color rgb="FF000000"/>
        <rFont val="Arial"/>
        <family val="2"/>
      </rPr>
      <t>h</t>
    </r>
    <r>
      <rPr>
        <b/>
        <sz val="10"/>
        <color rgb="FF000000"/>
        <rFont val="Arial"/>
        <family val="2"/>
      </rPr>
      <t xml:space="preserve">ours of </t>
    </r>
    <r>
      <rPr>
        <b/>
        <sz val="10"/>
        <color rgb="FF000000"/>
        <rFont val="Arial"/>
        <family val="2"/>
      </rPr>
      <t>t</t>
    </r>
    <r>
      <rPr>
        <b/>
        <sz val="10"/>
        <color rgb="FF000000"/>
        <rFont val="Arial"/>
        <family val="2"/>
      </rPr>
      <t>ra</t>
    </r>
    <r>
      <rPr>
        <b/>
        <sz val="10"/>
        <color rgb="FF000000"/>
        <rFont val="Arial"/>
        <family val="2"/>
      </rPr>
      <t>in</t>
    </r>
    <r>
      <rPr>
        <b/>
        <sz val="10"/>
        <color rgb="FF000000"/>
        <rFont val="Arial"/>
        <family val="2"/>
      </rPr>
      <t>ing</t>
    </r>
    <r>
      <rPr>
        <b/>
        <sz val="10"/>
        <color rgb="FF000000"/>
        <rFont val="Arial"/>
        <family val="2"/>
      </rPr>
      <t xml:space="preserve"> </t>
    </r>
    <r>
      <rPr>
        <b/>
        <sz val="10"/>
        <color rgb="FF000000"/>
        <rFont val="Arial"/>
        <family val="2"/>
      </rPr>
      <t xml:space="preserve">per </t>
    </r>
    <r>
      <rPr>
        <b/>
        <sz val="10"/>
        <color rgb="FF000000"/>
        <rFont val="Arial"/>
        <family val="2"/>
      </rPr>
      <t>y</t>
    </r>
    <r>
      <rPr>
        <b/>
        <sz val="10"/>
        <color rgb="FF000000"/>
        <rFont val="Arial"/>
        <family val="2"/>
      </rPr>
      <t xml:space="preserve">ear, per </t>
    </r>
    <r>
      <rPr>
        <b/>
        <sz val="10"/>
        <color rgb="FF000000"/>
        <rFont val="Arial"/>
        <family val="2"/>
      </rPr>
      <t>e</t>
    </r>
    <r>
      <rPr>
        <b/>
        <sz val="10"/>
        <color rgb="FF000000"/>
        <rFont val="Arial"/>
        <family val="2"/>
      </rPr>
      <t>mployee</t>
    </r>
    <r>
      <rPr>
        <b/>
        <sz val="10"/>
        <color rgb="FF000000"/>
        <rFont val="Arial"/>
        <family val="2"/>
      </rPr>
      <t xml:space="preserve"> by </t>
    </r>
    <r>
      <rPr>
        <b/>
        <sz val="10"/>
        <color rgb="FF000000"/>
        <rFont val="Arial"/>
        <family val="2"/>
      </rPr>
      <t>e</t>
    </r>
    <r>
      <rPr>
        <b/>
        <sz val="10"/>
        <color rgb="FF000000"/>
        <rFont val="Arial"/>
        <family val="2"/>
      </rPr>
      <t xml:space="preserve">mployee </t>
    </r>
    <r>
      <rPr>
        <b/>
        <sz val="10"/>
        <color rgb="FF000000"/>
        <rFont val="Arial"/>
        <family val="2"/>
      </rPr>
      <t>c</t>
    </r>
    <r>
      <rPr>
        <b/>
        <sz val="10"/>
        <color rgb="FF000000"/>
        <rFont val="Arial"/>
        <family val="2"/>
      </rPr>
      <t>ategory</t>
    </r>
    <r>
      <rPr>
        <b/>
        <sz val="10"/>
        <color rgb="FF000000"/>
        <rFont val="Arial"/>
        <family val="2"/>
      </rPr>
      <t>: Trailing five year</t>
    </r>
    <r>
      <rPr>
        <b/>
        <sz val="10"/>
        <color rgb="FF000000"/>
        <rFont val="Arial"/>
        <family val="2"/>
      </rPr>
      <t xml:space="preserve"> data</t>
    </r>
    <r>
      <rPr>
        <b/>
        <vertAlign val="superscript"/>
        <sz val="10"/>
        <color rgb="FF000000"/>
        <rFont val="Arial"/>
        <family val="2"/>
      </rPr>
      <t>1</t>
    </r>
    <r>
      <rPr>
        <b/>
        <vertAlign val="superscript"/>
        <sz val="10"/>
        <color rgb="FF000000"/>
        <rFont val="Arial"/>
        <family val="2"/>
      </rPr>
      <t>,2</t>
    </r>
  </si>
  <si>
    <t>Business support</t>
  </si>
  <si>
    <r>
      <rPr>
        <vertAlign val="superscript"/>
        <sz val="8"/>
        <color rgb="FF000000"/>
        <rFont val="Arial"/>
        <family val="2"/>
      </rPr>
      <t>1</t>
    </r>
    <r>
      <rPr>
        <vertAlign val="superscript"/>
        <sz val="8"/>
        <color rgb="FF000000"/>
        <rFont val="Arial"/>
        <family val="2"/>
      </rPr>
      <t xml:space="preserve"> </t>
    </r>
    <r>
      <rPr>
        <sz val="8"/>
        <color rgb="FF000000"/>
        <rFont val="Arial"/>
        <family val="2"/>
      </rPr>
      <t xml:space="preserve">GRI </t>
    </r>
    <r>
      <rPr>
        <sz val="8"/>
        <color rgb="FF000000"/>
        <rFont val="Arial"/>
        <family val="2"/>
      </rPr>
      <t xml:space="preserve">Standards disclosure </t>
    </r>
    <r>
      <rPr>
        <sz val="8"/>
        <color rgb="FF000000"/>
        <rFont val="Arial"/>
        <family val="2"/>
      </rPr>
      <t xml:space="preserve">404-1: Average hours of </t>
    </r>
    <r>
      <rPr>
        <sz val="8"/>
        <color rgb="FF000000"/>
        <rFont val="Arial"/>
        <family val="2"/>
      </rPr>
      <t>t</t>
    </r>
    <r>
      <rPr>
        <sz val="8"/>
        <color rgb="FF000000"/>
        <rFont val="Arial"/>
        <family val="2"/>
      </rPr>
      <t>raining</t>
    </r>
    <r>
      <rPr>
        <sz val="8"/>
        <color rgb="FF000000"/>
        <rFont val="Arial"/>
        <family val="2"/>
      </rPr>
      <t xml:space="preserve"> per </t>
    </r>
    <r>
      <rPr>
        <sz val="8"/>
        <color rgb="FF000000"/>
        <rFont val="Arial"/>
        <family val="2"/>
      </rPr>
      <t>y</t>
    </r>
    <r>
      <rPr>
        <sz val="8"/>
        <color rgb="FF000000"/>
        <rFont val="Arial"/>
        <family val="2"/>
      </rPr>
      <t xml:space="preserve">ear per </t>
    </r>
    <r>
      <rPr>
        <sz val="8"/>
        <color rgb="FF000000"/>
        <rFont val="Arial"/>
        <family val="2"/>
      </rPr>
      <t>e</t>
    </r>
    <r>
      <rPr>
        <sz val="8"/>
        <color rgb="FF000000"/>
        <rFont val="Arial"/>
        <family val="2"/>
      </rPr>
      <t>mployee</t>
    </r>
    <r>
      <rPr>
        <sz val="8"/>
        <color rgb="FF000000"/>
        <rFont val="Arial"/>
        <family val="2"/>
      </rPr>
      <t xml:space="preserve">.
</t>
    </r>
    <r>
      <rPr>
        <vertAlign val="superscript"/>
        <sz val="8"/>
        <color rgb="FF000000"/>
        <rFont val="Arial"/>
        <family val="2"/>
      </rPr>
      <t>2</t>
    </r>
    <r>
      <rPr>
        <vertAlign val="superscript"/>
        <sz val="8"/>
        <color rgb="FF000000"/>
        <rFont val="Arial"/>
        <family val="2"/>
      </rPr>
      <t xml:space="preserve"> </t>
    </r>
    <r>
      <rPr>
        <sz val="8"/>
        <color rgb="FF000000"/>
        <rFont val="Arial"/>
        <family val="2"/>
      </rPr>
      <t xml:space="preserve">The CC&amp;V operation is excluded from 2019 data due to changes related to the </t>
    </r>
    <r>
      <rPr>
        <sz val="8"/>
        <color rgb="FF000000"/>
        <rFont val="Arial"/>
        <family val="2"/>
      </rPr>
      <t>Nevada Gold Mines JV.</t>
    </r>
    <r>
      <rPr>
        <sz val="8"/>
        <color rgb="FF000000"/>
        <rFont val="Arial"/>
        <family val="2"/>
      </rPr>
      <t xml:space="preserve"> The Red Lake site, which was divested in the first quarter of 2020, is excluded from this table.</t>
    </r>
  </si>
  <si>
    <r>
      <rPr>
        <b/>
        <sz val="10"/>
        <color rgb="FF000000"/>
        <rFont val="Arial"/>
        <family val="2"/>
      </rPr>
      <t xml:space="preserve">Average </t>
    </r>
    <r>
      <rPr>
        <b/>
        <sz val="10"/>
        <color rgb="FF000000"/>
        <rFont val="Arial"/>
        <family val="2"/>
      </rPr>
      <t>h</t>
    </r>
    <r>
      <rPr>
        <b/>
        <sz val="10"/>
        <color rgb="FF000000"/>
        <rFont val="Arial"/>
        <family val="2"/>
      </rPr>
      <t xml:space="preserve">ours of </t>
    </r>
    <r>
      <rPr>
        <b/>
        <sz val="10"/>
        <color rgb="FF000000"/>
        <rFont val="Arial"/>
        <family val="2"/>
      </rPr>
      <t>t</t>
    </r>
    <r>
      <rPr>
        <b/>
        <sz val="10"/>
        <color rgb="FF000000"/>
        <rFont val="Arial"/>
        <family val="2"/>
      </rPr>
      <t>r</t>
    </r>
    <r>
      <rPr>
        <b/>
        <sz val="10"/>
        <color rgb="FF000000"/>
        <rFont val="Arial"/>
        <family val="2"/>
      </rPr>
      <t>a</t>
    </r>
    <r>
      <rPr>
        <b/>
        <sz val="10"/>
        <color rgb="FF000000"/>
        <rFont val="Arial"/>
        <family val="2"/>
      </rPr>
      <t xml:space="preserve">ining per </t>
    </r>
    <r>
      <rPr>
        <b/>
        <sz val="10"/>
        <color rgb="FF000000"/>
        <rFont val="Arial"/>
        <family val="2"/>
      </rPr>
      <t>e</t>
    </r>
    <r>
      <rPr>
        <b/>
        <sz val="10"/>
        <color rgb="FF000000"/>
        <rFont val="Arial"/>
        <family val="2"/>
      </rPr>
      <t xml:space="preserve">mployee </t>
    </r>
    <r>
      <rPr>
        <b/>
        <sz val="10"/>
        <color rgb="FF000000"/>
        <rFont val="Arial"/>
        <family val="2"/>
      </rPr>
      <t xml:space="preserve">2019: </t>
    </r>
    <r>
      <rPr>
        <b/>
        <sz val="10"/>
        <color rgb="FF000000"/>
        <rFont val="Arial"/>
        <family val="2"/>
      </rPr>
      <t>B</t>
    </r>
    <r>
      <rPr>
        <b/>
        <sz val="10"/>
        <color rgb="FF000000"/>
        <rFont val="Arial"/>
        <family val="2"/>
      </rPr>
      <t xml:space="preserve">y </t>
    </r>
    <r>
      <rPr>
        <b/>
        <sz val="10"/>
        <color rgb="FF000000"/>
        <rFont val="Arial"/>
        <family val="2"/>
      </rPr>
      <t>e</t>
    </r>
    <r>
      <rPr>
        <b/>
        <sz val="10"/>
        <color rgb="FF000000"/>
        <rFont val="Arial"/>
        <family val="2"/>
      </rPr>
      <t xml:space="preserve">mployee </t>
    </r>
    <r>
      <rPr>
        <b/>
        <sz val="10"/>
        <color rgb="FF000000"/>
        <rFont val="Arial"/>
        <family val="2"/>
      </rPr>
      <t>c</t>
    </r>
    <r>
      <rPr>
        <b/>
        <sz val="10"/>
        <color rgb="FF000000"/>
        <rFont val="Arial"/>
        <family val="2"/>
      </rPr>
      <t xml:space="preserve">ategory and </t>
    </r>
    <r>
      <rPr>
        <b/>
        <sz val="10"/>
        <color rgb="FF000000"/>
        <rFont val="Arial"/>
        <family val="2"/>
      </rPr>
      <t>g</t>
    </r>
    <r>
      <rPr>
        <b/>
        <sz val="10"/>
        <color rgb="FF000000"/>
        <rFont val="Arial"/>
        <family val="2"/>
      </rPr>
      <t>ender</t>
    </r>
    <r>
      <rPr>
        <b/>
        <vertAlign val="superscript"/>
        <sz val="10"/>
        <color rgb="FF000000"/>
        <rFont val="Arial"/>
        <family val="2"/>
      </rPr>
      <t>1</t>
    </r>
    <r>
      <rPr>
        <b/>
        <vertAlign val="superscript"/>
        <sz val="10"/>
        <color rgb="FF000000"/>
        <rFont val="Arial"/>
        <family val="2"/>
      </rPr>
      <t>,</t>
    </r>
    <r>
      <rPr>
        <b/>
        <vertAlign val="superscript"/>
        <sz val="10"/>
        <color rgb="FF000000"/>
        <rFont val="Arial"/>
        <family val="2"/>
      </rPr>
      <t xml:space="preserve"> 2</t>
    </r>
  </si>
  <si>
    <r>
      <rPr>
        <vertAlign val="superscript"/>
        <sz val="8"/>
        <color rgb="FF000000"/>
        <rFont val="Arial"/>
        <family val="2"/>
      </rPr>
      <t xml:space="preserve">1 </t>
    </r>
    <r>
      <rPr>
        <sz val="8"/>
        <color rgb="FF000000"/>
        <rFont val="Arial"/>
        <family val="2"/>
      </rPr>
      <t xml:space="preserve">GRI Standards disclosure 404-1: Average hours of training per year per employee.
</t>
    </r>
    <r>
      <rPr>
        <vertAlign val="superscript"/>
        <sz val="8"/>
        <color rgb="FF000000"/>
        <rFont val="Arial"/>
        <family val="2"/>
      </rPr>
      <t>2</t>
    </r>
    <r>
      <rPr>
        <vertAlign val="superscript"/>
        <sz val="8"/>
        <color rgb="FF000000"/>
        <rFont val="Arial"/>
        <family val="2"/>
      </rPr>
      <t xml:space="preserve"> </t>
    </r>
    <r>
      <rPr>
        <sz val="8"/>
        <color rgb="FF000000"/>
        <rFont val="Arial"/>
        <family val="2"/>
      </rPr>
      <t xml:space="preserve">The </t>
    </r>
    <r>
      <rPr>
        <sz val="8"/>
        <color rgb="FF000000"/>
        <rFont val="Arial"/>
        <family val="2"/>
      </rPr>
      <t>CC&amp;V</t>
    </r>
    <r>
      <rPr>
        <sz val="8"/>
        <color rgb="FF000000"/>
        <rFont val="Arial"/>
        <family val="2"/>
      </rPr>
      <t xml:space="preserve"> operation is excluded from 2019 data due to changes related to the </t>
    </r>
    <r>
      <rPr>
        <sz val="8"/>
        <color rgb="FF000000"/>
        <rFont val="Arial"/>
        <family val="2"/>
      </rPr>
      <t>Nevada Gold Mines JV</t>
    </r>
    <r>
      <rPr>
        <sz val="8"/>
        <color rgb="FF000000"/>
        <rFont val="Arial"/>
        <family val="2"/>
      </rPr>
      <t xml:space="preserve">. </t>
    </r>
    <r>
      <rPr>
        <sz val="8"/>
        <color rgb="FF000000"/>
        <rFont val="Arial"/>
        <family val="2"/>
      </rPr>
      <t>The Red Lake site, which was divested in the first quarter of 2020, is excluded from this table.</t>
    </r>
  </si>
  <si>
    <r>
      <rPr>
        <b/>
        <sz val="10"/>
        <color rgb="FF000000"/>
        <rFont val="Arial"/>
        <family val="2"/>
      </rPr>
      <t>Rounding</t>
    </r>
    <r>
      <rPr>
        <sz val="10"/>
        <color rgb="FF000000"/>
        <rFont val="Arial"/>
        <family val="2"/>
      </rPr>
      <t>: Some figures and percentages may not add up to the total figure or 100 percent due to rounding.</t>
    </r>
  </si>
  <si>
    <r>
      <rPr>
        <b/>
        <sz val="10"/>
        <color rgb="FF000000"/>
        <rFont val="Arial"/>
        <family val="2"/>
      </rPr>
      <t>Value sharing</t>
    </r>
    <r>
      <rPr>
        <sz val="10"/>
        <color rgb="FF000000"/>
        <rFont val="Arial"/>
        <family val="2"/>
      </rPr>
      <t>: Community investments, economic value</t>
    </r>
    <r>
      <rPr>
        <sz val="10"/>
        <color rgb="FF000000"/>
        <rFont val="Arial"/>
        <family val="2"/>
      </rPr>
      <t xml:space="preserve"> </t>
    </r>
    <r>
      <rPr>
        <sz val="10"/>
        <color rgb="FF000000"/>
        <rFont val="Arial"/>
        <family val="2"/>
      </rPr>
      <t>generated and distributed, supply chain, tax transparency</t>
    </r>
  </si>
  <si>
    <r>
      <rPr>
        <b/>
        <sz val="10"/>
        <color rgb="FF000000"/>
        <rFont val="Arial"/>
        <family val="2"/>
      </rPr>
      <t>Social</t>
    </r>
    <r>
      <rPr>
        <sz val="10"/>
        <color rgb="FF000000"/>
        <rFont val="Arial"/>
        <family val="2"/>
      </rPr>
      <t>: Artisanal and small-scale mining, community</t>
    </r>
    <r>
      <rPr>
        <sz val="10"/>
        <color rgb="FF000000"/>
        <rFont val="Arial"/>
        <family val="2"/>
      </rPr>
      <t xml:space="preserve"> </t>
    </r>
    <r>
      <rPr>
        <sz val="10"/>
        <color rgb="FF000000"/>
        <rFont val="Arial"/>
        <family val="2"/>
      </rPr>
      <t>development, community impacts, complaints and</t>
    </r>
    <r>
      <rPr>
        <sz val="10"/>
        <color rgb="FF000000"/>
        <rFont val="Arial"/>
        <family val="2"/>
      </rPr>
      <t xml:space="preserve"> </t>
    </r>
    <r>
      <rPr>
        <sz val="10"/>
        <color rgb="FF000000"/>
        <rFont val="Arial"/>
        <family val="2"/>
      </rPr>
      <t>grievances, human rights, indigenous peoples, land or</t>
    </r>
    <r>
      <rPr>
        <sz val="10"/>
        <color rgb="FF000000"/>
        <rFont val="Arial"/>
        <family val="2"/>
      </rPr>
      <t xml:space="preserve"> </t>
    </r>
    <r>
      <rPr>
        <sz val="10"/>
        <color rgb="FF000000"/>
        <rFont val="Arial"/>
        <family val="2"/>
      </rPr>
      <t>resource disputes, resettlement and/or relocation activity,</t>
    </r>
    <r>
      <rPr>
        <sz val="10"/>
        <color rgb="FF000000"/>
        <rFont val="Arial"/>
        <family val="2"/>
      </rPr>
      <t xml:space="preserve"> </t>
    </r>
    <r>
      <rPr>
        <sz val="10"/>
        <color rgb="FF000000"/>
        <rFont val="Arial"/>
        <family val="2"/>
      </rPr>
      <t>social impact assessment and engagement</t>
    </r>
  </si>
  <si>
    <r>
      <rPr>
        <b/>
        <sz val="10"/>
        <color rgb="FF000000"/>
        <rFont val="Arial"/>
        <family val="2"/>
      </rPr>
      <t>Health and safety</t>
    </r>
    <r>
      <rPr>
        <sz val="10"/>
        <color rgb="FF000000"/>
        <rFont val="Arial"/>
        <family val="2"/>
      </rPr>
      <t>: Emergency preparedness, health and safety</t>
    </r>
  </si>
  <si>
    <r>
      <rPr>
        <b/>
        <sz val="10"/>
        <color rgb="FF000000"/>
        <rFont val="Arial"/>
        <family val="2"/>
      </rPr>
      <t>Environment</t>
    </r>
    <r>
      <rPr>
        <sz val="10"/>
        <color rgb="FF000000"/>
        <rFont val="Arial"/>
        <family val="2"/>
      </rPr>
      <t>: Air quality, biodiversity, climate change,</t>
    </r>
    <r>
      <rPr>
        <sz val="10"/>
        <color rgb="FF000000"/>
        <rFont val="Arial"/>
        <family val="2"/>
      </rPr>
      <t xml:space="preserve"> </t>
    </r>
    <r>
      <rPr>
        <sz val="10"/>
        <color rgb="FF000000"/>
        <rFont val="Arial"/>
        <family val="2"/>
      </rPr>
      <t>closure and reclamation, cyanide management,</t>
    </r>
    <r>
      <rPr>
        <sz val="10"/>
        <color rgb="FF000000"/>
        <rFont val="Arial"/>
        <family val="2"/>
      </rPr>
      <t xml:space="preserve"> </t>
    </r>
    <r>
      <rPr>
        <sz val="10"/>
        <color rgb="FF000000"/>
        <rFont val="Arial"/>
        <family val="2"/>
      </rPr>
      <t>significant materials consumption, spills and releases,</t>
    </r>
    <r>
      <rPr>
        <sz val="10"/>
        <color rgb="FF000000"/>
        <rFont val="Arial"/>
        <family val="2"/>
      </rPr>
      <t xml:space="preserve"> </t>
    </r>
    <r>
      <rPr>
        <sz val="10"/>
        <color rgb="FF000000"/>
        <rFont val="Arial"/>
        <family val="2"/>
      </rPr>
      <t>tailings management, water stewardship, waste</t>
    </r>
  </si>
  <si>
    <t>Performance data tables are presented in alphabetical order by category:</t>
  </si>
  <si>
    <t xml:space="preserve">About the data: figures, rounding, and intensity-based denominators </t>
  </si>
  <si>
    <r>
      <rPr>
        <b/>
        <sz val="10"/>
        <color rgb="FF000000"/>
        <rFont val="Arial"/>
        <family val="2"/>
      </rPr>
      <t>Intensity-based denominators</t>
    </r>
    <r>
      <rPr>
        <sz val="10"/>
        <color rgb="FF000000"/>
        <rFont val="Arial"/>
        <family val="2"/>
      </rPr>
      <t>: To ensure comparability with reporting boundaries, intensity-based denominators (gold equivalent ounces and other production-based figures) have been reviewed to ensure that only production data for sites included in our sustainability reporting boundaries are also included in our sustainability-related intensity-based denominators. For this reason, some figures may vary from production figures produced in Newmont’s annual financial or production disclosures.</t>
    </r>
  </si>
  <si>
    <t>About the 2019 ESG performance data</t>
  </si>
  <si>
    <t>Structure of the 2019 ESG performance data tables</t>
  </si>
  <si>
    <t xml:space="preserve">Finding additional financial and non-financial information  </t>
  </si>
  <si>
    <t>Providing feedback</t>
  </si>
  <si>
    <t>We welcome feedback on this data set, our annual sustainability report or any other aspect of our ESG performance. Please send general comments to feedback@newmont.com.</t>
  </si>
  <si>
    <r>
      <t>Estimated direct and indirect energy consumed by source (million GJ): Trailing five year data</t>
    </r>
    <r>
      <rPr>
        <b/>
        <vertAlign val="superscript"/>
        <sz val="10"/>
        <color rgb="FF000000"/>
        <rFont val="Arial"/>
        <family val="2"/>
      </rPr>
      <t>1</t>
    </r>
  </si>
  <si>
    <r>
      <t>Coal</t>
    </r>
    <r>
      <rPr>
        <vertAlign val="superscript"/>
        <sz val="10"/>
        <color rgb="FF000000"/>
        <rFont val="Arial"/>
        <family val="2"/>
      </rPr>
      <t>2</t>
    </r>
  </si>
  <si>
    <r>
      <t>Total direct renewable energy consumed</t>
    </r>
    <r>
      <rPr>
        <b/>
        <vertAlign val="superscript"/>
        <sz val="10"/>
        <color rgb="FF000000"/>
        <rFont val="Arial"/>
        <family val="2"/>
      </rPr>
      <t>3</t>
    </r>
  </si>
  <si>
    <t xml:space="preserve">BUSINESS ETHICS AND TRANSPARENCY: COMPLIANCE AND SIGNIFICANT EVENTS </t>
  </si>
  <si>
    <t>BUSINESS ETHICS AND TRANSPARENCY: ETHICS AND ANTI-CORRUPTION MEASURES</t>
  </si>
  <si>
    <t xml:space="preserve">BUSINESS ETHICS AND TRANSPARENCY: POLICY INFLUENCE </t>
  </si>
  <si>
    <t>ENVIRONMENT: AIR QUALITY</t>
  </si>
  <si>
    <t>ENVIRONMENT: BIODIVERSITY</t>
  </si>
  <si>
    <t>ENVIRONMENT: CLIMATE CHANGE</t>
  </si>
  <si>
    <t>ENVIRONMENT: CLOSURE AND RECLAMATION</t>
  </si>
  <si>
    <t>ENVIRONMENT: CYANIDE MANAGEMENT</t>
  </si>
  <si>
    <t xml:space="preserve">ENVIRONMENT: SIGNIFICANT MATERIALS CONSUMPTION </t>
  </si>
  <si>
    <t>ENVIRONMENT: SPILLS AND RELEASES</t>
  </si>
  <si>
    <t xml:space="preserve">ENVIRONMENT: TAILINGS MANAGEMENT </t>
  </si>
  <si>
    <t>ENVIRONMENT: WATER STEWARDSHIP</t>
  </si>
  <si>
    <t>ENVIRONMENT: WASTE</t>
  </si>
  <si>
    <t>SAFETY &amp; HEALTH: EMERGENCY PREPAREDNESS</t>
  </si>
  <si>
    <t>SAFETY &amp; HEALTH: WORKFORCE SAFETY STATS</t>
  </si>
  <si>
    <r>
      <t xml:space="preserve">	•Directly, indirectly and through the Ahafo Development Foundation (NADeF) invest in social infrastructure and services (education, health, water and sanitation)
</t>
    </r>
    <r>
      <rPr>
        <sz val="10"/>
        <color rgb="FF000000"/>
        <rFont val="Arial"/>
        <family val="2"/>
      </rPr>
      <t xml:space="preserve">	•Implement Artisanal and Small-Scale Mining (ASM) strategy to address illegal mining incursions</t>
    </r>
  </si>
  <si>
    <r>
      <rPr>
        <vertAlign val="superscript"/>
        <sz val="8"/>
        <color rgb="FF000000"/>
        <rFont val="Arial"/>
        <family val="2"/>
      </rPr>
      <t>1</t>
    </r>
    <r>
      <rPr>
        <sz val="8"/>
        <color rgb="FF000000"/>
        <rFont val="Arial"/>
        <family val="2"/>
      </rPr>
      <t xml:space="preserve"> </t>
    </r>
    <r>
      <rPr>
        <sz val="8"/>
        <color rgb="FF000000"/>
        <rFont val="Arial"/>
        <family val="2"/>
      </rPr>
      <t>GRI Standards disclousre 413-2:</t>
    </r>
    <r>
      <rPr>
        <sz val="8"/>
        <color rgb="FF000000"/>
        <rFont val="Arial"/>
        <family val="2"/>
      </rPr>
      <t xml:space="preserve"> Operations with significant actual </t>
    </r>
    <r>
      <rPr>
        <sz val="8"/>
        <color rgb="FF000000"/>
        <rFont val="Arial"/>
        <family val="2"/>
      </rPr>
      <t>and potential impacts on local communities.</t>
    </r>
    <r>
      <rPr>
        <sz val="8"/>
        <color rgb="FF000000"/>
        <rFont val="Arial"/>
        <family val="2"/>
      </rPr>
      <t xml:space="preserve"> A</t>
    </r>
    <r>
      <rPr>
        <sz val="8"/>
        <color rgb="FF000000"/>
        <rFont val="Arial"/>
        <family val="2"/>
      </rPr>
      <t>ctual and potential impacts are based on social impact assessments performed for each site; Australia omits KCGM site, which was divested in the first quarter of 2020. former Goldcorp sites will be include</t>
    </r>
    <r>
      <rPr>
        <sz val="8"/>
        <color rgb="FF000000"/>
        <rFont val="Arial"/>
        <family val="2"/>
      </rPr>
      <t>d</t>
    </r>
    <r>
      <rPr>
        <sz val="8"/>
        <color rgb="FF000000"/>
        <rFont val="Arial"/>
        <family val="2"/>
      </rPr>
      <t xml:space="preserve">in future reporting years. 
</t>
    </r>
    <r>
      <rPr>
        <vertAlign val="superscript"/>
        <sz val="8"/>
        <color rgb="FF000000"/>
        <rFont val="Arial"/>
        <family val="2"/>
      </rPr>
      <t/>
    </r>
  </si>
  <si>
    <t>SOCIAL: HUMAN RIGHTS ALLEGATIONS</t>
  </si>
  <si>
    <t>SOCIAL: ARTISANAL AND SMALL-SCALE MINING</t>
  </si>
  <si>
    <t>SOCIAL: COMMUNITY DEVELOPMENT</t>
  </si>
  <si>
    <t>SOCIAL: ACTUAL OR POTENTIAL NEGATIVE COMMUNITY IMPACTS</t>
  </si>
  <si>
    <t xml:space="preserve">SOCIALE: COMPLAINTS AND GRIEVANCES </t>
  </si>
  <si>
    <t xml:space="preserve">SOCIAL: HUMAN RIGHTS: ASSESSMENTS AND/OR REVIEWS </t>
  </si>
  <si>
    <t>SOCIAL: HUMAN RIGHTS: SUPPLIER SCREENING AND TRAINING</t>
  </si>
  <si>
    <t xml:space="preserve">SOCIAL: HUMAN RIGHTS: SECURITY PERSONNEL TRAINING </t>
  </si>
  <si>
    <t>SOCIAL: HUMAN RIGHTS: WORKFORCE TRAINING</t>
  </si>
  <si>
    <t>SOCIAL: HUMAN RIGHTS - INDIGENOUS PEOPLES</t>
  </si>
  <si>
    <t>Indigenous/Aboriginal/First Nations Group</t>
  </si>
  <si>
    <t>SOCIAL: LAND OR RESOURCE USE DISPUTES</t>
  </si>
  <si>
    <t>SOCIAL: RESETTLEMENT AND/OR RELOCATION ACTIVITY</t>
  </si>
  <si>
    <t>SOCIAL: SOCIAL IMPACT ASSESSMENT AND ENGAGEMENT</t>
  </si>
  <si>
    <t>WORKFORCE: COMPENSATION AND EQUAL REMUNERATION</t>
  </si>
  <si>
    <t>WORKFORCE: DIVERSITY AND INCLUSION</t>
  </si>
  <si>
    <r>
      <rPr>
        <b/>
        <sz val="10"/>
        <color rgb="FF000000"/>
        <rFont val="Arial"/>
        <family val="2"/>
      </rPr>
      <t>Employee gender breakout 2019: Number by employee category</t>
    </r>
    <r>
      <rPr>
        <b/>
        <vertAlign val="superscript"/>
        <sz val="10"/>
        <color rgb="FF000000"/>
        <rFont val="Arial"/>
        <family val="2"/>
      </rPr>
      <t>1</t>
    </r>
  </si>
  <si>
    <t>WORKFORCE: LABOR MANAGEMENT RELATIONS</t>
  </si>
  <si>
    <t>WORKFORCE: TALENT ATTRACTION AND RETENTION</t>
  </si>
  <si>
    <t>WORKFORCE: TRAINING AND PROFESSIONAL DEVELOPMENT</t>
  </si>
  <si>
    <r>
      <rPr>
        <sz val="10"/>
        <color rgb="FF000000"/>
        <rFont val="Arial"/>
        <family val="2"/>
      </rPr>
      <t xml:space="preserve">Source 8: </t>
    </r>
    <r>
      <rPr>
        <sz val="10"/>
        <color rgb="FF000000"/>
        <rFont val="Arial"/>
        <family val="2"/>
      </rPr>
      <t>Upstream leased assets</t>
    </r>
    <r>
      <rPr>
        <vertAlign val="superscript"/>
        <sz val="10"/>
        <color rgb="FF000000"/>
        <rFont val="Arial"/>
        <family val="2"/>
      </rPr>
      <t>3</t>
    </r>
  </si>
  <si>
    <r>
      <rPr>
        <sz val="10"/>
        <color rgb="FF000000"/>
        <rFont val="Arial"/>
        <family val="2"/>
      </rPr>
      <t xml:space="preserve">Source 11: </t>
    </r>
    <r>
      <rPr>
        <sz val="10"/>
        <color rgb="FF000000"/>
        <rFont val="Arial"/>
        <family val="2"/>
      </rPr>
      <t>Use of sold products</t>
    </r>
    <r>
      <rPr>
        <vertAlign val="superscript"/>
        <sz val="10"/>
        <color rgb="FF000000"/>
        <rFont val="Arial"/>
        <family val="2"/>
      </rPr>
      <t>3</t>
    </r>
  </si>
  <si>
    <r>
      <rPr>
        <sz val="10"/>
        <color rgb="FF000000"/>
        <rFont val="Arial"/>
        <family val="2"/>
      </rPr>
      <t xml:space="preserve">Source 12: </t>
    </r>
    <r>
      <rPr>
        <sz val="10"/>
        <color rgb="FF000000"/>
        <rFont val="Arial"/>
        <family val="2"/>
      </rPr>
      <t>End-of-life of sold products</t>
    </r>
  </si>
  <si>
    <r>
      <rPr>
        <sz val="10"/>
        <color rgb="FF000000"/>
        <rFont val="Arial"/>
        <family val="2"/>
      </rPr>
      <t>Source 13:</t>
    </r>
    <r>
      <rPr>
        <sz val="10"/>
        <color rgb="FF000000"/>
        <rFont val="Arial"/>
        <family val="2"/>
      </rPr>
      <t xml:space="preserve"> Downstream leased assets</t>
    </r>
    <r>
      <rPr>
        <vertAlign val="superscript"/>
        <sz val="10"/>
        <color rgb="FF000000"/>
        <rFont val="Arial"/>
        <family val="2"/>
      </rPr>
      <t>3</t>
    </r>
  </si>
  <si>
    <r>
      <rPr>
        <sz val="10"/>
        <color rgb="FF000000"/>
        <rFont val="Arial"/>
        <family val="2"/>
      </rPr>
      <t xml:space="preserve">Source 14: </t>
    </r>
    <r>
      <rPr>
        <sz val="10"/>
        <color rgb="FF000000"/>
        <rFont val="Arial"/>
        <family val="2"/>
      </rPr>
      <t>Franchises</t>
    </r>
    <r>
      <rPr>
        <vertAlign val="superscript"/>
        <sz val="10"/>
        <color rgb="FF000000"/>
        <rFont val="Arial"/>
        <family val="2"/>
      </rPr>
      <t>3</t>
    </r>
  </si>
  <si>
    <r>
      <rPr>
        <sz val="10"/>
        <color rgb="FF000000"/>
        <rFont val="Arial"/>
        <family val="2"/>
      </rPr>
      <t xml:space="preserve">Source 15: </t>
    </r>
    <r>
      <rPr>
        <sz val="10"/>
        <color rgb="FF000000"/>
        <rFont val="Arial"/>
        <family val="2"/>
      </rPr>
      <t>Investments</t>
    </r>
    <r>
      <rPr>
        <vertAlign val="superscript"/>
        <sz val="10"/>
        <color rgb="FF000000"/>
        <rFont val="Arial"/>
        <family val="2"/>
      </rPr>
      <t>3</t>
    </r>
  </si>
  <si>
    <r>
      <t xml:space="preserve">Breakout of </t>
    </r>
    <r>
      <rPr>
        <b/>
        <sz val="10"/>
        <color rgb="FF000000"/>
        <rFont val="Arial"/>
        <family val="2"/>
      </rPr>
      <t>substantiated cases by outcomes</t>
    </r>
  </si>
  <si>
    <t xml:space="preserve">	•Conduct ongoing and regular stakeholder engagement
	•Undertook socio-economic assessment, with vulnerability component, to identify individual farmer livelihood needs
	•Implemented livelihood intervention plan</t>
  </si>
  <si>
    <t xml:space="preserve">This performance data reflects the annual disclosure of our sustainability performance at wholly owned operations and joint ventures where Newmont is the operator. In 2019, our operating portfolio underwent a significant transformation with the acquisition of Goldcorp’s world-class mine sites and the formation of Nevada Gold Mines, a joint venture with Barrick Gold Corporation (“Barrick”) in which Newmont and Barrick contributed their Nevada operations and assets in exchange for a 38.5 percent and 61.5 percent interest, respectively, with Barrick as the operator.
References to “Newmont”, “the Company”, “we” and “our” refer to Newmont Corporation (formerly Newmont Goldcorp Corporation and Newmont Mining Corporation) and/or our affiliates, joint ventures and subsidiaries. References to “Goldcorp” or “former Goldcorp” refer to
Goldcorp, Inc. prior to its acquisition by Newmont. 
References to “former Newmont” refer to Newmont Mining Corporation — the entity name before the acquisition of Goldcorp. Although these transactions closed in the middle of 2019, where possible, data for the former Newmont sites and former Goldcorp sites have been consolidated. Data presented in this report covers our performance for the 2019 calendar year, which corresponds to our fiscal year.
Any future restatements of this data set will be noted with the date and explanation for the restatement.  
Apex Companies, LLC (formerly the HSE consulting division of Bureau Veritas North America, Inc.) undertook the assurance for material 2019 data sets. Reference the GRI Content Index and the Apex Independent Assurance Statement for additional details. 
Reporting standards: Data in the ESG data tables include GRI Standards, GRI Mining and Metals Sector disclosures, Sustainability Accounting Standards Board (SASB) Metals &amp; Mining industry standard (version 2018-10), and The Climate-related Financial Disclosures (TCFD). TCFD alignment is noted in the GRI Content Index.  
</t>
  </si>
  <si>
    <r>
      <rPr>
        <b/>
        <sz val="10"/>
        <color rgb="FF000000"/>
        <rFont val="Arial"/>
        <family val="2"/>
      </rPr>
      <t>Business ethics and transparency</t>
    </r>
    <r>
      <rPr>
        <sz val="10"/>
        <color rgb="FF000000"/>
        <rFont val="Arial"/>
        <family val="2"/>
      </rPr>
      <t>: Compliance and significant events, ethics and anti-corruption measures, policy influence</t>
    </r>
  </si>
  <si>
    <r>
      <rPr>
        <vertAlign val="superscript"/>
        <sz val="8"/>
        <color rgb="FF000000"/>
        <rFont val="Arial"/>
        <family val="2"/>
      </rPr>
      <t>1</t>
    </r>
    <r>
      <rPr>
        <sz val="8"/>
        <color rgb="FF000000"/>
        <rFont val="Arial"/>
        <family val="2"/>
      </rPr>
      <t xml:space="preserve"> GRI Standards disclosures GRI 302-1: Energy consumption within the organization and GRI 302-2: Energy consumption outside of the organization; SASB Sustainability Accounting Standard Metals &amp; Mining sector disclosure: SASB EM-MM-130a.1: (1) Total energy consumed. Aligns with TCFD-Metrics &amp; Targets (TCFD-M): a) Metrics used to assess climate-related risks and opportunities in line with its strategy and risk management processes.
</t>
    </r>
    <r>
      <rPr>
        <vertAlign val="superscript"/>
        <sz val="8"/>
        <color rgb="FF000000"/>
        <rFont val="Arial"/>
        <family val="2"/>
      </rPr>
      <t>2</t>
    </r>
    <r>
      <rPr>
        <sz val="8"/>
        <color rgb="FF000000"/>
        <rFont val="Arial"/>
        <family val="2"/>
      </rPr>
      <t xml:space="preserve"> To ensure consistency and comparable reporting boundaries across energy and climate data disclosed, 2019 direct coal-sourced energy omits Nevada TS Power Plant data to align with GHG Protocol Corporate Accounting and Reporting Standard for Merger and Acquisition year reporting guidance. This data had been reported in previous years. Newmont's 2015-2019 data is restated to exclude assets divested on or before December 31, 2019; 2015-2019 data includes full year data for former Goldcorp assets acquired by Newmont on April 18, 2019.</t>
    </r>
  </si>
  <si>
    <r>
      <rPr>
        <vertAlign val="superscript"/>
        <sz val="8"/>
        <color rgb="FF000000"/>
        <rFont val="Arial"/>
        <family val="2"/>
      </rPr>
      <t>1</t>
    </r>
    <r>
      <rPr>
        <sz val="8"/>
        <color rgb="FF000000"/>
        <rFont val="Arial"/>
        <family val="2"/>
      </rPr>
      <t xml:space="preserve"> GRI Standards disclosures GRI 302-1: Energy consumption within the organization and GRI 302-2: Energy consumption outside of the organization; SASB Sustainability Accounting Standard Metals &amp; Mining sector disclosure: SASB EM-MM-130a.1: (1) Total energy consumed. Aligns with TCFD-Metrics &amp; Targets (TCFD-M): a) Metrics used to assess climate-related risks and opportunities in line with its strategy and risk management processes.
</t>
    </r>
    <r>
      <rPr>
        <vertAlign val="superscript"/>
        <sz val="8"/>
        <color rgb="FF000000"/>
        <rFont val="Arial"/>
        <family val="2"/>
      </rPr>
      <t>2</t>
    </r>
    <r>
      <rPr>
        <sz val="8"/>
        <color rgb="FF000000"/>
        <rFont val="Arial"/>
        <family val="2"/>
      </rPr>
      <t xml:space="preserve"> To ensure consistency and comparable reporting boundaries across energy and climate data disclosed, 2019 direct coal-sourced energy omits Nevada TS Power Plant data to align with GHG Protocol Corporate Accounting and Reporting Standard for Merger and Acquisition year reporting guidance. This data had been reported in previous years. Newmont's 2015-2019 data is restated to exclude assets divested on or before December 31, 2019; 2015-2019 data includes full year data for former Goldcorp assets acquired by Newmont on April 18, 2019.  
</t>
    </r>
    <r>
      <rPr>
        <vertAlign val="superscript"/>
        <sz val="8"/>
        <color rgb="FF000000"/>
        <rFont val="Arial"/>
        <family val="2"/>
      </rPr>
      <t>3</t>
    </r>
    <r>
      <rPr>
        <sz val="8"/>
        <color rgb="FF000000"/>
        <rFont val="Arial"/>
        <family val="2"/>
      </rPr>
      <t xml:space="preserve"> Newmont reported aggregated renewable data from former Newmont and former Goldcorp assets from 2015-2018; 2019 data includes the full year of Goldcorp data and omits Nevada data; in 2019 and future years, Newmont plans to report a full breakout of direct renewable energy by source.</t>
    </r>
  </si>
  <si>
    <r>
      <rPr>
        <vertAlign val="superscript"/>
        <sz val="8"/>
        <color rgb="FF000000"/>
        <rFont val="Arial"/>
        <family val="2"/>
      </rPr>
      <t>1</t>
    </r>
    <r>
      <rPr>
        <sz val="8"/>
        <color rgb="FF000000"/>
        <rFont val="Arial"/>
        <family val="2"/>
      </rPr>
      <t xml:space="preserve"> GRI Standard disclosure 302-1: Energy consumption within the organization. 
</t>
    </r>
    <r>
      <rPr>
        <vertAlign val="superscript"/>
        <sz val="8"/>
        <color rgb="FF000000"/>
        <rFont val="Arial"/>
        <family val="2"/>
      </rPr>
      <t>2</t>
    </r>
    <r>
      <rPr>
        <sz val="8"/>
        <color rgb="FF000000"/>
        <rFont val="Arial"/>
        <family val="2"/>
      </rPr>
      <t xml:space="preserve"> To ensure consistency and comparable reporting boundaries across energy and climate data disclosed, 2019 direct coal-sourced energy omits Nevada TS Power Plant data to align with GHG Protocol Corporate Accounting and Reporting Standard for Merger and Acquisition year reporting guidance. This data had been reported in previous years; 2019 data includes full year data for former Goldcorp assets acquired by Newmont on April 18, 2019.   
</t>
    </r>
    <r>
      <rPr>
        <vertAlign val="superscript"/>
        <sz val="8"/>
        <color rgb="FF000000"/>
        <rFont val="Arial"/>
        <family val="2"/>
      </rPr>
      <t>3</t>
    </r>
    <r>
      <rPr>
        <sz val="8"/>
        <color rgb="FF000000"/>
        <rFont val="Arial"/>
        <family val="2"/>
      </rPr>
      <t xml:space="preserve"> Newmont began reporting solar production 2019 forward. Newmont's Akyem mine in Ghana installed a 120-kilowatt (kW) solar plant in August 2018 and began reporting direct solar energy generated on-site in the 2019 reporting year.</t>
    </r>
  </si>
  <si>
    <r>
      <rPr>
        <vertAlign val="superscript"/>
        <sz val="8"/>
        <color rgb="FF000000"/>
        <rFont val="Arial"/>
        <family val="2"/>
      </rPr>
      <t>1</t>
    </r>
    <r>
      <rPr>
        <sz val="8"/>
        <color rgb="FF000000"/>
        <rFont val="Arial"/>
        <family val="2"/>
      </rPr>
      <t xml:space="preserve"> GRI Standards disclosure: GRI: 305-4: GHG emissions intensity. Aligns with TCFD-M: a) Metrics used to assess climate related risks and opportunities in line with its strategy and risk management processes 
</t>
    </r>
    <r>
      <rPr>
        <vertAlign val="superscript"/>
        <sz val="8"/>
        <color rgb="FF000000"/>
        <rFont val="Arial"/>
        <family val="2"/>
      </rPr>
      <t>2</t>
    </r>
    <r>
      <rPr>
        <sz val="8"/>
        <color rgb="FF000000"/>
        <rFont val="Arial"/>
        <family val="2"/>
      </rPr>
      <t xml:space="preserve"> To ensure consistency and comparable reporting boundaries across energy and climate data disclosed, 2019 data omits Nevada TS Power Plant data to align with GHG Protocol Corporate Accounting and Reporting Standard for Merger and Acquisition year reporting guidance. 2015-2018 data is restated to include former Goldcorp site data for accounting and comparability purposes; 2019 data includes full year data for former Goldcorp assets acquired by Newmont on April 18, 2019. Greenhouse gas emissions are calculated using emission factors from the Climate Registry and the Australian Government National Greenhouse Accounts Factors.</t>
    </r>
  </si>
  <si>
    <r>
      <rPr>
        <vertAlign val="superscript"/>
        <sz val="8"/>
        <color rgb="FF000000"/>
        <rFont val="Arial"/>
        <family val="2"/>
      </rPr>
      <t>1</t>
    </r>
    <r>
      <rPr>
        <sz val="8"/>
        <color rgb="FF000000"/>
        <rFont val="Arial"/>
        <family val="2"/>
      </rPr>
      <t xml:space="preserve"> GRI Standards disclosures GRI: 305-1: Direct (Scope 1) GHG Emissions and GRI: 305-2: Energy indirect (Scope 2) GHG emissions; SASB Metals &amp; Mining Sustainability Accounting Standard EM-MM-110a.1: Gross global Scope 1 emissions, percentage covered under emissions-limiting regulations (reference separate table for percentage covered under emissions-limiting regulations). Aligns with TCFD-M: a) Metrics used to assess climate related risks and opportunities in line with its strategy and risk management processes, and TCFD-M: b) Scope 1, Scope 2, and if appropriate, Scope 3 GHG emissions and related risks.
</t>
    </r>
    <r>
      <rPr>
        <vertAlign val="superscript"/>
        <sz val="8"/>
        <color rgb="FF000000"/>
        <rFont val="Arial"/>
        <family val="2"/>
      </rPr>
      <t>2</t>
    </r>
    <r>
      <rPr>
        <sz val="8"/>
        <color rgb="FF000000"/>
        <rFont val="Arial"/>
        <family val="2"/>
      </rPr>
      <t xml:space="preserve"> To ensure consistency and comparable reporting boundaries across energy and climate data disclosed, 2019 data omits Nevada TS Power Plant data to align with GHG Protocol Corporate Accounting and Reporting Standard for Merger and Acquisition year reporting guidance. 2019 data includes full year data for former Goldcorp assets acquired by Newmont on April 18, 2019. Greenhouse gas emissions are calculated using emission factors from the Climate Registry and the Australian Government National Greenhouse Accounts Factors.</t>
    </r>
  </si>
  <si>
    <r>
      <rPr>
        <vertAlign val="superscript"/>
        <sz val="8"/>
        <color rgb="FF000000"/>
        <rFont val="Arial"/>
        <family val="2"/>
      </rPr>
      <t xml:space="preserve">1 </t>
    </r>
    <r>
      <rPr>
        <sz val="8"/>
        <color rgb="FF000000"/>
        <rFont val="Arial"/>
        <family val="2"/>
      </rPr>
      <t xml:space="preserve">GRI Standards disclosure GRI 305-3: Other indirect (Scope 3) GHG emissions. Scope 3 emissions omit 2019 Nevada-related data. Aligns with TCFD-M: b) Scope 1, Scope 2, and if appropriate, Scope 3 GHG emissions and related risks.
</t>
    </r>
    <r>
      <rPr>
        <vertAlign val="superscript"/>
        <sz val="8"/>
        <color rgb="FF000000"/>
        <rFont val="Arial"/>
        <family val="2"/>
      </rPr>
      <t>2</t>
    </r>
    <r>
      <rPr>
        <sz val="8"/>
        <color rgb="FF000000"/>
        <rFont val="Arial"/>
        <family val="2"/>
      </rPr>
      <t xml:space="preserve"> Of these estimated Scope 3 emissions, sources 6, 10, 11 and 12 are externally assured; the remaining sources are estimated figures.
</t>
    </r>
    <r>
      <rPr>
        <vertAlign val="superscript"/>
        <sz val="8"/>
        <color rgb="FF000000"/>
        <rFont val="Arial"/>
        <family val="2"/>
      </rPr>
      <t>3</t>
    </r>
    <r>
      <rPr>
        <sz val="8"/>
        <color rgb="FF000000"/>
        <rFont val="Arial"/>
        <family val="2"/>
      </rPr>
      <t xml:space="preserve"> Scope 3 emission source numbers 8, 11, 13, 14, and 15 are not applicable (N/A) to Newmont.</t>
    </r>
  </si>
  <si>
    <t>Significant hydrocarbon releases</t>
  </si>
  <si>
    <r>
      <rPr>
        <b/>
        <sz val="10"/>
        <color rgb="FF000000"/>
        <rFont val="Arial"/>
        <family val="2"/>
      </rPr>
      <t>Workforce</t>
    </r>
    <r>
      <rPr>
        <sz val="10"/>
        <color rgb="FF000000"/>
        <rFont val="Arial"/>
        <family val="2"/>
      </rPr>
      <t>: Workforce demographics, compensation and</t>
    </r>
    <r>
      <rPr>
        <sz val="10"/>
        <color rgb="FF000000"/>
        <rFont val="Arial"/>
        <family val="2"/>
      </rPr>
      <t xml:space="preserve"> </t>
    </r>
    <r>
      <rPr>
        <sz val="10"/>
        <color rgb="FF000000"/>
        <rFont val="Arial"/>
        <family val="2"/>
      </rPr>
      <t>equal remuneration, diversity and inclusion, labor management</t>
    </r>
    <r>
      <rPr>
        <sz val="10"/>
        <color rgb="FF000000"/>
        <rFont val="Arial"/>
        <family val="2"/>
      </rPr>
      <t xml:space="preserve"> </t>
    </r>
    <r>
      <rPr>
        <sz val="10"/>
        <color rgb="FF000000"/>
        <rFont val="Arial"/>
        <family val="2"/>
      </rPr>
      <t>relations, talent attraction and retention,</t>
    </r>
    <r>
      <rPr>
        <sz val="10"/>
        <color rgb="FF000000"/>
        <rFont val="Arial"/>
        <family val="2"/>
      </rPr>
      <t xml:space="preserve"> </t>
    </r>
    <r>
      <rPr>
        <sz val="10"/>
        <color rgb="FF000000"/>
        <rFont val="Arial"/>
        <family val="2"/>
      </rPr>
      <t>training and professional development</t>
    </r>
    <r>
      <rPr>
        <sz val="10"/>
        <color rgb="FF000000"/>
        <rFont val="Arial"/>
        <family val="2"/>
      </rPr>
      <t xml:space="preserve"> </t>
    </r>
  </si>
  <si>
    <r>
      <rPr>
        <b/>
        <sz val="10"/>
        <color rgb="FF000000"/>
        <rFont val="Arial"/>
        <family val="2"/>
      </rPr>
      <t>Currencies</t>
    </r>
    <r>
      <rPr>
        <sz val="10"/>
        <color rgb="FF000000"/>
        <rFont val="Arial"/>
        <family val="2"/>
      </rPr>
      <t>: All financial figures are quoted in U.S. dollars unless otherwise noted. Currencies: All financial figures are quoted in U.S. dollars</t>
    </r>
    <r>
      <rPr>
        <sz val="10"/>
        <color rgb="FF000000"/>
        <rFont val="Arial"/>
        <family val="2"/>
      </rPr>
      <t xml:space="preserve"> </t>
    </r>
    <r>
      <rPr>
        <sz val="10"/>
        <color rgb="FF000000"/>
        <rFont val="Arial"/>
        <family val="2"/>
      </rPr>
      <t>unless otherwise noted.</t>
    </r>
  </si>
  <si>
    <r>
      <rPr>
        <vertAlign val="superscript"/>
        <sz val="8"/>
        <color rgb="FF000000"/>
        <rFont val="Arial"/>
        <family val="2"/>
      </rPr>
      <t xml:space="preserve">1 </t>
    </r>
    <r>
      <rPr>
        <sz val="8"/>
        <color rgb="FF000000"/>
        <rFont val="Arial"/>
        <family val="2"/>
      </rPr>
      <t xml:space="preserve">GRI </t>
    </r>
    <r>
      <rPr>
        <sz val="8"/>
        <color rgb="FF000000"/>
        <rFont val="Arial"/>
        <family val="2"/>
      </rPr>
      <t xml:space="preserve">Standards </t>
    </r>
    <r>
      <rPr>
        <sz val="8"/>
        <color rgb="FF000000"/>
        <rFont val="Arial"/>
        <family val="2"/>
      </rPr>
      <t>disclosure</t>
    </r>
    <r>
      <rPr>
        <sz val="8"/>
        <color rgb="FF000000"/>
        <rFont val="Arial"/>
        <family val="2"/>
      </rPr>
      <t xml:space="preserve"> </t>
    </r>
    <r>
      <rPr>
        <sz val="8"/>
        <color rgb="FF000000"/>
        <rFont val="Arial"/>
        <family val="2"/>
      </rPr>
      <t xml:space="preserve">GRI 411-1: Incidents of violations involving rights of indigenous peoples.
</t>
    </r>
    <r>
      <rPr>
        <vertAlign val="superscript"/>
        <sz val="8"/>
        <color rgb="FF000000"/>
        <rFont val="Arial"/>
        <family val="2"/>
      </rPr>
      <t>2</t>
    </r>
    <r>
      <rPr>
        <sz val="8"/>
        <color rgb="FF000000"/>
        <rFont val="Arial"/>
        <family val="2"/>
      </rPr>
      <t xml:space="preserve"> </t>
    </r>
    <r>
      <rPr>
        <sz val="8"/>
        <color rgb="FF000000"/>
        <rFont val="Arial"/>
        <family val="2"/>
      </rPr>
      <t xml:space="preserve">Due to acquisition activities that occurred In 2019, Newmont managed two separate event reporting systems, which are expected to be integrated in the 2020-2021 timeframe. Australia and Peru sites categorize "significant" events as those classified a level 3 or greater on a risk/impact scale of 1-5; both events were categorized as level 3 events. </t>
    </r>
    <r>
      <rPr>
        <sz val="8"/>
        <color rgb="FF000000"/>
        <rFont val="Arial"/>
        <family val="2"/>
      </rPr>
      <t>Sites</t>
    </r>
    <r>
      <rPr>
        <sz val="8"/>
        <color rgb="FF000000"/>
        <rFont val="Arial"/>
        <family val="2"/>
      </rPr>
      <t xml:space="preserve"> in Argentina</t>
    </r>
    <r>
      <rPr>
        <sz val="8"/>
        <color rgb="FF000000"/>
        <rFont val="Arial"/>
        <family val="2"/>
      </rPr>
      <t>,</t>
    </r>
    <r>
      <rPr>
        <sz val="8"/>
        <color rgb="FF000000"/>
        <rFont val="Arial"/>
        <family val="2"/>
      </rPr>
      <t xml:space="preserve"> Canada </t>
    </r>
    <r>
      <rPr>
        <sz val="8"/>
        <color rgb="FF000000"/>
        <rFont val="Arial"/>
        <family val="2"/>
      </rPr>
      <t xml:space="preserve">and Mexico </t>
    </r>
    <r>
      <rPr>
        <sz val="8"/>
        <color rgb="FF000000"/>
        <rFont val="Arial"/>
        <family val="2"/>
      </rPr>
      <t xml:space="preserve">utilize a separate, but comparable rating scale that </t>
    </r>
    <r>
      <rPr>
        <sz val="8"/>
        <color rgb="FF000000"/>
        <rFont val="Arial"/>
        <family val="2"/>
      </rPr>
      <t>also</t>
    </r>
    <r>
      <rPr>
        <sz val="8"/>
        <color rgb="FF000000"/>
        <rFont val="Arial"/>
        <family val="2"/>
      </rPr>
      <t xml:space="preserve"> identifies "significant" events </t>
    </r>
    <r>
      <rPr>
        <sz val="8"/>
        <color rgb="FF000000"/>
        <rFont val="Arial"/>
        <family val="2"/>
      </rPr>
      <t>as those classified as level 3 or greater on a 1-5 risk/impact scale;</t>
    </r>
    <r>
      <rPr>
        <sz val="8"/>
        <color rgb="FF000000"/>
        <rFont val="Arial"/>
        <family val="2"/>
      </rPr>
      <t xml:space="preserve"> the </t>
    </r>
    <r>
      <rPr>
        <sz val="8"/>
        <color rgb="FF000000"/>
        <rFont val="Arial"/>
        <family val="2"/>
      </rPr>
      <t xml:space="preserve">Cerro Negro and </t>
    </r>
    <r>
      <rPr>
        <sz val="8"/>
        <color rgb="FF000000"/>
        <rFont val="Arial"/>
        <family val="2"/>
      </rPr>
      <t>Éléonore</t>
    </r>
    <r>
      <rPr>
        <sz val="8"/>
        <color rgb="FF000000"/>
        <rFont val="Arial"/>
        <family val="2"/>
      </rPr>
      <t xml:space="preserve"> events were </t>
    </r>
    <r>
      <rPr>
        <sz val="8"/>
        <color rgb="FF000000"/>
        <rFont val="Arial"/>
        <family val="2"/>
      </rPr>
      <t xml:space="preserve">classified as level 3, according to the comparable rating scale. </t>
    </r>
    <r>
      <rPr>
        <sz val="8"/>
        <color rgb="FF000000"/>
        <rFont val="Arial"/>
        <family val="2"/>
      </rPr>
      <t xml:space="preserve">The former Goldcorp risk/impact scale was updated in April 2019 </t>
    </r>
    <r>
      <rPr>
        <sz val="8"/>
        <color rgb="FF000000"/>
        <rFont val="Arial"/>
        <family val="2"/>
      </rPr>
      <t xml:space="preserve">to align it </t>
    </r>
    <r>
      <rPr>
        <sz val="8"/>
        <color rgb="FF000000"/>
        <rFont val="Arial"/>
        <family val="2"/>
      </rPr>
      <t xml:space="preserve">with Newmont’s event reporting system </t>
    </r>
    <r>
      <rPr>
        <sz val="8"/>
        <color rgb="FF000000"/>
        <rFont val="Arial"/>
        <family val="2"/>
      </rPr>
      <t>where possible</t>
    </r>
    <r>
      <rPr>
        <sz val="8"/>
        <color rgb="FF000000"/>
        <rFont val="Arial"/>
        <family val="2"/>
      </rPr>
      <t>.</t>
    </r>
    <r>
      <rPr>
        <sz val="8"/>
        <color rgb="FF000000"/>
        <rFont val="Arial"/>
        <family val="2"/>
      </rPr>
      <t xml:space="preserve"> Former Goldcorp site even</t>
    </r>
    <r>
      <rPr>
        <sz val="8"/>
        <color rgb="FF000000"/>
        <rFont val="Arial"/>
        <family val="2"/>
      </rPr>
      <t>ts that occurred prior to the</t>
    </r>
    <r>
      <rPr>
        <sz val="8"/>
        <color rgb="FF000000"/>
        <rFont val="Arial"/>
        <family val="2"/>
      </rPr>
      <t xml:space="preserve"> April 18, 2019 acquisition are </t>
    </r>
    <r>
      <rPr>
        <sz val="8"/>
        <color rgb="FF000000"/>
        <rFont val="Arial"/>
        <family val="2"/>
      </rPr>
      <t xml:space="preserve">omitted from this data set. </t>
    </r>
  </si>
  <si>
    <r>
      <t xml:space="preserve">2019 annual sustainability report: 
</t>
    </r>
    <r>
      <rPr>
        <sz val="10"/>
        <color rgb="FF000000"/>
        <rFont val="Arial"/>
        <family val="2"/>
      </rPr>
      <t xml:space="preserve">	•Social Acceptance chapter, Community relationships section; 2019 Performance regarding key community matters and activities for Mexico, Community relationships section; 2019 Performance regarding key community matters and activities for Mexico
	•Environmental chapter, Water stewardship section; Participatory monitoring and collective action updates for key activities to work with stakeholders in the community surrounding the Peñasquito operations, Water stewardship section; Participatory monitoring and collective action updates for key activities to work with stakeholders in the community surrounding the Peñasquito operation Reference Newmont.com for additional updates</t>
    </r>
  </si>
  <si>
    <t>Environmental event: In June 2019, approximately 100 liters of petroleum spilled when a contractor was refueling a truck in the parking lot on site. As a result of this incident the site mandated training for contractors on environmental impacts and installed anti-spill kits in trucks.</t>
  </si>
  <si>
    <r>
      <rPr>
        <sz val="10"/>
        <color rgb="FF000000"/>
        <rFont val="Arial"/>
        <family val="2"/>
      </rPr>
      <t>Social event related to</t>
    </r>
    <r>
      <rPr>
        <sz val="10"/>
        <color rgb="FF000000"/>
        <rFont val="Arial"/>
        <family val="2"/>
      </rPr>
      <t xml:space="preserve"> indigenous peoples</t>
    </r>
    <r>
      <rPr>
        <sz val="10"/>
        <color rgb="FF000000"/>
        <rFont val="Arial"/>
        <family val="2"/>
      </rPr>
      <t>: In September 2019, a dozer operator erroneously cleared pathways and tracks in rehabilitated and restricted work areas contrary to stipulations in mine management plan</t>
    </r>
    <r>
      <rPr>
        <sz val="10"/>
        <color rgb="FF000000"/>
        <rFont val="Arial"/>
        <family val="2"/>
      </rPr>
      <t xml:space="preserve">, </t>
    </r>
    <r>
      <rPr>
        <sz val="10"/>
        <color rgb="FF000000"/>
        <rFont val="Arial"/>
        <family val="2"/>
      </rPr>
      <t xml:space="preserve"> sacred site clearance certificate, and internal site disturbance plan. Corrective actions were taken February 2020; the</t>
    </r>
    <r>
      <rPr>
        <sz val="10"/>
        <color rgb="FF000000"/>
        <rFont val="Arial"/>
        <family val="2"/>
      </rPr>
      <t xml:space="preserve"> Tanami General Manager delivered a formal apology to the Traditional Owner Liaison Committee.</t>
    </r>
    <r>
      <rPr>
        <vertAlign val="superscript"/>
        <sz val="10"/>
        <color rgb="FF000000"/>
        <rFont val="Arial"/>
        <family val="2"/>
      </rPr>
      <t>1</t>
    </r>
    <r>
      <rPr>
        <sz val="10"/>
        <color rgb="FF000000"/>
        <rFont val="Arial"/>
        <family val="2"/>
      </rPr>
      <t xml:space="preserve"> </t>
    </r>
  </si>
  <si>
    <r>
      <rPr>
        <b/>
        <sz val="10"/>
        <color rgb="FF000000"/>
        <rFont val="Arial"/>
        <family val="2"/>
      </rPr>
      <t>Percentage of employees attending Newmont Code of Conduct and/or anti-corruption trainings</t>
    </r>
    <r>
      <rPr>
        <b/>
        <sz val="10"/>
        <color rgb="FF000000"/>
        <rFont val="Arial"/>
        <family val="2"/>
      </rPr>
      <t>:</t>
    </r>
    <r>
      <rPr>
        <b/>
        <sz val="10"/>
        <color rgb="FF000000"/>
        <rFont val="Arial"/>
        <family val="2"/>
      </rPr>
      <t xml:space="preserve"> </t>
    </r>
    <r>
      <rPr>
        <b/>
        <sz val="10"/>
        <color rgb="FF000000"/>
        <rFont val="Arial"/>
        <family val="2"/>
      </rPr>
      <t>Y</t>
    </r>
    <r>
      <rPr>
        <b/>
        <sz val="10"/>
        <color rgb="FF000000"/>
        <rFont val="Arial"/>
        <family val="2"/>
      </rPr>
      <t>ear over ye</t>
    </r>
    <r>
      <rPr>
        <b/>
        <sz val="10"/>
        <color rgb="FF000000"/>
        <rFont val="Arial"/>
        <family val="2"/>
      </rPr>
      <t>ar</t>
    </r>
    <r>
      <rPr>
        <b/>
        <vertAlign val="superscript"/>
        <sz val="10"/>
        <color rgb="FF000000"/>
        <rFont val="Arial"/>
        <family val="2"/>
      </rPr>
      <t>1</t>
    </r>
    <r>
      <rPr>
        <b/>
        <vertAlign val="superscript"/>
        <sz val="10"/>
        <color rgb="FF000000"/>
        <rFont val="Arial"/>
        <family val="2"/>
      </rPr>
      <t>, 2</t>
    </r>
  </si>
  <si>
    <r>
      <rPr>
        <vertAlign val="superscript"/>
        <sz val="8"/>
        <color rgb="FF000000"/>
        <rFont val="Arial"/>
        <family val="2"/>
      </rPr>
      <t xml:space="preserve">1 </t>
    </r>
    <r>
      <rPr>
        <sz val="8"/>
        <color rgb="FF000000"/>
        <rFont val="Arial"/>
        <family val="2"/>
      </rPr>
      <t xml:space="preserve">GRI Standard disclosure 302-1: Energy consumption within the organization. 
</t>
    </r>
    <r>
      <rPr>
        <vertAlign val="superscript"/>
        <sz val="8"/>
        <color rgb="FF000000"/>
        <rFont val="Arial"/>
        <family val="2"/>
      </rPr>
      <t>2</t>
    </r>
    <r>
      <rPr>
        <sz val="8"/>
        <color rgb="FF000000"/>
        <rFont val="Arial"/>
        <family val="2"/>
      </rPr>
      <t xml:space="preserve"> 2019 data includes Nevada TS Power Plant data and full year data for former Goldcorp assets acquired by Newmont on April 18, 2019. 
</t>
    </r>
    <r>
      <rPr>
        <vertAlign val="superscript"/>
        <sz val="8"/>
        <color rgb="FF000000"/>
        <rFont val="Arial"/>
        <family val="2"/>
      </rPr>
      <t>3</t>
    </r>
    <r>
      <rPr>
        <sz val="8"/>
        <color rgb="FF000000"/>
        <rFont val="Arial"/>
        <family val="2"/>
      </rPr>
      <t xml:space="preserve"> 2019 figures assume generator efficiency rate of 40%.</t>
    </r>
  </si>
  <si>
    <t>From heavy fuel old</t>
  </si>
  <si>
    <r>
      <t>From s</t>
    </r>
    <r>
      <rPr>
        <sz val="10"/>
        <color rgb="FF000000"/>
        <rFont val="Arial"/>
        <family val="2"/>
      </rPr>
      <t xml:space="preserve">ulfur </t>
    </r>
    <r>
      <rPr>
        <sz val="10"/>
        <color rgb="FF000000"/>
        <rFont val="Arial"/>
        <family val="2"/>
      </rPr>
      <t>h</t>
    </r>
    <r>
      <rPr>
        <sz val="10"/>
        <color rgb="FF000000"/>
        <rFont val="Arial"/>
        <family val="2"/>
      </rPr>
      <t>exafluoride</t>
    </r>
    <r>
      <rPr>
        <sz val="10"/>
        <color rgb="FF000000"/>
        <rFont val="Arial"/>
        <family val="2"/>
      </rPr>
      <t xml:space="preserve"> (SF</t>
    </r>
    <r>
      <rPr>
        <vertAlign val="subscript"/>
        <sz val="10"/>
        <color rgb="FF000000"/>
        <rFont val="Arial"/>
        <family val="2"/>
      </rPr>
      <t>6</t>
    </r>
    <r>
      <rPr>
        <sz val="10"/>
        <color rgb="FF000000"/>
        <rFont val="Arial"/>
        <family val="2"/>
      </rPr>
      <t>)</t>
    </r>
  </si>
  <si>
    <r>
      <rPr>
        <vertAlign val="superscript"/>
        <sz val="8"/>
        <color rgb="FF000000"/>
        <rFont val="Arial"/>
        <family val="2"/>
      </rPr>
      <t>1</t>
    </r>
    <r>
      <rPr>
        <sz val="8"/>
        <color rgb="FF000000"/>
        <rFont val="Arial"/>
        <family val="2"/>
      </rPr>
      <t xml:space="preserve"> GRI Standards disclosure: GRI: 305-1: Direct (Scope 1) GHG Emissions, GRI: 305-2: Energy indirect (Scope 2) GHG emissions; SASB Metals &amp; Mining Sustainability Accounting Standard EM-MM-110a.1: Gross global Scope 1 emissions, percentage covered under emissions-limiting regulations (reference separate table for percentage covered under emissions-limiting regulations). Aligns with TCFD-M: a) Metrics used to assess climate related risks and opportunities in line with its strategy and risk management processes, and TCFD-M: b) Scope 1, Scope 2, and if appropriate, Scope 3 GHG emissions and related risks.
</t>
    </r>
    <r>
      <rPr>
        <vertAlign val="superscript"/>
        <sz val="8"/>
        <color rgb="FF000000"/>
        <rFont val="Arial"/>
        <family val="2"/>
      </rPr>
      <t>2</t>
    </r>
    <r>
      <rPr>
        <sz val="8"/>
        <color rgb="FF000000"/>
        <rFont val="Arial"/>
        <family val="2"/>
      </rPr>
      <t xml:space="preserve"> To ensure consistency and comparable reporting boundaries across energy and climate data disclosed, 2019 data omits Nevada TS Power Plant data to align with GHG Protocol Corporate Accounting and Reporting Standard for Merger and Acquisition year reporting guidance. 2015-2018 data is restated to include former Goldcorp site data for accounting and comparability purposes; 2019 data includes full year data for former Goldcorp assets acquired by Newmont on April 18, 2019. Greenhouse gas emissions are calculated using emission factors from the Climate Registry and the Australian Government National Greenhouse Accounts Factors.</t>
    </r>
  </si>
  <si>
    <t>Achieved reclamation (to agreed upon end use) during reporting period</t>
  </si>
  <si>
    <r>
      <rPr>
        <vertAlign val="superscript"/>
        <sz val="8"/>
        <color rgb="FF000000"/>
        <rFont val="Arial"/>
        <family val="2"/>
      </rPr>
      <t>1</t>
    </r>
    <r>
      <rPr>
        <sz val="8"/>
        <color rgb="FF000000"/>
        <rFont val="Arial"/>
        <family val="2"/>
      </rPr>
      <t xml:space="preserve"> GRI Metals and Mining Sector Supplement disclosure MM3: Total Amounts of overburden, rock, tailings, and sludges and their associated risks; SASB Metals and Mining Sustainability Accounting Standard: SASB EM-MM-150a.3: Number of tailings impoundments, broken down by Hazard Potential. Additional disclosures are available at: https://www.newmont.com/sustainability/environmental-responsibility/tailings-management/default.aspx. 
</t>
    </r>
    <r>
      <rPr>
        <vertAlign val="superscript"/>
        <sz val="8"/>
        <color rgb="FF000000"/>
        <rFont val="Arial"/>
        <family val="2"/>
      </rPr>
      <t xml:space="preserve">2 </t>
    </r>
    <r>
      <rPr>
        <sz val="8"/>
        <color rgb="FF000000"/>
        <rFont val="Arial"/>
        <family val="2"/>
      </rPr>
      <t>Church of England Pensions Board and Swedish Council on Ethics for the AP Public Pension Fund – Tailings Management  Approach and Inventory Disclosure.</t>
    </r>
  </si>
  <si>
    <r>
      <rPr>
        <vertAlign val="superscript"/>
        <sz val="8"/>
        <color rgb="FF000000"/>
        <rFont val="Arial"/>
        <family val="2"/>
      </rPr>
      <t>1</t>
    </r>
    <r>
      <rPr>
        <sz val="8"/>
        <color rgb="FF000000"/>
        <rFont val="Arial"/>
        <family val="2"/>
      </rPr>
      <t xml:space="preserve"> GRI Metals and Mining Sector Supplement disclosure MM3: Total Amounts of overburden, rock, tailings, and sludges and their associated risks; SASB Metals and Mining Sustainability Accounting Standard: SASB EM-MM-150a.1: Total weight of tailings waste, percentage recycled.
</t>
    </r>
    <r>
      <rPr>
        <vertAlign val="superscript"/>
        <sz val="8"/>
        <color rgb="FF000000"/>
        <rFont val="Arial"/>
        <family val="2"/>
      </rPr>
      <t>2</t>
    </r>
    <r>
      <rPr>
        <sz val="8"/>
        <color rgb="FF000000"/>
        <rFont val="Arial"/>
        <family val="2"/>
      </rPr>
      <t xml:space="preserve"> N/R: 2019 Former Goldcorp sites (Argentina, Canada and Mexico) omit report total tailings produced; in future years as site standards and reporting systems are integrated, these sites will report more detailed data to include tailings disposals by type (surface, open pit and subsurface disposals) in addition to total tailings disposed.</t>
    </r>
  </si>
  <si>
    <r>
      <rPr>
        <vertAlign val="superscript"/>
        <sz val="8"/>
        <color rgb="FF000000"/>
        <rFont val="Arial"/>
        <family val="2"/>
      </rPr>
      <t>1</t>
    </r>
    <r>
      <rPr>
        <sz val="8"/>
        <color rgb="FF000000"/>
        <rFont val="Arial"/>
        <family val="2"/>
      </rPr>
      <t xml:space="preserve"> GRI Metals and Mining Sector Supplement disclosure MM3: Total Amounts of overburden, rock, tailings, and sludges and their associated risks; SASB Metals and Mining Sustainability Accounting Standard: SASB EM-MM-150a.1: Total weight of tailings waste, percentage recycled.</t>
    </r>
  </si>
  <si>
    <r>
      <rPr>
        <vertAlign val="superscript"/>
        <sz val="8"/>
        <color rgb="FF000000"/>
        <rFont val="Arial"/>
        <family val="2"/>
      </rPr>
      <t>1</t>
    </r>
    <r>
      <rPr>
        <sz val="8"/>
        <color rgb="FF000000"/>
        <rFont val="Arial"/>
        <family val="2"/>
      </rPr>
      <t xml:space="preserve"> GRI Standards disclosure GRI 303-3: Water withdrawal; SASB Metals &amp; Mining Sustainability Accounting Standards EM-MM-140a.1: (1) Total fresh water withdrawn.
</t>
    </r>
    <r>
      <rPr>
        <vertAlign val="superscript"/>
        <sz val="8"/>
        <color rgb="FF000000"/>
        <rFont val="Arial"/>
        <family val="2"/>
      </rPr>
      <t>2</t>
    </r>
    <r>
      <rPr>
        <sz val="8"/>
        <color rgb="FF000000"/>
        <rFont val="Arial"/>
        <family val="2"/>
      </rPr>
      <t xml:space="preserve"> Water quality categories are based on the Minerals Council of Australia definitions.
</t>
    </r>
    <r>
      <rPr>
        <vertAlign val="superscript"/>
        <sz val="8"/>
        <color rgb="FF000000"/>
        <rFont val="Arial"/>
        <family val="2"/>
      </rPr>
      <t>3</t>
    </r>
    <r>
      <rPr>
        <sz val="8"/>
        <color rgb="FF000000"/>
        <rFont val="Arial"/>
        <family val="2"/>
      </rPr>
      <t xml:space="preserve"> The 201</t>
    </r>
    <r>
      <rPr>
        <sz val="8"/>
        <color rgb="FF000000"/>
        <rFont val="Arial"/>
        <family val="2"/>
      </rPr>
      <t>9</t>
    </r>
    <r>
      <rPr>
        <sz val="8"/>
        <color rgb="FF000000"/>
        <rFont val="Arial"/>
        <family val="2"/>
      </rPr>
      <t xml:space="preserve"> numbers reflect Newmont sites only. The former Goldcorp sites did not report consumption in this manner (Withdrawal - Discharge) or by water quality. We have also calculated the consumption based on ICMM High and Low Categories as shown within the table -44% High (Categories 1 and 2) and 56% Low (Category 3). The category 1, 2 and 3 consumption looks higher than 100% due to a negative number for Category 2 consumption. The negative amount is due to negative Category 2 water consumption based on the fact that the amount of water withdrawn that is considered Category 2 is larger than the amount of water discharged. The Categories of water quality are estimated based on the MCA decision tree, and not all water quality parameters are measured at every point.  As such some of the information is assumed.  Additionally, as operation occurs there are changes to the water quality that may not align with the original water quality.  For example, we may treat the water to a higher quality prior to discharge, or not have treatment  at all.
</t>
    </r>
    <r>
      <rPr>
        <vertAlign val="superscript"/>
        <sz val="8"/>
        <color rgb="FF000000"/>
        <rFont val="Arial"/>
        <family val="2"/>
      </rPr>
      <t>4</t>
    </r>
    <r>
      <rPr>
        <sz val="8"/>
        <color rgb="FF000000"/>
        <rFont val="Arial"/>
        <family val="2"/>
      </rPr>
      <t xml:space="preserve"> Figure reflects water consumption for Porcupine and Borden sites. Borden operations began in October 2019.</t>
    </r>
  </si>
  <si>
    <r>
      <rPr>
        <vertAlign val="superscript"/>
        <sz val="8"/>
        <color rgb="FF000000"/>
        <rFont val="Arial"/>
        <family val="2"/>
      </rPr>
      <t>1</t>
    </r>
    <r>
      <rPr>
        <sz val="8"/>
        <color rgb="FF000000"/>
        <rFont val="Arial"/>
        <family val="2"/>
      </rPr>
      <t xml:space="preserve"> GRI Standards disclosures GRI 303-2: Water discharge, and GRI 306-1: Water discharge by quality and destination.</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vertAlign val="superscript"/>
        <sz val="8"/>
        <color rgb="FF000000"/>
        <rFont val="Arial"/>
        <family val="2"/>
      </rPr>
      <t>2</t>
    </r>
    <r>
      <rPr>
        <sz val="8"/>
        <color rgb="FF000000"/>
        <rFont val="Arial"/>
        <family val="2"/>
      </rPr>
      <t xml:space="preserve"> Former Goldcorp sites omit breakouts for type of discharge, although this will be reported in future years as reporting systems are integrated. The total 2019 discharge for former Goldcorp sites was 10,736 ML. Untreated discharge to surface water includes CC&amp;V, Ahafo, Porcupine sites. Treated discharge to surface water includes Yanacocha, Red Lake sites. Treated discharge by other includes Merian, Musselwhite, Éléonore, Porcupine sites. Treated discharge by RO includes Yanacocha and Ahafo sites. Treated discharge by other (groundwater reinjection and supply provided to communities) includes Akyem, Penasquito sites. Untreated to groundwater includes KCGM site as well as untreated to third parties. Treated effluent (mining and domestic sewage) for Éléonore site.
</t>
    </r>
    <r>
      <rPr>
        <vertAlign val="superscript"/>
        <sz val="8"/>
        <color rgb="FF000000"/>
        <rFont val="Arial"/>
        <family val="2"/>
      </rPr>
      <t>3</t>
    </r>
    <r>
      <rPr>
        <sz val="8"/>
        <color rgb="FF000000"/>
        <rFont val="Arial"/>
        <family val="2"/>
      </rPr>
      <t xml:space="preserve"> Figure reflects water consumption for Porcupine and Borden sites. Borden operations began in October 2019.</t>
    </r>
  </si>
  <si>
    <r>
      <rPr>
        <vertAlign val="superscript"/>
        <sz val="8"/>
        <color rgb="FF000000"/>
        <rFont val="Arial"/>
        <family val="2"/>
      </rPr>
      <t xml:space="preserve">1 </t>
    </r>
    <r>
      <rPr>
        <sz val="8"/>
        <color rgb="FF000000"/>
        <rFont val="Arial"/>
        <family val="2"/>
      </rPr>
      <t>GRI Standards disclosures GRI 303-2: Water discharge, and GRI 306-1: Water discharge by quality and destination.</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sz val="8"/>
        <color rgb="FF000000"/>
        <rFont val="Arial"/>
        <family val="2"/>
      </rPr>
      <t xml:space="preserve">	
</t>
    </r>
    <r>
      <rPr>
        <vertAlign val="superscript"/>
        <sz val="8"/>
        <color rgb="FF000000"/>
        <rFont val="Arial"/>
        <family val="2"/>
      </rPr>
      <t>2</t>
    </r>
    <r>
      <rPr>
        <sz val="8"/>
        <color rgb="FF000000"/>
        <rFont val="Arial"/>
        <family val="2"/>
      </rPr>
      <t xml:space="preserve"> Figure reflects water consumption for Porcupine and Borden sites. Borden operations began in October 2019.</t>
    </r>
  </si>
  <si>
    <r>
      <rPr>
        <vertAlign val="superscript"/>
        <sz val="8"/>
        <color rgb="FF000000"/>
        <rFont val="Arial"/>
        <family val="2"/>
      </rPr>
      <t>1</t>
    </r>
    <r>
      <rPr>
        <sz val="8"/>
        <color rgb="FF000000"/>
        <rFont val="Arial"/>
        <family val="2"/>
      </rPr>
      <t xml:space="preserve"> GRI Standards disclosure GRI 303-3 Water withdrawal.
</t>
    </r>
    <r>
      <rPr>
        <vertAlign val="superscript"/>
        <sz val="8"/>
        <color rgb="FF000000"/>
        <rFont val="Arial"/>
        <family val="2"/>
      </rPr>
      <t>2</t>
    </r>
    <r>
      <rPr>
        <sz val="8"/>
        <color rgb="FF000000"/>
        <rFont val="Arial"/>
        <family val="2"/>
      </rPr>
      <t xml:space="preserve"> Groundwater does not include entrainment in ore.
</t>
    </r>
    <r>
      <rPr>
        <vertAlign val="superscript"/>
        <sz val="8"/>
        <color rgb="FF000000"/>
        <rFont val="Arial"/>
        <family val="2"/>
      </rPr>
      <t>3</t>
    </r>
    <r>
      <rPr>
        <sz val="8"/>
        <color rgb="FF000000"/>
        <rFont val="Arial"/>
        <family val="2"/>
      </rPr>
      <t xml:space="preserve"> </t>
    </r>
    <r>
      <rPr>
        <sz val="8"/>
        <color rgb="FF000000"/>
        <rFont val="Arial"/>
        <family val="2"/>
      </rPr>
      <t xml:space="preserve">Precipitation volumes includes runoff that is captured from rainfall on </t>
    </r>
    <r>
      <rPr>
        <sz val="8"/>
        <color rgb="FF000000"/>
        <rFont val="Arial"/>
        <family val="2"/>
      </rPr>
      <t>t</t>
    </r>
    <r>
      <rPr>
        <sz val="8"/>
        <color rgb="FF000000"/>
        <rFont val="Arial"/>
        <family val="2"/>
      </rPr>
      <t xml:space="preserve">ailings </t>
    </r>
    <r>
      <rPr>
        <sz val="8"/>
        <color rgb="FF000000"/>
        <rFont val="Arial"/>
        <family val="2"/>
      </rPr>
      <t>s</t>
    </r>
    <r>
      <rPr>
        <sz val="8"/>
        <color rgb="FF000000"/>
        <rFont val="Arial"/>
        <family val="2"/>
      </rPr>
      <t xml:space="preserve">torage </t>
    </r>
    <r>
      <rPr>
        <sz val="8"/>
        <color rgb="FF000000"/>
        <rFont val="Arial"/>
        <family val="2"/>
      </rPr>
      <t>f</t>
    </r>
    <r>
      <rPr>
        <sz val="8"/>
        <color rgb="FF000000"/>
        <rFont val="Arial"/>
        <family val="2"/>
      </rPr>
      <t xml:space="preserve">acilities and heap leaches for all facilities except Yanacocha, Akyem and Boddington which also include runoff that is captured from waste rock piles. 
</t>
    </r>
    <r>
      <rPr>
        <vertAlign val="superscript"/>
        <sz val="8"/>
        <color rgb="FF000000"/>
        <rFont val="Arial"/>
        <family val="2"/>
      </rPr>
      <t>4</t>
    </r>
    <r>
      <rPr>
        <sz val="8"/>
        <color rgb="FF000000"/>
        <rFont val="Arial"/>
        <family val="2"/>
      </rPr>
      <t xml:space="preserve"> Figure reflects water consumption for Porcupine and Borden mines. Borden operations began in October 2019.</t>
    </r>
  </si>
  <si>
    <r>
      <rPr>
        <vertAlign val="superscript"/>
        <sz val="8"/>
        <color rgb="FF000000"/>
        <rFont val="Arial"/>
        <family val="2"/>
      </rPr>
      <t>1</t>
    </r>
    <r>
      <rPr>
        <sz val="8"/>
        <color rgb="FF000000"/>
        <rFont val="Arial"/>
        <family val="2"/>
      </rPr>
      <t xml:space="preserve"> GRI Standards </t>
    </r>
    <r>
      <rPr>
        <sz val="8"/>
        <color rgb="FF000000"/>
        <rFont val="Arial"/>
        <family val="2"/>
      </rPr>
      <t>disclosures</t>
    </r>
    <r>
      <rPr>
        <sz val="8"/>
        <color rgb="FF000000"/>
        <rFont val="Arial"/>
        <family val="2"/>
      </rPr>
      <t xml:space="preserve"> GRI 303-3: Water withdrawals; GRI 303-4: Water discharge, and GRI 303-5: Water consumption; SASB Metals &amp; Mining Sustainability Accounting Standard disclosure EM-MM-140a.1: (1) Total fresh water withdrawn, (2) total fresh water consumed.  
</t>
    </r>
    <r>
      <rPr>
        <vertAlign val="superscript"/>
        <sz val="8"/>
        <color rgb="FF000000"/>
        <rFont val="Arial"/>
        <family val="2"/>
      </rPr>
      <t>2</t>
    </r>
    <r>
      <rPr>
        <sz val="8"/>
        <color rgb="FF000000"/>
        <rFont val="Arial"/>
        <family val="2"/>
      </rPr>
      <t xml:space="preserve"> Total water consumed, total water withdrawn, and ocean water used for processing and cooling decreased significantly beginning in 2016 due to the divestiture of our Bate Hijau operation in Indonesia.</t>
    </r>
  </si>
  <si>
    <r>
      <rPr>
        <vertAlign val="superscript"/>
        <sz val="8"/>
        <color rgb="FF000000"/>
        <rFont val="Arial"/>
        <family val="2"/>
      </rPr>
      <t>1</t>
    </r>
    <r>
      <rPr>
        <sz val="8"/>
        <color rgb="FF000000"/>
        <rFont val="Arial"/>
        <family val="2"/>
      </rPr>
      <t xml:space="preserve"> GRI Standards disclosure GRI 303-5: Water consumption.
</t>
    </r>
    <r>
      <rPr>
        <vertAlign val="superscript"/>
        <sz val="8"/>
        <color rgb="FF000000"/>
        <rFont val="Arial"/>
        <family val="2"/>
      </rPr>
      <t>2</t>
    </r>
    <r>
      <rPr>
        <sz val="8"/>
        <color rgb="FF000000"/>
        <rFont val="Arial"/>
        <family val="2"/>
      </rPr>
      <t xml:space="preserve"> Water quality categories are based on the Minerals Council of Australia definitions.</t>
    </r>
  </si>
  <si>
    <r>
      <rPr>
        <vertAlign val="superscript"/>
        <sz val="8"/>
        <color rgb="FF000000"/>
        <rFont val="Arial"/>
        <family val="2"/>
      </rPr>
      <t>1</t>
    </r>
    <r>
      <rPr>
        <sz val="8"/>
        <color rgb="FF000000"/>
        <rFont val="Arial"/>
        <family val="2"/>
      </rPr>
      <t xml:space="preserve"> GRI Standards disclosure GRI 303-5: Water consumption.
</t>
    </r>
    <r>
      <rPr>
        <vertAlign val="superscript"/>
        <sz val="8"/>
        <color rgb="FF000000"/>
        <rFont val="Arial"/>
        <family val="2"/>
      </rPr>
      <t>2</t>
    </r>
    <r>
      <rPr>
        <sz val="8"/>
        <color rgb="FF000000"/>
        <rFont val="Arial"/>
        <family val="2"/>
      </rPr>
      <t xml:space="preserve"> The 2019 data includes former Goldcorp sites (Cerro Negro, Éléonore, Musselwhite, Peñasquito, Porcupine and Red Lake) and </t>
    </r>
    <r>
      <rPr>
        <sz val="8"/>
        <color rgb="FF000000"/>
        <rFont val="Arial"/>
        <family val="2"/>
      </rPr>
      <t xml:space="preserve"> omits Nevada operations</t>
    </r>
    <r>
      <rPr>
        <sz val="8"/>
        <color rgb="FF000000"/>
        <rFont val="Arial"/>
        <family val="2"/>
      </rPr>
      <t xml:space="preserve">. 2015-2018 data has not been adjusted to reflect the 2019 asset portfolio; when adjusting 2018 data to reflect the performance of our current operating portfolio (i.e., including former Goldcorp sites and excluding Nevada Gold Mines sites), water consumed was reduced by 12,979 ML, water recycled increased by 13,970 ML, and the percent recycled increased from 68 percent to 71 percent.
</t>
    </r>
    <r>
      <rPr>
        <vertAlign val="superscript"/>
        <sz val="8"/>
        <color rgb="FF000000"/>
        <rFont val="Arial"/>
        <family val="2"/>
      </rPr>
      <t>3</t>
    </r>
    <r>
      <rPr>
        <sz val="8"/>
        <color rgb="FF000000"/>
        <rFont val="Arial"/>
        <family val="2"/>
      </rPr>
      <t xml:space="preserve"> Water consumption is defined by GRI as water withdrawn minus water discharged. The ICMM definition for water consumption is water evaporated plus water entrained plus other water losses. For 2019, the total consumption based on this definition is 177,390 ML.
</t>
    </r>
    <r>
      <rPr>
        <vertAlign val="superscript"/>
        <sz val="8"/>
        <color rgb="FF000000"/>
        <rFont val="Arial"/>
        <family val="2"/>
      </rPr>
      <t>4</t>
    </r>
    <r>
      <rPr>
        <sz val="8"/>
        <color rgb="FF000000"/>
        <rFont val="Arial"/>
        <family val="2"/>
      </rPr>
      <t xml:space="preserve"> </t>
    </r>
    <r>
      <rPr>
        <sz val="8"/>
        <color rgb="FF000000"/>
        <rFont val="Arial"/>
        <family val="2"/>
      </rPr>
      <t>Water recycled/reused is defined as water that is reused or recycled within the site for operational use</t>
    </r>
    <r>
      <rPr>
        <sz val="8"/>
        <color rgb="FF000000"/>
        <rFont val="Arial"/>
        <family val="2"/>
      </rPr>
      <t>.</t>
    </r>
  </si>
  <si>
    <r>
      <rPr>
        <vertAlign val="superscript"/>
        <sz val="8"/>
        <color rgb="FF000000"/>
        <rFont val="Arial"/>
        <family val="2"/>
      </rPr>
      <t xml:space="preserve">1 </t>
    </r>
    <r>
      <rPr>
        <sz val="8"/>
        <color rgb="FF000000"/>
        <rFont val="Arial"/>
        <family val="2"/>
      </rPr>
      <t>GRI</t>
    </r>
    <r>
      <rPr>
        <sz val="8"/>
        <color rgb="FF000000"/>
        <rFont val="Arial"/>
        <family val="2"/>
      </rPr>
      <t xml:space="preserve"> </t>
    </r>
    <r>
      <rPr>
        <sz val="8"/>
        <color rgb="FF000000"/>
        <rFont val="Arial"/>
        <family val="2"/>
      </rPr>
      <t xml:space="preserve">Standards </t>
    </r>
    <r>
      <rPr>
        <sz val="8"/>
        <color rgb="FF000000"/>
        <rFont val="Arial"/>
        <family val="2"/>
      </rPr>
      <t>disclosures</t>
    </r>
    <r>
      <rPr>
        <sz val="8"/>
        <color rgb="FF000000"/>
        <rFont val="Arial"/>
        <family val="2"/>
      </rPr>
      <t xml:space="preserve"> </t>
    </r>
    <r>
      <rPr>
        <sz val="8"/>
        <color rgb="FF000000"/>
        <rFont val="Arial"/>
        <family val="2"/>
      </rPr>
      <t>GRI 403-9</t>
    </r>
    <r>
      <rPr>
        <sz val="8"/>
        <color rgb="FF000000"/>
        <rFont val="Arial"/>
        <family val="2"/>
      </rPr>
      <t>:</t>
    </r>
    <r>
      <rPr>
        <sz val="8"/>
        <color rgb="FF000000"/>
        <rFont val="Arial"/>
        <family val="2"/>
      </rPr>
      <t xml:space="preserve"> Work-related injuries</t>
    </r>
    <r>
      <rPr>
        <sz val="8"/>
        <color rgb="FF000000"/>
        <rFont val="Arial"/>
        <family val="2"/>
      </rPr>
      <t>;</t>
    </r>
    <r>
      <rPr>
        <sz val="8"/>
        <color rgb="FF000000"/>
        <rFont val="Arial"/>
        <family val="2"/>
      </rPr>
      <t xml:space="preserve"> </t>
    </r>
    <r>
      <rPr>
        <sz val="8"/>
        <color rgb="FF000000"/>
        <rFont val="Arial"/>
        <family val="2"/>
      </rPr>
      <t>GRI 403-2: Types of injury and rates of injury, occupational diseases, lost days, and absenteeism, and number of work-related fatalities</t>
    </r>
    <r>
      <rPr>
        <sz val="8"/>
        <color rgb="FF000000"/>
        <rFont val="Arial"/>
        <family val="2"/>
      </rPr>
      <t xml:space="preserve">. 
</t>
    </r>
    <r>
      <rPr>
        <vertAlign val="superscript"/>
        <sz val="8"/>
        <color rgb="FF000000"/>
        <rFont val="Arial"/>
        <family val="2"/>
      </rPr>
      <t xml:space="preserve">2 </t>
    </r>
    <r>
      <rPr>
        <sz val="8"/>
        <color rgb="FF000000"/>
        <rFont val="Arial"/>
        <family val="2"/>
      </rPr>
      <t xml:space="preserve">OIFR rates include illnesses related to airborne agents as well as noise-induced hearing loss (NIHL), infectious diseases (such as malaria, tuberculosis and dengue fever) and musculoskeletal disorders). 
</t>
    </r>
    <r>
      <rPr>
        <vertAlign val="superscript"/>
        <sz val="8"/>
        <color rgb="FF000000"/>
        <rFont val="Arial"/>
        <family val="2"/>
      </rPr>
      <t xml:space="preserve">3 </t>
    </r>
    <r>
      <rPr>
        <sz val="8"/>
        <color rgb="FF000000"/>
        <rFont val="Arial"/>
        <family val="2"/>
      </rPr>
      <t>2019 data</t>
    </r>
    <r>
      <rPr>
        <sz val="8"/>
        <color rgb="FF000000"/>
        <rFont val="Arial"/>
        <family val="2"/>
      </rPr>
      <t xml:space="preserve"> include former Nevada assets from Jan 1 - June 30, 20</t>
    </r>
    <r>
      <rPr>
        <sz val="8"/>
        <color rgb="FF000000"/>
        <rFont val="Arial"/>
        <family val="2"/>
      </rPr>
      <t>19</t>
    </r>
    <r>
      <rPr>
        <sz val="8"/>
        <color rgb="FF000000"/>
        <rFont val="Arial"/>
        <family val="2"/>
      </rPr>
      <t xml:space="preserve"> and includes all office, metallurgy laboratory, project and exploration sites. As we integrate reporting systems, Goldcorp data will be included in future data sets. We do not disaggregate safety data by gender. Beginning in 2017, we began reporting TRIFR and LTIFR data in alignment with ICMM guidelines. Data for the years 2015 and 2016 have been restated to reflect this reclassification.</t>
    </r>
  </si>
  <si>
    <r>
      <rPr>
        <vertAlign val="superscript"/>
        <sz val="8"/>
        <color rgb="FF000000"/>
        <rFont val="Arial"/>
        <family val="2"/>
      </rPr>
      <t xml:space="preserve">1 </t>
    </r>
    <r>
      <rPr>
        <sz val="8"/>
        <color rgb="FF000000"/>
        <rFont val="Arial"/>
        <family val="2"/>
      </rPr>
      <t xml:space="preserve">GRI Standards disclosures </t>
    </r>
    <r>
      <rPr>
        <sz val="8"/>
        <color rgb="FF000000"/>
        <rFont val="Arial"/>
        <family val="2"/>
      </rPr>
      <t>GRI 403-9</t>
    </r>
    <r>
      <rPr>
        <sz val="8"/>
        <color rgb="FF000000"/>
        <rFont val="Arial"/>
        <family val="2"/>
      </rPr>
      <t>:</t>
    </r>
    <r>
      <rPr>
        <sz val="8"/>
        <color rgb="FF000000"/>
        <rFont val="Arial"/>
        <family val="2"/>
      </rPr>
      <t xml:space="preserve"> Work-related injuries</t>
    </r>
    <r>
      <rPr>
        <sz val="8"/>
        <color rgb="FF000000"/>
        <rFont val="Arial"/>
        <family val="2"/>
      </rPr>
      <t>;</t>
    </r>
    <r>
      <rPr>
        <sz val="8"/>
        <color rgb="FF000000"/>
        <rFont val="Arial"/>
        <family val="2"/>
      </rPr>
      <t xml:space="preserve"> GRI 403-2: Types of injury and rates of injury, occupational diseases, lost days, and absenteeism, and number of work-related fatalities. 
</t>
    </r>
    <r>
      <rPr>
        <vertAlign val="superscript"/>
        <sz val="8"/>
        <color rgb="FF000000"/>
        <rFont val="Arial"/>
        <family val="2"/>
      </rPr>
      <t xml:space="preserve">2 </t>
    </r>
    <r>
      <rPr>
        <sz val="8"/>
        <color rgb="FF000000"/>
        <rFont val="Arial"/>
        <family val="2"/>
      </rPr>
      <t>2019 data</t>
    </r>
    <r>
      <rPr>
        <sz val="8"/>
        <color rgb="FF000000"/>
        <rFont val="Arial"/>
        <family val="2"/>
      </rPr>
      <t xml:space="preserve"> include former Nevada assets from Jan 1 - June 30, 20</t>
    </r>
    <r>
      <rPr>
        <sz val="8"/>
        <color rgb="FF000000"/>
        <rFont val="Arial"/>
        <family val="2"/>
      </rPr>
      <t>19</t>
    </r>
    <r>
      <rPr>
        <sz val="8"/>
        <color rgb="FF000000"/>
        <rFont val="Arial"/>
        <family val="2"/>
      </rPr>
      <t xml:space="preserve"> and includes all office, metallurgy laboratory, project and exploration sites. We do not collect this data by gender. All data has been adjusted to reflect our reclassification of injuries and illnesses to align with ICMM guidelines.</t>
    </r>
  </si>
  <si>
    <r>
      <rPr>
        <vertAlign val="superscript"/>
        <sz val="8"/>
        <color rgb="FF000000"/>
        <rFont val="Arial"/>
        <family val="2"/>
      </rPr>
      <t xml:space="preserve">1 </t>
    </r>
    <r>
      <rPr>
        <sz val="8"/>
        <color rgb="FF000000"/>
        <rFont val="Arial"/>
        <family val="2"/>
      </rPr>
      <t xml:space="preserve">GRI Standards disclosures </t>
    </r>
    <r>
      <rPr>
        <sz val="8"/>
        <color rgb="FF000000"/>
        <rFont val="Arial"/>
        <family val="2"/>
      </rPr>
      <t>GRI 403-9</t>
    </r>
    <r>
      <rPr>
        <sz val="8"/>
        <color rgb="FF000000"/>
        <rFont val="Arial"/>
        <family val="2"/>
      </rPr>
      <t>:</t>
    </r>
    <r>
      <rPr>
        <sz val="8"/>
        <color rgb="FF000000"/>
        <rFont val="Arial"/>
        <family val="2"/>
      </rPr>
      <t xml:space="preserve"> Work-related injuries</t>
    </r>
    <r>
      <rPr>
        <sz val="8"/>
        <color rgb="FF000000"/>
        <rFont val="Arial"/>
        <family val="2"/>
      </rPr>
      <t>;</t>
    </r>
    <r>
      <rPr>
        <sz val="8"/>
        <color rgb="FF000000"/>
        <rFont val="Arial"/>
        <family val="2"/>
      </rPr>
      <t xml:space="preserve"> GRI 403-2: Types of injury and rates of injury, occupational diseases, lost days, and absenteeism, and number of work-related fatalities. 
</t>
    </r>
    <r>
      <rPr>
        <vertAlign val="superscript"/>
        <sz val="8"/>
        <color rgb="FF000000"/>
        <rFont val="Arial"/>
        <family val="2"/>
      </rPr>
      <t xml:space="preserve">2 </t>
    </r>
    <r>
      <rPr>
        <sz val="8"/>
        <color rgb="FF000000"/>
        <rFont val="Arial"/>
        <family val="2"/>
      </rPr>
      <t>2019 data</t>
    </r>
    <r>
      <rPr>
        <sz val="8"/>
        <color rgb="FF000000"/>
        <rFont val="Arial"/>
        <family val="2"/>
      </rPr>
      <t xml:space="preserve"> include former Nevada assets from Jan 1 - June 30, 20</t>
    </r>
    <r>
      <rPr>
        <sz val="8"/>
        <color rgb="FF000000"/>
        <rFont val="Arial"/>
        <family val="2"/>
      </rPr>
      <t>19</t>
    </r>
    <r>
      <rPr>
        <sz val="8"/>
        <color rgb="FF000000"/>
        <rFont val="Arial"/>
        <family val="2"/>
      </rPr>
      <t xml:space="preserve"> and includes all office, metallurgy laboratory, project and exploration sites. We do not collect this data by gender. All data has been adjusted to reflect our reclassification of injuries and illnesses to align with ICMM guidelines</t>
    </r>
    <r>
      <rPr>
        <sz val="8"/>
        <color rgb="FF000000"/>
        <rFont val="Arial"/>
        <family val="2"/>
      </rPr>
      <t>.</t>
    </r>
  </si>
  <si>
    <r>
      <rPr>
        <vertAlign val="superscript"/>
        <sz val="8"/>
        <color rgb="FF000000"/>
        <rFont val="Arial"/>
        <family val="2"/>
      </rPr>
      <t xml:space="preserve">1 </t>
    </r>
    <r>
      <rPr>
        <sz val="8"/>
        <color rgb="FF000000"/>
        <rFont val="Arial"/>
        <family val="2"/>
      </rPr>
      <t xml:space="preserve">GRI Standards disclosures </t>
    </r>
    <r>
      <rPr>
        <sz val="8"/>
        <color rgb="FF000000"/>
        <rFont val="Arial"/>
        <family val="2"/>
      </rPr>
      <t>GRI 403-9</t>
    </r>
    <r>
      <rPr>
        <sz val="8"/>
        <color rgb="FF000000"/>
        <rFont val="Arial"/>
        <family val="2"/>
      </rPr>
      <t>:</t>
    </r>
    <r>
      <rPr>
        <sz val="8"/>
        <color rgb="FF000000"/>
        <rFont val="Arial"/>
        <family val="2"/>
      </rPr>
      <t xml:space="preserve"> Work-related injuries</t>
    </r>
    <r>
      <rPr>
        <sz val="8"/>
        <color rgb="FF000000"/>
        <rFont val="Arial"/>
        <family val="2"/>
      </rPr>
      <t>;</t>
    </r>
    <r>
      <rPr>
        <sz val="8"/>
        <color rgb="FF000000"/>
        <rFont val="Arial"/>
        <family val="2"/>
      </rPr>
      <t xml:space="preserve"> GRI 403-2: Types of injury and rates of injury, occupational diseases, lost days, and absenteeism, and number of work-related fatalities. 
</t>
    </r>
    <r>
      <rPr>
        <vertAlign val="superscript"/>
        <sz val="8"/>
        <color rgb="FF000000"/>
        <rFont val="Arial"/>
        <family val="2"/>
      </rPr>
      <t>2</t>
    </r>
    <r>
      <rPr>
        <vertAlign val="superscript"/>
        <sz val="8"/>
        <color rgb="FF000000"/>
        <rFont val="Arial"/>
        <family val="2"/>
      </rPr>
      <t xml:space="preserve"> </t>
    </r>
    <r>
      <rPr>
        <sz val="8"/>
        <color rgb="FF000000"/>
        <rFont val="Arial"/>
        <family val="2"/>
      </rPr>
      <t>OIFR rates include illnesses related to airborne agents as well as noise-induced hearing loss (NIHL), infectious diseases (such as malaria, tuberculosis</t>
    </r>
    <r>
      <rPr>
        <sz val="8"/>
        <color rgb="FF000000"/>
        <rFont val="Arial"/>
        <family val="2"/>
      </rPr>
      <t xml:space="preserve"> </t>
    </r>
    <r>
      <rPr>
        <sz val="8"/>
        <color rgb="FF000000"/>
        <rFont val="Arial"/>
        <family val="2"/>
      </rPr>
      <t>and dengue fever) and musculoskeletal disorders).</t>
    </r>
    <r>
      <rPr>
        <sz val="8"/>
        <color rgb="FF000000"/>
        <rFont val="Arial"/>
        <family val="2"/>
      </rPr>
      <t xml:space="preserve"> 
</t>
    </r>
    <r>
      <rPr>
        <vertAlign val="superscript"/>
        <sz val="8"/>
        <color rgb="FF000000"/>
        <rFont val="Arial"/>
        <family val="2"/>
      </rPr>
      <t>3</t>
    </r>
    <r>
      <rPr>
        <vertAlign val="superscript"/>
        <sz val="8"/>
        <color rgb="FF000000"/>
        <rFont val="Arial"/>
        <family val="2"/>
      </rPr>
      <t xml:space="preserve"> </t>
    </r>
    <r>
      <rPr>
        <sz val="8"/>
        <color rgb="FF000000"/>
        <rFont val="Arial"/>
        <family val="2"/>
      </rPr>
      <t>2019 data</t>
    </r>
    <r>
      <rPr>
        <sz val="8"/>
        <color rgb="FF000000"/>
        <rFont val="Arial"/>
        <family val="2"/>
      </rPr>
      <t xml:space="preserve"> include former Nevada assets from Jan 1 - June 30, 20</t>
    </r>
    <r>
      <rPr>
        <sz val="8"/>
        <color rgb="FF000000"/>
        <rFont val="Arial"/>
        <family val="2"/>
      </rPr>
      <t>19</t>
    </r>
    <r>
      <rPr>
        <sz val="8"/>
        <color rgb="FF000000"/>
        <rFont val="Arial"/>
        <family val="2"/>
      </rPr>
      <t xml:space="preserve"> and includes all office, metallurgy laboratory, project and exploration sites. As we integrate reporting systems, Goldcorp data will be included in future data sets. We do not disaggregate safety data by gender. </t>
    </r>
    <r>
      <rPr>
        <sz val="8"/>
        <color rgb="FF000000"/>
        <rFont val="Arial"/>
        <family val="2"/>
      </rPr>
      <t>Beginning in 2017, we began reporting TRIFR and LTIFR data in alignment with ICMM guidelines. Data for the years 2015 and 2016 have been restated to reflect this reclassification.</t>
    </r>
  </si>
  <si>
    <r>
      <rPr>
        <vertAlign val="superscript"/>
        <sz val="8"/>
        <color rgb="FF000000"/>
        <rFont val="Arial"/>
        <family val="2"/>
      </rPr>
      <t xml:space="preserve">1 </t>
    </r>
    <r>
      <rPr>
        <sz val="8"/>
        <color rgb="FF000000"/>
        <rFont val="Arial"/>
        <family val="2"/>
      </rPr>
      <t xml:space="preserve">GRI Standards disclosures </t>
    </r>
    <r>
      <rPr>
        <sz val="8"/>
        <color rgb="FF000000"/>
        <rFont val="Arial"/>
        <family val="2"/>
      </rPr>
      <t>GRI 403-9</t>
    </r>
    <r>
      <rPr>
        <sz val="8"/>
        <color rgb="FF000000"/>
        <rFont val="Arial"/>
        <family val="2"/>
      </rPr>
      <t>:</t>
    </r>
    <r>
      <rPr>
        <sz val="8"/>
        <color rgb="FF000000"/>
        <rFont val="Arial"/>
        <family val="2"/>
      </rPr>
      <t xml:space="preserve"> Work-related injuries</t>
    </r>
    <r>
      <rPr>
        <sz val="8"/>
        <color rgb="FF000000"/>
        <rFont val="Arial"/>
        <family val="2"/>
      </rPr>
      <t>;</t>
    </r>
    <r>
      <rPr>
        <sz val="8"/>
        <color rgb="FF000000"/>
        <rFont val="Arial"/>
        <family val="2"/>
      </rPr>
      <t xml:space="preserve"> GRI 403-2: Types of injury and rates of injury, occupational diseases, lost days, and absenteeism, and number of work-related fatalities. 
</t>
    </r>
    <r>
      <rPr>
        <vertAlign val="superscript"/>
        <sz val="8"/>
        <color rgb="FF000000"/>
        <rFont val="Arial"/>
        <family val="2"/>
      </rPr>
      <t xml:space="preserve">2 </t>
    </r>
    <r>
      <rPr>
        <sz val="8"/>
        <color rgb="FF000000"/>
        <rFont val="Arial"/>
        <family val="2"/>
      </rPr>
      <t>2019 data</t>
    </r>
    <r>
      <rPr>
        <sz val="8"/>
        <color rgb="FF000000"/>
        <rFont val="Arial"/>
        <family val="2"/>
      </rPr>
      <t xml:space="preserve"> include</t>
    </r>
    <r>
      <rPr>
        <sz val="8"/>
        <color rgb="FF000000"/>
        <rFont val="Arial"/>
        <family val="2"/>
      </rPr>
      <t>s</t>
    </r>
    <r>
      <rPr>
        <sz val="8"/>
        <color rgb="FF000000"/>
        <rFont val="Arial"/>
        <family val="2"/>
      </rPr>
      <t xml:space="preserve"> former Nevada assets from Jan 1 - June 30, 20</t>
    </r>
    <r>
      <rPr>
        <sz val="8"/>
        <color rgb="FF000000"/>
        <rFont val="Arial"/>
        <family val="2"/>
      </rPr>
      <t>19</t>
    </r>
    <r>
      <rPr>
        <sz val="8"/>
        <color rgb="FF000000"/>
        <rFont val="Arial"/>
        <family val="2"/>
      </rPr>
      <t xml:space="preserve"> and </t>
    </r>
    <r>
      <rPr>
        <sz val="8"/>
        <color rgb="FF000000"/>
        <rFont val="Arial"/>
        <family val="2"/>
      </rPr>
      <t>i</t>
    </r>
    <r>
      <rPr>
        <sz val="8"/>
        <color rgb="FF000000"/>
        <rFont val="Arial"/>
        <family val="2"/>
      </rPr>
      <t>n</t>
    </r>
    <r>
      <rPr>
        <sz val="8"/>
        <color rgb="FF000000"/>
        <rFont val="Arial"/>
        <family val="2"/>
      </rPr>
      <t>c</t>
    </r>
    <r>
      <rPr>
        <sz val="8"/>
        <color rgb="FF000000"/>
        <rFont val="Arial"/>
        <family val="2"/>
      </rPr>
      <t xml:space="preserve">ludes all office, metallurgy laboratory, project and exploration sites. We do not collect this data by gender. 
</t>
    </r>
    <r>
      <rPr>
        <vertAlign val="superscript"/>
        <sz val="8"/>
        <color rgb="FF000000"/>
        <rFont val="Arial"/>
        <family val="2"/>
      </rPr>
      <t>3</t>
    </r>
    <r>
      <rPr>
        <vertAlign val="superscript"/>
        <sz val="8"/>
        <color rgb="FF000000"/>
        <rFont val="Arial"/>
        <family val="2"/>
      </rPr>
      <t xml:space="preserve"> </t>
    </r>
    <r>
      <rPr>
        <sz val="8"/>
        <color rgb="FF000000"/>
        <rFont val="Arial"/>
        <family val="2"/>
      </rPr>
      <t xml:space="preserve">Beginning in 2017, we began reporting TRIFR and LTIFR data in alignment with ICMM guidelines. Data for the years 2015 and 2016 have been restated to reflect this reclassification.
</t>
    </r>
    <r>
      <rPr>
        <vertAlign val="superscript"/>
        <sz val="8"/>
        <color rgb="FF000000"/>
        <rFont val="Arial"/>
        <family val="2"/>
      </rPr>
      <t>4</t>
    </r>
    <r>
      <rPr>
        <sz val="8"/>
        <color rgb="FF000000"/>
        <rFont val="Arial"/>
        <family val="2"/>
      </rPr>
      <t xml:space="preserve"> As part of the updated reporting requirements that went into effect on January 1, 2018, our Serious Injury Frequency Rate (SIFR) classification has changed to Permanently Disabling Injury/Illness (PDI).</t>
    </r>
  </si>
  <si>
    <r>
      <rPr>
        <vertAlign val="superscript"/>
        <sz val="8"/>
        <color rgb="FF000000"/>
        <rFont val="Arial"/>
        <family val="2"/>
      </rPr>
      <t>1</t>
    </r>
    <r>
      <rPr>
        <sz val="8"/>
        <color rgb="FF000000"/>
        <rFont val="Arial"/>
        <family val="2"/>
      </rPr>
      <t xml:space="preserve">GRI </t>
    </r>
    <r>
      <rPr>
        <sz val="8"/>
        <color rgb="FF000000"/>
        <rFont val="Arial"/>
        <family val="2"/>
      </rPr>
      <t>Standards disclo</t>
    </r>
    <r>
      <rPr>
        <sz val="8"/>
        <color rgb="FF000000"/>
        <rFont val="Arial"/>
        <family val="2"/>
      </rPr>
      <t xml:space="preserve">sures </t>
    </r>
    <r>
      <rPr>
        <sz val="8"/>
        <color rgb="FF000000"/>
        <rFont val="Arial"/>
        <family val="2"/>
      </rPr>
      <t>403-9</t>
    </r>
    <r>
      <rPr>
        <sz val="8"/>
        <color rgb="FF000000"/>
        <rFont val="Arial"/>
        <family val="2"/>
      </rPr>
      <t>:</t>
    </r>
    <r>
      <rPr>
        <sz val="8"/>
        <color rgb="FF000000"/>
        <rFont val="Arial"/>
        <family val="2"/>
      </rPr>
      <t xml:space="preserve"> Work-related injuries</t>
    </r>
    <r>
      <rPr>
        <sz val="8"/>
        <color rgb="FF000000"/>
        <rFont val="Arial"/>
        <family val="2"/>
      </rPr>
      <t>;</t>
    </r>
    <r>
      <rPr>
        <sz val="8"/>
        <color rgb="FF000000"/>
        <rFont val="Arial"/>
        <family val="2"/>
      </rPr>
      <t xml:space="preserve"> GRI 403-2: Types of injury and rates of injury, occupational diseases, lost days, and absenteeism, and number of work-related fatalities</t>
    </r>
    <r>
      <rPr>
        <sz val="8"/>
        <color rgb="FF000000"/>
        <rFont val="Arial"/>
        <family val="2"/>
      </rPr>
      <t xml:space="preserve">. </t>
    </r>
    <r>
      <rPr>
        <sz val="8"/>
        <color rgb="FF000000"/>
        <rFont val="Arial"/>
        <family val="2"/>
      </rPr>
      <t xml:space="preserve">	</t>
    </r>
    <r>
      <rPr>
        <vertAlign val="superscript"/>
        <sz val="8"/>
        <color rgb="FF000000"/>
        <rFont val="Arial"/>
        <family val="2"/>
      </rPr>
      <t xml:space="preserve">	</t>
    </r>
    <r>
      <rPr>
        <vertAlign val="superscript"/>
        <sz val="8"/>
        <color rgb="FF000000"/>
        <rFont val="Arial"/>
        <family val="2"/>
      </rPr>
      <t xml:space="preserve">	</t>
    </r>
    <r>
      <rPr>
        <vertAlign val="superscript"/>
        <sz val="8"/>
        <color rgb="FF000000"/>
        <rFont val="Arial"/>
        <family val="2"/>
      </rPr>
      <t xml:space="preserve">	</t>
    </r>
    <r>
      <rPr>
        <vertAlign val="superscript"/>
        <sz val="8"/>
        <color rgb="FF000000"/>
        <rFont val="Arial"/>
        <family val="2"/>
      </rPr>
      <t xml:space="preserve">	</t>
    </r>
    <r>
      <rPr>
        <vertAlign val="superscript"/>
        <sz val="8"/>
        <color rgb="FF000000"/>
        <rFont val="Arial"/>
        <family val="2"/>
      </rPr>
      <t xml:space="preserve">	
</t>
    </r>
    <r>
      <rPr>
        <vertAlign val="superscript"/>
        <sz val="8"/>
        <color rgb="FF000000"/>
        <rFont val="Arial"/>
        <family val="2"/>
      </rPr>
      <t xml:space="preserve">2 </t>
    </r>
    <r>
      <rPr>
        <sz val="8"/>
        <color rgb="FF000000"/>
        <rFont val="Arial"/>
        <family val="2"/>
      </rPr>
      <t>2019 data</t>
    </r>
    <r>
      <rPr>
        <sz val="8"/>
        <color rgb="FF000000"/>
        <rFont val="Arial"/>
        <family val="2"/>
      </rPr>
      <t xml:space="preserve"> include former Nevada assets from Jan 1 - June 30, 20</t>
    </r>
    <r>
      <rPr>
        <sz val="8"/>
        <color rgb="FF000000"/>
        <rFont val="Arial"/>
        <family val="2"/>
      </rPr>
      <t>19</t>
    </r>
    <r>
      <rPr>
        <sz val="8"/>
        <color rgb="FF000000"/>
        <rFont val="Arial"/>
        <family val="2"/>
      </rPr>
      <t xml:space="preserve"> and includes all office, metallurgy laboratory, project and exploration sites. We do not collect this data by gender. All data has been adjusted to reflect our reclassification of injuries and illnesses to align with ICMM guidelines.</t>
    </r>
  </si>
  <si>
    <r>
      <rPr>
        <vertAlign val="superscript"/>
        <sz val="8"/>
        <color rgb="FF000000"/>
        <rFont val="Arial"/>
        <family val="2"/>
      </rPr>
      <t xml:space="preserve">1 </t>
    </r>
    <r>
      <rPr>
        <sz val="8"/>
        <color rgb="FF000000"/>
        <rFont val="Arial"/>
        <family val="2"/>
      </rPr>
      <t>GRI Standards disclosure</t>
    </r>
    <r>
      <rPr>
        <sz val="8"/>
        <color rgb="FF000000"/>
        <rFont val="Arial"/>
        <family val="2"/>
      </rPr>
      <t xml:space="preserve">: </t>
    </r>
    <r>
      <rPr>
        <sz val="8"/>
        <color rgb="FF000000"/>
        <rFont val="Arial"/>
        <family val="2"/>
      </rPr>
      <t xml:space="preserve">GRI </t>
    </r>
    <r>
      <rPr>
        <sz val="8"/>
        <color rgb="FF000000"/>
        <rFont val="Arial"/>
        <family val="2"/>
      </rPr>
      <t xml:space="preserve">Mining </t>
    </r>
    <r>
      <rPr>
        <sz val="8"/>
        <color rgb="FF000000"/>
        <rFont val="Arial"/>
        <family val="2"/>
      </rPr>
      <t xml:space="preserve">&amp; Metals Sector Supplement </t>
    </r>
    <r>
      <rPr>
        <sz val="8"/>
        <color rgb="FF000000"/>
        <rFont val="Arial"/>
        <family val="2"/>
      </rPr>
      <t>MM8</t>
    </r>
    <r>
      <rPr>
        <sz val="8"/>
        <color rgb="FF000000"/>
        <rFont val="Arial"/>
        <family val="2"/>
      </rPr>
      <t xml:space="preserve">: </t>
    </r>
    <r>
      <rPr>
        <sz val="8"/>
        <color rgb="FF000000"/>
        <rFont val="Arial"/>
        <family val="2"/>
      </rPr>
      <t xml:space="preserve">Number and percentage of company operating sites where </t>
    </r>
    <r>
      <rPr>
        <sz val="8"/>
        <color rgb="FF000000"/>
        <rFont val="Arial"/>
        <family val="2"/>
      </rPr>
      <t>ASM takes place on, or adjacent to the site; the associated</t>
    </r>
    <r>
      <rPr>
        <sz val="8"/>
        <color rgb="FF000000"/>
        <rFont val="Arial"/>
        <family val="2"/>
      </rPr>
      <t xml:space="preserve"> </t>
    </r>
    <r>
      <rPr>
        <sz val="8"/>
        <color rgb="FF000000"/>
        <rFont val="Arial"/>
        <family val="2"/>
      </rPr>
      <t>risks and actions taken to</t>
    </r>
    <r>
      <rPr>
        <sz val="8"/>
        <color rgb="FF000000"/>
        <rFont val="Arial"/>
        <family val="2"/>
      </rPr>
      <t xml:space="preserve"> </t>
    </r>
    <r>
      <rPr>
        <sz val="8"/>
        <color rgb="FF000000"/>
        <rFont val="Arial"/>
        <family val="2"/>
      </rPr>
      <t>m</t>
    </r>
    <r>
      <rPr>
        <sz val="8"/>
        <color rgb="FF000000"/>
        <rFont val="Arial"/>
        <family val="2"/>
      </rPr>
      <t xml:space="preserve">itigate these risks. 
</t>
    </r>
    <r>
      <rPr>
        <vertAlign val="superscript"/>
        <sz val="8"/>
        <color rgb="FF000000"/>
        <rFont val="Arial"/>
        <family val="2"/>
      </rPr>
      <t xml:space="preserve">2 </t>
    </r>
    <r>
      <rPr>
        <sz val="8"/>
        <color rgb="FF000000"/>
        <rFont val="Arial"/>
        <family val="2"/>
      </rPr>
      <t xml:space="preserve">Reference the </t>
    </r>
    <r>
      <rPr>
        <sz val="8"/>
        <color rgb="FF000000"/>
        <rFont val="Arial"/>
        <family val="2"/>
      </rPr>
      <t>Artis</t>
    </r>
    <r>
      <rPr>
        <sz val="8"/>
        <color rgb="FF000000"/>
        <rFont val="Arial"/>
        <family val="2"/>
      </rPr>
      <t>a</t>
    </r>
    <r>
      <rPr>
        <sz val="8"/>
        <color rgb="FF000000"/>
        <rFont val="Arial"/>
        <family val="2"/>
      </rPr>
      <t>nal and small scale mining sec</t>
    </r>
    <r>
      <rPr>
        <sz val="8"/>
        <color rgb="FF000000"/>
        <rFont val="Arial"/>
        <family val="2"/>
      </rPr>
      <t>tion of the 2019 Beyond the Mine annu</t>
    </r>
    <r>
      <rPr>
        <sz val="8"/>
        <color rgb="FF000000"/>
        <rFont val="Arial"/>
        <family val="2"/>
      </rPr>
      <t>al sustainability report for a detailed discussion of</t>
    </r>
    <r>
      <rPr>
        <sz val="8"/>
        <color rgb="FF000000"/>
        <rFont val="Arial"/>
        <family val="2"/>
      </rPr>
      <t xml:space="preserve"> </t>
    </r>
    <r>
      <rPr>
        <sz val="8"/>
        <color rgb="FF000000"/>
        <rFont val="Arial"/>
        <family val="2"/>
      </rPr>
      <t>Newmont's</t>
    </r>
    <r>
      <rPr>
        <sz val="8"/>
        <color rgb="FF000000"/>
        <rFont val="Arial"/>
        <family val="2"/>
      </rPr>
      <t xml:space="preserve"> </t>
    </r>
    <r>
      <rPr>
        <sz val="8"/>
        <color rgb="FF000000"/>
        <rFont val="Arial"/>
        <family val="2"/>
      </rPr>
      <t xml:space="preserve">ASM </t>
    </r>
    <r>
      <rPr>
        <sz val="8"/>
        <color rgb="FF000000"/>
        <rFont val="Arial"/>
        <family val="2"/>
      </rPr>
      <t xml:space="preserve">risks and </t>
    </r>
    <r>
      <rPr>
        <sz val="8"/>
        <color rgb="FF000000"/>
        <rFont val="Arial"/>
        <family val="2"/>
      </rPr>
      <t>mi</t>
    </r>
    <r>
      <rPr>
        <sz val="8"/>
        <color rgb="FF000000"/>
        <rFont val="Arial"/>
        <family val="2"/>
      </rPr>
      <t xml:space="preserve">tigation </t>
    </r>
    <r>
      <rPr>
        <sz val="8"/>
        <color rgb="FF000000"/>
        <rFont val="Arial"/>
        <family val="2"/>
      </rPr>
      <t>actions</t>
    </r>
    <r>
      <rPr>
        <sz val="8"/>
        <color rgb="FF000000"/>
        <rFont val="Arial"/>
        <family val="2"/>
      </rPr>
      <t xml:space="preserve">, along with </t>
    </r>
    <r>
      <rPr>
        <sz val="8"/>
        <color rgb="FF000000"/>
        <rFont val="Arial"/>
        <family val="2"/>
      </rPr>
      <t>N</t>
    </r>
    <r>
      <rPr>
        <sz val="8"/>
        <color rgb="FF000000"/>
        <rFont val="Arial"/>
        <family val="2"/>
      </rPr>
      <t xml:space="preserve">ewmont's </t>
    </r>
    <r>
      <rPr>
        <sz val="8"/>
        <color rgb="FF000000"/>
        <rFont val="Arial"/>
        <family val="2"/>
      </rPr>
      <t>global ASM strategy and implement</t>
    </r>
    <r>
      <rPr>
        <sz val="8"/>
        <color rgb="FF000000"/>
        <rFont val="Arial"/>
        <family val="2"/>
      </rPr>
      <t>ation of</t>
    </r>
    <r>
      <rPr>
        <sz val="8"/>
        <color rgb="FF000000"/>
        <rFont val="Arial"/>
        <family val="2"/>
      </rPr>
      <t xml:space="preserve"> our strategic objectives in </t>
    </r>
    <r>
      <rPr>
        <sz val="8"/>
        <color rgb="FF000000"/>
        <rFont val="Arial"/>
        <family val="2"/>
      </rPr>
      <t>the above</t>
    </r>
    <r>
      <rPr>
        <sz val="8"/>
        <color rgb="FF000000"/>
        <rFont val="Arial"/>
        <family val="2"/>
      </rPr>
      <t xml:space="preserve"> locations where ASM activities take place on or near our operations</t>
    </r>
    <r>
      <rPr>
        <sz val="8"/>
        <color rgb="FF000000"/>
        <rFont val="Arial"/>
        <family val="2"/>
      </rPr>
      <t>.</t>
    </r>
    <r>
      <rPr>
        <sz val="8"/>
        <color rgb="FF000000"/>
        <rFont val="Arial"/>
        <family val="2"/>
      </rPr>
      <t xml:space="preserve"> </t>
    </r>
  </si>
  <si>
    <r>
      <rPr>
        <b/>
        <sz val="10"/>
        <color rgb="FF000000"/>
        <rFont val="Arial"/>
        <family val="2"/>
      </rPr>
      <t>Sites where ASM activity occurred in 2019</t>
    </r>
    <r>
      <rPr>
        <b/>
        <vertAlign val="superscript"/>
        <sz val="10"/>
        <color rgb="FF000000"/>
        <rFont val="Arial"/>
        <family val="2"/>
      </rPr>
      <t>2</t>
    </r>
  </si>
  <si>
    <t>Human rights assessment or review occurring 2017-2019</t>
  </si>
  <si>
    <t>No. of identified potential risk suppliers receiving human rights training</t>
  </si>
  <si>
    <t>% of identified potential risk suppliers receiving human rights training</t>
  </si>
  <si>
    <r>
      <rPr>
        <vertAlign val="superscript"/>
        <sz val="8"/>
        <color rgb="FF000000"/>
        <rFont val="Arial"/>
        <family val="2"/>
      </rPr>
      <t xml:space="preserve">1 </t>
    </r>
    <r>
      <rPr>
        <sz val="8"/>
        <color rgb="FF000000"/>
        <rFont val="Arial"/>
        <family val="2"/>
      </rPr>
      <t xml:space="preserve">GRI Standards disclosure </t>
    </r>
    <r>
      <rPr>
        <sz val="8"/>
        <color rgb="FF000000"/>
        <rFont val="Arial"/>
        <family val="2"/>
      </rPr>
      <t xml:space="preserve">Mining and Metals sector supplement MM5;Total number of operations taking place in or adjacent to indigenous peoples' territories, and number and percentage of operations with sites where there are formal agreements with indigenous peoples' communities, and GRI 411-1 Rights of indigenous peoples. SASB Metals and Mining sector supplement EM-MM-210a.3 Security, Human Rights, &amp; Rights of Indigenous Peoples.
</t>
    </r>
    <r>
      <rPr>
        <vertAlign val="superscript"/>
        <sz val="8"/>
        <color rgb="FF000000"/>
        <rFont val="Arial"/>
        <family val="2"/>
      </rPr>
      <t>2</t>
    </r>
    <r>
      <rPr>
        <sz val="8"/>
        <color rgb="FF000000"/>
        <rFont val="Arial"/>
        <family val="2"/>
      </rPr>
      <t xml:space="preserve"> Canada has adopted the U.N. Declaration of the Rights of Indigenous Peoples legislation. 
</t>
    </r>
    <r>
      <rPr>
        <vertAlign val="superscript"/>
        <sz val="8"/>
        <color rgb="FF000000"/>
        <rFont val="Arial"/>
        <family val="2"/>
      </rPr>
      <t>3</t>
    </r>
    <r>
      <rPr>
        <sz val="8"/>
        <color rgb="FF000000"/>
        <rFont val="Arial"/>
        <family val="2"/>
      </rPr>
      <t xml:space="preserve"> Significant event defined as Level 3 or greater in Newmont's event management system.</t>
    </r>
    <r>
      <rPr>
        <sz val="8"/>
        <color rgb="FF000000"/>
        <rFont val="Arial"/>
        <family val="2"/>
      </rPr>
      <t xml:space="preserve"> </t>
    </r>
    <r>
      <rPr>
        <sz val="8"/>
        <color rgb="FF000000"/>
        <rFont val="Arial"/>
        <family val="2"/>
      </rPr>
      <t>In 2019, there was one signi</t>
    </r>
    <r>
      <rPr>
        <sz val="8"/>
        <color rgb="FF000000"/>
        <rFont val="Arial"/>
        <family val="2"/>
      </rPr>
      <t xml:space="preserve">ficant event </t>
    </r>
    <r>
      <rPr>
        <sz val="8"/>
        <color rgb="FF000000"/>
        <rFont val="Arial"/>
        <family val="2"/>
      </rPr>
      <t xml:space="preserve">related to indigenous peoples: In September 2019, a dozer operator erroneously cleared pathways and tracks in rehabilitated and restricted work areas contrary to stipulations in mine management plan, sacred site clearance certificate, and internal site disturbance plan. Corrective actions were completed February 2020; formal apology to be made at Traditional Owner Liaison Committee meeting July 2020 (COVID-19 restrictions permitting).
</t>
    </r>
    <r>
      <rPr>
        <vertAlign val="superscript"/>
        <sz val="8"/>
        <color rgb="FF000000"/>
        <rFont val="Arial"/>
        <family val="2"/>
      </rPr>
      <t>4</t>
    </r>
    <r>
      <rPr>
        <sz val="8"/>
        <color rgb="FF000000"/>
        <rFont val="Arial"/>
        <family val="2"/>
      </rPr>
      <t xml:space="preserve"> The reporting boundary for this disclosure covers </t>
    </r>
    <r>
      <rPr>
        <sz val="8"/>
        <color rgb="FF000000"/>
        <rFont val="Arial"/>
        <family val="2"/>
      </rPr>
      <t>all</t>
    </r>
    <r>
      <rPr>
        <sz val="8"/>
        <color rgb="FF000000"/>
        <rFont val="Arial"/>
        <family val="2"/>
      </rPr>
      <t xml:space="preserve"> indigenous/aboriginal/First Nations groups near our operations (active, legacy, and exploration) and sites in 2019 (beyond land agreements and events), reference pages 64-67 of our 2019 annual sustainability report</t>
    </r>
    <r>
      <rPr>
        <sz val="8"/>
        <color rgb="FF000000"/>
        <rFont val="Arial"/>
        <family val="2"/>
      </rPr>
      <t xml:space="preserve"> for a detailed discussion of</t>
    </r>
    <r>
      <rPr>
        <sz val="8"/>
        <color rgb="FF000000"/>
        <rFont val="Arial"/>
        <family val="2"/>
      </rPr>
      <t xml:space="preserve"> sta</t>
    </r>
    <r>
      <rPr>
        <sz val="8"/>
        <color rgb="FF000000"/>
        <rFont val="Arial"/>
        <family val="2"/>
      </rPr>
      <t>keholder engage</t>
    </r>
    <r>
      <rPr>
        <sz val="8"/>
        <color rgb="FF000000"/>
        <rFont val="Arial"/>
        <family val="2"/>
      </rPr>
      <t>ment with all group</t>
    </r>
    <r>
      <rPr>
        <sz val="8"/>
        <color rgb="FF000000"/>
        <rFont val="Arial"/>
        <family val="2"/>
      </rPr>
      <t>s, includi</t>
    </r>
    <r>
      <rPr>
        <sz val="8"/>
        <color rgb="FF000000"/>
        <rFont val="Arial"/>
        <family val="2"/>
      </rPr>
      <t xml:space="preserve">ng those </t>
    </r>
    <r>
      <rPr>
        <sz val="8"/>
        <color rgb="FF000000"/>
        <rFont val="Arial"/>
        <family val="2"/>
      </rPr>
      <t xml:space="preserve">with which Newmont has </t>
    </r>
    <r>
      <rPr>
        <sz val="8"/>
        <color rgb="FF000000"/>
        <rFont val="Arial"/>
        <family val="2"/>
      </rPr>
      <t>fo</t>
    </r>
    <r>
      <rPr>
        <sz val="8"/>
        <color rgb="FF000000"/>
        <rFont val="Arial"/>
        <family val="2"/>
      </rPr>
      <t>rmal agreements in place</t>
    </r>
    <r>
      <rPr>
        <sz val="8"/>
        <color rgb="FF000000"/>
        <rFont val="Arial"/>
        <family val="2"/>
      </rPr>
      <t xml:space="preserve"> </t>
    </r>
    <r>
      <rPr>
        <sz val="8"/>
        <color rgb="FF000000"/>
        <rFont val="Arial"/>
        <family val="2"/>
      </rPr>
      <t>(</t>
    </r>
    <r>
      <rPr>
        <sz val="8"/>
        <color rgb="FF000000"/>
        <rFont val="Arial"/>
        <family val="2"/>
      </rPr>
      <t xml:space="preserve">meeting the apsects of </t>
    </r>
    <r>
      <rPr>
        <sz val="8"/>
        <color rgb="FF000000"/>
        <rFont val="Arial"/>
        <family val="2"/>
      </rPr>
      <t>GRI MM5</t>
    </r>
    <r>
      <rPr>
        <sz val="8"/>
        <color rgb="FF000000"/>
        <rFont val="Arial"/>
        <family val="2"/>
      </rPr>
      <t xml:space="preserve"> that are not shown i</t>
    </r>
    <r>
      <rPr>
        <sz val="8"/>
        <color rgb="FF000000"/>
        <rFont val="Arial"/>
        <family val="2"/>
      </rPr>
      <t>n the table abov</t>
    </r>
    <r>
      <rPr>
        <sz val="8"/>
        <color rgb="FF000000"/>
        <rFont val="Arial"/>
        <family val="2"/>
      </rPr>
      <t xml:space="preserve">e to ensure full coverage of this disclosure item). </t>
    </r>
    <r>
      <rPr>
        <sz val="8"/>
        <color rgb="FF000000"/>
        <rFont val="Arial"/>
        <family val="2"/>
      </rPr>
      <t xml:space="preserve">Of the </t>
    </r>
    <r>
      <rPr>
        <sz val="8"/>
        <color rgb="FF000000"/>
        <rFont val="Arial"/>
        <family val="2"/>
      </rPr>
      <t>1</t>
    </r>
    <r>
      <rPr>
        <sz val="8"/>
        <color rgb="FF000000"/>
        <rFont val="Arial"/>
        <family val="2"/>
      </rPr>
      <t>5</t>
    </r>
    <r>
      <rPr>
        <sz val="8"/>
        <color rgb="FF000000"/>
        <rFont val="Arial"/>
        <family val="2"/>
      </rPr>
      <t xml:space="preserve"> active operating sites </t>
    </r>
    <r>
      <rPr>
        <sz val="8"/>
        <color rgb="FF000000"/>
        <rFont val="Arial"/>
        <family val="2"/>
      </rPr>
      <t>within this repor</t>
    </r>
    <r>
      <rPr>
        <sz val="8"/>
        <color rgb="FF000000"/>
        <rFont val="Arial"/>
        <family val="2"/>
      </rPr>
      <t>t</t>
    </r>
    <r>
      <rPr>
        <sz val="8"/>
        <color rgb="FF000000"/>
        <rFont val="Arial"/>
        <family val="2"/>
      </rPr>
      <t>ing boundary (Ahafo, Akyem</t>
    </r>
    <r>
      <rPr>
        <sz val="8"/>
        <color rgb="FF000000"/>
        <rFont val="Arial"/>
        <family val="2"/>
      </rPr>
      <t>, CC&amp;V, Borden, Eleonore, Musselwhite, Porcupine, Red Lake, Penasquito, Cerro Negro, Meri</t>
    </r>
    <r>
      <rPr>
        <sz val="8"/>
        <color rgb="FF000000"/>
        <rFont val="Arial"/>
        <family val="2"/>
      </rPr>
      <t>an, Yanacocha, Boddington,</t>
    </r>
    <r>
      <rPr>
        <sz val="8"/>
        <color rgb="FF000000"/>
        <rFont val="Arial"/>
        <family val="2"/>
      </rPr>
      <t xml:space="preserve"> </t>
    </r>
    <r>
      <rPr>
        <sz val="8"/>
        <color rgb="FF000000"/>
        <rFont val="Arial"/>
        <family val="2"/>
      </rPr>
      <t xml:space="preserve">KCGM </t>
    </r>
    <r>
      <rPr>
        <sz val="8"/>
        <color rgb="FF000000"/>
        <rFont val="Arial"/>
        <family val="2"/>
      </rPr>
      <t xml:space="preserve">and Tanami), </t>
    </r>
    <r>
      <rPr>
        <sz val="8"/>
        <color rgb="FF000000"/>
        <rFont val="Arial"/>
        <family val="2"/>
      </rPr>
      <t xml:space="preserve">seven </t>
    </r>
    <r>
      <rPr>
        <sz val="8"/>
        <color rgb="FF000000"/>
        <rFont val="Arial"/>
        <family val="2"/>
      </rPr>
      <t xml:space="preserve">actively operating </t>
    </r>
    <r>
      <rPr>
        <sz val="8"/>
        <color rgb="FF000000"/>
        <rFont val="Arial"/>
        <family val="2"/>
      </rPr>
      <t xml:space="preserve">sites </t>
    </r>
    <r>
      <rPr>
        <sz val="8"/>
        <color rgb="FF000000"/>
        <rFont val="Arial"/>
        <family val="2"/>
      </rPr>
      <t xml:space="preserve">(46%) </t>
    </r>
    <r>
      <rPr>
        <sz val="8"/>
        <color rgb="FF000000"/>
        <rFont val="Arial"/>
        <family val="2"/>
      </rPr>
      <t>are</t>
    </r>
    <r>
      <rPr>
        <sz val="8"/>
        <color rgb="FF000000"/>
        <rFont val="Arial"/>
        <family val="2"/>
      </rPr>
      <t xml:space="preserve"> </t>
    </r>
    <r>
      <rPr>
        <sz val="8"/>
        <color rgb="FF000000"/>
        <rFont val="Arial"/>
        <family val="2"/>
      </rPr>
      <t xml:space="preserve">located </t>
    </r>
    <r>
      <rPr>
        <sz val="8"/>
        <color rgb="FF000000"/>
        <rFont val="Arial"/>
        <family val="2"/>
      </rPr>
      <t>in or adjacent to indig</t>
    </r>
    <r>
      <rPr>
        <sz val="8"/>
        <color rgb="FF000000"/>
        <rFont val="Arial"/>
        <family val="2"/>
      </rPr>
      <t>en</t>
    </r>
    <r>
      <rPr>
        <sz val="8"/>
        <color rgb="FF000000"/>
        <rFont val="Arial"/>
        <family val="2"/>
      </rPr>
      <t>ous peoples' territori</t>
    </r>
    <r>
      <rPr>
        <sz val="8"/>
        <color rgb="FF000000"/>
        <rFont val="Arial"/>
        <family val="2"/>
      </rPr>
      <t>es</t>
    </r>
    <r>
      <rPr>
        <sz val="8"/>
        <color rgb="FF000000"/>
        <rFont val="Arial"/>
        <family val="2"/>
      </rPr>
      <t xml:space="preserve">. </t>
    </r>
    <r>
      <rPr>
        <sz val="8"/>
        <color rgb="FF000000"/>
        <rFont val="Arial"/>
        <family val="2"/>
      </rPr>
      <t xml:space="preserve">An additional </t>
    </r>
    <r>
      <rPr>
        <sz val="8"/>
        <color rgb="FF000000"/>
        <rFont val="Arial"/>
        <family val="2"/>
      </rPr>
      <t>five</t>
    </r>
    <r>
      <rPr>
        <sz val="8"/>
        <color rgb="FF000000"/>
        <rFont val="Arial"/>
        <family val="2"/>
      </rPr>
      <t xml:space="preserve"> non-operting sites and/or projects </t>
    </r>
    <r>
      <rPr>
        <sz val="8"/>
        <color rgb="FF000000"/>
        <rFont val="Arial"/>
        <family val="2"/>
      </rPr>
      <t>(Coffee, Glore Cree</t>
    </r>
    <r>
      <rPr>
        <sz val="8"/>
        <color rgb="FF000000"/>
        <rFont val="Arial"/>
        <family val="2"/>
      </rPr>
      <t>k, North Abierto project, Sabajo project and the Midni</t>
    </r>
    <r>
      <rPr>
        <sz val="8"/>
        <color rgb="FF000000"/>
        <rFont val="Arial"/>
        <family val="2"/>
      </rPr>
      <t xml:space="preserve">te mine legacy site) operate in or adjacent to indigenous peoples territories. </t>
    </r>
  </si>
  <si>
    <r>
      <rPr>
        <vertAlign val="superscript"/>
        <sz val="8"/>
        <color rgb="FF000000"/>
        <rFont val="Arial"/>
        <family val="2"/>
      </rPr>
      <t xml:space="preserve">1 </t>
    </r>
    <r>
      <rPr>
        <sz val="8"/>
        <color rgb="FF000000"/>
        <rFont val="Arial"/>
        <family val="2"/>
      </rPr>
      <t xml:space="preserve">GRI </t>
    </r>
    <r>
      <rPr>
        <sz val="8"/>
        <color rgb="FF000000"/>
        <rFont val="Arial"/>
        <family val="2"/>
      </rPr>
      <t xml:space="preserve">Metals &amp; Mining </t>
    </r>
    <r>
      <rPr>
        <sz val="8"/>
        <color rgb="FF000000"/>
        <rFont val="Arial"/>
        <family val="2"/>
      </rPr>
      <t xml:space="preserve">Sector Supplement disclosure </t>
    </r>
    <r>
      <rPr>
        <sz val="8"/>
        <color rgb="FF000000"/>
        <rFont val="Arial"/>
        <family val="2"/>
      </rPr>
      <t>MM</t>
    </r>
    <r>
      <rPr>
        <sz val="8"/>
        <color rgb="FF000000"/>
        <rFont val="Arial"/>
        <family val="2"/>
      </rPr>
      <t xml:space="preserve">6: </t>
    </r>
    <r>
      <rPr>
        <sz val="8"/>
        <color rgb="FF000000"/>
        <rFont val="Arial"/>
        <family val="2"/>
      </rPr>
      <t>Number and description of significant disputes relating to land use, customary rights of local communities and indigenous peoples</t>
    </r>
    <r>
      <rPr>
        <sz val="8"/>
        <color rgb="FF000000"/>
        <rFont val="Arial"/>
        <family val="2"/>
      </rPr>
      <t>;</t>
    </r>
    <r>
      <rPr>
        <sz val="8"/>
        <color rgb="FF000000"/>
        <rFont val="Arial"/>
        <family val="2"/>
      </rPr>
      <t xml:space="preserve"> and </t>
    </r>
    <r>
      <rPr>
        <sz val="8"/>
        <color rgb="FF000000"/>
        <rFont val="Arial"/>
        <family val="2"/>
      </rPr>
      <t xml:space="preserve">GRI MM7: </t>
    </r>
    <r>
      <rPr>
        <sz val="8"/>
        <color rgb="FF000000"/>
        <rFont val="Arial"/>
        <family val="2"/>
      </rPr>
      <t>The extent to which grievance</t>
    </r>
    <r>
      <rPr>
        <sz val="8"/>
        <color rgb="FF000000"/>
        <rFont val="Arial"/>
        <family val="2"/>
      </rPr>
      <t xml:space="preserve"> mechanisms were used to resolve disputes</t>
    </r>
    <r>
      <rPr>
        <sz val="8"/>
        <color rgb="FF000000"/>
        <rFont val="Arial"/>
        <family val="2"/>
      </rPr>
      <t xml:space="preserve"> </t>
    </r>
    <r>
      <rPr>
        <sz val="8"/>
        <color rgb="FF000000"/>
        <rFont val="Arial"/>
        <family val="2"/>
      </rPr>
      <t xml:space="preserve">relating to land use, customary rights of local communities and indigenous peoples and the outcomes. </t>
    </r>
    <r>
      <rPr>
        <sz val="8"/>
        <color rgb="FF000000"/>
        <rFont val="Arial"/>
        <family val="2"/>
      </rPr>
      <t>Sup</t>
    </r>
    <r>
      <rPr>
        <sz val="8"/>
        <color rgb="FF000000"/>
        <rFont val="Arial"/>
        <family val="2"/>
      </rPr>
      <t xml:space="preserve">ports </t>
    </r>
    <r>
      <rPr>
        <sz val="8"/>
        <color rgb="FF000000"/>
        <rFont val="Arial"/>
        <family val="2"/>
      </rPr>
      <t>SAS</t>
    </r>
    <r>
      <rPr>
        <sz val="8"/>
        <color rgb="FF000000"/>
        <rFont val="Arial"/>
        <family val="2"/>
      </rPr>
      <t xml:space="preserve">B Metals and Mining Sustainability Accounting Standard </t>
    </r>
    <r>
      <rPr>
        <sz val="8"/>
        <color rgb="FF000000"/>
        <rFont val="Arial"/>
        <family val="2"/>
      </rPr>
      <t>EM-MM-210b</t>
    </r>
    <r>
      <rPr>
        <sz val="8"/>
        <color rgb="FF000000"/>
        <rFont val="Arial"/>
        <family val="2"/>
      </rPr>
      <t>.</t>
    </r>
    <r>
      <rPr>
        <sz val="8"/>
        <color rgb="FF000000"/>
        <rFont val="Arial"/>
        <family val="2"/>
      </rPr>
      <t>1: Discussion of process to</t>
    </r>
    <r>
      <rPr>
        <sz val="8"/>
        <color rgb="FF000000"/>
        <rFont val="Arial"/>
        <family val="2"/>
      </rPr>
      <t xml:space="preserve"> </t>
    </r>
    <r>
      <rPr>
        <sz val="8"/>
        <color rgb="FF000000"/>
        <rFont val="Arial"/>
        <family val="2"/>
      </rPr>
      <t xml:space="preserve">manage risks and opportunities associated with community rights and interests.
</t>
    </r>
    <r>
      <rPr>
        <vertAlign val="superscript"/>
        <sz val="8"/>
        <color rgb="FF000000"/>
        <rFont val="Arial"/>
        <family val="2"/>
      </rPr>
      <t>2</t>
    </r>
    <r>
      <rPr>
        <sz val="8"/>
        <color rgb="FF000000"/>
        <rFont val="Arial"/>
        <family val="2"/>
      </rPr>
      <t>Significant impacts are those that have had an impact on our ability to operate commensurate with a Level 3+ event in the Newmont Risk Matrix.</t>
    </r>
    <r>
      <rPr>
        <sz val="8"/>
        <color rgb="FF000000"/>
        <rFont val="Arial"/>
        <family val="2"/>
      </rPr>
      <t xml:space="preserve"> </t>
    </r>
    <r>
      <rPr>
        <sz val="8"/>
        <color rgb="FF000000"/>
        <rFont val="Arial"/>
        <family val="2"/>
      </rPr>
      <t xml:space="preserve">Land disputes may be associated with current, planned or proposed future site operations.
</t>
    </r>
    <r>
      <rPr>
        <vertAlign val="superscript"/>
        <sz val="12"/>
        <color rgb="FF000000"/>
        <rFont val="Times New Roman"/>
        <family val="1"/>
      </rPr>
      <t/>
    </r>
  </si>
  <si>
    <t>If applicable, summary of significant disputes, actions taken, and outcomes</t>
  </si>
  <si>
    <r>
      <rPr>
        <vertAlign val="superscript"/>
        <sz val="8"/>
        <color rgb="FF000000"/>
        <rFont val="Arial"/>
        <family val="2"/>
      </rPr>
      <t xml:space="preserve">1 </t>
    </r>
    <r>
      <rPr>
        <sz val="8"/>
        <color rgb="FF000000"/>
        <rFont val="Arial"/>
        <family val="2"/>
      </rPr>
      <t xml:space="preserve">GRI </t>
    </r>
    <r>
      <rPr>
        <sz val="8"/>
        <color rgb="FF000000"/>
        <rFont val="Arial"/>
        <family val="2"/>
      </rPr>
      <t xml:space="preserve">Metals and Mining Sector Supplement disclosure </t>
    </r>
    <r>
      <rPr>
        <sz val="8"/>
        <color rgb="FF000000"/>
        <rFont val="Arial"/>
        <family val="2"/>
      </rPr>
      <t xml:space="preserve">MM9: </t>
    </r>
    <r>
      <rPr>
        <sz val="8"/>
        <color rgb="FF000000"/>
        <rFont val="Arial"/>
        <family val="2"/>
      </rPr>
      <t>Sites where resettlements took place, the number of households resettled in each, and how their livelihoods were affe</t>
    </r>
    <r>
      <rPr>
        <sz val="8"/>
        <color rgb="FF000000"/>
        <rFont val="Arial"/>
        <family val="2"/>
      </rPr>
      <t xml:space="preserve">cted in the process. 
</t>
    </r>
    <r>
      <rPr>
        <vertAlign val="superscript"/>
        <sz val="8"/>
        <color rgb="FF000000"/>
        <rFont val="Arial"/>
        <family val="2"/>
      </rPr>
      <t>2</t>
    </r>
    <r>
      <rPr>
        <sz val="8"/>
        <color rgb="FF000000"/>
        <rFont val="Arial"/>
        <family val="2"/>
      </rPr>
      <t xml:space="preserve"> </t>
    </r>
    <r>
      <rPr>
        <sz val="8"/>
        <color rgb="FF000000"/>
        <rFont val="Arial"/>
        <family val="2"/>
      </rPr>
      <t xml:space="preserve"> </t>
    </r>
    <r>
      <rPr>
        <sz val="8"/>
        <color rgb="FF000000"/>
        <rFont val="Arial"/>
        <family val="2"/>
      </rPr>
      <t xml:space="preserve">Reference the </t>
    </r>
    <r>
      <rPr>
        <sz val="8"/>
        <color rgb="FF000000"/>
        <rFont val="Arial"/>
        <family val="2"/>
      </rPr>
      <t>r</t>
    </r>
    <r>
      <rPr>
        <sz val="8"/>
        <color rgb="FF000000"/>
        <rFont val="Arial"/>
        <family val="2"/>
      </rPr>
      <t>es</t>
    </r>
    <r>
      <rPr>
        <sz val="8"/>
        <color rgb="FF000000"/>
        <rFont val="Arial"/>
        <family val="2"/>
      </rPr>
      <t>ettlement and land use section of the 2019 Beyond the M</t>
    </r>
    <r>
      <rPr>
        <sz val="8"/>
        <color rgb="FF000000"/>
        <rFont val="Arial"/>
        <family val="2"/>
      </rPr>
      <t xml:space="preserve">ine report for a detailed discussion of the </t>
    </r>
    <r>
      <rPr>
        <sz val="8"/>
        <color rgb="FF000000"/>
        <rFont val="Arial"/>
        <family val="2"/>
      </rPr>
      <t xml:space="preserve">Ahafo resettlement </t>
    </r>
    <r>
      <rPr>
        <sz val="8"/>
        <color rgb="FF000000"/>
        <rFont val="Arial"/>
        <family val="2"/>
      </rPr>
      <t>activities with the nearby Dokyikrom community.</t>
    </r>
    <r>
      <rPr>
        <sz val="8"/>
        <color rgb="FF000000"/>
        <rFont val="Arial"/>
        <family val="2"/>
      </rPr>
      <t xml:space="preserve"> </t>
    </r>
    <r>
      <rPr>
        <sz val="8"/>
        <color rgb="FF000000"/>
        <rFont val="Arial"/>
        <family val="2"/>
      </rPr>
      <t>Tw</t>
    </r>
    <r>
      <rPr>
        <sz val="8"/>
        <color rgb="FF000000"/>
        <rFont val="Arial"/>
        <family val="2"/>
      </rPr>
      <t>enty-five</t>
    </r>
    <r>
      <rPr>
        <sz val="8"/>
        <color rgb="FF000000"/>
        <rFont val="Arial"/>
        <family val="2"/>
      </rPr>
      <t xml:space="preserve"> households were given relocation under the Subika East Waste Dump Expansion (SEWDE) project, which was a directive from the Minister of Lands and Natural Resource. The resettlement houses </t>
    </r>
    <r>
      <rPr>
        <sz val="8"/>
        <color rgb="FF000000"/>
        <rFont val="Arial"/>
        <family val="2"/>
      </rPr>
      <t xml:space="preserve">are under </t>
    </r>
    <r>
      <rPr>
        <sz val="8"/>
        <color rgb="FF000000"/>
        <rFont val="Arial"/>
        <family val="2"/>
      </rPr>
      <t xml:space="preserve">construction </t>
    </r>
    <r>
      <rPr>
        <sz val="8"/>
        <color rgb="FF000000"/>
        <rFont val="Arial"/>
        <family val="2"/>
      </rPr>
      <t>and will be handed over to the households in 2020.</t>
    </r>
    <r>
      <rPr>
        <sz val="8"/>
        <color rgb="FF000000"/>
        <rFont val="Arial"/>
        <family val="2"/>
      </rPr>
      <t xml:space="preserve"> </t>
    </r>
    <r>
      <rPr>
        <sz val="8"/>
        <color rgb="FF000000"/>
        <rFont val="Arial"/>
        <family val="2"/>
      </rPr>
      <t>Three</t>
    </r>
    <r>
      <rPr>
        <sz val="8"/>
        <color rgb="FF000000"/>
        <rFont val="Arial"/>
        <family val="2"/>
      </rPr>
      <t xml:space="preserve"> households were also relocated due to the Awonsu Oxide Pit development</t>
    </r>
    <r>
      <rPr>
        <sz val="8"/>
        <color rgb="FF000000"/>
        <rFont val="Arial"/>
        <family val="2"/>
      </rPr>
      <t xml:space="preserve">; one </t>
    </r>
    <r>
      <rPr>
        <sz val="8"/>
        <color rgb="FF000000"/>
        <rFont val="Arial"/>
        <family val="2"/>
      </rPr>
      <t xml:space="preserve">household was </t>
    </r>
    <r>
      <rPr>
        <sz val="8"/>
        <color rgb="FF000000"/>
        <rFont val="Arial"/>
        <family val="2"/>
      </rPr>
      <t xml:space="preserve">resettled from the </t>
    </r>
    <r>
      <rPr>
        <sz val="8"/>
        <color rgb="FF000000"/>
        <rFont val="Arial"/>
        <family val="2"/>
      </rPr>
      <t xml:space="preserve">tailings </t>
    </r>
    <r>
      <rPr>
        <sz val="8"/>
        <color rgb="FF000000"/>
        <rFont val="Arial"/>
        <family val="2"/>
      </rPr>
      <t>storage facili</t>
    </r>
    <r>
      <rPr>
        <sz val="8"/>
        <color rgb="FF000000"/>
        <rFont val="Arial"/>
        <family val="2"/>
      </rPr>
      <t>ty</t>
    </r>
    <r>
      <rPr>
        <sz val="8"/>
        <color rgb="FF000000"/>
        <rFont val="Arial"/>
        <family val="2"/>
      </rPr>
      <t xml:space="preserve"> </t>
    </r>
    <r>
      <rPr>
        <sz val="8"/>
        <color rgb="FF000000"/>
        <rFont val="Arial"/>
        <family val="2"/>
      </rPr>
      <t>t</t>
    </r>
    <r>
      <rPr>
        <sz val="8"/>
        <color rgb="FF000000"/>
        <rFont val="Arial"/>
        <family val="2"/>
      </rPr>
      <t xml:space="preserve">oe </t>
    </r>
    <r>
      <rPr>
        <sz val="8"/>
        <color rgb="FF000000"/>
        <rFont val="Arial"/>
        <family val="2"/>
      </rPr>
      <t>d</t>
    </r>
    <r>
      <rPr>
        <sz val="8"/>
        <color rgb="FF000000"/>
        <rFont val="Arial"/>
        <family val="2"/>
      </rPr>
      <t xml:space="preserve">rain </t>
    </r>
    <r>
      <rPr>
        <sz val="8"/>
        <color rgb="FF000000"/>
        <rFont val="Arial"/>
        <family val="2"/>
      </rPr>
      <t xml:space="preserve">project. </t>
    </r>
  </si>
  <si>
    <t>Newmont's general workface notification practices are governed by the Global Management of Change Standard and supporting guidelines, which require a minimum of two weeks' notice to personnel for changes that have site-wide, regional and/or global impacts. In many cases, notification times related to 2019 integration activities were significantly longer.</t>
  </si>
  <si>
    <r>
      <rPr>
        <vertAlign val="superscript"/>
        <sz val="8"/>
        <color rgb="FF000000"/>
        <rFont val="Arial"/>
        <family val="2"/>
      </rPr>
      <t>1</t>
    </r>
    <r>
      <rPr>
        <sz val="8"/>
        <color rgb="FF000000"/>
        <rFont val="Arial"/>
        <family val="2"/>
      </rPr>
      <t xml:space="preserve"> GRI Standards disclosure</t>
    </r>
    <r>
      <rPr>
        <sz val="8"/>
        <color rgb="FF000000"/>
        <rFont val="Arial"/>
        <family val="2"/>
      </rPr>
      <t xml:space="preserve"> GRI 402-</t>
    </r>
    <r>
      <rPr>
        <sz val="8"/>
        <color rgb="FF000000"/>
        <rFont val="Arial"/>
        <family val="2"/>
      </rPr>
      <t xml:space="preserve">1 - Minimum notice periods regarding operational changes. 
</t>
    </r>
    <r>
      <rPr>
        <vertAlign val="superscript"/>
        <sz val="8"/>
        <color rgb="FF000000"/>
        <rFont val="Arial"/>
        <family val="2"/>
      </rPr>
      <t>2</t>
    </r>
    <r>
      <rPr>
        <sz val="8"/>
        <color rgb="FF000000"/>
        <rFont val="Arial"/>
        <family val="2"/>
      </rPr>
      <t xml:space="preserve"> </t>
    </r>
    <r>
      <rPr>
        <sz val="8"/>
        <color rgb="FF000000"/>
        <rFont val="Arial"/>
        <family val="2"/>
      </rPr>
      <t xml:space="preserve">Note: </t>
    </r>
    <r>
      <rPr>
        <sz val="8"/>
        <color rgb="FF000000"/>
        <rFont val="Arial"/>
        <family val="2"/>
      </rPr>
      <t xml:space="preserve">2020 COVID-19 </t>
    </r>
    <r>
      <rPr>
        <sz val="8"/>
        <color rgb="FF000000"/>
        <rFont val="Arial"/>
        <family val="2"/>
      </rPr>
      <t>workforce</t>
    </r>
    <r>
      <rPr>
        <sz val="8"/>
        <color rgb="FF000000"/>
        <rFont val="Arial"/>
        <family val="2"/>
      </rPr>
      <t xml:space="preserve"> notifi</t>
    </r>
    <r>
      <rPr>
        <sz val="8"/>
        <color rgb="FF000000"/>
        <rFont val="Arial"/>
        <family val="2"/>
      </rPr>
      <t>cation</t>
    </r>
    <r>
      <rPr>
        <sz val="8"/>
        <color rgb="FF000000"/>
        <rFont val="Arial"/>
        <family val="2"/>
      </rPr>
      <t>s are omitted from this 2019 data ta</t>
    </r>
    <r>
      <rPr>
        <sz val="8"/>
        <color rgb="FF000000"/>
        <rFont val="Arial"/>
        <family val="2"/>
      </rPr>
      <t>ble</t>
    </r>
    <r>
      <rPr>
        <sz val="8"/>
        <color rgb="FF000000"/>
        <rFont val="Arial"/>
        <family val="2"/>
      </rPr>
      <t xml:space="preserve">. </t>
    </r>
    <r>
      <rPr>
        <sz val="8"/>
        <color rgb="FF000000"/>
        <rFont val="Arial"/>
        <family val="2"/>
      </rPr>
      <t>Ongoing workforce</t>
    </r>
    <r>
      <rPr>
        <sz val="8"/>
        <color rgb="FF000000"/>
        <rFont val="Arial"/>
        <family val="2"/>
      </rPr>
      <t xml:space="preserve"> updates </t>
    </r>
    <r>
      <rPr>
        <sz val="8"/>
        <color rgb="FF000000"/>
        <rFont val="Arial"/>
        <family val="2"/>
      </rPr>
      <t>and notification</t>
    </r>
    <r>
      <rPr>
        <sz val="8"/>
        <color rgb="FF000000"/>
        <rFont val="Arial"/>
        <family val="2"/>
      </rPr>
      <t>s</t>
    </r>
    <r>
      <rPr>
        <sz val="8"/>
        <color rgb="FF000000"/>
        <rFont val="Arial"/>
        <family val="2"/>
      </rPr>
      <t xml:space="preserve"> </t>
    </r>
    <r>
      <rPr>
        <sz val="8"/>
        <color rgb="FF000000"/>
        <rFont val="Arial"/>
        <family val="2"/>
      </rPr>
      <t xml:space="preserve">specific to COVID-19 </t>
    </r>
    <r>
      <rPr>
        <sz val="8"/>
        <color rgb="FF000000"/>
        <rFont val="Arial"/>
        <family val="2"/>
      </rPr>
      <t xml:space="preserve">impacts are </t>
    </r>
    <r>
      <rPr>
        <sz val="8"/>
        <color rgb="FF000000"/>
        <rFont val="Arial"/>
        <family val="2"/>
      </rPr>
      <t xml:space="preserve">available at </t>
    </r>
    <r>
      <rPr>
        <sz val="8"/>
        <color rgb="FF000000"/>
        <rFont val="Arial"/>
        <family val="2"/>
      </rPr>
      <t>Newmont.com.</t>
    </r>
  </si>
  <si>
    <r>
      <rPr>
        <vertAlign val="superscript"/>
        <sz val="8"/>
        <color rgb="FF000000"/>
        <rFont val="Arial"/>
        <family val="2"/>
      </rPr>
      <t xml:space="preserve">1 </t>
    </r>
    <r>
      <rPr>
        <sz val="8"/>
        <color rgb="FF000000"/>
        <rFont val="Arial"/>
        <family val="2"/>
      </rPr>
      <t xml:space="preserve">GRI Standards disclosure GRI 401-1: New employee hires and employee turnover.
</t>
    </r>
    <r>
      <rPr>
        <vertAlign val="superscript"/>
        <sz val="8"/>
        <color rgb="FF000000"/>
        <rFont val="Arial"/>
        <family val="2"/>
      </rPr>
      <t xml:space="preserve">2 </t>
    </r>
    <r>
      <rPr>
        <sz val="8"/>
        <color rgb="FF000000"/>
        <rFont val="Arial"/>
        <family val="2"/>
      </rPr>
      <t xml:space="preserve">North America Region includes employees in Barbados and France for consolidated reporting purposes.
</t>
    </r>
    <r>
      <rPr>
        <vertAlign val="superscript"/>
        <sz val="8"/>
        <color rgb="FF000000"/>
        <rFont val="Arial"/>
        <family val="2"/>
      </rPr>
      <t xml:space="preserve">3 </t>
    </r>
    <r>
      <rPr>
        <sz val="8"/>
        <color rgb="FF000000"/>
        <rFont val="Arial"/>
        <family val="2"/>
      </rPr>
      <t xml:space="preserve">South America Region includes employees in Miami, U.S. for consolidated reporting purposes.
</t>
    </r>
    <r>
      <rPr>
        <vertAlign val="superscript"/>
        <sz val="8"/>
        <color rgb="FF000000"/>
        <rFont val="Arial"/>
        <family val="2"/>
      </rPr>
      <t xml:space="preserve">4 </t>
    </r>
    <r>
      <rPr>
        <sz val="8"/>
        <color rgb="FF000000"/>
        <rFont val="Arial"/>
        <family val="2"/>
      </rPr>
      <t>Total by age group excludes one new hire whose birth date is not available.</t>
    </r>
  </si>
  <si>
    <r>
      <rPr>
        <vertAlign val="superscript"/>
        <sz val="8"/>
        <color rgb="FF000000"/>
        <rFont val="Arial"/>
        <family val="2"/>
      </rPr>
      <t>1</t>
    </r>
    <r>
      <rPr>
        <vertAlign val="superscript"/>
        <sz val="8"/>
        <color rgb="FF000000"/>
        <rFont val="Arial"/>
        <family val="2"/>
      </rPr>
      <t xml:space="preserve"> </t>
    </r>
    <r>
      <rPr>
        <sz val="8"/>
        <color rgb="FF000000"/>
        <rFont val="Arial"/>
        <family val="2"/>
      </rPr>
      <t>GRI</t>
    </r>
    <r>
      <rPr>
        <sz val="8"/>
        <color rgb="FF000000"/>
        <rFont val="Arial"/>
        <family val="2"/>
      </rPr>
      <t xml:space="preserve"> Standards disclosure </t>
    </r>
    <r>
      <rPr>
        <sz val="8"/>
        <color rgb="FF000000"/>
        <rFont val="Arial"/>
        <family val="2"/>
      </rPr>
      <t>GRI 401-1: New employee hires and employee turnover</t>
    </r>
    <r>
      <rPr>
        <sz val="8"/>
        <color rgb="FF000000"/>
        <rFont val="Arial"/>
        <family val="2"/>
      </rPr>
      <t xml:space="preserve">.
</t>
    </r>
    <r>
      <rPr>
        <vertAlign val="superscript"/>
        <sz val="8"/>
        <color rgb="FF000000"/>
        <rFont val="Arial"/>
        <family val="2"/>
      </rPr>
      <t>2</t>
    </r>
    <r>
      <rPr>
        <vertAlign val="superscript"/>
        <sz val="8"/>
        <color rgb="FF000000"/>
        <rFont val="Arial"/>
        <family val="2"/>
      </rPr>
      <t xml:space="preserve"> </t>
    </r>
    <r>
      <rPr>
        <sz val="8"/>
        <color rgb="FF000000"/>
        <rFont val="Arial"/>
        <family val="2"/>
      </rPr>
      <t xml:space="preserve">North America Region includes employees in Barbados and France for consolidated reporting purposes.
</t>
    </r>
    <r>
      <rPr>
        <vertAlign val="superscript"/>
        <sz val="8"/>
        <color rgb="FF000000"/>
        <rFont val="Arial"/>
        <family val="2"/>
      </rPr>
      <t>3</t>
    </r>
    <r>
      <rPr>
        <vertAlign val="superscript"/>
        <sz val="8"/>
        <color rgb="FF000000"/>
        <rFont val="Arial"/>
        <family val="2"/>
      </rPr>
      <t xml:space="preserve"> </t>
    </r>
    <r>
      <rPr>
        <sz val="8"/>
        <color rgb="FF000000"/>
        <rFont val="Arial"/>
        <family val="2"/>
      </rPr>
      <t xml:space="preserve">South America Region includes employees in Miami, </t>
    </r>
    <r>
      <rPr>
        <sz val="8"/>
        <color rgb="FF000000"/>
        <rFont val="Arial"/>
        <family val="2"/>
      </rPr>
      <t>U.S.</t>
    </r>
    <r>
      <rPr>
        <sz val="8"/>
        <color rgb="FF000000"/>
        <rFont val="Arial"/>
        <family val="2"/>
      </rPr>
      <t xml:space="preserve"> for consolidated reporting purposes.
</t>
    </r>
    <r>
      <rPr>
        <vertAlign val="superscript"/>
        <sz val="8"/>
        <color rgb="FF000000"/>
        <rFont val="Arial"/>
        <family val="2"/>
      </rPr>
      <t>4</t>
    </r>
    <r>
      <rPr>
        <vertAlign val="superscript"/>
        <sz val="8"/>
        <color rgb="FF000000"/>
        <rFont val="Arial"/>
        <family val="2"/>
      </rPr>
      <t xml:space="preserve"> </t>
    </r>
    <r>
      <rPr>
        <sz val="8"/>
        <color rgb="FF000000"/>
        <rFont val="Arial"/>
        <family val="2"/>
      </rPr>
      <t xml:space="preserve">Total by age group excludes </t>
    </r>
    <r>
      <rPr>
        <sz val="8"/>
        <color rgb="FF000000"/>
        <rFont val="Arial"/>
        <family val="2"/>
      </rPr>
      <t>one</t>
    </r>
    <r>
      <rPr>
        <sz val="8"/>
        <color rgb="FF000000"/>
        <rFont val="Arial"/>
        <family val="2"/>
      </rPr>
      <t xml:space="preserve"> new hire whose birth date is not available.</t>
    </r>
  </si>
  <si>
    <r>
      <rPr>
        <b/>
        <sz val="10"/>
        <color rgb="FF000000"/>
        <rFont val="Arial"/>
        <family val="2"/>
      </rPr>
      <t>2019 Estimated site-level mercury waste by site and type (</t>
    </r>
    <r>
      <rPr>
        <b/>
        <sz val="10"/>
        <color rgb="FF000000"/>
        <rFont val="Arial"/>
        <family val="2"/>
      </rPr>
      <t>metric tonnes)</t>
    </r>
    <r>
      <rPr>
        <b/>
        <vertAlign val="superscript"/>
        <sz val="10"/>
        <color rgb="FF000000"/>
        <rFont val="Arial"/>
        <family val="2"/>
      </rPr>
      <t>1</t>
    </r>
  </si>
  <si>
    <r>
      <rPr>
        <vertAlign val="superscript"/>
        <sz val="8"/>
        <color rgb="FF000000"/>
        <rFont val="Arial"/>
        <family val="2"/>
      </rPr>
      <t>1</t>
    </r>
    <r>
      <rPr>
        <sz val="8"/>
        <color rgb="FF000000"/>
        <rFont val="Arial"/>
        <family val="2"/>
      </rPr>
      <t xml:space="preserve"> GRI Standards disclosure GRI 306-2: Waste by type and disposal method; SASB Metals &amp; Mining Sustainability Accounting Standard disclosure EM-MM-150a.2: Total weight of mineral processing waste. Newmont does not use mercury to process ore; however some naturally occuring mercury exists in some ore bodies and is reported as mineral processing waste for purposes of alignigng to SASB reporting standards for EM-MM-150a.2. Data table corrected 10 June 2020; original unit of measure was erroneously stated as million metric tonnes; figures in this table are metric tonnes.
</t>
    </r>
    <r>
      <rPr>
        <vertAlign val="superscript"/>
        <sz val="8"/>
        <color rgb="FF000000"/>
        <rFont val="Arial"/>
        <family val="2"/>
      </rPr>
      <t xml:space="preserve">2 </t>
    </r>
    <r>
      <rPr>
        <sz val="8"/>
        <color rgb="FF000000"/>
        <rFont val="Arial"/>
        <family val="2"/>
      </rPr>
      <t xml:space="preserve"> Newmont does not use mercury to process ore; however some naturally occuring mercury exists in some ore bodies and is disposed according to laws and regulations; this data is considered mineral processing waste for reporting purposes. Former Goldcorp sites omit data for mercuric chloride, mercury-tainted carbon, mercury-contaminated sludge, and other mercury-related wastes, shown as N/R (not reported); these data will be reported in future years as reporting systems and standards are fully integrated.</t>
    </r>
  </si>
  <si>
    <r>
      <t xml:space="preserve">Estimated </t>
    </r>
    <r>
      <rPr>
        <b/>
        <sz val="10"/>
        <color rgb="FF000000"/>
        <rFont val="Arial"/>
        <family val="2"/>
      </rPr>
      <t>t</t>
    </r>
    <r>
      <rPr>
        <b/>
        <sz val="10"/>
        <color rgb="FF000000"/>
        <rFont val="Arial"/>
        <family val="2"/>
      </rPr>
      <t xml:space="preserve">otal </t>
    </r>
    <r>
      <rPr>
        <b/>
        <sz val="10"/>
        <color rgb="FF000000"/>
        <rFont val="Arial"/>
        <family val="2"/>
      </rPr>
      <t>e</t>
    </r>
    <r>
      <rPr>
        <b/>
        <sz val="10"/>
        <color rgb="FF000000"/>
        <rFont val="Arial"/>
        <family val="2"/>
      </rPr>
      <t xml:space="preserve">lectricity </t>
    </r>
    <r>
      <rPr>
        <b/>
        <sz val="10"/>
        <color rgb="FF000000"/>
        <rFont val="Arial"/>
        <family val="2"/>
      </rPr>
      <t>consumed</t>
    </r>
    <r>
      <rPr>
        <b/>
        <sz val="10"/>
        <color rgb="FF000000"/>
        <rFont val="Arial"/>
        <family val="2"/>
      </rPr>
      <t xml:space="preserve">: </t>
    </r>
    <r>
      <rPr>
        <b/>
        <sz val="10"/>
        <color rgb="FF000000"/>
        <rFont val="Arial"/>
        <family val="2"/>
      </rPr>
      <t>Trailing five year data</t>
    </r>
    <r>
      <rPr>
        <b/>
        <sz val="10"/>
        <color rgb="FF000000"/>
        <rFont val="Arial"/>
        <family val="2"/>
      </rPr>
      <t xml:space="preserve"> </t>
    </r>
    <r>
      <rPr>
        <b/>
        <sz val="10"/>
        <color rgb="FF000000"/>
        <rFont val="Arial"/>
        <family val="2"/>
      </rPr>
      <t>(million GJ)</t>
    </r>
    <r>
      <rPr>
        <b/>
        <vertAlign val="superscript"/>
        <sz val="10"/>
        <color rgb="FF000000"/>
        <rFont val="Arial"/>
        <family val="2"/>
      </rPr>
      <t>1</t>
    </r>
    <r>
      <rPr>
        <b/>
        <vertAlign val="superscript"/>
        <sz val="10"/>
        <color rgb="FF000000"/>
        <rFont val="Arial"/>
        <family val="2"/>
      </rPr>
      <t>, 2</t>
    </r>
  </si>
  <si>
    <t>Former Goldcorp site compliance with Newmont Human Rights standards and assessment processes is underway</t>
  </si>
  <si>
    <r>
      <rPr>
        <vertAlign val="superscript"/>
        <sz val="8"/>
        <color rgb="FF000000"/>
        <rFont val="Arial"/>
        <family val="2"/>
      </rPr>
      <t xml:space="preserve">1 </t>
    </r>
    <r>
      <rPr>
        <sz val="8"/>
        <color rgb="FF000000"/>
        <rFont val="Arial"/>
        <family val="2"/>
      </rPr>
      <t xml:space="preserve">GRI Standards disclosures GRI 412-1: Operations that have been subject to human rights reviews or impact assessments. Data table restated July 15, 2020 with updated detail regarding former Goldcorp sites and removal of Red Lake and KCGM sites, which were divested in the first quarter of 2020. 
</t>
    </r>
    <r>
      <rPr>
        <vertAlign val="superscript"/>
        <sz val="8"/>
        <color rgb="FF000000"/>
        <rFont val="Arial"/>
        <family val="2"/>
      </rPr>
      <t>2</t>
    </r>
    <r>
      <rPr>
        <sz val="8"/>
        <color rgb="FF000000"/>
        <rFont val="Arial"/>
        <family val="2"/>
      </rPr>
      <t xml:space="preserve"> All former Newmont sites conduct human rights assessments on an ongoing basis as part of Newmont’s established risk assessment process; in addition to ongoing risk assessments that include human rights aspects, standalone and/or integrated assessments specific to human rights issues occurred in Ghana, Guatemala, Suriname and Peru, assessments for each country are summarized in the table above. Former Goldcorp sites are addressing gaps to become fully compliant with Newmont’s standards (including on human rights assessments). </t>
    </r>
  </si>
  <si>
    <r>
      <t>Sulphur oxides (SO</t>
    </r>
    <r>
      <rPr>
        <vertAlign val="subscript"/>
        <sz val="10"/>
        <color rgb="FF000000"/>
        <rFont val="Arial"/>
        <family val="2"/>
      </rPr>
      <t>x</t>
    </r>
    <r>
      <rPr>
        <sz val="10"/>
        <color rgb="FF000000"/>
        <rFont val="Arial"/>
        <family val="2"/>
      </rPr>
      <t>)</t>
    </r>
  </si>
  <si>
    <r>
      <rPr>
        <vertAlign val="superscript"/>
        <sz val="8"/>
        <color rgb="FF000000"/>
        <rFont val="Arial"/>
        <family val="2"/>
      </rPr>
      <t>1</t>
    </r>
    <r>
      <rPr>
        <sz val="8"/>
        <color rgb="FF000000"/>
        <rFont val="Arial"/>
        <family val="2"/>
      </rPr>
      <t xml:space="preserve"> GRI Standards disclosures GRI 305-6: Emissions of ozone-depleting substances; GRI: 305-7: NO</t>
    </r>
    <r>
      <rPr>
        <vertAlign val="subscript"/>
        <sz val="8"/>
        <color rgb="FF000000"/>
        <rFont val="Arial"/>
        <family val="2"/>
      </rPr>
      <t>x</t>
    </r>
    <r>
      <rPr>
        <sz val="8"/>
        <color rgb="FF000000"/>
        <rFont val="Arial"/>
        <family val="2"/>
      </rPr>
      <t>, SO</t>
    </r>
    <r>
      <rPr>
        <vertAlign val="subscript"/>
        <sz val="8"/>
        <color rgb="FF000000"/>
        <rFont val="Arial"/>
        <family val="2"/>
      </rPr>
      <t>x</t>
    </r>
    <r>
      <rPr>
        <sz val="8"/>
        <color rgb="FF000000"/>
        <rFont val="Arial"/>
        <family val="2"/>
      </rPr>
      <t xml:space="preserve"> and other significant air emissions; and SASB Metals &amp; Mining Sustainability Accounting Standard EM-MM-120a.1: Air emissions of the following pollutants: (1) CO, (2) NO</t>
    </r>
    <r>
      <rPr>
        <vertAlign val="subscript"/>
        <sz val="8"/>
        <color rgb="FF000000"/>
        <rFont val="Arial"/>
        <family val="2"/>
      </rPr>
      <t>x</t>
    </r>
    <r>
      <rPr>
        <sz val="8"/>
        <color rgb="FF000000"/>
        <rFont val="Arial"/>
        <family val="2"/>
      </rPr>
      <t xml:space="preserve"> (excluding N</t>
    </r>
    <r>
      <rPr>
        <vertAlign val="subscript"/>
        <sz val="8"/>
        <color rgb="FF000000"/>
        <rFont val="Arial"/>
        <family val="2"/>
      </rPr>
      <t>2</t>
    </r>
    <r>
      <rPr>
        <sz val="8"/>
        <color rgb="FF000000"/>
        <rFont val="Arial"/>
        <family val="2"/>
      </rPr>
      <t>O), (3) SO</t>
    </r>
    <r>
      <rPr>
        <vertAlign val="subscript"/>
        <sz val="8"/>
        <color rgb="FF000000"/>
        <rFont val="Arial"/>
        <family val="2"/>
      </rPr>
      <t>x</t>
    </r>
    <r>
      <rPr>
        <sz val="8"/>
        <color rgb="FF000000"/>
        <rFont val="Arial"/>
        <family val="2"/>
      </rPr>
      <t>, (4) particulate matter (PM10), (5) mercury (Hg), (6) lead (Pb), and (7) volatile organic compounds (VOCs). The 2018 SO</t>
    </r>
    <r>
      <rPr>
        <vertAlign val="subscript"/>
        <sz val="8"/>
        <color rgb="FF000000"/>
        <rFont val="Arial"/>
        <family val="2"/>
      </rPr>
      <t>x</t>
    </r>
    <r>
      <rPr>
        <sz val="8"/>
        <color rgb="FF000000"/>
        <rFont val="Arial"/>
        <family val="2"/>
      </rPr>
      <t xml:space="preserve"> figure is restated on July 15, 2020. The restatement is based on adjustments made to the Suriname site operational engine runtime hours and emissions assumptions for 2018, resulting a higher figure for Suriname, and a higher overall figure for the 2018 SO</t>
    </r>
    <r>
      <rPr>
        <vertAlign val="subscript"/>
        <sz val="8"/>
        <color rgb="FF000000"/>
        <rFont val="Arial"/>
        <family val="2"/>
      </rPr>
      <t>x</t>
    </r>
    <r>
      <rPr>
        <sz val="8"/>
        <color rgb="FF000000"/>
        <rFont val="Arial"/>
        <family val="2"/>
      </rPr>
      <t xml:space="preserve"> emissions. 
</t>
    </r>
    <r>
      <rPr>
        <vertAlign val="superscript"/>
        <sz val="8"/>
        <color rgb="FF000000"/>
        <rFont val="Arial"/>
        <family val="2"/>
      </rPr>
      <t>2</t>
    </r>
    <r>
      <rPr>
        <sz val="8"/>
        <color rgb="FF000000"/>
        <rFont val="Arial"/>
        <family val="2"/>
      </rPr>
      <t xml:space="preserve"> TR refers to trace amounts, defined as &lt;0.0001; Figures for POPs, VOPs,  mercury, arsenic, lead and selenium are not reported for 2019 former Goldcorp sites, but will be reported in future years as reporting systems are integrated. Our Australia sites operated by Newmont report air emissions on a fiscal year basis (July 1 to June 30); however, Kalgoorlie Consolidated Gold Mines (KCGM) reports its air emissions on a calendar year basis (January 1 to December 31). N/R refers to not reported; beginning in 2016, air quality reporting expanded to include POPs and VOCs.
</t>
    </r>
  </si>
  <si>
    <t>Region</t>
  </si>
  <si>
    <t xml:space="preserve">North America </t>
  </si>
  <si>
    <r>
      <rPr>
        <vertAlign val="superscript"/>
        <sz val="8"/>
        <color rgb="FF000000"/>
        <rFont val="Arial"/>
        <family val="2"/>
      </rPr>
      <t xml:space="preserve">1 </t>
    </r>
    <r>
      <rPr>
        <sz val="8"/>
        <color rgb="FF000000"/>
        <rFont val="Arial"/>
        <family val="2"/>
      </rPr>
      <t xml:space="preserve">GRI Standards disclosure GRI 102-09: Number of suppliers. Figure includes Nevada spending from January 1 to June 30. </t>
    </r>
  </si>
  <si>
    <r>
      <rPr>
        <b/>
        <sz val="8"/>
        <rFont val="Arial"/>
        <family val="2"/>
      </rPr>
      <t>Version control: ESG Data Tables posted 29 May 2020
Updated 10 June 2020</t>
    </r>
    <r>
      <rPr>
        <sz val="8"/>
        <rFont val="Arial"/>
        <family val="2"/>
      </rPr>
      <t xml:space="preserve">: Updated unit of measure site-level mercury waste from million tonnes to tonnes; corrected Renewable Energy data label in Estimated total electricity consumed: Trailing five year data data table.  
</t>
    </r>
    <r>
      <rPr>
        <b/>
        <sz val="8"/>
        <rFont val="Arial"/>
        <family val="2"/>
      </rPr>
      <t>Updated 15 July 2020</t>
    </r>
    <r>
      <rPr>
        <sz val="8"/>
        <rFont val="Arial"/>
        <family val="2"/>
      </rPr>
      <t>: Updated footnotes and former Goldcorp site-level details on Human rights assessments or reviews conducted 2017-2019: Site-level data table. Updated 2018 SO</t>
    </r>
    <r>
      <rPr>
        <vertAlign val="subscript"/>
        <sz val="8"/>
        <rFont val="Arial"/>
        <family val="2"/>
      </rPr>
      <t>x</t>
    </r>
    <r>
      <rPr>
        <sz val="8"/>
        <rFont val="Arial"/>
        <family val="2"/>
      </rPr>
      <t xml:space="preserve"> figure to reflect adjusted assumptions on operating hours for Suriname site and added footnote to provide additional detail regarding the restated 2018 SO</t>
    </r>
    <r>
      <rPr>
        <vertAlign val="subscript"/>
        <sz val="8"/>
        <rFont val="Arial"/>
        <family val="2"/>
      </rPr>
      <t>x</t>
    </r>
    <r>
      <rPr>
        <sz val="8"/>
        <rFont val="Arial"/>
        <family val="2"/>
      </rPr>
      <t xml:space="preserve"> figure. 
</t>
    </r>
    <r>
      <rPr>
        <b/>
        <sz val="8"/>
        <rFont val="Arial"/>
        <family val="2"/>
      </rPr>
      <t>Updated July 28 2020:</t>
    </r>
    <r>
      <rPr>
        <sz val="8"/>
        <rFont val="Arial"/>
        <family val="2"/>
      </rPr>
      <t xml:space="preserve"> Additional disclousres added to ESG data tables July 28, 2020 in response to general investor interest (not a restatement of existing information): Supply Chain Spending tab includes a new trailing three-year breakout of regional supply chain local procurement targets and results; Policy Influence tab includes expanded details about lobbying expenditures and main 2019 topics addressed, along with trailing three year data for annual monetary contributions and expenditures.  </t>
    </r>
  </si>
  <si>
    <r>
      <t>Policy Influence - Trailing 3 years: (U.S. dollars)</t>
    </r>
    <r>
      <rPr>
        <b/>
        <vertAlign val="superscript"/>
        <sz val="10"/>
        <color rgb="FF000000"/>
        <rFont val="Arial"/>
        <family val="2"/>
      </rPr>
      <t>1,2</t>
    </r>
  </si>
  <si>
    <t>Political contribrution</t>
  </si>
  <si>
    <t>Institution/Activity</t>
  </si>
  <si>
    <t xml:space="preserve">Nevada Mining Association </t>
  </si>
  <si>
    <r>
      <rPr>
        <vertAlign val="superscript"/>
        <sz val="8"/>
        <color rgb="FF000000"/>
        <rFont val="Arial"/>
        <family val="2"/>
      </rPr>
      <t xml:space="preserve">1 </t>
    </r>
    <r>
      <rPr>
        <sz val="8"/>
        <color rgb="FF000000"/>
        <rFont val="Arial"/>
        <family val="2"/>
      </rPr>
      <t>Newmont only makes political contributions in the U.S. and only where appropriate and allowed by law. Newmont complies with the Lobbying Disclosure Act of 1995 (Section 5) and publishes LD-2 Disclosure Forms, which are publicly available from the U.S. Secretary of the Senate, Office of Public Records (lobbyingdisclosure.house.gov) and/or the U.S. Clerk of the House of Representatives: Legislative Resource Center (senate.gov/lobby), and also from Newmont.com</t>
    </r>
  </si>
  <si>
    <r>
      <t>Largest Individual Contributions and Expenditures</t>
    </r>
    <r>
      <rPr>
        <vertAlign val="superscript"/>
        <sz val="10"/>
        <color rgb="FF000000"/>
        <rFont val="Arial"/>
        <family val="2"/>
      </rPr>
      <t>1</t>
    </r>
    <r>
      <rPr>
        <sz val="10"/>
        <color rgb="FF000000"/>
        <rFont val="Arial"/>
        <family val="2"/>
      </rPr>
      <t xml:space="preserve">
</t>
    </r>
  </si>
  <si>
    <r>
      <rPr>
        <vertAlign val="superscript"/>
        <sz val="8"/>
        <color rgb="FF000000"/>
        <rFont val="Arial"/>
        <family val="2"/>
      </rPr>
      <t xml:space="preserve">1 </t>
    </r>
    <r>
      <rPr>
        <sz val="8"/>
        <color rgb="FF000000"/>
        <rFont val="Arial"/>
        <family val="2"/>
      </rPr>
      <t xml:space="preserve">Through 2018, data included only federal lobbying expenditures. 2019 data includes state and federal level lobbying expenses.
</t>
    </r>
    <r>
      <rPr>
        <vertAlign val="superscript"/>
        <sz val="8"/>
        <color rgb="FF000000"/>
        <rFont val="Arial"/>
        <family val="2"/>
      </rPr>
      <t xml:space="preserve">2 </t>
    </r>
    <r>
      <rPr>
        <sz val="8"/>
        <color rgb="FF000000"/>
        <rFont val="Arial"/>
        <family val="2"/>
      </rPr>
      <t xml:space="preserve">Through 2018 trade associations included only the portion of dues used for lobbying, and only if the lobbying expense exceeded $50,000. Data for 2019 includes full dues payments for US mining trade associations. 
</t>
    </r>
  </si>
  <si>
    <t>Cassidy &amp; Associates</t>
  </si>
  <si>
    <t>Main political topics in 2019</t>
  </si>
  <si>
    <t xml:space="preserve">Main 2019 issues include: General mining law, strategic and critical minerals, Good Samaritan legislation, public lands, United States-Mexico-Canada Agreement (USMCA), mine permitting, mine reclamation and bonding, abandoned mine lands, U.S. EPA Toxic Release Inventory (TRI) regulations, and elemental mercury storage. </t>
  </si>
  <si>
    <r>
      <rPr>
        <vertAlign val="superscript"/>
        <sz val="8"/>
        <color rgb="FF000000"/>
        <rFont val="Arial"/>
        <family val="2"/>
      </rPr>
      <t xml:space="preserve">1 </t>
    </r>
    <r>
      <rPr>
        <sz val="8"/>
        <color rgb="FF000000"/>
        <rFont val="Arial"/>
        <family val="2"/>
      </rPr>
      <t xml:space="preserve">Newmont only makes political contributions in the U.S. and only where appropriate and allowed by law. Newmont complies with the Lobbying Disclosure Act of 1995 (Section 5) and publishes LD-2 Disclosure Forms, which are publicly available from the U.S. Secretary of the Senate, Office of Public Records (lobbyingdisclosure.house.gov) and/or the U.S. Clerk of the House of Representatives: Legislative Resource Center (senate.gov/lobby), and also from Newmont.com.
</t>
    </r>
    <r>
      <rPr>
        <vertAlign val="superscript"/>
        <sz val="8"/>
        <color rgb="FF000000"/>
        <rFont val="Adobe Devanagari"/>
        <family val="1"/>
      </rPr>
      <t>2</t>
    </r>
    <r>
      <rPr>
        <sz val="8"/>
        <color rgb="FF000000"/>
        <rFont val="Arial"/>
        <family val="2"/>
      </rPr>
      <t xml:space="preserve"> Main 2019 issues include: General mining law, strategic and critical minerals, Good Samaritan legislation, public lands, United States-Mexico-Canada Agreement (USMCA), mine permitting, mine reclamation and bonding, abandoned mine lands, U.S. EPA Toxic Release Inventory (TRI) regulations, and elemental mercury storage. </t>
    </r>
  </si>
  <si>
    <r>
      <t xml:space="preserve">2019 Trade association dues: </t>
    </r>
    <r>
      <rPr>
        <b/>
        <sz val="10"/>
        <color rgb="FF000000"/>
        <rFont val="Arial"/>
        <family val="2"/>
      </rPr>
      <t>A</t>
    </r>
    <r>
      <rPr>
        <b/>
        <sz val="10"/>
        <color rgb="FF000000"/>
        <rFont val="Arial"/>
        <family val="2"/>
      </rPr>
      <t>mount and percentage attributable to political advocacy</t>
    </r>
    <r>
      <rPr>
        <b/>
        <vertAlign val="superscript"/>
        <sz val="10"/>
        <color rgb="FF000000"/>
        <rFont val="Arial"/>
        <family val="2"/>
      </rPr>
      <t>1</t>
    </r>
  </si>
  <si>
    <r>
      <rPr>
        <vertAlign val="superscript"/>
        <sz val="8"/>
        <color theme="1"/>
        <rFont val="Arial"/>
        <family val="2"/>
      </rPr>
      <t xml:space="preserve">1 </t>
    </r>
    <r>
      <rPr>
        <sz val="8"/>
        <color theme="1"/>
        <rFont val="Arial"/>
        <family val="2"/>
      </rPr>
      <t xml:space="preserve">Disclosure added to ESG data tables July 28, 2020 - added to provide three-year regional breakout of targets in response to SAM S&amp;P 2020 Corporate Sustainability Assessment Q1.6.6. Years 2017-2018 reflect Newmont assets only; 2019 data reflects Goldcorp data from the date of acquisition (April 18, 2019). </t>
    </r>
    <r>
      <rPr>
        <vertAlign val="superscript"/>
        <sz val="8"/>
        <color theme="1"/>
        <rFont val="Arial"/>
        <family val="2"/>
      </rPr>
      <t xml:space="preserve"> </t>
    </r>
    <r>
      <rPr>
        <sz val="8"/>
        <color theme="1"/>
        <rFont val="Arial"/>
        <family val="2"/>
      </rPr>
      <t xml:space="preserve">2019 North America local supplier spending figures include Nevada supplier spend from January 1 to June 30 (pre-JV) and exclude the Colorado, U.S. corporate office; Australia local supplier spending figures exclude KCGM. </t>
    </r>
  </si>
  <si>
    <t xml:space="preserve">Spend Target </t>
  </si>
  <si>
    <t>Target Results</t>
  </si>
  <si>
    <r>
      <rPr>
        <b/>
        <sz val="10"/>
        <rFont val="Arial"/>
        <family val="2"/>
      </rPr>
      <t>Financial and Investor Relations</t>
    </r>
    <r>
      <rPr>
        <sz val="10"/>
        <rFont val="Arial"/>
        <family val="2"/>
      </rPr>
      <t xml:space="preserve">: For additional information about Newmont's Investor Relations presentations, financial filings and communications, visit Newmont's Investor Relations page at: https://www.newmont.com/investors/default.aspx.
</t>
    </r>
    <r>
      <rPr>
        <b/>
        <sz val="10"/>
        <rFont val="Arial"/>
        <family val="2"/>
      </rPr>
      <t>Board, executive compensation, related details</t>
    </r>
    <r>
      <rPr>
        <sz val="10"/>
        <rFont val="Arial"/>
        <family val="2"/>
      </rPr>
      <t xml:space="preserve">: More information on director and executive compensation and the process for communicating with the Board is reported in our 2020 Proxy Statement, available at: https://d18rn0p25nwr6d.cloudfront.net/CIK-0001164727/7dae0c89-182c-4726-a817-989bdb0156f7.pdf.
</t>
    </r>
    <r>
      <rPr>
        <b/>
        <sz val="10"/>
        <rFont val="Arial"/>
        <family val="2"/>
      </rPr>
      <t>Governance and ethics</t>
    </r>
    <r>
      <rPr>
        <sz val="10"/>
        <rFont val="Arial"/>
        <family val="2"/>
      </rPr>
      <t xml:space="preserve">: Details of our Board's bylaws, committee charters, guidelines, Newmont Code of Conduct, Supplier Code of Conduct, Political Contributions, public Newmont policies and standards, lobbying reports and other governance practices are available on our website at: https://www.newmont.com/about-us/governance-and-ethics/default.aspx.
</t>
    </r>
    <r>
      <rPr>
        <b/>
        <sz val="10"/>
        <rFont val="Arial"/>
        <family val="2"/>
      </rPr>
      <t>Sustainability and related details:</t>
    </r>
    <r>
      <rPr>
        <sz val="10"/>
        <rFont val="Arial"/>
        <family val="2"/>
      </rPr>
      <t xml:space="preserve"> Additional sustainability data can be found at Newmont.com. This data includes archives of Newmont and Goldcorp annual sustainability reports, CDP Climate and Water disclosures, Conflict-Free Gold reports, and related disclosures. Additional sustainability data can be found at Newmont.com. This data includes archives of Newmont and Goldcorp annual sustainability reports, CDP Climate and Water disclosures, Conflict-Free Gold reports, and related disclosures.
</t>
    </r>
    <r>
      <rPr>
        <b/>
        <sz val="10"/>
        <rFont val="Arial"/>
        <family val="2"/>
      </rPr>
      <t>2019 annual sustainability reporting suite</t>
    </r>
    <r>
      <rPr>
        <sz val="10"/>
        <rFont val="Arial"/>
        <family val="2"/>
      </rPr>
      <t xml:space="preserve">: The 2019 ESG data tables are part of a larger suite of sustainability disclosures; companion publications include the 2019 Sustainability Report: Beyond the Mine; the 2019 Performance Data section (a design version of the ESG data tables); and the 2019 GRI Content Index.  
</t>
    </r>
    <r>
      <rPr>
        <b/>
        <sz val="10"/>
        <rFont val="Arial"/>
        <family val="2"/>
      </rPr>
      <t>COVID-19</t>
    </r>
    <r>
      <rPr>
        <sz val="10"/>
        <rFont val="Arial"/>
        <family val="2"/>
      </rPr>
      <t xml:space="preserve">: For real-time updates on expenditures and recipients for the US $20M Newmont Global Community Support Fund expenditures and recipients (supporting economic resilience, food security, health and other), which launched on April 9, 2020 and is meant to help host communities, governments and employees combat the COVID-19 pandemic, visit: https://www.newmont.com/operations-and-projects/health-and-safety/default.aspx. 
</t>
    </r>
    <r>
      <rPr>
        <b/>
        <sz val="10"/>
        <rFont val="Arial"/>
        <family val="2"/>
      </rPr>
      <t>News</t>
    </r>
    <r>
      <rPr>
        <sz val="10"/>
        <rFont val="Arial"/>
        <family val="2"/>
      </rPr>
      <t>: Press releases, updates are posted in our online Newsroom, available at: https://www.newmont.com/investors/news-release/default.aspx</t>
    </r>
  </si>
  <si>
    <r>
      <rPr>
        <sz val="10"/>
        <color rgb="FF000000"/>
        <rFont val="Arial"/>
        <family val="2"/>
      </rPr>
      <t xml:space="preserve">All reports filed by lobbyists representing Newmont (both internal government relations employees and external representatives) are available from the U.S. House of Representatives, updated quarterly and accessible by </t>
    </r>
    <r>
      <rPr>
        <u/>
        <sz val="10"/>
        <color rgb="FF0000FF"/>
        <rFont val="Arial"/>
        <family val="2"/>
      </rPr>
      <t>using this link</t>
    </r>
    <r>
      <rPr>
        <sz val="10"/>
        <color rgb="FF000000"/>
        <rFont val="Arial"/>
        <family val="2"/>
      </rPr>
      <t xml:space="preserve">. Copies of Newmont's 2019 quarterly lobbying reports are also available on Newmont.com, through the Governance and Ethics page, Political Contributions tab.  </t>
    </r>
  </si>
  <si>
    <t>Lobbying</t>
  </si>
  <si>
    <t>Trade associations</t>
  </si>
  <si>
    <t xml:space="preserve">Annual total monetary contributions and expenditures: Trailing 3 years
</t>
  </si>
  <si>
    <t xml:space="preserve">Policy Influence - Largest individual contributions and main topics: 2019 </t>
  </si>
  <si>
    <r>
      <t>2019 U.S. lobbying activities</t>
    </r>
    <r>
      <rPr>
        <b/>
        <vertAlign val="superscript"/>
        <sz val="10"/>
        <color rgb="FF000000"/>
        <rFont val="Arial"/>
        <family val="2"/>
      </rPr>
      <t>1, 2</t>
    </r>
  </si>
  <si>
    <r>
      <t>2019 Political contributions (U.S. dollars)</t>
    </r>
    <r>
      <rPr>
        <b/>
        <vertAlign val="superscript"/>
        <sz val="10"/>
        <color rgb="FF000000"/>
        <rFont val="Arial"/>
        <family val="2"/>
      </rPr>
      <t>1,2</t>
    </r>
  </si>
  <si>
    <r>
      <t>Spending on Local Suppliers by Region: Trailing 3 Years - target vs. results data</t>
    </r>
    <r>
      <rPr>
        <b/>
        <vertAlign val="superscript"/>
        <sz val="10"/>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</si>
</sst>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164" formatCode="_(&quot;$&quot;* #,##0.00_);_(&quot;$&quot;* \(#,##0.00\);_(&quot;$&quot;* &quot;-&quot;??_);_(@_)"/>
    <numFmt numFmtId="165" formatCode="&quot;$&quot;* #,##0_);&quot;$&quot;* \(#,##0\);&quot;$&quot;* #,##0_);_(@_)"/>
    <numFmt numFmtId="166" formatCode="&quot;$&quot;* #,##0_);&quot;$&quot;* \(#,##0\);&quot;$&quot;* &quot;-&quot;_);_(@_)"/>
    <numFmt numFmtId="167" formatCode="#0.#######################;&quot;-&quot;#0.#######################;#0.#######################;_(@_)"/>
    <numFmt numFmtId="168" formatCode="#0;&quot;-&quot;#0;#0;_(@_)"/>
    <numFmt numFmtId="169" formatCode="#,##0;&quot;-&quot;#,##0;#,##0;_(@_)"/>
    <numFmt numFmtId="170" formatCode="#0_)%;\(#0\)%;&quot;-&quot;_)\%;_(@_)"/>
    <numFmt numFmtId="171" formatCode="#0.00;&quot;-&quot;#0.00;#0.00;_(@_)"/>
    <numFmt numFmtId="172" formatCode="#,##0.00;&quot;-&quot;#,##0.00;#,##0.00;_(@_)"/>
    <numFmt numFmtId="173" formatCode="#0.0;&quot;-&quot;#0.0;#0.0;_(@_)"/>
    <numFmt numFmtId="174" formatCode="#,##0.0;&quot;-&quot;#,##0.0;#,##0.0;_(@_)"/>
    <numFmt numFmtId="175" formatCode="* #,##0.0;* \(#,##0.0\);* #,##0.0;_(@_)"/>
    <numFmt numFmtId="176" formatCode="* #,##0.00;* \(#,##0.00\);* #,##0.00;_(@_)"/>
    <numFmt numFmtId="177" formatCode="#0.0_)%;\(#0.0\)%;&quot;-&quot;_)\%;_(@_)"/>
    <numFmt numFmtId="178" formatCode="#0.0_)%;\(#0.0\)%;#0.0_)%;_(@_)"/>
    <numFmt numFmtId="179" formatCode="* #,##0.000,,;* \(#,##0.000,,\);* #,##0.000,,;_(@_)"/>
    <numFmt numFmtId="180" formatCode="* #,##0.000;* \(#,##0.000\);* #,##0.000;_(@_)"/>
    <numFmt numFmtId="181" formatCode="#0;\(#0\);&quot;-&quot;;_(@_)"/>
    <numFmt numFmtId="182" formatCode="* #,##0.00;* \(#,##0.00\);* &quot;-&quot;;_(@_)"/>
    <numFmt numFmtId="183" formatCode="#0.00;&quot;-&quot;#0.00;&quot;-&quot;;_(@_)"/>
    <numFmt numFmtId="184" formatCode="#0.00_)%;\(#0.00\)%;#0.00_)%;_(@_)"/>
    <numFmt numFmtId="185" formatCode="#0.00_)%;\(#0.00\)%;&quot;-&quot;_)\%;_(@_)"/>
    <numFmt numFmtId="186" formatCode="#0_)%;\(#0\)%;#0_)%;_(@_)"/>
    <numFmt numFmtId="187" formatCode="* #,##0;* \(#,##0\);* #,##0;_(@_)"/>
    <numFmt numFmtId="188" formatCode="#,##0.0;\(#,##0.0\);#,##0.0;_(@_)"/>
    <numFmt numFmtId="189" formatCode="#,##0.00;\(#,##0.00\);#,##0.00;_(@_)"/>
    <numFmt numFmtId="190" formatCode="* #,##0;* \(#,##0\);* &quot;-&quot;;_(@_)"/>
    <numFmt numFmtId="191" formatCode="* #0;* \(#0\);* &quot;-&quot;;_(@_)"/>
    <numFmt numFmtId="192" formatCode="#0.0;\(#0.0\);#0.0;_(@_)"/>
    <numFmt numFmtId="193" formatCode="#0.0;&quot;-&quot;#0.0;&quot;-&quot;;_(@_)"/>
    <numFmt numFmtId="194" formatCode="#,##0.0,,;&quot;-&quot;#,##0.0,,;#,##0.0,,;_(@_)"/>
    <numFmt numFmtId="195" formatCode="#0.0,,;&quot;-&quot;#0.0,,;#0.0,,;_(@_)"/>
    <numFmt numFmtId="196" formatCode="* #,##0.0;* \(#,##0.0\);* &quot;-&quot;;_(@_)"/>
    <numFmt numFmtId="197" formatCode="#0.#######################;\(#0.#######################\);&quot;-&quot;;_(@_)"/>
    <numFmt numFmtId="198" formatCode="#,##0.0,;&quot;-&quot;#,##0.0,;#,##0.0,;_(@_)"/>
    <numFmt numFmtId="199" formatCode="#0.000;&quot;-&quot;#0.000;#0.000;_(@_)"/>
    <numFmt numFmtId="200" formatCode="&quot;$&quot;* #,##0.00,,_);&quot;$&quot;* \(#,##0.00,,\);&quot;$&quot;* #,##0.00,,_);_(@_)"/>
    <numFmt numFmtId="201" formatCode="&quot;$&quot;* #,##0.0,,_);&quot;$&quot;* \(#,##0.0,,\);&quot;$&quot;* &quot;-&quot;_);_(@_)"/>
    <numFmt numFmtId="202" formatCode="&quot;$&quot;#,##0.0;&quot;-&quot;&quot;$&quot;#,##0.0;&quot;$&quot;#,##0.0;_(@_)"/>
    <numFmt numFmtId="203" formatCode="&quot;$&quot;* #,##0.0,,_);&quot;$&quot;* \(#,##0.0,,\);&quot;$&quot;* #,##0.0,,_);_(@_)"/>
    <numFmt numFmtId="204" formatCode="&quot;$&quot;* #,##0.0_);&quot;$&quot;* \(#,##0.0\);&quot;$&quot;* &quot;-&quot;_);_(@_)"/>
    <numFmt numFmtId="205" formatCode="&quot;$&quot;#,##0.0,,;&quot;-&quot;&quot;$&quot;#,##0.0,,;&quot;$&quot;#,##0.0,,;_(@_)"/>
    <numFmt numFmtId="206" formatCode="#,##0_)%;\(#,##0\)%;&quot;-&quot;_)\%;_(@_)"/>
    <numFmt numFmtId="207" formatCode="#,##0.#######################_)%;\(#,##0.#######################\)%;&quot;-&quot;_)\%;_(@_)"/>
    <numFmt numFmtId="208" formatCode="&quot;$&quot;#,##0;&quot;-&quot;&quot;$&quot;#,##0;&quot;$&quot;#,##0;_(@_)"/>
    <numFmt numFmtId="209" formatCode="#0.0%;&quot;-&quot;#0.0%;#0.0%;_(@_)"/>
    <numFmt numFmtId="210" formatCode="&quot;$&quot;* #,##0.00_);&quot;$&quot;* \(#,##0.00\);&quot;$&quot;* &quot;-&quot;_);_(@_)"/>
    <numFmt numFmtId="211" formatCode="_(&quot;$&quot;* #,##0.0_);_(&quot;$&quot;* \(#,##0.0\);_(&quot;$&quot;* &quot;-&quot;??_);_(@_)"/>
    <numFmt numFmtId="212" formatCode="_(&quot;$&quot;* #,##0_);_(&quot;$&quot;* \(#,##0\);_(&quot;$&quot;* &quot;-&quot;??_);_(@_)"/>
  </numFmts>
  <fonts count="49">
    <font>
      <sz val="10"/>
      <name val="Arial"/>
    </font>
    <font>
      <sz val="10"/>
      <color rgb="FF000000"/>
      <name val="Arial"/>
      <family val="2"/>
    </font>
    <font>
      <sz val="10"/>
      <color rgb="FFBF2115"/>
      <name val="Arial"/>
      <family val="2"/>
    </font>
    <font>
      <b/>
      <sz val="10"/>
      <name val="Arial"/>
      <family val="2"/>
    </font>
    <font>
      <sz val="10"/>
      <name val="Arial"/>
      <family val="2"/>
    </font>
    <font>
      <b/>
      <sz val="10"/>
      <color rgb="FF000000"/>
      <name val="Arial"/>
      <family val="2"/>
    </font>
    <font>
      <sz val="8"/>
      <color rgb="FF000000"/>
      <name val="Arial"/>
      <family val="2"/>
    </font>
    <font>
      <sz val="9"/>
      <color rgb="FF000000"/>
      <name val="Arial"/>
      <family val="2"/>
    </font>
    <font>
      <sz val="8"/>
      <name val="Arial"/>
      <family val="2"/>
    </font>
    <font>
      <sz val="18"/>
      <color rgb="FFBF2115"/>
      <name val="Arial"/>
      <family val="2"/>
    </font>
    <font>
      <sz val="10"/>
      <color rgb="FFEE2724"/>
      <name val="Arial"/>
      <family val="2"/>
    </font>
    <font>
      <sz val="11"/>
      <color rgb="FFEE2724"/>
      <name val="Arial"/>
      <family val="2"/>
    </font>
    <font>
      <b/>
      <sz val="11"/>
      <color rgb="FF000000"/>
      <name val="Arial"/>
      <family val="2"/>
    </font>
    <font>
      <sz val="12"/>
      <color rgb="FF000000"/>
      <name val="Arial"/>
      <family val="2"/>
    </font>
    <font>
      <sz val="11"/>
      <color rgb="FF000000"/>
      <name val="Arial"/>
      <family val="2"/>
    </font>
    <font>
      <sz val="9"/>
      <name val="Arial"/>
      <family val="2"/>
    </font>
    <font>
      <sz val="8"/>
      <color rgb="FFBF2115"/>
      <name val="Arial"/>
      <family val="2"/>
    </font>
    <font>
      <b/>
      <sz val="11"/>
      <color rgb="FF000000"/>
      <name val="Calibri"/>
      <family val="2"/>
    </font>
    <font>
      <sz val="11"/>
      <color rgb="FF000000"/>
      <name val="Calibri"/>
      <family val="2"/>
    </font>
    <font>
      <sz val="11"/>
      <color rgb="FFFF0000"/>
      <name val="Calibri"/>
      <family val="2"/>
    </font>
    <font>
      <b/>
      <sz val="9"/>
      <name val="Arial"/>
      <family val="2"/>
    </font>
    <font>
      <b/>
      <vertAlign val="superscript"/>
      <sz val="10"/>
      <color rgb="FF000000"/>
      <name val="Arial"/>
      <family val="2"/>
    </font>
    <font>
      <vertAlign val="superscript"/>
      <sz val="8"/>
      <color rgb="FF000000"/>
      <name val="Arial"/>
      <family val="2"/>
    </font>
    <font>
      <vertAlign val="superscript"/>
      <sz val="10"/>
      <color rgb="FF000000"/>
      <name val="Arial"/>
      <family val="2"/>
    </font>
    <font>
      <u/>
      <sz val="10"/>
      <color rgb="FF0000FF"/>
      <name val="Arial"/>
      <family val="2"/>
    </font>
    <font>
      <b/>
      <vertAlign val="subscript"/>
      <sz val="10"/>
      <color rgb="FF000000"/>
      <name val="Arial"/>
      <family val="2"/>
    </font>
    <font>
      <vertAlign val="subscript"/>
      <sz val="8"/>
      <color rgb="FF000000"/>
      <name val="Arial"/>
      <family val="2"/>
    </font>
    <font>
      <vertAlign val="subscript"/>
      <sz val="10"/>
      <color rgb="FF000000"/>
      <name val="Arial"/>
      <family val="2"/>
    </font>
    <font>
      <vertAlign val="superscript"/>
      <sz val="9"/>
      <color rgb="FF000000"/>
      <name val="Arial"/>
      <family val="2"/>
    </font>
    <font>
      <b/>
      <sz val="9"/>
      <color rgb="FF000000"/>
      <name val="Arial"/>
      <family val="2"/>
    </font>
    <font>
      <vertAlign val="superscript"/>
      <sz val="12"/>
      <color rgb="FF000000"/>
      <name val="Times New Roman"/>
      <family val="1"/>
    </font>
    <font>
      <b/>
      <vertAlign val="superscript"/>
      <sz val="9"/>
      <color rgb="FF000000"/>
      <name val="Arial"/>
      <family val="2"/>
    </font>
    <font>
      <b/>
      <sz val="12"/>
      <name val="Arial"/>
      <family val="2"/>
    </font>
    <font>
      <sz val="8"/>
      <name val="Arial"/>
      <family val="2"/>
    </font>
    <font>
      <sz val="10"/>
      <color rgb="FF000000"/>
      <name val="Arial"/>
      <family val="2"/>
    </font>
    <font>
      <b/>
      <sz val="12"/>
      <name val="Arial"/>
      <family val="2"/>
    </font>
    <font>
      <sz val="10"/>
      <name val="Arial"/>
      <family val="2"/>
    </font>
    <font>
      <b/>
      <sz val="10"/>
      <name val="Arial"/>
      <family val="2"/>
    </font>
    <font>
      <b/>
      <sz val="10"/>
      <color rgb="FF000000"/>
      <name val="Arial"/>
      <family val="2"/>
    </font>
    <font>
      <b/>
      <sz val="12"/>
      <color rgb="FF000000"/>
      <name val="Arial"/>
      <family val="2"/>
    </font>
    <font>
      <sz val="8"/>
      <color rgb="FF000000"/>
      <name val="Arial"/>
      <family val="2"/>
    </font>
    <font>
      <b/>
      <sz val="9"/>
      <color rgb="FF000000"/>
      <name val="Arial"/>
      <family val="2"/>
    </font>
    <font>
      <b/>
      <sz val="8"/>
      <name val="Arial"/>
      <family val="2"/>
    </font>
    <font>
      <vertAlign val="subscript"/>
      <sz val="8"/>
      <name val="Arial"/>
      <family val="2"/>
    </font>
    <font>
      <vertAlign val="superscript"/>
      <sz val="8"/>
      <color theme="1"/>
      <name val="Arial"/>
      <family val="2"/>
    </font>
    <font>
      <sz val="8"/>
      <color theme="1"/>
      <name val="Arial"/>
      <family val="2"/>
    </font>
    <font>
      <sz val="10"/>
      <name val="Arial"/>
      <family val="2"/>
    </font>
    <font>
      <b/>
      <vertAlign val="superscript"/>
      <sz val="10"/>
      <name val="Arial"/>
      <family val="2"/>
    </font>
    <font>
      <vertAlign val="superscript"/>
      <sz val="8"/>
      <color rgb="FF000000"/>
      <name val="Adobe Devanagari"/>
      <family val="1"/>
    </font>
  </fonts>
  <fills count="14">
    <fill>
      <patternFill patternType="none"/>
    </fill>
    <fill>
      <patternFill patternType="gray125"/>
    </fill>
    <fill>
      <patternFill patternType="solid">
        <fgColor rgb="FFCBCBCB"/>
        <bgColor indexed="64"/>
      </patternFill>
    </fill>
    <fill>
      <patternFill patternType="solid">
        <fgColor rgb="FFFFFFFF"/>
        <bgColor indexed="64"/>
      </patternFill>
    </fill>
    <fill>
      <patternFill patternType="solid">
        <fgColor rgb="FFFAAC16"/>
        <bgColor indexed="64"/>
      </patternFill>
    </fill>
    <fill>
      <patternFill patternType="solid">
        <fgColor rgb="FFD9C6F9"/>
        <bgColor indexed="64"/>
      </patternFill>
    </fill>
    <fill>
      <patternFill patternType="solid">
        <fgColor rgb="FFC0CAFB"/>
        <bgColor indexed="64"/>
      </patternFill>
    </fill>
    <fill>
      <patternFill patternType="solid">
        <fgColor rgb="FFBFE4FF"/>
        <bgColor indexed="64"/>
      </patternFill>
    </fill>
    <fill>
      <patternFill patternType="solid">
        <fgColor rgb="FFAADEAD"/>
        <bgColor indexed="64"/>
      </patternFill>
    </fill>
    <fill>
      <patternFill patternType="solid">
        <fgColor rgb="FFFFE64B"/>
        <bgColor indexed="64"/>
      </patternFill>
    </fill>
    <fill>
      <patternFill patternType="solid">
        <fgColor rgb="FFE7E6E6"/>
        <bgColor indexed="64"/>
      </patternFill>
    </fill>
    <fill>
      <patternFill patternType="solid">
        <fgColor rgb="FFB3B3B3"/>
        <bgColor indexed="64"/>
      </patternFill>
    </fill>
    <fill>
      <patternFill patternType="solid">
        <fgColor theme="2" tint="-9.9978637043366805E-2"/>
        <bgColor indexed="64"/>
      </patternFill>
    </fill>
    <fill>
      <patternFill patternType="solid">
        <fgColor theme="0"/>
        <bgColor indexed="64"/>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s>
  <cellStyleXfs count="2">
    <xf numFmtId="0" fontId="0" fillId="0" borderId="0"/>
    <xf numFmtId="164" fontId="46" fillId="0" borderId="0" applyFont="0" applyFill="0" applyBorder="0" applyAlignment="0" applyProtection="0"/>
  </cellStyleXfs>
  <cellXfs count="584">
    <xf numFmtId="0" fontId="0" fillId="0" borderId="0" xfId="0"/>
    <xf numFmtId="0" fontId="2" fillId="0" borderId="1" xfId="0" applyFont="1" applyBorder="1" applyAlignment="1">
      <alignment wrapText="1"/>
    </xf>
    <xf numFmtId="0" fontId="3" fillId="2" borderId="2" xfId="0" applyFont="1" applyFill="1" applyBorder="1" applyAlignment="1">
      <alignment horizontal="left" wrapText="1"/>
    </xf>
    <xf numFmtId="0" fontId="3" fillId="0" borderId="2" xfId="0" applyFont="1" applyBorder="1" applyAlignment="1">
      <alignment horizontal="left" wrapText="1"/>
    </xf>
    <xf numFmtId="0" fontId="4" fillId="0" borderId="3" xfId="0" applyFont="1" applyBorder="1" applyAlignment="1">
      <alignment wrapText="1"/>
    </xf>
    <xf numFmtId="0" fontId="4" fillId="0" borderId="2" xfId="0" applyFont="1" applyBorder="1" applyAlignment="1">
      <alignment horizontal="left" wrapText="1"/>
    </xf>
    <xf numFmtId="165" fontId="4" fillId="0" borderId="2" xfId="0" applyNumberFormat="1" applyFont="1" applyBorder="1" applyAlignment="1">
      <alignment wrapText="1"/>
    </xf>
    <xf numFmtId="0" fontId="2" fillId="0" borderId="3" xfId="0" applyFont="1" applyBorder="1" applyAlignment="1">
      <alignment horizontal="left" vertical="center" wrapText="1"/>
    </xf>
    <xf numFmtId="0" fontId="1" fillId="0" borderId="2" xfId="0" applyFont="1" applyBorder="1" applyAlignment="1">
      <alignment horizontal="left" wrapText="1"/>
    </xf>
    <xf numFmtId="0" fontId="4" fillId="0" borderId="3" xfId="0" applyFont="1" applyBorder="1" applyAlignment="1">
      <alignment horizontal="left" vertical="center" wrapText="1"/>
    </xf>
    <xf numFmtId="0" fontId="4" fillId="0" borderId="0" xfId="0" applyFont="1" applyAlignment="1">
      <alignment horizontal="left" vertical="center" wrapText="1"/>
    </xf>
    <xf numFmtId="166" fontId="5" fillId="0" borderId="2" xfId="0" applyNumberFormat="1" applyFont="1" applyBorder="1" applyAlignment="1">
      <alignment wrapText="1"/>
    </xf>
    <xf numFmtId="0" fontId="3" fillId="2" borderId="2" xfId="0" applyFont="1" applyFill="1" applyBorder="1" applyAlignment="1">
      <alignment wrapText="1"/>
    </xf>
    <xf numFmtId="0" fontId="4" fillId="0" borderId="2" xfId="0" applyFont="1" applyBorder="1" applyAlignment="1">
      <alignment wrapText="1"/>
    </xf>
    <xf numFmtId="0" fontId="4" fillId="0" borderId="0" xfId="0" applyFont="1" applyAlignment="1">
      <alignment wrapText="1"/>
    </xf>
    <xf numFmtId="0" fontId="1" fillId="0" borderId="2" xfId="0" applyFont="1" applyBorder="1" applyAlignment="1">
      <alignment wrapText="1"/>
    </xf>
    <xf numFmtId="165" fontId="1" fillId="0" borderId="2" xfId="0" applyNumberFormat="1" applyFont="1" applyBorder="1" applyAlignment="1">
      <alignment wrapText="1"/>
    </xf>
    <xf numFmtId="0" fontId="7" fillId="0" borderId="1" xfId="0" applyFont="1" applyBorder="1" applyAlignment="1">
      <alignment vertical="top" wrapText="1"/>
    </xf>
    <xf numFmtId="0" fontId="3" fillId="0" borderId="2" xfId="0" applyFont="1" applyBorder="1" applyAlignment="1">
      <alignment wrapText="1"/>
    </xf>
    <xf numFmtId="0" fontId="5" fillId="0" borderId="2" xfId="0" applyFont="1" applyBorder="1" applyAlignment="1">
      <alignment wrapText="1"/>
    </xf>
    <xf numFmtId="0" fontId="4" fillId="0" borderId="3" xfId="0" applyFont="1" applyBorder="1" applyAlignment="1">
      <alignment vertical="center" wrapText="1"/>
    </xf>
    <xf numFmtId="167" fontId="6" fillId="0" borderId="2" xfId="0" applyNumberFormat="1" applyFont="1" applyBorder="1" applyAlignment="1">
      <alignment horizontal="center" wrapText="1"/>
    </xf>
    <xf numFmtId="168" fontId="1" fillId="0" borderId="2" xfId="0" applyNumberFormat="1" applyFont="1" applyBorder="1" applyAlignment="1">
      <alignment horizontal="center" wrapText="1"/>
    </xf>
    <xf numFmtId="0" fontId="9" fillId="0" borderId="0" xfId="0" applyFont="1" applyAlignment="1">
      <alignment vertical="center" wrapText="1"/>
    </xf>
    <xf numFmtId="0" fontId="4" fillId="0" borderId="4" xfId="0" applyFont="1" applyBorder="1" applyAlignment="1">
      <alignment wrapText="1"/>
    </xf>
    <xf numFmtId="0" fontId="4" fillId="0" borderId="2" xfId="0" applyFont="1" applyBorder="1" applyAlignment="1">
      <alignment vertical="center" wrapText="1"/>
    </xf>
    <xf numFmtId="0" fontId="10" fillId="0" borderId="3" xfId="0" applyFont="1" applyBorder="1" applyAlignment="1">
      <alignment wrapText="1"/>
    </xf>
    <xf numFmtId="0" fontId="5" fillId="2" borderId="2" xfId="0" applyFont="1" applyFill="1" applyBorder="1" applyAlignment="1">
      <alignment wrapText="1"/>
    </xf>
    <xf numFmtId="168" fontId="5" fillId="0" borderId="2" xfId="0" applyNumberFormat="1" applyFont="1" applyBorder="1" applyAlignment="1">
      <alignment horizontal="left" wrapText="1"/>
    </xf>
    <xf numFmtId="0" fontId="1" fillId="0" borderId="2" xfId="0" applyFont="1" applyBorder="1" applyAlignment="1">
      <alignment vertical="center" wrapText="1"/>
    </xf>
    <xf numFmtId="168" fontId="1" fillId="0" borderId="2" xfId="0" applyNumberFormat="1" applyFont="1" applyBorder="1" applyAlignment="1">
      <alignment horizontal="right" vertical="center" wrapText="1"/>
    </xf>
    <xf numFmtId="0" fontId="10" fillId="0" borderId="3" xfId="0" applyFont="1" applyBorder="1" applyAlignment="1">
      <alignment vertical="center" wrapText="1"/>
    </xf>
    <xf numFmtId="0" fontId="5" fillId="0" borderId="2" xfId="0" applyFont="1" applyBorder="1" applyAlignment="1">
      <alignment horizontal="left" vertical="center" wrapText="1"/>
    </xf>
    <xf numFmtId="168" fontId="5" fillId="0" borderId="2" xfId="0" applyNumberFormat="1" applyFont="1" applyBorder="1" applyAlignment="1">
      <alignment horizontal="right" vertical="center" wrapText="1"/>
    </xf>
    <xf numFmtId="169" fontId="5" fillId="0" borderId="2" xfId="0" applyNumberFormat="1" applyFont="1" applyBorder="1" applyAlignment="1">
      <alignment horizontal="right" vertical="center" wrapText="1"/>
    </xf>
    <xf numFmtId="0" fontId="4" fillId="0" borderId="0" xfId="0" applyFont="1" applyAlignment="1">
      <alignment vertical="center" wrapText="1"/>
    </xf>
    <xf numFmtId="0" fontId="5" fillId="0" borderId="2" xfId="0" applyFont="1" applyBorder="1" applyAlignment="1">
      <alignment horizontal="left" vertical="center" wrapText="1" indent="2"/>
    </xf>
    <xf numFmtId="0" fontId="1" fillId="0" borderId="2" xfId="0" applyFont="1" applyBorder="1" applyAlignment="1">
      <alignment horizontal="left" vertical="center" wrapText="1" indent="5"/>
    </xf>
    <xf numFmtId="0" fontId="1" fillId="0" borderId="2" xfId="0" applyFont="1" applyBorder="1" applyAlignment="1">
      <alignment horizontal="center" vertical="center" wrapText="1"/>
    </xf>
    <xf numFmtId="169" fontId="1" fillId="0" borderId="2" xfId="0" applyNumberFormat="1" applyFont="1" applyBorder="1" applyAlignment="1">
      <alignment horizontal="right" vertical="center" wrapText="1"/>
    </xf>
    <xf numFmtId="0" fontId="10" fillId="0" borderId="0" xfId="0" applyFont="1" applyAlignment="1">
      <alignment wrapText="1"/>
    </xf>
    <xf numFmtId="0" fontId="5" fillId="2" borderId="2" xfId="0" applyFont="1" applyFill="1" applyBorder="1" applyAlignment="1">
      <alignment horizontal="left" wrapText="1"/>
    </xf>
    <xf numFmtId="0" fontId="5" fillId="0" borderId="2" xfId="0" applyFont="1" applyBorder="1" applyAlignment="1">
      <alignment horizontal="left" wrapText="1"/>
    </xf>
    <xf numFmtId="0" fontId="1" fillId="0" borderId="3" xfId="0" applyFont="1" applyBorder="1" applyAlignment="1">
      <alignment horizontal="center" wrapText="1"/>
    </xf>
    <xf numFmtId="0" fontId="1" fillId="0" borderId="0" xfId="0" applyFont="1" applyAlignment="1">
      <alignment horizontal="center" wrapText="1"/>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left" vertical="center" wrapText="1"/>
    </xf>
    <xf numFmtId="0" fontId="5" fillId="0" borderId="2" xfId="0" applyFont="1" applyBorder="1" applyAlignment="1">
      <alignment vertical="center" wrapText="1"/>
    </xf>
    <xf numFmtId="0" fontId="11" fillId="3" borderId="0" xfId="0" applyFont="1" applyFill="1" applyAlignment="1">
      <alignment horizontal="left" vertical="top" wrapText="1"/>
    </xf>
    <xf numFmtId="168" fontId="4" fillId="0" borderId="0" xfId="0" applyNumberFormat="1" applyFont="1" applyAlignment="1">
      <alignment wrapText="1"/>
    </xf>
    <xf numFmtId="170" fontId="1" fillId="0" borderId="2" xfId="0" applyNumberFormat="1" applyFont="1" applyBorder="1" applyAlignment="1">
      <alignment horizontal="right" vertical="center" wrapText="1"/>
    </xf>
    <xf numFmtId="170" fontId="5" fillId="0" borderId="2" xfId="0" applyNumberFormat="1" applyFont="1" applyBorder="1" applyAlignment="1">
      <alignment horizontal="right" vertical="center" wrapText="1"/>
    </xf>
    <xf numFmtId="168" fontId="3" fillId="0" borderId="2" xfId="0" applyNumberFormat="1" applyFont="1" applyBorder="1" applyAlignment="1">
      <alignment horizontal="left" wrapText="1"/>
    </xf>
    <xf numFmtId="170" fontId="4" fillId="0" borderId="2" xfId="0" applyNumberFormat="1" applyFont="1" applyBorder="1" applyAlignment="1">
      <alignment vertical="center" wrapText="1"/>
    </xf>
    <xf numFmtId="0" fontId="4" fillId="0" borderId="1" xfId="0" applyFont="1" applyBorder="1" applyAlignment="1">
      <alignment wrapText="1"/>
    </xf>
    <xf numFmtId="0" fontId="1" fillId="3" borderId="2" xfId="0" applyFont="1" applyFill="1" applyBorder="1" applyAlignment="1">
      <alignment horizontal="left" vertical="center" wrapText="1"/>
    </xf>
    <xf numFmtId="166" fontId="1" fillId="3" borderId="2" xfId="0" applyNumberFormat="1" applyFont="1" applyFill="1" applyBorder="1" applyAlignment="1">
      <alignment vertical="center" wrapText="1"/>
    </xf>
    <xf numFmtId="0" fontId="1" fillId="3" borderId="2" xfId="0" applyFont="1" applyFill="1" applyBorder="1" applyAlignment="1">
      <alignment vertical="center" wrapText="1"/>
    </xf>
    <xf numFmtId="166" fontId="5" fillId="3" borderId="2" xfId="0" applyNumberFormat="1" applyFont="1" applyFill="1" applyBorder="1" applyAlignment="1">
      <alignment vertical="center" wrapText="1"/>
    </xf>
    <xf numFmtId="0" fontId="1" fillId="3" borderId="2" xfId="0" applyFont="1" applyFill="1" applyBorder="1" applyAlignment="1">
      <alignment wrapText="1"/>
    </xf>
    <xf numFmtId="166" fontId="1" fillId="3" borderId="2" xfId="0" applyNumberFormat="1" applyFont="1" applyFill="1" applyBorder="1" applyAlignment="1">
      <alignment wrapText="1"/>
    </xf>
    <xf numFmtId="170" fontId="1" fillId="3" borderId="2" xfId="0" applyNumberFormat="1" applyFont="1" applyFill="1" applyBorder="1" applyAlignment="1">
      <alignment wrapText="1"/>
    </xf>
    <xf numFmtId="0" fontId="4" fillId="3" borderId="2" xfId="0" applyFont="1" applyFill="1" applyBorder="1" applyAlignment="1">
      <alignment wrapText="1"/>
    </xf>
    <xf numFmtId="0" fontId="14" fillId="3" borderId="0" xfId="0" applyFont="1" applyFill="1" applyAlignment="1">
      <alignment horizontal="left" vertical="center" wrapText="1"/>
    </xf>
    <xf numFmtId="0" fontId="3" fillId="0" borderId="2" xfId="0" applyFont="1" applyBorder="1" applyAlignment="1">
      <alignment horizontal="left" vertical="center" wrapText="1"/>
    </xf>
    <xf numFmtId="0" fontId="5" fillId="2" borderId="2" xfId="0" applyFont="1" applyFill="1" applyBorder="1" applyAlignment="1">
      <alignment horizontal="left" vertical="center" wrapText="1" indent="1"/>
    </xf>
    <xf numFmtId="171" fontId="5" fillId="2" borderId="2" xfId="0" applyNumberFormat="1" applyFont="1" applyFill="1" applyBorder="1" applyAlignment="1">
      <alignment horizontal="right" vertical="center" wrapText="1"/>
    </xf>
    <xf numFmtId="0" fontId="1" fillId="0" borderId="2" xfId="0" applyFont="1" applyBorder="1" applyAlignment="1">
      <alignment horizontal="left" vertical="center" wrapText="1" indent="2"/>
    </xf>
    <xf numFmtId="172" fontId="1" fillId="0" borderId="2" xfId="0" applyNumberFormat="1" applyFont="1" applyBorder="1" applyAlignment="1">
      <alignment horizontal="right" vertical="center" wrapText="1"/>
    </xf>
    <xf numFmtId="0" fontId="5" fillId="2" borderId="2" xfId="0" applyFont="1" applyFill="1" applyBorder="1" applyAlignment="1">
      <alignment horizontal="center" vertical="center" wrapText="1"/>
    </xf>
    <xf numFmtId="0" fontId="1" fillId="3" borderId="2" xfId="0" applyFont="1" applyFill="1" applyBorder="1" applyAlignment="1">
      <alignment horizontal="left" vertical="center" wrapText="1" indent="2"/>
    </xf>
    <xf numFmtId="172" fontId="1" fillId="0" borderId="2" xfId="0" applyNumberFormat="1" applyFont="1" applyBorder="1" applyAlignment="1">
      <alignment horizontal="right" vertical="center" wrapText="1" indent="1"/>
    </xf>
    <xf numFmtId="172" fontId="4" fillId="0" borderId="2" xfId="0" applyNumberFormat="1" applyFont="1" applyBorder="1" applyAlignment="1">
      <alignment horizontal="right" vertical="center" wrapText="1"/>
    </xf>
    <xf numFmtId="0" fontId="5" fillId="2" borderId="2" xfId="0" applyFont="1" applyFill="1" applyBorder="1" applyAlignment="1">
      <alignment horizontal="left" vertical="center" wrapText="1"/>
    </xf>
    <xf numFmtId="172" fontId="5" fillId="2" borderId="2" xfId="0" applyNumberFormat="1" applyFont="1" applyFill="1" applyBorder="1" applyAlignment="1">
      <alignment horizontal="right" vertical="center" wrapText="1"/>
    </xf>
    <xf numFmtId="173" fontId="1" fillId="0" borderId="2" xfId="0" applyNumberFormat="1" applyFont="1" applyBorder="1" applyAlignment="1">
      <alignment horizontal="right" vertical="center" wrapText="1"/>
    </xf>
    <xf numFmtId="167" fontId="1" fillId="0" borderId="2" xfId="0" applyNumberFormat="1" applyFont="1" applyBorder="1" applyAlignment="1">
      <alignment horizontal="right" vertical="center" wrapText="1"/>
    </xf>
    <xf numFmtId="0" fontId="7" fillId="3" borderId="0" xfId="0" applyFont="1" applyFill="1" applyAlignment="1">
      <alignment horizontal="left" vertical="center" wrapText="1"/>
    </xf>
    <xf numFmtId="0" fontId="3" fillId="3" borderId="2" xfId="0" applyFont="1" applyFill="1" applyBorder="1" applyAlignment="1">
      <alignment horizontal="left" wrapText="1"/>
    </xf>
    <xf numFmtId="0" fontId="3" fillId="2" borderId="2" xfId="0" applyFont="1" applyFill="1" applyBorder="1" applyAlignment="1">
      <alignment vertical="center" wrapText="1" indent="1"/>
    </xf>
    <xf numFmtId="168" fontId="3" fillId="2" borderId="2" xfId="0" applyNumberFormat="1" applyFont="1" applyFill="1" applyBorder="1" applyAlignment="1">
      <alignment vertical="center" wrapText="1"/>
    </xf>
    <xf numFmtId="0" fontId="4" fillId="3" borderId="2" xfId="0" applyFont="1" applyFill="1" applyBorder="1" applyAlignment="1">
      <alignment vertical="center" wrapText="1" indent="3"/>
    </xf>
    <xf numFmtId="168" fontId="4" fillId="3" borderId="2" xfId="0" applyNumberFormat="1" applyFont="1" applyFill="1" applyBorder="1" applyAlignment="1">
      <alignment horizontal="right" vertical="center" wrapText="1"/>
    </xf>
    <xf numFmtId="0" fontId="4" fillId="3" borderId="0" xfId="0" applyFont="1" applyFill="1" applyAlignment="1">
      <alignment vertical="center" wrapText="1"/>
    </xf>
    <xf numFmtId="0" fontId="4" fillId="3" borderId="2" xfId="0" applyFont="1" applyFill="1" applyBorder="1" applyAlignment="1">
      <alignment vertical="center" wrapText="1" indent="2"/>
    </xf>
    <xf numFmtId="0" fontId="3" fillId="3" borderId="2" xfId="0" applyFont="1" applyFill="1" applyBorder="1" applyAlignment="1">
      <alignment horizontal="left" vertical="center" wrapText="1"/>
    </xf>
    <xf numFmtId="0" fontId="3" fillId="2" borderId="2" xfId="0" applyFont="1" applyFill="1" applyBorder="1" applyAlignment="1">
      <alignment vertical="center" wrapText="1"/>
    </xf>
    <xf numFmtId="168" fontId="3" fillId="2" borderId="2" xfId="0" applyNumberFormat="1" applyFont="1" applyFill="1" applyBorder="1" applyAlignment="1">
      <alignment horizontal="right" vertical="center" wrapText="1"/>
    </xf>
    <xf numFmtId="0" fontId="4" fillId="3" borderId="3" xfId="0" applyFont="1" applyFill="1" applyBorder="1" applyAlignment="1">
      <alignment vertical="center" wrapText="1"/>
    </xf>
    <xf numFmtId="0" fontId="4" fillId="3" borderId="1" xfId="0" applyFont="1" applyFill="1" applyBorder="1" applyAlignment="1">
      <alignment vertical="center" wrapText="1"/>
    </xf>
    <xf numFmtId="168" fontId="3" fillId="3" borderId="2" xfId="0" applyNumberFormat="1" applyFont="1" applyFill="1" applyBorder="1" applyAlignment="1">
      <alignment horizontal="left" wrapText="1"/>
    </xf>
    <xf numFmtId="0" fontId="3" fillId="3" borderId="2" xfId="0" applyFont="1" applyFill="1" applyBorder="1" applyAlignment="1">
      <alignment vertical="center" wrapText="1"/>
    </xf>
    <xf numFmtId="168" fontId="3" fillId="3" borderId="2" xfId="0" applyNumberFormat="1" applyFont="1" applyFill="1" applyBorder="1" applyAlignment="1">
      <alignment vertical="center" wrapText="1"/>
    </xf>
    <xf numFmtId="168" fontId="4" fillId="3" borderId="2" xfId="0" applyNumberFormat="1" applyFont="1" applyFill="1" applyBorder="1" applyAlignment="1">
      <alignment vertical="center" wrapText="1"/>
    </xf>
    <xf numFmtId="0" fontId="15" fillId="3" borderId="1" xfId="0" applyFont="1" applyFill="1" applyBorder="1" applyAlignment="1">
      <alignment vertical="center" wrapText="1"/>
    </xf>
    <xf numFmtId="0" fontId="5" fillId="0" borderId="1" xfId="0" applyFont="1" applyBorder="1" applyAlignment="1">
      <alignment vertical="center" wrapText="1"/>
    </xf>
    <xf numFmtId="0" fontId="5" fillId="0" borderId="8" xfId="0" applyFont="1" applyBorder="1" applyAlignment="1">
      <alignment wrapText="1"/>
    </xf>
    <xf numFmtId="0" fontId="3" fillId="0" borderId="2" xfId="0" applyFont="1" applyBorder="1" applyAlignment="1">
      <alignment vertical="center" wrapText="1"/>
    </xf>
    <xf numFmtId="0" fontId="5" fillId="2" borderId="2" xfId="0" applyFont="1" applyFill="1" applyBorder="1" applyAlignment="1">
      <alignment vertical="center" wrapText="1"/>
    </xf>
    <xf numFmtId="174" fontId="5" fillId="2" borderId="2" xfId="0" applyNumberFormat="1" applyFont="1" applyFill="1" applyBorder="1" applyAlignment="1">
      <alignment horizontal="right" vertical="center" wrapText="1" indent="1"/>
    </xf>
    <xf numFmtId="174" fontId="5" fillId="2" borderId="2" xfId="0" applyNumberFormat="1" applyFont="1" applyFill="1" applyBorder="1" applyAlignment="1">
      <alignment horizontal="right" vertical="center" wrapText="1"/>
    </xf>
    <xf numFmtId="175" fontId="5" fillId="2" borderId="2" xfId="0" applyNumberFormat="1" applyFont="1" applyFill="1" applyBorder="1" applyAlignment="1">
      <alignment vertical="center" wrapText="1"/>
    </xf>
    <xf numFmtId="0" fontId="1" fillId="0" borderId="2" xfId="0" applyFont="1" applyBorder="1" applyAlignment="1">
      <alignment vertical="center" wrapText="1" indent="2"/>
    </xf>
    <xf numFmtId="174" fontId="1" fillId="0" borderId="2" xfId="0" applyNumberFormat="1" applyFont="1" applyBorder="1" applyAlignment="1">
      <alignment horizontal="right" vertical="center" wrapText="1" indent="1"/>
    </xf>
    <xf numFmtId="174" fontId="1" fillId="0" borderId="2" xfId="0" applyNumberFormat="1" applyFont="1" applyBorder="1" applyAlignment="1">
      <alignment horizontal="right" vertical="center" wrapText="1"/>
    </xf>
    <xf numFmtId="175" fontId="1" fillId="0" borderId="2" xfId="0" applyNumberFormat="1" applyFont="1" applyBorder="1" applyAlignment="1">
      <alignment vertical="center" wrapText="1"/>
    </xf>
    <xf numFmtId="175" fontId="4" fillId="0" borderId="2" xfId="0" applyNumberFormat="1" applyFont="1" applyBorder="1" applyAlignment="1">
      <alignment vertical="center" wrapText="1"/>
    </xf>
    <xf numFmtId="0" fontId="6" fillId="3" borderId="0" xfId="0" applyFont="1" applyFill="1" applyAlignment="1">
      <alignment horizontal="left" vertical="top" wrapText="1"/>
    </xf>
    <xf numFmtId="0" fontId="1" fillId="3" borderId="0" xfId="0" applyFont="1" applyFill="1" applyAlignment="1">
      <alignment vertical="center" wrapText="1"/>
    </xf>
    <xf numFmtId="0" fontId="16" fillId="3" borderId="0" xfId="0" applyFont="1" applyFill="1" applyAlignment="1">
      <alignment vertical="center" wrapText="1"/>
    </xf>
    <xf numFmtId="0" fontId="5" fillId="2" borderId="2" xfId="0" applyFont="1" applyFill="1" applyBorder="1" applyAlignment="1">
      <alignment vertical="center" wrapText="1" indent="1"/>
    </xf>
    <xf numFmtId="0" fontId="5" fillId="0" borderId="0" xfId="0" applyFont="1" applyAlignment="1">
      <alignment vertical="center" wrapText="1"/>
    </xf>
    <xf numFmtId="0" fontId="5" fillId="3" borderId="2" xfId="0" applyFont="1" applyFill="1" applyBorder="1" applyAlignment="1">
      <alignment wrapText="1"/>
    </xf>
    <xf numFmtId="0" fontId="5" fillId="3" borderId="2" xfId="0" applyFont="1" applyFill="1" applyBorder="1" applyAlignment="1">
      <alignment horizontal="left" wrapText="1"/>
    </xf>
    <xf numFmtId="0" fontId="1" fillId="3" borderId="2" xfId="0" applyFont="1" applyFill="1" applyBorder="1" applyAlignment="1">
      <alignment vertical="center" wrapText="1" indent="2"/>
    </xf>
    <xf numFmtId="175" fontId="4" fillId="3" borderId="2" xfId="0" applyNumberFormat="1" applyFont="1" applyFill="1" applyBorder="1" applyAlignment="1">
      <alignment vertical="center" wrapText="1"/>
    </xf>
    <xf numFmtId="175" fontId="1" fillId="3" borderId="2" xfId="0" applyNumberFormat="1" applyFont="1" applyFill="1" applyBorder="1" applyAlignment="1">
      <alignment vertical="center" wrapText="1"/>
    </xf>
    <xf numFmtId="175" fontId="3" fillId="2" borderId="2" xfId="0" applyNumberFormat="1" applyFont="1" applyFill="1" applyBorder="1" applyAlignment="1">
      <alignment vertical="center" wrapText="1"/>
    </xf>
    <xf numFmtId="173" fontId="5" fillId="0" borderId="2" xfId="0" applyNumberFormat="1" applyFont="1" applyBorder="1" applyAlignment="1">
      <alignment horizontal="left" wrapText="1"/>
    </xf>
    <xf numFmtId="0" fontId="1" fillId="0" borderId="2" xfId="0" applyFont="1" applyBorder="1" applyAlignment="1">
      <alignment vertical="center" wrapText="1" indent="1"/>
    </xf>
    <xf numFmtId="0" fontId="1" fillId="0" borderId="2" xfId="0" applyFont="1" applyBorder="1" applyAlignment="1">
      <alignment horizontal="left" vertical="center" wrapText="1" indent="1"/>
    </xf>
    <xf numFmtId="172" fontId="1" fillId="2" borderId="2" xfId="0" applyNumberFormat="1" applyFont="1" applyFill="1" applyBorder="1" applyAlignment="1">
      <alignment horizontal="right" vertical="center" wrapText="1"/>
    </xf>
    <xf numFmtId="0" fontId="4" fillId="0" borderId="1" xfId="0" applyFont="1" applyBorder="1" applyAlignment="1">
      <alignment vertical="center" wrapText="1"/>
    </xf>
    <xf numFmtId="0" fontId="3" fillId="3" borderId="2" xfId="0" applyFont="1" applyFill="1" applyBorder="1" applyAlignment="1">
      <alignment wrapText="1"/>
    </xf>
    <xf numFmtId="172" fontId="3" fillId="2" borderId="2" xfId="0" applyNumberFormat="1" applyFont="1" applyFill="1" applyBorder="1" applyAlignment="1">
      <alignment vertical="center" wrapText="1"/>
    </xf>
    <xf numFmtId="177" fontId="3" fillId="2" borderId="2" xfId="0" applyNumberFormat="1" applyFont="1" applyFill="1" applyBorder="1" applyAlignment="1">
      <alignment vertical="center" wrapText="1"/>
    </xf>
    <xf numFmtId="172" fontId="4" fillId="3" borderId="2" xfId="0" applyNumberFormat="1" applyFont="1" applyFill="1" applyBorder="1" applyAlignment="1">
      <alignment vertical="center" wrapText="1"/>
    </xf>
    <xf numFmtId="177" fontId="4" fillId="3" borderId="2" xfId="0" applyNumberFormat="1" applyFont="1" applyFill="1" applyBorder="1" applyAlignment="1">
      <alignment vertical="center" wrapText="1"/>
    </xf>
    <xf numFmtId="178" fontId="3" fillId="2" borderId="2" xfId="0" applyNumberFormat="1" applyFont="1" applyFill="1" applyBorder="1" applyAlignment="1">
      <alignment vertical="center" wrapText="1"/>
    </xf>
    <xf numFmtId="178" fontId="4" fillId="3" borderId="2" xfId="0" applyNumberFormat="1" applyFont="1" applyFill="1" applyBorder="1" applyAlignment="1">
      <alignment vertical="center" wrapText="1"/>
    </xf>
    <xf numFmtId="0" fontId="1" fillId="3" borderId="3" xfId="0" applyFont="1" applyFill="1" applyBorder="1" applyAlignment="1">
      <alignment vertical="center" wrapText="1"/>
    </xf>
    <xf numFmtId="0" fontId="16" fillId="0" borderId="1" xfId="0" applyFont="1" applyBorder="1" applyAlignment="1">
      <alignment vertical="center" wrapText="1"/>
    </xf>
    <xf numFmtId="0" fontId="5" fillId="2" borderId="8" xfId="0" applyFont="1" applyFill="1" applyBorder="1" applyAlignment="1">
      <alignment wrapText="1"/>
    </xf>
    <xf numFmtId="175" fontId="3" fillId="2" borderId="9" xfId="0" applyNumberFormat="1" applyFont="1" applyFill="1" applyBorder="1" applyAlignment="1">
      <alignment vertical="center" wrapText="1"/>
    </xf>
    <xf numFmtId="0" fontId="5" fillId="0" borderId="3" xfId="0" applyFont="1" applyBorder="1" applyAlignment="1">
      <alignment horizontal="left" wrapText="1"/>
    </xf>
    <xf numFmtId="179" fontId="1" fillId="0" borderId="2" xfId="0" applyNumberFormat="1" applyFont="1" applyBorder="1" applyAlignment="1">
      <alignment vertical="center" wrapText="1" indent="1"/>
    </xf>
    <xf numFmtId="180" fontId="1" fillId="0" borderId="2" xfId="0" applyNumberFormat="1" applyFont="1" applyBorder="1" applyAlignment="1">
      <alignment vertical="center" wrapText="1" indent="1"/>
    </xf>
    <xf numFmtId="0" fontId="1" fillId="0" borderId="3" xfId="0" applyFont="1" applyBorder="1" applyAlignment="1">
      <alignment vertical="center" wrapText="1"/>
    </xf>
    <xf numFmtId="179" fontId="1" fillId="0" borderId="2" xfId="0" applyNumberFormat="1" applyFont="1" applyBorder="1" applyAlignment="1">
      <alignment vertical="center" wrapText="1"/>
    </xf>
    <xf numFmtId="0" fontId="16" fillId="0" borderId="3" xfId="0" applyFont="1" applyBorder="1" applyAlignment="1">
      <alignment vertical="center" wrapText="1"/>
    </xf>
    <xf numFmtId="179" fontId="5" fillId="2" borderId="2" xfId="0" applyNumberFormat="1" applyFont="1" applyFill="1" applyBorder="1" applyAlignment="1">
      <alignment vertical="center" wrapText="1" indent="1"/>
    </xf>
    <xf numFmtId="180" fontId="5" fillId="2" borderId="2" xfId="0" applyNumberFormat="1" applyFont="1" applyFill="1" applyBorder="1" applyAlignment="1">
      <alignment vertical="center" wrapText="1" indent="1"/>
    </xf>
    <xf numFmtId="181" fontId="3" fillId="0" borderId="2" xfId="0" applyNumberFormat="1" applyFont="1" applyBorder="1" applyAlignment="1">
      <alignment horizontal="left" wrapText="1"/>
    </xf>
    <xf numFmtId="0" fontId="4" fillId="0" borderId="5" xfId="0" applyFont="1" applyBorder="1" applyAlignment="1">
      <alignment horizontal="left" wrapText="1"/>
    </xf>
    <xf numFmtId="182" fontId="4" fillId="0" borderId="6" xfId="0" applyNumberFormat="1" applyFont="1" applyBorder="1" applyAlignment="1">
      <alignment wrapText="1"/>
    </xf>
    <xf numFmtId="182" fontId="4" fillId="0" borderId="2" xfId="0" applyNumberFormat="1" applyFont="1" applyBorder="1" applyAlignment="1">
      <alignment wrapText="1"/>
    </xf>
    <xf numFmtId="183" fontId="4" fillId="0" borderId="2" xfId="0" applyNumberFormat="1" applyFont="1" applyBorder="1" applyAlignment="1">
      <alignment horizontal="right" wrapText="1"/>
    </xf>
    <xf numFmtId="184" fontId="5" fillId="2" borderId="2" xfId="0" applyNumberFormat="1" applyFont="1" applyFill="1" applyBorder="1" applyAlignment="1">
      <alignment horizontal="right" vertical="center" wrapText="1" indent="1"/>
    </xf>
    <xf numFmtId="184" fontId="1" fillId="0" borderId="2" xfId="0" applyNumberFormat="1" applyFont="1" applyBorder="1" applyAlignment="1">
      <alignment horizontal="right" vertical="center" wrapText="1" indent="1"/>
    </xf>
    <xf numFmtId="186" fontId="1" fillId="0" borderId="2" xfId="0" applyNumberFormat="1" applyFont="1" applyBorder="1" applyAlignment="1">
      <alignment horizontal="right" vertical="center" wrapText="1" indent="1"/>
    </xf>
    <xf numFmtId="0" fontId="4" fillId="2" borderId="2" xfId="0" applyFont="1" applyFill="1" applyBorder="1" applyAlignment="1">
      <alignment wrapText="1"/>
    </xf>
    <xf numFmtId="175" fontId="4" fillId="0" borderId="2" xfId="0" applyNumberFormat="1" applyFont="1" applyBorder="1" applyAlignment="1">
      <alignment vertical="center" wrapText="1" indent="1"/>
    </xf>
    <xf numFmtId="178" fontId="4" fillId="0" borderId="2" xfId="0" applyNumberFormat="1" applyFont="1" applyBorder="1" applyAlignment="1">
      <alignment horizontal="right" vertical="center" wrapText="1"/>
    </xf>
    <xf numFmtId="0" fontId="4" fillId="2" borderId="2" xfId="0" applyFont="1" applyFill="1" applyBorder="1" applyAlignment="1">
      <alignment vertical="center" wrapText="1"/>
    </xf>
    <xf numFmtId="187" fontId="3" fillId="2" borderId="2" xfId="0" applyNumberFormat="1" applyFont="1" applyFill="1" applyBorder="1" applyAlignment="1">
      <alignment vertical="center" wrapText="1"/>
    </xf>
    <xf numFmtId="175" fontId="3" fillId="2" borderId="2" xfId="0" applyNumberFormat="1" applyFont="1" applyFill="1" applyBorder="1" applyAlignment="1">
      <alignment vertical="center" wrapText="1" indent="1"/>
    </xf>
    <xf numFmtId="178" fontId="3" fillId="2" borderId="2" xfId="0" applyNumberFormat="1" applyFont="1" applyFill="1" applyBorder="1" applyAlignment="1">
      <alignment horizontal="right" vertical="center" wrapText="1"/>
    </xf>
    <xf numFmtId="174" fontId="4" fillId="0" borderId="2" xfId="0" applyNumberFormat="1" applyFont="1" applyBorder="1" applyAlignment="1">
      <alignment vertical="center" wrapText="1"/>
    </xf>
    <xf numFmtId="174" fontId="4" fillId="0" borderId="2" xfId="0" applyNumberFormat="1" applyFont="1" applyBorder="1" applyAlignment="1">
      <alignment wrapText="1"/>
    </xf>
    <xf numFmtId="0" fontId="16" fillId="0" borderId="3" xfId="0" applyFont="1" applyBorder="1" applyAlignment="1">
      <alignment wrapText="1"/>
    </xf>
    <xf numFmtId="174" fontId="3" fillId="0" borderId="2" xfId="0" applyNumberFormat="1" applyFont="1" applyBorder="1" applyAlignment="1">
      <alignment wrapText="1"/>
    </xf>
    <xf numFmtId="0" fontId="6" fillId="0" borderId="0" xfId="0" applyFont="1" applyAlignment="1">
      <alignment horizontal="left" vertical="top" wrapText="1"/>
    </xf>
    <xf numFmtId="188" fontId="3" fillId="2" borderId="2" xfId="0" applyNumberFormat="1" applyFont="1" applyFill="1" applyBorder="1" applyAlignment="1">
      <alignment horizontal="right" vertical="center" wrapText="1"/>
    </xf>
    <xf numFmtId="0" fontId="4" fillId="0" borderId="2" xfId="0" applyFont="1" applyBorder="1" applyAlignment="1">
      <alignment vertical="center" wrapText="1" indent="3"/>
    </xf>
    <xf numFmtId="188" fontId="4" fillId="0" borderId="2" xfId="0" applyNumberFormat="1" applyFont="1" applyBorder="1" applyAlignment="1">
      <alignment horizontal="right" vertical="center" wrapText="1"/>
    </xf>
    <xf numFmtId="188" fontId="4" fillId="0" borderId="2" xfId="0" applyNumberFormat="1" applyFont="1" applyBorder="1" applyAlignment="1">
      <alignment vertical="center" wrapText="1"/>
    </xf>
    <xf numFmtId="0" fontId="3"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indent="2"/>
    </xf>
    <xf numFmtId="0" fontId="4" fillId="3" borderId="2" xfId="0" applyFont="1" applyFill="1" applyBorder="1" applyAlignment="1">
      <alignment horizontal="center" wrapText="1"/>
    </xf>
    <xf numFmtId="189" fontId="3" fillId="3" borderId="2" xfId="0" applyNumberFormat="1" applyFont="1" applyFill="1" applyBorder="1" applyAlignment="1">
      <alignment horizontal="right" wrapText="1"/>
    </xf>
    <xf numFmtId="172" fontId="3" fillId="3" borderId="2" xfId="0" applyNumberFormat="1" applyFont="1" applyFill="1" applyBorder="1" applyAlignment="1">
      <alignment horizontal="right" wrapText="1"/>
    </xf>
    <xf numFmtId="190" fontId="3" fillId="2" borderId="2" xfId="0" applyNumberFormat="1" applyFont="1" applyFill="1" applyBorder="1" applyAlignment="1">
      <alignment wrapText="1"/>
    </xf>
    <xf numFmtId="190" fontId="4" fillId="0" borderId="2" xfId="0" applyNumberFormat="1" applyFont="1" applyBorder="1" applyAlignment="1">
      <alignment wrapText="1"/>
    </xf>
    <xf numFmtId="0" fontId="3" fillId="2" borderId="2" xfId="0" applyFont="1" applyFill="1" applyBorder="1" applyAlignment="1">
      <alignment horizontal="left" vertical="center" wrapText="1"/>
    </xf>
    <xf numFmtId="167" fontId="4" fillId="3" borderId="2" xfId="0" applyNumberFormat="1" applyFont="1" applyFill="1" applyBorder="1" applyAlignment="1">
      <alignment horizontal="right" wrapText="1"/>
    </xf>
    <xf numFmtId="174" fontId="4" fillId="3" borderId="2" xfId="0" applyNumberFormat="1" applyFont="1" applyFill="1" applyBorder="1" applyAlignment="1">
      <alignment horizontal="right" wrapText="1"/>
    </xf>
    <xf numFmtId="169" fontId="3" fillId="2" borderId="2" xfId="0" applyNumberFormat="1" applyFont="1" applyFill="1" applyBorder="1" applyAlignment="1">
      <alignment vertical="center" wrapText="1"/>
    </xf>
    <xf numFmtId="169" fontId="4" fillId="3" borderId="2" xfId="0" applyNumberFormat="1" applyFont="1" applyFill="1" applyBorder="1" applyAlignment="1">
      <alignment vertical="center" wrapText="1"/>
    </xf>
    <xf numFmtId="0" fontId="4" fillId="3" borderId="2" xfId="0" applyFont="1" applyFill="1" applyBorder="1" applyAlignment="1">
      <alignment horizontal="right" vertical="center" wrapText="1"/>
    </xf>
    <xf numFmtId="0" fontId="4" fillId="2" borderId="2" xfId="0" applyFont="1" applyFill="1" applyBorder="1" applyAlignment="1">
      <alignment horizontal="right" vertical="center" wrapText="1"/>
    </xf>
    <xf numFmtId="0" fontId="1" fillId="3" borderId="2" xfId="0" applyFont="1" applyFill="1" applyBorder="1" applyAlignment="1">
      <alignment horizontal="right" vertical="center" wrapText="1"/>
    </xf>
    <xf numFmtId="0" fontId="2" fillId="0" borderId="0" xfId="0" applyFont="1" applyAlignment="1">
      <alignment wrapText="1"/>
    </xf>
    <xf numFmtId="0" fontId="3" fillId="4" borderId="2" xfId="0" applyFont="1" applyFill="1" applyBorder="1" applyAlignment="1">
      <alignment horizontal="left" vertical="center" wrapText="1"/>
    </xf>
    <xf numFmtId="0" fontId="3" fillId="0" borderId="2" xfId="0" applyFont="1" applyBorder="1" applyAlignment="1">
      <alignment horizontal="center" vertical="center" wrapText="1"/>
    </xf>
    <xf numFmtId="0" fontId="4" fillId="0" borderId="10" xfId="0" applyFont="1" applyBorder="1" applyAlignment="1">
      <alignment wrapText="1"/>
    </xf>
    <xf numFmtId="0" fontId="3" fillId="0" borderId="2" xfId="0" applyFont="1" applyBorder="1" applyAlignment="1">
      <alignment wrapText="1" indent="1"/>
    </xf>
    <xf numFmtId="0" fontId="4" fillId="3" borderId="2" xfId="0" applyFont="1" applyFill="1" applyBorder="1" applyAlignment="1">
      <alignment horizontal="right" wrapText="1"/>
    </xf>
    <xf numFmtId="0" fontId="3" fillId="2" borderId="2" xfId="0" applyFont="1" applyFill="1" applyBorder="1" applyAlignment="1">
      <alignment wrapText="1" indent="1"/>
    </xf>
    <xf numFmtId="0" fontId="4" fillId="0" borderId="2" xfId="0" applyFont="1" applyBorder="1" applyAlignment="1">
      <alignment horizontal="right" wrapText="1"/>
    </xf>
    <xf numFmtId="172" fontId="3" fillId="2" borderId="2" xfId="0" applyNumberFormat="1" applyFont="1" applyFill="1" applyBorder="1" applyAlignment="1">
      <alignment horizontal="right" wrapText="1"/>
    </xf>
    <xf numFmtId="0" fontId="4" fillId="0" borderId="2" xfId="0" applyFont="1" applyBorder="1" applyAlignment="1">
      <alignment wrapText="1" indent="3"/>
    </xf>
    <xf numFmtId="173" fontId="4" fillId="0" borderId="2" xfId="0" applyNumberFormat="1" applyFont="1" applyBorder="1" applyAlignment="1">
      <alignment horizontal="right" wrapText="1"/>
    </xf>
    <xf numFmtId="172" fontId="4" fillId="0" borderId="2" xfId="0" applyNumberFormat="1" applyFont="1" applyBorder="1" applyAlignment="1">
      <alignment horizontal="right" wrapText="1"/>
    </xf>
    <xf numFmtId="0" fontId="4" fillId="0" borderId="2" xfId="0" applyFont="1" applyBorder="1" applyAlignment="1">
      <alignment wrapText="1" indent="2"/>
    </xf>
    <xf numFmtId="0" fontId="3" fillId="9" borderId="2" xfId="0" applyFont="1" applyFill="1" applyBorder="1" applyAlignment="1">
      <alignment horizontal="center" vertical="center" wrapText="1"/>
    </xf>
    <xf numFmtId="171" fontId="3" fillId="2" borderId="2" xfId="0" applyNumberFormat="1" applyFont="1" applyFill="1" applyBorder="1" applyAlignment="1">
      <alignment horizontal="right" wrapText="1"/>
    </xf>
    <xf numFmtId="171" fontId="3" fillId="2" borderId="9" xfId="0" applyNumberFormat="1" applyFont="1" applyFill="1" applyBorder="1" applyAlignment="1">
      <alignment horizontal="right" wrapText="1"/>
    </xf>
    <xf numFmtId="171" fontId="4" fillId="0" borderId="2" xfId="0" applyNumberFormat="1" applyFont="1" applyBorder="1" applyAlignment="1">
      <alignment wrapText="1"/>
    </xf>
    <xf numFmtId="171" fontId="4" fillId="0" borderId="2" xfId="0" applyNumberFormat="1" applyFont="1" applyBorder="1" applyAlignment="1">
      <alignment horizontal="right" wrapText="1"/>
    </xf>
    <xf numFmtId="0" fontId="4" fillId="0" borderId="2" xfId="0" applyFont="1" applyBorder="1" applyAlignment="1">
      <alignment horizontal="center" wrapText="1"/>
    </xf>
    <xf numFmtId="168" fontId="3" fillId="0" borderId="2" xfId="0" applyNumberFormat="1" applyFont="1" applyBorder="1" applyAlignment="1">
      <alignment wrapText="1"/>
    </xf>
    <xf numFmtId="168" fontId="4" fillId="3" borderId="2" xfId="0" applyNumberFormat="1" applyFont="1" applyFill="1" applyBorder="1" applyAlignment="1">
      <alignment horizontal="right" wrapText="1"/>
    </xf>
    <xf numFmtId="168" fontId="4" fillId="0" borderId="2" xfId="0" applyNumberFormat="1" applyFont="1" applyBorder="1" applyAlignment="1">
      <alignment wrapText="1"/>
    </xf>
    <xf numFmtId="190" fontId="4" fillId="3" borderId="2" xfId="0" applyNumberFormat="1" applyFont="1" applyFill="1" applyBorder="1" applyAlignment="1">
      <alignment wrapText="1"/>
    </xf>
    <xf numFmtId="171" fontId="4" fillId="3" borderId="2" xfId="0" applyNumberFormat="1" applyFont="1" applyFill="1" applyBorder="1" applyAlignment="1">
      <alignment horizontal="right" wrapText="1"/>
    </xf>
    <xf numFmtId="168" fontId="4" fillId="0" borderId="2" xfId="0" applyNumberFormat="1" applyFont="1" applyBorder="1" applyAlignment="1">
      <alignment horizontal="right" wrapText="1"/>
    </xf>
    <xf numFmtId="0" fontId="3" fillId="2" borderId="2" xfId="0" applyFont="1" applyFill="1" applyBorder="1" applyAlignment="1">
      <alignment vertical="center" wrapText="1" indent="2"/>
    </xf>
    <xf numFmtId="169" fontId="3" fillId="2" borderId="2" xfId="0" applyNumberFormat="1" applyFont="1" applyFill="1" applyBorder="1" applyAlignment="1">
      <alignment horizontal="right" wrapText="1"/>
    </xf>
    <xf numFmtId="169" fontId="4" fillId="3" borderId="2" xfId="0" applyNumberFormat="1" applyFont="1" applyFill="1" applyBorder="1" applyAlignment="1">
      <alignment horizontal="right" wrapText="1"/>
    </xf>
    <xf numFmtId="0" fontId="3" fillId="2" borderId="2" xfId="0" applyFont="1" applyFill="1" applyBorder="1" applyAlignment="1">
      <alignment horizontal="center" wrapText="1"/>
    </xf>
    <xf numFmtId="191" fontId="3" fillId="0" borderId="2" xfId="0" applyNumberFormat="1" applyFont="1" applyBorder="1" applyAlignment="1">
      <alignment wrapText="1"/>
    </xf>
    <xf numFmtId="192" fontId="4" fillId="0" borderId="2" xfId="0" applyNumberFormat="1" applyFont="1" applyBorder="1" applyAlignment="1">
      <alignment horizontal="right" wrapText="1"/>
    </xf>
    <xf numFmtId="193" fontId="4" fillId="0" borderId="2" xfId="0" applyNumberFormat="1" applyFont="1" applyBorder="1" applyAlignment="1">
      <alignment horizontal="right" wrapText="1"/>
    </xf>
    <xf numFmtId="194" fontId="4" fillId="0" borderId="2" xfId="0" applyNumberFormat="1" applyFont="1" applyBorder="1" applyAlignment="1">
      <alignment wrapText="1"/>
    </xf>
    <xf numFmtId="195" fontId="4" fillId="0" borderId="2" xfId="0" applyNumberFormat="1" applyFont="1" applyBorder="1" applyAlignment="1">
      <alignment wrapText="1"/>
    </xf>
    <xf numFmtId="0" fontId="3" fillId="2" borderId="2" xfId="0" applyFont="1" applyFill="1" applyBorder="1" applyAlignment="1">
      <alignment horizontal="left" vertical="center" wrapText="1" indent="2"/>
    </xf>
    <xf numFmtId="177" fontId="3" fillId="2" borderId="2" xfId="0" applyNumberFormat="1" applyFont="1" applyFill="1" applyBorder="1" applyAlignment="1">
      <alignment horizontal="right" wrapText="1"/>
    </xf>
    <xf numFmtId="0" fontId="4" fillId="3" borderId="2" xfId="0" applyFont="1" applyFill="1" applyBorder="1" applyAlignment="1">
      <alignment horizontal="left" vertical="center" wrapText="1" indent="3"/>
    </xf>
    <xf numFmtId="169" fontId="4" fillId="0" borderId="2" xfId="0" applyNumberFormat="1" applyFont="1" applyBorder="1" applyAlignment="1">
      <alignment horizontal="right" wrapText="1"/>
    </xf>
    <xf numFmtId="177" fontId="4" fillId="0" borderId="2" xfId="0" applyNumberFormat="1" applyFont="1" applyBorder="1" applyAlignment="1">
      <alignment horizontal="right" wrapText="1"/>
    </xf>
    <xf numFmtId="172" fontId="1" fillId="0" borderId="2" xfId="0" applyNumberFormat="1" applyFont="1" applyBorder="1" applyAlignment="1">
      <alignment horizontal="right" wrapText="1"/>
    </xf>
    <xf numFmtId="170" fontId="3" fillId="2" borderId="2" xfId="0" applyNumberFormat="1" applyFont="1" applyFill="1" applyBorder="1" applyAlignment="1">
      <alignment horizontal="right" wrapText="1"/>
    </xf>
    <xf numFmtId="0" fontId="4" fillId="3" borderId="2" xfId="0" applyFont="1" applyFill="1" applyBorder="1" applyAlignment="1">
      <alignment horizontal="left" vertical="center" wrapText="1" indent="2"/>
    </xf>
    <xf numFmtId="0" fontId="8" fillId="0" borderId="0" xfId="0" applyFont="1" applyAlignment="1">
      <alignment vertical="center" wrapText="1"/>
    </xf>
    <xf numFmtId="169" fontId="3" fillId="2" borderId="2" xfId="0" applyNumberFormat="1" applyFont="1" applyFill="1" applyBorder="1" applyAlignment="1">
      <alignment horizontal="right" vertical="center" wrapText="1"/>
    </xf>
    <xf numFmtId="169" fontId="4" fillId="0" borderId="2" xfId="0" applyNumberFormat="1" applyFont="1" applyBorder="1" applyAlignment="1">
      <alignment horizontal="right" vertical="center" wrapText="1"/>
    </xf>
    <xf numFmtId="169" fontId="4" fillId="0" borderId="2" xfId="0" applyNumberFormat="1" applyFont="1" applyBorder="1" applyAlignment="1">
      <alignment vertical="center" wrapText="1"/>
    </xf>
    <xf numFmtId="0" fontId="3" fillId="2" borderId="2" xfId="0" applyFont="1" applyFill="1" applyBorder="1" applyAlignment="1">
      <alignment horizontal="left" vertical="center" wrapText="1" indent="1"/>
    </xf>
    <xf numFmtId="168" fontId="1" fillId="3" borderId="2" xfId="0" applyNumberFormat="1" applyFont="1" applyFill="1" applyBorder="1" applyAlignment="1">
      <alignment wrapText="1"/>
    </xf>
    <xf numFmtId="0" fontId="8" fillId="0" borderId="1" xfId="0" applyFont="1" applyBorder="1" applyAlignment="1">
      <alignment vertical="center" wrapText="1"/>
    </xf>
    <xf numFmtId="169" fontId="3" fillId="0" borderId="2" xfId="0" applyNumberFormat="1" applyFont="1" applyBorder="1" applyAlignment="1">
      <alignment horizontal="right" vertical="center" wrapText="1"/>
    </xf>
    <xf numFmtId="0" fontId="4" fillId="0" borderId="2" xfId="0" applyFont="1" applyBorder="1" applyAlignment="1">
      <alignment horizontal="left" vertical="center" wrapText="1" indent="2"/>
    </xf>
    <xf numFmtId="0" fontId="4" fillId="0" borderId="2" xfId="0" applyFont="1" applyBorder="1" applyAlignment="1">
      <alignment horizontal="left" vertical="center" wrapText="1"/>
    </xf>
    <xf numFmtId="185" fontId="4" fillId="0" borderId="0" xfId="0" applyNumberFormat="1" applyFont="1" applyAlignment="1">
      <alignment vertical="center" wrapText="1"/>
    </xf>
    <xf numFmtId="170" fontId="3" fillId="0" borderId="2" xfId="0" applyNumberFormat="1" applyFont="1" applyBorder="1" applyAlignment="1">
      <alignment horizontal="right" vertical="center" wrapText="1"/>
    </xf>
    <xf numFmtId="0" fontId="4" fillId="0" borderId="2" xfId="0" applyFont="1" applyBorder="1" applyAlignment="1">
      <alignment horizontal="left" vertical="center" wrapText="1" indent="1"/>
    </xf>
    <xf numFmtId="170" fontId="4" fillId="0" borderId="2" xfId="0" applyNumberFormat="1" applyFont="1" applyBorder="1" applyAlignment="1">
      <alignment horizontal="right" vertical="center" wrapText="1"/>
    </xf>
    <xf numFmtId="169" fontId="3" fillId="0" borderId="2" xfId="0" applyNumberFormat="1" applyFont="1" applyBorder="1" applyAlignment="1">
      <alignment vertical="center" wrapText="1"/>
    </xf>
    <xf numFmtId="169" fontId="4" fillId="0" borderId="2" xfId="0" applyNumberFormat="1" applyFont="1" applyBorder="1" applyAlignment="1">
      <alignment wrapText="1"/>
    </xf>
    <xf numFmtId="169" fontId="3" fillId="0" borderId="2" xfId="0" applyNumberFormat="1" applyFont="1" applyBorder="1" applyAlignment="1">
      <alignment wrapText="1"/>
    </xf>
    <xf numFmtId="0" fontId="4" fillId="0" borderId="1" xfId="0" applyFont="1" applyBorder="1" applyAlignment="1">
      <alignment wrapText="1" indent="1"/>
    </xf>
    <xf numFmtId="170" fontId="4" fillId="0" borderId="2" xfId="0" applyNumberFormat="1" applyFont="1" applyBorder="1" applyAlignment="1">
      <alignment wrapText="1"/>
    </xf>
    <xf numFmtId="196" fontId="4" fillId="0" borderId="2" xfId="0" applyNumberFormat="1" applyFont="1" applyBorder="1" applyAlignment="1">
      <alignment wrapText="1"/>
    </xf>
    <xf numFmtId="197" fontId="4" fillId="0" borderId="2" xfId="0" applyNumberFormat="1" applyFont="1" applyBorder="1" applyAlignment="1">
      <alignment horizontal="right" wrapText="1"/>
    </xf>
    <xf numFmtId="174" fontId="4" fillId="0" borderId="2" xfId="0" applyNumberFormat="1" applyFont="1" applyBorder="1" applyAlignment="1">
      <alignment horizontal="right" wrapText="1"/>
    </xf>
    <xf numFmtId="172" fontId="4" fillId="0" borderId="2" xfId="0" applyNumberFormat="1" applyFont="1" applyBorder="1" applyAlignment="1">
      <alignment wrapText="1"/>
    </xf>
    <xf numFmtId="169" fontId="4" fillId="3" borderId="2" xfId="0" applyNumberFormat="1" applyFont="1" applyFill="1" applyBorder="1" applyAlignment="1">
      <alignment horizontal="right" vertical="center" wrapText="1"/>
    </xf>
    <xf numFmtId="190" fontId="3" fillId="2" borderId="2" xfId="0" applyNumberFormat="1" applyFont="1" applyFill="1" applyBorder="1" applyAlignment="1">
      <alignment vertical="center" wrapText="1"/>
    </xf>
    <xf numFmtId="172" fontId="3" fillId="2" borderId="2" xfId="0" applyNumberFormat="1" applyFont="1" applyFill="1" applyBorder="1" applyAlignment="1">
      <alignment horizontal="right" vertical="center" wrapText="1"/>
    </xf>
    <xf numFmtId="172" fontId="4" fillId="3" borderId="2" xfId="0" applyNumberFormat="1" applyFont="1" applyFill="1" applyBorder="1" applyAlignment="1">
      <alignment horizontal="right" vertical="center" wrapText="1"/>
    </xf>
    <xf numFmtId="0" fontId="4" fillId="3" borderId="2" xfId="0" applyFont="1" applyFill="1" applyBorder="1" applyAlignment="1">
      <alignment horizontal="center" vertical="center" wrapText="1"/>
    </xf>
    <xf numFmtId="0" fontId="3" fillId="2" borderId="2" xfId="0" applyFont="1" applyFill="1" applyBorder="1" applyAlignment="1">
      <alignment horizontal="right" vertical="center" wrapText="1"/>
    </xf>
    <xf numFmtId="173" fontId="4" fillId="0" borderId="2" xfId="0" applyNumberFormat="1" applyFont="1" applyBorder="1" applyAlignment="1">
      <alignment wrapText="1"/>
    </xf>
    <xf numFmtId="194" fontId="4" fillId="0" borderId="2" xfId="0" applyNumberFormat="1" applyFont="1" applyBorder="1" applyAlignment="1">
      <alignment horizontal="right" wrapText="1"/>
    </xf>
    <xf numFmtId="198" fontId="4" fillId="0" borderId="2" xfId="0" applyNumberFormat="1" applyFont="1" applyBorder="1" applyAlignment="1">
      <alignment wrapText="1"/>
    </xf>
    <xf numFmtId="167" fontId="4" fillId="0" borderId="2" xfId="0" applyNumberFormat="1" applyFont="1" applyBorder="1" applyAlignment="1">
      <alignment wrapText="1"/>
    </xf>
    <xf numFmtId="168" fontId="4" fillId="0" borderId="2" xfId="0" applyNumberFormat="1" applyFont="1" applyBorder="1" applyAlignment="1">
      <alignment horizontal="right" vertical="center" wrapText="1"/>
    </xf>
    <xf numFmtId="168" fontId="17" fillId="2" borderId="2" xfId="0" applyNumberFormat="1" applyFont="1" applyFill="1" applyBorder="1" applyAlignment="1">
      <alignment wrapText="1"/>
    </xf>
    <xf numFmtId="0" fontId="5" fillId="10" borderId="2" xfId="0" applyFont="1" applyFill="1" applyBorder="1" applyAlignment="1">
      <alignment wrapText="1"/>
    </xf>
    <xf numFmtId="168" fontId="3" fillId="0" borderId="2" xfId="0" applyNumberFormat="1" applyFont="1" applyBorder="1" applyAlignment="1">
      <alignment horizontal="left" vertical="center" wrapText="1"/>
    </xf>
    <xf numFmtId="167" fontId="4" fillId="0" borderId="2" xfId="0" applyNumberFormat="1" applyFont="1" applyBorder="1" applyAlignment="1">
      <alignment vertical="center" wrapText="1"/>
    </xf>
    <xf numFmtId="171" fontId="4" fillId="0" borderId="2" xfId="0" applyNumberFormat="1" applyFont="1" applyBorder="1" applyAlignment="1">
      <alignment vertical="center" wrapText="1"/>
    </xf>
    <xf numFmtId="169" fontId="5" fillId="10" borderId="2" xfId="0" applyNumberFormat="1" applyFont="1" applyFill="1" applyBorder="1" applyAlignment="1">
      <alignment horizontal="right" wrapText="1"/>
    </xf>
    <xf numFmtId="172" fontId="5" fillId="10" borderId="2" xfId="0" applyNumberFormat="1" applyFont="1" applyFill="1" applyBorder="1" applyAlignment="1">
      <alignment horizontal="right" wrapText="1"/>
    </xf>
    <xf numFmtId="0" fontId="1" fillId="0" borderId="2" xfId="0" applyFont="1" applyBorder="1" applyAlignment="1">
      <alignment horizontal="left" wrapText="1" indent="2"/>
    </xf>
    <xf numFmtId="169" fontId="1" fillId="0" borderId="2" xfId="0" applyNumberFormat="1" applyFont="1" applyBorder="1" applyAlignment="1">
      <alignment horizontal="right" wrapText="1"/>
    </xf>
    <xf numFmtId="0" fontId="1" fillId="3" borderId="2" xfId="0" applyFont="1" applyFill="1" applyBorder="1" applyAlignment="1">
      <alignment horizontal="left" wrapText="1" indent="2"/>
    </xf>
    <xf numFmtId="0" fontId="8" fillId="0" borderId="0" xfId="0" applyFont="1" applyAlignment="1">
      <alignment vertical="top" wrapText="1"/>
    </xf>
    <xf numFmtId="0" fontId="18" fillId="3" borderId="0" xfId="0" applyFont="1" applyFill="1" applyAlignment="1">
      <alignment wrapText="1"/>
    </xf>
    <xf numFmtId="199" fontId="4" fillId="0" borderId="2" xfId="0" applyNumberFormat="1" applyFont="1" applyBorder="1" applyAlignment="1">
      <alignment vertical="center" wrapText="1"/>
    </xf>
    <xf numFmtId="0" fontId="17" fillId="3" borderId="1" xfId="0" applyFont="1" applyFill="1" applyBorder="1" applyAlignment="1">
      <alignment wrapText="1"/>
    </xf>
    <xf numFmtId="0" fontId="18" fillId="3" borderId="1" xfId="0" applyFont="1" applyFill="1" applyBorder="1" applyAlignment="1">
      <alignment wrapText="1"/>
    </xf>
    <xf numFmtId="0" fontId="3" fillId="10" borderId="2" xfId="0" applyFont="1" applyFill="1" applyBorder="1" applyAlignment="1">
      <alignment horizontal="left" wrapText="1"/>
    </xf>
    <xf numFmtId="0" fontId="4" fillId="10" borderId="2" xfId="0" applyFont="1" applyFill="1" applyBorder="1" applyAlignment="1">
      <alignment horizontal="left" wrapText="1"/>
    </xf>
    <xf numFmtId="190" fontId="5" fillId="2" borderId="2" xfId="0" applyNumberFormat="1" applyFont="1" applyFill="1" applyBorder="1" applyAlignment="1">
      <alignment wrapText="1"/>
    </xf>
    <xf numFmtId="168" fontId="5" fillId="2" borderId="2" xfId="0" applyNumberFormat="1" applyFont="1" applyFill="1" applyBorder="1" applyAlignment="1">
      <alignment wrapText="1"/>
    </xf>
    <xf numFmtId="171" fontId="5" fillId="2" borderId="2" xfId="0" applyNumberFormat="1" applyFont="1" applyFill="1" applyBorder="1" applyAlignment="1">
      <alignment wrapText="1"/>
    </xf>
    <xf numFmtId="190" fontId="1" fillId="0" borderId="2" xfId="0" applyNumberFormat="1" applyFont="1" applyBorder="1" applyAlignment="1">
      <alignment wrapText="1"/>
    </xf>
    <xf numFmtId="168" fontId="1" fillId="0" borderId="2" xfId="0" applyNumberFormat="1" applyFont="1" applyBorder="1" applyAlignment="1">
      <alignment horizontal="right" wrapText="1"/>
    </xf>
    <xf numFmtId="171" fontId="1" fillId="0" borderId="2" xfId="0" applyNumberFormat="1" applyFont="1" applyBorder="1" applyAlignment="1">
      <alignment horizontal="right" wrapText="1"/>
    </xf>
    <xf numFmtId="168" fontId="5" fillId="2" borderId="2" xfId="0" applyNumberFormat="1" applyFont="1" applyFill="1" applyBorder="1" applyAlignment="1">
      <alignment horizontal="right" wrapText="1"/>
    </xf>
    <xf numFmtId="171" fontId="5" fillId="2" borderId="2" xfId="0" applyNumberFormat="1" applyFont="1" applyFill="1" applyBorder="1" applyAlignment="1">
      <alignment horizontal="right" wrapText="1"/>
    </xf>
    <xf numFmtId="190" fontId="5" fillId="10" borderId="2" xfId="0" applyNumberFormat="1" applyFont="1" applyFill="1" applyBorder="1" applyAlignment="1">
      <alignment wrapText="1"/>
    </xf>
    <xf numFmtId="168" fontId="5" fillId="10" borderId="2" xfId="0" applyNumberFormat="1" applyFont="1" applyFill="1" applyBorder="1" applyAlignment="1">
      <alignment horizontal="right" wrapText="1"/>
    </xf>
    <xf numFmtId="171" fontId="5" fillId="10" borderId="2" xfId="0" applyNumberFormat="1" applyFont="1" applyFill="1" applyBorder="1" applyAlignment="1">
      <alignment horizontal="right" wrapText="1"/>
    </xf>
    <xf numFmtId="169" fontId="1" fillId="3" borderId="2" xfId="0" applyNumberFormat="1" applyFont="1" applyFill="1" applyBorder="1" applyAlignment="1">
      <alignment horizontal="right" wrapText="1"/>
    </xf>
    <xf numFmtId="0" fontId="1" fillId="0" borderId="2" xfId="0" applyFont="1" applyBorder="1" applyAlignment="1">
      <alignment horizontal="right" wrapText="1"/>
    </xf>
    <xf numFmtId="0" fontId="5" fillId="0" borderId="0" xfId="0" applyFont="1" applyAlignment="1">
      <alignment wrapText="1"/>
    </xf>
    <xf numFmtId="0" fontId="5" fillId="0" borderId="0" xfId="0" applyFont="1" applyAlignment="1">
      <alignment horizontal="right" wrapText="1"/>
    </xf>
    <xf numFmtId="0" fontId="3" fillId="0" borderId="3" xfId="0" applyFont="1" applyBorder="1" applyAlignment="1">
      <alignment horizontal="left" wrapText="1"/>
    </xf>
    <xf numFmtId="0" fontId="4" fillId="2" borderId="2" xfId="0" applyFont="1" applyFill="1" applyBorder="1" applyAlignment="1">
      <alignment horizontal="right" wrapText="1"/>
    </xf>
    <xf numFmtId="0" fontId="4" fillId="0" borderId="3" xfId="0" applyFont="1" applyBorder="1" applyAlignment="1">
      <alignment horizontal="right" wrapText="1"/>
    </xf>
    <xf numFmtId="0" fontId="4" fillId="2" borderId="2" xfId="0" applyFont="1" applyFill="1" applyBorder="1" applyAlignment="1">
      <alignment horizontal="left" wrapText="1"/>
    </xf>
    <xf numFmtId="0" fontId="4" fillId="2" borderId="2" xfId="0" applyFont="1" applyFill="1" applyBorder="1" applyAlignment="1">
      <alignment horizontal="center" wrapText="1"/>
    </xf>
    <xf numFmtId="0" fontId="3" fillId="0" borderId="2" xfId="0" applyFont="1" applyBorder="1" applyAlignment="1">
      <alignment horizontal="left" vertical="center" wrapText="1" indent="3"/>
    </xf>
    <xf numFmtId="0" fontId="3" fillId="0" borderId="2" xfId="0" applyFont="1" applyBorder="1" applyAlignment="1">
      <alignment vertical="center" wrapText="1" indent="3"/>
    </xf>
    <xf numFmtId="0" fontId="2" fillId="2" borderId="2" xfId="0" applyFont="1" applyFill="1" applyBorder="1" applyAlignment="1">
      <alignment horizontal="left" vertical="center" wrapText="1"/>
    </xf>
    <xf numFmtId="0" fontId="3" fillId="0" borderId="2" xfId="0" applyFont="1" applyBorder="1" applyAlignment="1">
      <alignment vertical="center" wrapText="1" indent="2"/>
    </xf>
    <xf numFmtId="170" fontId="4" fillId="0" borderId="2" xfId="0" applyNumberFormat="1" applyFont="1" applyBorder="1" applyAlignment="1">
      <alignment horizontal="right" wrapText="1"/>
    </xf>
    <xf numFmtId="178" fontId="4" fillId="0" borderId="2" xfId="0" applyNumberFormat="1" applyFont="1" applyBorder="1" applyAlignment="1">
      <alignment horizontal="right" wrapText="1"/>
    </xf>
    <xf numFmtId="181" fontId="4" fillId="0" borderId="2" xfId="0" applyNumberFormat="1" applyFont="1" applyBorder="1" applyAlignment="1">
      <alignment horizontal="right" wrapText="1"/>
    </xf>
    <xf numFmtId="181" fontId="3" fillId="2" borderId="2" xfId="0" applyNumberFormat="1" applyFont="1" applyFill="1" applyBorder="1" applyAlignment="1">
      <alignment horizontal="right" wrapText="1"/>
    </xf>
    <xf numFmtId="178" fontId="3" fillId="2" borderId="2" xfId="0" applyNumberFormat="1" applyFont="1" applyFill="1" applyBorder="1" applyAlignment="1">
      <alignment horizontal="right" wrapText="1"/>
    </xf>
    <xf numFmtId="0" fontId="4" fillId="0" borderId="0" xfId="0" applyFont="1" applyAlignment="1">
      <alignment vertical="top" wrapText="1"/>
    </xf>
    <xf numFmtId="0" fontId="3" fillId="2" borderId="2" xfId="0" applyFont="1" applyFill="1" applyBorder="1" applyAlignment="1">
      <alignment horizontal="right" wrapText="1"/>
    </xf>
    <xf numFmtId="0" fontId="5" fillId="0" borderId="2" xfId="0" applyFont="1" applyBorder="1" applyAlignment="1">
      <alignment horizontal="center" wrapText="1"/>
    </xf>
    <xf numFmtId="186" fontId="4" fillId="0" borderId="2" xfId="0" applyNumberFormat="1" applyFont="1" applyBorder="1" applyAlignment="1">
      <alignment horizontal="right" wrapText="1"/>
    </xf>
    <xf numFmtId="168" fontId="3" fillId="2" borderId="2" xfId="0" applyNumberFormat="1" applyFont="1" applyFill="1" applyBorder="1" applyAlignment="1">
      <alignment horizontal="right" wrapText="1"/>
    </xf>
    <xf numFmtId="186" fontId="3" fillId="2" borderId="2" xfId="0" applyNumberFormat="1" applyFont="1" applyFill="1" applyBorder="1" applyAlignment="1">
      <alignment horizontal="right" wrapText="1"/>
    </xf>
    <xf numFmtId="0" fontId="3" fillId="11"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167" fontId="4" fillId="0" borderId="0" xfId="0" applyNumberFormat="1" applyFont="1" applyAlignment="1">
      <alignment wrapText="1"/>
    </xf>
    <xf numFmtId="0" fontId="4" fillId="0" borderId="2" xfId="0" applyFont="1" applyBorder="1" applyAlignment="1">
      <alignment horizontal="right" vertical="center" wrapText="1"/>
    </xf>
    <xf numFmtId="168" fontId="1" fillId="0" borderId="2" xfId="0" applyNumberFormat="1" applyFont="1" applyBorder="1" applyAlignment="1">
      <alignment horizontal="left" wrapText="1"/>
    </xf>
    <xf numFmtId="168" fontId="4" fillId="0" borderId="2" xfId="0" applyNumberFormat="1" applyFont="1" applyBorder="1" applyAlignment="1">
      <alignment horizontal="left" wrapText="1"/>
    </xf>
    <xf numFmtId="200" fontId="3" fillId="2" borderId="2" xfId="0" applyNumberFormat="1" applyFont="1" applyFill="1" applyBorder="1" applyAlignment="1">
      <alignment wrapText="1"/>
    </xf>
    <xf numFmtId="200" fontId="4" fillId="0" borderId="2" xfId="0" applyNumberFormat="1" applyFont="1" applyBorder="1" applyAlignment="1">
      <alignment wrapText="1"/>
    </xf>
    <xf numFmtId="0" fontId="20" fillId="0" borderId="2" xfId="0" applyFont="1" applyBorder="1" applyAlignment="1">
      <alignment horizontal="left" wrapText="1"/>
    </xf>
    <xf numFmtId="0" fontId="15" fillId="0" borderId="2" xfId="0" applyFont="1" applyBorder="1" applyAlignment="1">
      <alignment wrapText="1"/>
    </xf>
    <xf numFmtId="201" fontId="4" fillId="0" borderId="2" xfId="0" applyNumberFormat="1" applyFont="1" applyBorder="1" applyAlignment="1">
      <alignment wrapText="1"/>
    </xf>
    <xf numFmtId="202" fontId="4" fillId="0" borderId="2" xfId="0" applyNumberFormat="1" applyFont="1" applyBorder="1" applyAlignment="1">
      <alignment horizontal="right" wrapText="1"/>
    </xf>
    <xf numFmtId="203" fontId="4" fillId="0" borderId="2" xfId="0" applyNumberFormat="1" applyFont="1" applyBorder="1" applyAlignment="1">
      <alignment wrapText="1"/>
    </xf>
    <xf numFmtId="0" fontId="20" fillId="0" borderId="2" xfId="0" applyFont="1" applyBorder="1" applyAlignment="1">
      <alignment wrapText="1"/>
    </xf>
    <xf numFmtId="201" fontId="3" fillId="0" borderId="2" xfId="0" applyNumberFormat="1" applyFont="1" applyBorder="1" applyAlignment="1">
      <alignment wrapText="1"/>
    </xf>
    <xf numFmtId="204" fontId="3" fillId="0" borderId="2" xfId="0" applyNumberFormat="1" applyFont="1" applyBorder="1" applyAlignment="1">
      <alignment wrapText="1"/>
    </xf>
    <xf numFmtId="202" fontId="3" fillId="0" borderId="2" xfId="0" applyNumberFormat="1" applyFont="1" applyBorder="1" applyAlignment="1">
      <alignment horizontal="right" wrapText="1"/>
    </xf>
    <xf numFmtId="0" fontId="8" fillId="0" borderId="0" xfId="0" applyFont="1" applyAlignment="1">
      <alignment horizontal="left" vertical="top" wrapText="1"/>
    </xf>
    <xf numFmtId="0" fontId="20" fillId="0" borderId="2" xfId="0" applyFont="1" applyBorder="1" applyAlignment="1">
      <alignment horizontal="center" wrapText="1"/>
    </xf>
    <xf numFmtId="0" fontId="3" fillId="0" borderId="3" xfId="0" applyFont="1" applyBorder="1" applyAlignment="1">
      <alignment wrapText="1"/>
    </xf>
    <xf numFmtId="0" fontId="3" fillId="0" borderId="0" xfId="0" applyFont="1" applyAlignment="1">
      <alignment wrapText="1"/>
    </xf>
    <xf numFmtId="205" fontId="4" fillId="0" borderId="2" xfId="0" applyNumberFormat="1" applyFont="1" applyBorder="1" applyAlignment="1">
      <alignment vertical="center" wrapText="1"/>
    </xf>
    <xf numFmtId="177" fontId="4" fillId="0" borderId="2" xfId="0" applyNumberFormat="1" applyFont="1" applyBorder="1" applyAlignment="1">
      <alignment vertical="center" wrapText="1"/>
    </xf>
    <xf numFmtId="177" fontId="4" fillId="0" borderId="2" xfId="0" applyNumberFormat="1" applyFont="1" applyBorder="1" applyAlignment="1">
      <alignment wrapText="1"/>
    </xf>
    <xf numFmtId="205" fontId="3" fillId="0" borderId="2" xfId="0" applyNumberFormat="1" applyFont="1" applyBorder="1" applyAlignment="1">
      <alignment vertical="center" wrapText="1"/>
    </xf>
    <xf numFmtId="177" fontId="3" fillId="0" borderId="2" xfId="0" applyNumberFormat="1" applyFont="1" applyBorder="1" applyAlignment="1">
      <alignment vertical="center" wrapText="1"/>
    </xf>
    <xf numFmtId="177" fontId="3" fillId="0" borderId="2" xfId="0" applyNumberFormat="1" applyFont="1" applyBorder="1" applyAlignment="1">
      <alignment wrapText="1"/>
    </xf>
    <xf numFmtId="203" fontId="4" fillId="0" borderId="2" xfId="0" applyNumberFormat="1" applyFont="1" applyBorder="1" applyAlignment="1">
      <alignment wrapText="1" indent="1"/>
    </xf>
    <xf numFmtId="203" fontId="3" fillId="0" borderId="2" xfId="0" applyNumberFormat="1" applyFont="1" applyBorder="1" applyAlignment="1">
      <alignment wrapText="1" indent="1"/>
    </xf>
    <xf numFmtId="203" fontId="3" fillId="0" borderId="2" xfId="0" applyNumberFormat="1" applyFont="1" applyBorder="1" applyAlignment="1">
      <alignment wrapText="1"/>
    </xf>
    <xf numFmtId="206" fontId="4" fillId="0" borderId="2" xfId="0" applyNumberFormat="1" applyFont="1" applyBorder="1" applyAlignment="1">
      <alignment horizontal="right" vertical="center" wrapText="1"/>
    </xf>
    <xf numFmtId="207" fontId="4" fillId="0" borderId="2" xfId="0" applyNumberFormat="1" applyFont="1" applyBorder="1" applyAlignment="1">
      <alignment horizontal="right" vertical="center" wrapText="1"/>
    </xf>
    <xf numFmtId="207" fontId="3" fillId="0" borderId="2" xfId="0" applyNumberFormat="1" applyFont="1" applyBorder="1" applyAlignment="1">
      <alignment horizontal="right" vertical="center" wrapText="1"/>
    </xf>
    <xf numFmtId="0" fontId="20" fillId="2" borderId="2" xfId="0" applyFont="1" applyFill="1" applyBorder="1" applyAlignment="1">
      <alignment horizontal="left" vertical="center" wrapText="1"/>
    </xf>
    <xf numFmtId="168" fontId="20" fillId="3" borderId="2" xfId="0" applyNumberFormat="1" applyFont="1" applyFill="1" applyBorder="1" applyAlignment="1">
      <alignment horizontal="left" wrapText="1"/>
    </xf>
    <xf numFmtId="0" fontId="20" fillId="3" borderId="2" xfId="0" applyFont="1" applyFill="1" applyBorder="1" applyAlignment="1">
      <alignment vertical="center" wrapText="1"/>
    </xf>
    <xf numFmtId="190" fontId="15" fillId="3" borderId="2" xfId="0" applyNumberFormat="1" applyFont="1" applyFill="1" applyBorder="1" applyAlignment="1">
      <alignment vertical="center" wrapText="1"/>
    </xf>
    <xf numFmtId="190" fontId="20" fillId="3" borderId="2" xfId="0" applyNumberFormat="1" applyFont="1" applyFill="1" applyBorder="1" applyAlignment="1">
      <alignment vertical="center" wrapText="1"/>
    </xf>
    <xf numFmtId="168" fontId="20" fillId="3" borderId="2" xfId="0" applyNumberFormat="1" applyFont="1" applyFill="1" applyBorder="1" applyAlignment="1">
      <alignment horizontal="left" vertical="center" wrapText="1"/>
    </xf>
    <xf numFmtId="0" fontId="8" fillId="3" borderId="0" xfId="0" applyFont="1" applyFill="1" applyAlignment="1">
      <alignment vertical="top" wrapText="1"/>
    </xf>
    <xf numFmtId="190" fontId="4" fillId="0" borderId="2" xfId="0" applyNumberFormat="1" applyFont="1" applyBorder="1" applyAlignment="1">
      <alignment vertical="center" wrapText="1"/>
    </xf>
    <xf numFmtId="208" fontId="4" fillId="0" borderId="2" xfId="0" applyNumberFormat="1" applyFont="1" applyBorder="1" applyAlignment="1">
      <alignment vertical="center" wrapText="1"/>
    </xf>
    <xf numFmtId="196" fontId="4" fillId="0" borderId="2" xfId="0" applyNumberFormat="1" applyFont="1" applyBorder="1" applyAlignment="1">
      <alignment vertical="center" wrapText="1"/>
    </xf>
    <xf numFmtId="169" fontId="3" fillId="3" borderId="2" xfId="0" applyNumberFormat="1" applyFont="1" applyFill="1" applyBorder="1" applyAlignment="1">
      <alignment vertical="center" wrapText="1"/>
    </xf>
    <xf numFmtId="0" fontId="3" fillId="3" borderId="1" xfId="0" applyFont="1" applyFill="1" applyBorder="1" applyAlignment="1">
      <alignment vertical="center" wrapText="1"/>
    </xf>
    <xf numFmtId="177" fontId="3" fillId="3" borderId="2" xfId="0" applyNumberFormat="1" applyFont="1" applyFill="1" applyBorder="1" applyAlignment="1">
      <alignment vertical="center" wrapText="1"/>
    </xf>
    <xf numFmtId="187" fontId="4" fillId="3" borderId="2" xfId="0" applyNumberFormat="1" applyFont="1" applyFill="1" applyBorder="1" applyAlignment="1">
      <alignment vertical="center" wrapText="1"/>
    </xf>
    <xf numFmtId="187" fontId="1" fillId="3" borderId="2" xfId="0" applyNumberFormat="1" applyFont="1" applyFill="1" applyBorder="1" applyAlignment="1">
      <alignment vertical="center" wrapText="1"/>
    </xf>
    <xf numFmtId="178" fontId="1" fillId="3" borderId="2" xfId="0" applyNumberFormat="1" applyFont="1" applyFill="1" applyBorder="1" applyAlignment="1">
      <alignment horizontal="right" wrapText="1"/>
    </xf>
    <xf numFmtId="209" fontId="1" fillId="3" borderId="2" xfId="0" applyNumberFormat="1" applyFont="1" applyFill="1" applyBorder="1" applyAlignment="1">
      <alignment horizontal="right" wrapText="1"/>
    </xf>
    <xf numFmtId="178" fontId="3" fillId="3" borderId="2" xfId="0" applyNumberFormat="1" applyFont="1" applyFill="1" applyBorder="1" applyAlignment="1">
      <alignment vertical="center" wrapText="1"/>
    </xf>
    <xf numFmtId="0" fontId="4" fillId="3" borderId="0" xfId="0" applyFont="1" applyFill="1" applyAlignment="1">
      <alignment vertical="top" wrapText="1"/>
    </xf>
    <xf numFmtId="0" fontId="4" fillId="3" borderId="2" xfId="0" applyFont="1" applyFill="1" applyBorder="1" applyAlignment="1">
      <alignment vertical="center" wrapText="1"/>
    </xf>
    <xf numFmtId="168" fontId="3" fillId="2" borderId="2" xfId="0" applyNumberFormat="1" applyFont="1" applyFill="1" applyBorder="1" applyAlignment="1">
      <alignment horizontal="left" wrapText="1"/>
    </xf>
    <xf numFmtId="0" fontId="3" fillId="3" borderId="2" xfId="0" applyFont="1" applyFill="1" applyBorder="1" applyAlignment="1">
      <alignment vertical="center" wrapText="1" indent="1"/>
    </xf>
    <xf numFmtId="0" fontId="4" fillId="3" borderId="2" xfId="0" applyFont="1" applyFill="1" applyBorder="1" applyAlignment="1">
      <alignment vertical="center" wrapText="1" indent="1"/>
    </xf>
    <xf numFmtId="169" fontId="4" fillId="2" borderId="2" xfId="0" applyNumberFormat="1" applyFont="1" applyFill="1" applyBorder="1" applyAlignment="1">
      <alignment vertical="center" wrapText="1"/>
    </xf>
    <xf numFmtId="177" fontId="4" fillId="2" borderId="2" xfId="0" applyNumberFormat="1" applyFont="1" applyFill="1" applyBorder="1" applyAlignment="1">
      <alignment vertical="center" wrapText="1"/>
    </xf>
    <xf numFmtId="190" fontId="4" fillId="3" borderId="2" xfId="0" applyNumberFormat="1" applyFont="1" applyFill="1" applyBorder="1" applyAlignment="1">
      <alignment vertical="center" wrapText="1"/>
    </xf>
    <xf numFmtId="170" fontId="4" fillId="3" borderId="2" xfId="0" applyNumberFormat="1" applyFont="1" applyFill="1" applyBorder="1" applyAlignment="1">
      <alignment vertical="center" wrapText="1"/>
    </xf>
    <xf numFmtId="190" fontId="3" fillId="3" borderId="2" xfId="0" applyNumberFormat="1" applyFont="1" applyFill="1" applyBorder="1" applyAlignment="1">
      <alignment vertical="center" wrapText="1"/>
    </xf>
    <xf numFmtId="170" fontId="3" fillId="3" borderId="2" xfId="0" applyNumberFormat="1" applyFont="1" applyFill="1" applyBorder="1" applyAlignment="1">
      <alignment vertical="center" wrapText="1"/>
    </xf>
    <xf numFmtId="210" fontId="4" fillId="3" borderId="2" xfId="0" applyNumberFormat="1" applyFont="1" applyFill="1" applyBorder="1" applyAlignment="1">
      <alignment vertical="center" wrapText="1"/>
    </xf>
    <xf numFmtId="0" fontId="4" fillId="0" borderId="1" xfId="0" applyFont="1" applyBorder="1" applyAlignment="1">
      <alignment vertical="top"/>
    </xf>
    <xf numFmtId="170" fontId="4" fillId="3" borderId="2" xfId="0" applyNumberFormat="1" applyFont="1" applyFill="1" applyBorder="1" applyAlignment="1">
      <alignment vertical="top"/>
    </xf>
    <xf numFmtId="168" fontId="3" fillId="3" borderId="2" xfId="0" applyNumberFormat="1" applyFont="1" applyFill="1" applyBorder="1" applyAlignment="1">
      <alignment vertical="top"/>
    </xf>
    <xf numFmtId="0" fontId="0" fillId="0" borderId="0" xfId="0" applyAlignment="1">
      <alignment vertical="top"/>
    </xf>
    <xf numFmtId="168" fontId="4" fillId="0" borderId="2" xfId="0" applyNumberFormat="1" applyFont="1" applyBorder="1" applyAlignment="1">
      <alignment vertical="top"/>
    </xf>
    <xf numFmtId="0" fontId="4" fillId="0" borderId="3" xfId="0" applyFont="1" applyBorder="1" applyAlignment="1">
      <alignment vertical="top"/>
    </xf>
    <xf numFmtId="169" fontId="1" fillId="0" borderId="2" xfId="0" applyNumberFormat="1" applyFont="1" applyBorder="1" applyAlignment="1">
      <alignment vertical="top"/>
    </xf>
    <xf numFmtId="169" fontId="3" fillId="2" borderId="2" xfId="0" applyNumberFormat="1" applyFont="1" applyFill="1" applyBorder="1" applyAlignment="1">
      <alignment vertical="top"/>
    </xf>
    <xf numFmtId="0" fontId="4" fillId="0" borderId="0" xfId="0" applyFont="1" applyAlignment="1">
      <alignment vertical="top"/>
    </xf>
    <xf numFmtId="169" fontId="4" fillId="3" borderId="2" xfId="0" applyNumberFormat="1" applyFont="1" applyFill="1" applyBorder="1" applyAlignment="1">
      <alignment vertical="top"/>
    </xf>
    <xf numFmtId="174" fontId="1" fillId="0" borderId="2" xfId="0" applyNumberFormat="1" applyFont="1" applyBorder="1" applyAlignment="1">
      <alignment vertical="top"/>
    </xf>
    <xf numFmtId="0" fontId="3" fillId="2" borderId="5" xfId="0" applyFont="1" applyFill="1" applyBorder="1" applyAlignment="1">
      <alignment wrapText="1" indent="1"/>
    </xf>
    <xf numFmtId="0" fontId="4" fillId="0" borderId="5" xfId="0" applyFont="1" applyBorder="1" applyAlignment="1">
      <alignment wrapText="1" indent="3"/>
    </xf>
    <xf numFmtId="0" fontId="3" fillId="3" borderId="9" xfId="0" applyFont="1" applyFill="1" applyBorder="1" applyAlignment="1">
      <alignment horizontal="left" wrapText="1"/>
    </xf>
    <xf numFmtId="0" fontId="3" fillId="3" borderId="9" xfId="0" applyFont="1" applyFill="1" applyBorder="1" applyAlignment="1">
      <alignment horizontal="center" wrapText="1"/>
    </xf>
    <xf numFmtId="172" fontId="4" fillId="0" borderId="8" xfId="0" applyNumberFormat="1" applyFont="1" applyBorder="1" applyAlignment="1">
      <alignment horizontal="right" wrapText="1"/>
    </xf>
    <xf numFmtId="172" fontId="3" fillId="2" borderId="11" xfId="0" applyNumberFormat="1" applyFont="1" applyFill="1" applyBorder="1" applyAlignment="1">
      <alignment horizontal="right" wrapText="1"/>
    </xf>
    <xf numFmtId="172" fontId="4" fillId="0" borderId="11" xfId="0" applyNumberFormat="1" applyFont="1" applyBorder="1" applyAlignment="1">
      <alignment horizontal="right" wrapText="1"/>
    </xf>
    <xf numFmtId="0" fontId="4" fillId="0" borderId="0" xfId="0" applyFont="1" applyAlignment="1">
      <alignment vertical="center" wrapText="1" indent="3"/>
    </xf>
    <xf numFmtId="0" fontId="32" fillId="0" borderId="0" xfId="0" applyFont="1" applyAlignment="1">
      <alignment wrapText="1"/>
    </xf>
    <xf numFmtId="0" fontId="6" fillId="3" borderId="4" xfId="0" applyFont="1" applyFill="1" applyBorder="1" applyAlignment="1">
      <alignment vertical="top" wrapText="1"/>
    </xf>
    <xf numFmtId="0" fontId="0" fillId="0" borderId="0" xfId="0" applyAlignment="1">
      <alignment vertical="center"/>
    </xf>
    <xf numFmtId="0" fontId="33" fillId="0" borderId="0" xfId="0" applyFont="1" applyAlignment="1">
      <alignment vertical="center"/>
    </xf>
    <xf numFmtId="0" fontId="35" fillId="0" borderId="0" xfId="0" applyFont="1" applyAlignment="1">
      <alignment wrapText="1"/>
    </xf>
    <xf numFmtId="0" fontId="4" fillId="0" borderId="0" xfId="0" applyFont="1" applyAlignment="1">
      <alignment horizontal="left" vertical="center" wrapText="1" indent="3"/>
    </xf>
    <xf numFmtId="0" fontId="34" fillId="0" borderId="0" xfId="0" applyFont="1" applyAlignment="1">
      <alignment horizontal="left" vertical="center" wrapText="1" indent="3"/>
    </xf>
    <xf numFmtId="0" fontId="36" fillId="0" borderId="0" xfId="0" applyFont="1" applyAlignment="1">
      <alignment horizontal="left" vertical="center" wrapText="1"/>
    </xf>
    <xf numFmtId="0" fontId="36" fillId="0" borderId="0" xfId="0" applyFont="1" applyAlignment="1">
      <alignment horizontal="left" wrapText="1" indent="3"/>
    </xf>
    <xf numFmtId="0" fontId="0" fillId="0" borderId="0" xfId="0" applyAlignment="1">
      <alignment horizontal="left" vertical="center" indent="3"/>
    </xf>
    <xf numFmtId="0" fontId="35" fillId="0" borderId="0" xfId="0" applyFont="1" applyAlignment="1">
      <alignment vertical="center" wrapText="1"/>
    </xf>
    <xf numFmtId="0" fontId="38" fillId="0" borderId="2" xfId="0" applyFont="1" applyBorder="1" applyAlignment="1">
      <alignment horizontal="left" wrapText="1"/>
    </xf>
    <xf numFmtId="173" fontId="37" fillId="0" borderId="2" xfId="0" applyNumberFormat="1" applyFont="1" applyBorder="1" applyAlignment="1">
      <alignment horizontal="left" wrapText="1"/>
    </xf>
    <xf numFmtId="176" fontId="34" fillId="0" borderId="2" xfId="0" applyNumberFormat="1" applyFont="1" applyBorder="1" applyAlignment="1">
      <alignment vertical="center" wrapText="1"/>
    </xf>
    <xf numFmtId="176" fontId="34" fillId="0" borderId="2" xfId="0" applyNumberFormat="1" applyFont="1" applyBorder="1" applyAlignment="1">
      <alignment vertical="center" wrapText="1" indent="1"/>
    </xf>
    <xf numFmtId="176" fontId="38" fillId="0" borderId="2" xfId="0" applyNumberFormat="1" applyFont="1" applyBorder="1" applyAlignment="1">
      <alignment vertical="center" wrapText="1" indent="1"/>
    </xf>
    <xf numFmtId="0" fontId="34" fillId="0" borderId="2" xfId="0" applyFont="1" applyBorder="1" applyAlignment="1">
      <alignment vertical="center" wrapText="1"/>
    </xf>
    <xf numFmtId="176" fontId="38" fillId="0" borderId="2" xfId="0" applyNumberFormat="1" applyFont="1" applyBorder="1" applyAlignment="1">
      <alignment vertical="center" wrapText="1"/>
    </xf>
    <xf numFmtId="176" fontId="38" fillId="2" borderId="2" xfId="0" applyNumberFormat="1" applyFont="1" applyFill="1" applyBorder="1" applyAlignment="1">
      <alignment vertical="center" wrapText="1"/>
    </xf>
    <xf numFmtId="176" fontId="38" fillId="2" borderId="2" xfId="0" applyNumberFormat="1" applyFont="1" applyFill="1" applyBorder="1" applyAlignment="1">
      <alignment vertical="center" wrapText="1" indent="1"/>
    </xf>
    <xf numFmtId="0" fontId="34" fillId="0" borderId="2" xfId="0" applyFont="1" applyBorder="1" applyAlignment="1">
      <alignment horizontal="left" vertical="center" wrapText="1"/>
    </xf>
    <xf numFmtId="0" fontId="4" fillId="12" borderId="2" xfId="0" applyFont="1" applyFill="1" applyBorder="1" applyAlignment="1">
      <alignment wrapText="1"/>
    </xf>
    <xf numFmtId="0" fontId="41" fillId="0" borderId="2" xfId="0" applyFont="1" applyBorder="1" applyAlignment="1">
      <alignment horizontal="center" vertical="center" wrapText="1"/>
    </xf>
    <xf numFmtId="0" fontId="38" fillId="2" borderId="2" xfId="0" applyFont="1" applyFill="1" applyBorder="1" applyAlignment="1">
      <alignment horizontal="left" wrapText="1"/>
    </xf>
    <xf numFmtId="184" fontId="4" fillId="2" borderId="2" xfId="0" applyNumberFormat="1" applyFont="1" applyFill="1" applyBorder="1" applyAlignment="1">
      <alignment horizontal="right" vertical="center" wrapText="1"/>
    </xf>
    <xf numFmtId="185" fontId="4" fillId="2" borderId="2" xfId="0" applyNumberFormat="1" applyFont="1" applyFill="1" applyBorder="1" applyAlignment="1">
      <alignment horizontal="right" vertical="center" wrapText="1"/>
    </xf>
    <xf numFmtId="0" fontId="6" fillId="3" borderId="0" xfId="0" applyFont="1" applyFill="1" applyAlignment="1">
      <alignment vertical="top" wrapText="1"/>
    </xf>
    <xf numFmtId="0" fontId="6" fillId="3" borderId="1" xfId="0" applyFont="1" applyFill="1" applyBorder="1" applyAlignment="1">
      <alignment vertical="top" wrapText="1"/>
    </xf>
    <xf numFmtId="0" fontId="36" fillId="0" borderId="2" xfId="0" applyFont="1" applyBorder="1" applyAlignment="1">
      <alignment horizontal="left" vertical="center" wrapText="1"/>
    </xf>
    <xf numFmtId="0" fontId="34" fillId="0" borderId="0" xfId="0" applyFont="1" applyAlignment="1">
      <alignment vertical="center" wrapText="1" indent="3"/>
    </xf>
    <xf numFmtId="0" fontId="34" fillId="3" borderId="2" xfId="0" applyFont="1" applyFill="1" applyBorder="1" applyAlignment="1">
      <alignment wrapText="1"/>
    </xf>
    <xf numFmtId="0" fontId="34" fillId="0" borderId="2" xfId="0" applyFont="1" applyBorder="1" applyAlignment="1">
      <alignment wrapText="1"/>
    </xf>
    <xf numFmtId="0" fontId="36" fillId="0" borderId="2" xfId="0" applyFont="1" applyBorder="1" applyAlignment="1">
      <alignment wrapText="1"/>
    </xf>
    <xf numFmtId="0" fontId="38" fillId="3" borderId="2" xfId="0" applyFont="1" applyFill="1" applyBorder="1" applyAlignment="1">
      <alignment wrapText="1"/>
    </xf>
    <xf numFmtId="0" fontId="34" fillId="0" borderId="2" xfId="0" applyFont="1" applyBorder="1" applyAlignment="1">
      <alignment horizontal="left" vertical="center" wrapText="1" indent="2"/>
    </xf>
    <xf numFmtId="0" fontId="37" fillId="0" borderId="2" xfId="0" applyFont="1" applyBorder="1" applyAlignment="1">
      <alignment horizontal="left" wrapText="1"/>
    </xf>
    <xf numFmtId="0" fontId="36" fillId="0" borderId="2" xfId="0" applyFont="1" applyBorder="1" applyAlignment="1">
      <alignment wrapText="1" indent="2"/>
    </xf>
    <xf numFmtId="0" fontId="34" fillId="0" borderId="2" xfId="0" applyFont="1" applyBorder="1" applyAlignment="1">
      <alignment horizontal="left" wrapText="1" indent="2"/>
    </xf>
    <xf numFmtId="0" fontId="38" fillId="10" borderId="2" xfId="0" applyFont="1" applyFill="1" applyBorder="1" applyAlignment="1">
      <alignment wrapText="1"/>
    </xf>
    <xf numFmtId="0" fontId="0" fillId="13" borderId="0" xfId="0" applyFill="1"/>
    <xf numFmtId="0" fontId="0" fillId="13" borderId="11" xfId="0" applyFill="1" applyBorder="1"/>
    <xf numFmtId="0" fontId="0" fillId="13" borderId="12" xfId="0" applyFill="1" applyBorder="1"/>
    <xf numFmtId="211" fontId="0" fillId="13" borderId="11" xfId="1" applyNumberFormat="1" applyFont="1" applyFill="1" applyBorder="1" applyAlignment="1">
      <alignment horizontal="center" vertical="center"/>
    </xf>
    <xf numFmtId="211" fontId="0" fillId="13" borderId="12" xfId="1" applyNumberFormat="1" applyFont="1" applyFill="1" applyBorder="1" applyAlignment="1">
      <alignment horizontal="center" vertical="center"/>
    </xf>
    <xf numFmtId="0" fontId="3" fillId="2" borderId="9" xfId="0" applyFont="1" applyFill="1" applyBorder="1" applyAlignment="1">
      <alignment wrapText="1"/>
    </xf>
    <xf numFmtId="0" fontId="4" fillId="0" borderId="11" xfId="0" applyFont="1" applyBorder="1" applyAlignment="1">
      <alignment vertical="center" wrapText="1"/>
    </xf>
    <xf numFmtId="0" fontId="6" fillId="0" borderId="0" xfId="0" applyFont="1" applyAlignment="1">
      <alignment vertical="top" wrapText="1"/>
    </xf>
    <xf numFmtId="212" fontId="1" fillId="3" borderId="2" xfId="1" applyNumberFormat="1" applyFont="1" applyFill="1" applyBorder="1" applyAlignment="1">
      <alignment vertical="center" wrapText="1"/>
    </xf>
    <xf numFmtId="212" fontId="1" fillId="3" borderId="11" xfId="1" applyNumberFormat="1" applyFont="1" applyFill="1" applyBorder="1" applyAlignment="1">
      <alignment vertical="center" wrapText="1"/>
    </xf>
    <xf numFmtId="0" fontId="3" fillId="13" borderId="11" xfId="0" applyFont="1" applyFill="1" applyBorder="1"/>
    <xf numFmtId="211" fontId="3" fillId="13" borderId="11" xfId="1" applyNumberFormat="1" applyFont="1" applyFill="1" applyBorder="1" applyAlignment="1">
      <alignment horizontal="center" vertical="center"/>
    </xf>
    <xf numFmtId="0" fontId="4" fillId="0" borderId="2" xfId="0" applyFont="1" applyBorder="1" applyAlignment="1">
      <alignment wrapText="1"/>
    </xf>
    <xf numFmtId="0" fontId="40" fillId="0" borderId="4" xfId="0" applyFont="1" applyBorder="1" applyAlignment="1">
      <alignment vertical="top" wrapText="1"/>
    </xf>
    <xf numFmtId="0" fontId="8" fillId="0" borderId="4" xfId="0" applyFont="1" applyBorder="1" applyAlignment="1">
      <alignment vertical="top" wrapText="1"/>
    </xf>
    <xf numFmtId="0" fontId="4" fillId="0" borderId="4" xfId="0" applyFont="1" applyBorder="1" applyAlignment="1">
      <alignment wrapText="1"/>
    </xf>
    <xf numFmtId="0" fontId="6" fillId="0" borderId="4" xfId="0" applyFont="1" applyBorder="1" applyAlignment="1">
      <alignment vertical="top" wrapText="1"/>
    </xf>
    <xf numFmtId="0" fontId="38" fillId="0" borderId="0" xfId="0" applyFont="1" applyAlignment="1">
      <alignment wrapText="1"/>
    </xf>
    <xf numFmtId="0" fontId="37" fillId="0" borderId="0" xfId="0" applyFont="1"/>
    <xf numFmtId="0" fontId="5" fillId="0" borderId="2" xfId="0" applyFont="1" applyBorder="1" applyAlignment="1">
      <alignment horizontal="right" wrapText="1"/>
    </xf>
    <xf numFmtId="0" fontId="6" fillId="0" borderId="4" xfId="0" applyFont="1" applyBorder="1" applyAlignment="1">
      <alignment horizontal="left" vertical="top" wrapText="1"/>
    </xf>
    <xf numFmtId="0" fontId="34" fillId="0" borderId="2" xfId="0" applyFont="1" applyBorder="1" applyAlignment="1">
      <alignment wrapText="1"/>
    </xf>
    <xf numFmtId="0" fontId="36" fillId="0" borderId="2" xfId="0" applyFont="1" applyBorder="1" applyAlignment="1">
      <alignment wrapText="1"/>
    </xf>
    <xf numFmtId="0" fontId="3" fillId="0" borderId="2" xfId="0" applyFont="1" applyBorder="1" applyAlignment="1">
      <alignment horizontal="right" wrapText="1"/>
    </xf>
    <xf numFmtId="0" fontId="3" fillId="0" borderId="2" xfId="0" applyFont="1" applyBorder="1" applyAlignment="1">
      <alignment wrapText="1"/>
    </xf>
    <xf numFmtId="0" fontId="0" fillId="0" borderId="0" xfId="0" applyAlignment="1">
      <alignment wrapText="1"/>
    </xf>
    <xf numFmtId="0" fontId="8" fillId="0" borderId="4" xfId="0" applyFont="1" applyBorder="1" applyAlignment="1">
      <alignment horizontal="left" vertical="top" wrapText="1"/>
    </xf>
    <xf numFmtId="0" fontId="0" fillId="0" borderId="0" xfId="0"/>
    <xf numFmtId="0" fontId="12" fillId="0" borderId="0" xfId="0" applyFont="1" applyAlignment="1">
      <alignment vertical="center" wrapText="1"/>
    </xf>
    <xf numFmtId="0" fontId="38" fillId="0" borderId="2" xfId="0" applyFont="1" applyBorder="1" applyAlignment="1">
      <alignment horizontal="center" wrapText="1"/>
    </xf>
    <xf numFmtId="0" fontId="4" fillId="0" borderId="2" xfId="0" applyFont="1" applyBorder="1" applyAlignment="1">
      <alignment horizontal="center" wrapText="1"/>
    </xf>
    <xf numFmtId="0" fontId="5" fillId="0" borderId="2" xfId="0" applyFont="1" applyBorder="1" applyAlignment="1">
      <alignment horizontal="left" wrapText="1"/>
    </xf>
    <xf numFmtId="0" fontId="5" fillId="2" borderId="2" xfId="0" applyFont="1" applyFill="1" applyBorder="1" applyAlignment="1">
      <alignment horizontal="left" wrapText="1"/>
    </xf>
    <xf numFmtId="0" fontId="4" fillId="0" borderId="2" xfId="0" applyFont="1" applyBorder="1" applyAlignment="1">
      <alignment vertical="center" wrapText="1"/>
    </xf>
    <xf numFmtId="0" fontId="3" fillId="2" borderId="2" xfId="0" applyFont="1" applyFill="1" applyBorder="1" applyAlignment="1">
      <alignment wrapText="1"/>
    </xf>
    <xf numFmtId="0" fontId="10" fillId="0" borderId="3" xfId="0" applyFont="1" applyBorder="1" applyAlignment="1">
      <alignment vertical="center" wrapText="1"/>
    </xf>
    <xf numFmtId="0" fontId="5" fillId="2" borderId="11" xfId="0" applyFont="1" applyFill="1" applyBorder="1" applyAlignment="1">
      <alignment wrapText="1"/>
    </xf>
    <xf numFmtId="0" fontId="0" fillId="0" borderId="11" xfId="0" applyBorder="1" applyAlignment="1">
      <alignment wrapText="1"/>
    </xf>
    <xf numFmtId="212" fontId="1" fillId="3" borderId="11" xfId="1" applyNumberFormat="1" applyFont="1" applyFill="1" applyBorder="1" applyAlignment="1">
      <alignment vertical="center" wrapText="1"/>
    </xf>
    <xf numFmtId="212" fontId="0" fillId="0" borderId="11" xfId="0" applyNumberFormat="1" applyBorder="1" applyAlignment="1">
      <alignment vertical="center" wrapText="1"/>
    </xf>
    <xf numFmtId="0" fontId="1" fillId="3" borderId="11" xfId="0" applyFont="1" applyFill="1" applyBorder="1" applyAlignment="1">
      <alignment horizontal="left" vertical="center" wrapText="1"/>
    </xf>
    <xf numFmtId="0" fontId="0" fillId="0" borderId="11" xfId="0" applyBorder="1" applyAlignment="1">
      <alignment vertical="center" wrapText="1"/>
    </xf>
    <xf numFmtId="0" fontId="0" fillId="0" borderId="11" xfId="0" applyBorder="1" applyAlignment="1">
      <alignment horizontal="left" vertical="center" wrapText="1"/>
    </xf>
    <xf numFmtId="0" fontId="1" fillId="3" borderId="9" xfId="0" applyFont="1" applyFill="1" applyBorder="1" applyAlignment="1">
      <alignment horizontal="left" vertical="center" wrapText="1"/>
    </xf>
    <xf numFmtId="0" fontId="0" fillId="0" borderId="10" xfId="0" applyBorder="1" applyAlignment="1">
      <alignment vertical="center" wrapText="1"/>
    </xf>
    <xf numFmtId="0" fontId="0" fillId="0" borderId="4" xfId="0" applyBorder="1" applyAlignment="1">
      <alignment wrapText="1"/>
    </xf>
    <xf numFmtId="0" fontId="4" fillId="0" borderId="11" xfId="0" applyFont="1" applyBorder="1" applyAlignment="1">
      <alignment horizontal="left" vertical="center" wrapText="1"/>
    </xf>
    <xf numFmtId="0" fontId="4" fillId="0" borderId="11" xfId="0" applyFont="1" applyBorder="1" applyAlignment="1">
      <alignment vertical="center" wrapText="1"/>
    </xf>
    <xf numFmtId="0" fontId="6" fillId="3" borderId="4" xfId="0" applyFont="1" applyFill="1" applyBorder="1" applyAlignment="1">
      <alignment vertical="top" wrapText="1"/>
    </xf>
    <xf numFmtId="0" fontId="8" fillId="3" borderId="4" xfId="0" applyFont="1" applyFill="1" applyBorder="1" applyAlignment="1">
      <alignment vertical="top" wrapText="1"/>
    </xf>
    <xf numFmtId="0" fontId="0" fillId="0" borderId="4" xfId="0" applyBorder="1" applyAlignment="1">
      <alignment vertical="top" wrapText="1"/>
    </xf>
    <xf numFmtId="0" fontId="5" fillId="3" borderId="5" xfId="0" applyFont="1" applyFill="1" applyBorder="1" applyAlignment="1">
      <alignment horizontal="right" vertical="center" wrapText="1"/>
    </xf>
    <xf numFmtId="0" fontId="5" fillId="3" borderId="6" xfId="0" applyFont="1" applyFill="1" applyBorder="1" applyAlignment="1">
      <alignment horizontal="right" vertical="center" wrapText="1"/>
    </xf>
    <xf numFmtId="0" fontId="4" fillId="0" borderId="5" xfId="0" applyFont="1" applyBorder="1" applyAlignment="1">
      <alignment vertical="center" wrapText="1"/>
    </xf>
    <xf numFmtId="0" fontId="4" fillId="0" borderId="7" xfId="0" applyFont="1" applyBorder="1" applyAlignment="1">
      <alignment vertical="center" wrapText="1"/>
    </xf>
    <xf numFmtId="0" fontId="4" fillId="0" borderId="6" xfId="0" applyFont="1" applyBorder="1" applyAlignment="1">
      <alignment vertical="center" wrapText="1"/>
    </xf>
    <xf numFmtId="0" fontId="5" fillId="2" borderId="5" xfId="0" applyFont="1" applyFill="1" applyBorder="1" applyAlignment="1">
      <alignment wrapText="1"/>
    </xf>
    <xf numFmtId="0" fontId="3" fillId="2" borderId="7" xfId="0" applyFont="1" applyFill="1" applyBorder="1" applyAlignment="1">
      <alignment wrapText="1"/>
    </xf>
    <xf numFmtId="0" fontId="3" fillId="2" borderId="6" xfId="0" applyFont="1" applyFill="1" applyBorder="1" applyAlignment="1">
      <alignment wrapText="1"/>
    </xf>
    <xf numFmtId="0" fontId="6" fillId="3" borderId="4" xfId="0" applyFont="1" applyFill="1" applyBorder="1" applyAlignment="1">
      <alignment horizontal="left" vertical="top" wrapText="1"/>
    </xf>
    <xf numFmtId="0" fontId="39" fillId="0" borderId="0" xfId="0" applyFont="1" applyAlignment="1">
      <alignment horizontal="left" wrapText="1"/>
    </xf>
    <xf numFmtId="0" fontId="3" fillId="0" borderId="2" xfId="0" applyFont="1" applyBorder="1" applyAlignment="1">
      <alignment horizontal="left" vertical="center" wrapText="1"/>
    </xf>
    <xf numFmtId="0" fontId="39" fillId="0" borderId="0" xfId="0" applyFont="1" applyAlignment="1">
      <alignment wrapText="1"/>
    </xf>
    <xf numFmtId="0" fontId="4" fillId="0" borderId="0" xfId="0" applyFont="1" applyAlignment="1">
      <alignment wrapText="1"/>
    </xf>
    <xf numFmtId="0" fontId="4" fillId="3" borderId="1" xfId="0" applyFont="1" applyFill="1" applyBorder="1" applyAlignment="1">
      <alignment vertical="center" wrapText="1"/>
    </xf>
    <xf numFmtId="0" fontId="13" fillId="0" borderId="0" xfId="0" applyFont="1" applyAlignment="1">
      <alignment wrapText="1"/>
    </xf>
    <xf numFmtId="0" fontId="16" fillId="0" borderId="0" xfId="0" applyFont="1" applyAlignment="1">
      <alignment horizontal="left" vertical="center" wrapText="1" indent="2"/>
    </xf>
    <xf numFmtId="0" fontId="3" fillId="0" borderId="2" xfId="0" applyFont="1" applyBorder="1" applyAlignment="1">
      <alignment vertical="center" wrapText="1"/>
    </xf>
    <xf numFmtId="0" fontId="38" fillId="2" borderId="5" xfId="0" applyFont="1" applyFill="1" applyBorder="1" applyAlignment="1">
      <alignment vertical="center" wrapText="1" indent="1"/>
    </xf>
    <xf numFmtId="0" fontId="36" fillId="0" borderId="7" xfId="0" applyFont="1" applyBorder="1" applyAlignment="1">
      <alignment wrapText="1"/>
    </xf>
    <xf numFmtId="0" fontId="36" fillId="0" borderId="6" xfId="0" applyFont="1" applyBorder="1" applyAlignment="1">
      <alignment wrapText="1"/>
    </xf>
    <xf numFmtId="0" fontId="38" fillId="0" borderId="2" xfId="0" applyFont="1" applyBorder="1" applyAlignment="1">
      <alignment horizontal="left" wrapText="1"/>
    </xf>
    <xf numFmtId="0" fontId="34" fillId="0" borderId="2" xfId="0" applyFont="1" applyBorder="1" applyAlignment="1">
      <alignment horizontal="left" vertical="center" wrapText="1" indent="4"/>
    </xf>
    <xf numFmtId="0" fontId="34" fillId="0" borderId="2" xfId="0" applyFont="1" applyBorder="1" applyAlignment="1">
      <alignment vertical="center" wrapText="1" indent="4"/>
    </xf>
    <xf numFmtId="0" fontId="10" fillId="0" borderId="1" xfId="0" applyFont="1" applyBorder="1" applyAlignment="1">
      <alignment vertical="center" wrapText="1"/>
    </xf>
    <xf numFmtId="0" fontId="40" fillId="3" borderId="0" xfId="0" applyFont="1" applyFill="1" applyAlignment="1">
      <alignment horizontal="left" vertical="top" wrapText="1"/>
    </xf>
    <xf numFmtId="0" fontId="6" fillId="3" borderId="0" xfId="0" applyFont="1" applyFill="1" applyAlignment="1">
      <alignment horizontal="left" vertical="top" wrapText="1"/>
    </xf>
    <xf numFmtId="0" fontId="38" fillId="0" borderId="2" xfId="0" applyFont="1" applyBorder="1" applyAlignment="1">
      <alignment vertical="center" wrapText="1" indent="2"/>
    </xf>
    <xf numFmtId="0" fontId="38" fillId="2" borderId="7" xfId="0" applyFont="1" applyFill="1" applyBorder="1" applyAlignment="1">
      <alignment vertical="center" wrapText="1" indent="1"/>
    </xf>
    <xf numFmtId="0" fontId="38" fillId="2" borderId="6" xfId="0" applyFont="1" applyFill="1" applyBorder="1" applyAlignment="1">
      <alignment vertical="center" wrapText="1" indent="1"/>
    </xf>
    <xf numFmtId="0" fontId="38" fillId="0" borderId="2" xfId="0" applyFont="1" applyBorder="1" applyAlignment="1">
      <alignment horizontal="left" vertical="center" wrapText="1" indent="2"/>
    </xf>
    <xf numFmtId="0" fontId="38" fillId="2" borderId="2" xfId="0" applyFont="1" applyFill="1" applyBorder="1" applyAlignment="1">
      <alignment horizontal="left" vertical="center" wrapText="1" indent="1"/>
    </xf>
    <xf numFmtId="0" fontId="38" fillId="0" borderId="5" xfId="0" applyFont="1" applyBorder="1" applyAlignment="1">
      <alignment vertical="center" wrapText="1" indent="2"/>
    </xf>
    <xf numFmtId="0" fontId="38" fillId="0" borderId="7" xfId="0" applyFont="1" applyBorder="1" applyAlignment="1">
      <alignment vertical="center" wrapText="1" indent="2"/>
    </xf>
    <xf numFmtId="0" fontId="38" fillId="0" borderId="6" xfId="0" applyFont="1" applyBorder="1" applyAlignment="1">
      <alignment vertical="center" wrapText="1" indent="2"/>
    </xf>
    <xf numFmtId="0" fontId="38" fillId="2" borderId="2" xfId="0" applyFont="1" applyFill="1" applyBorder="1" applyAlignment="1">
      <alignment vertical="center" wrapText="1" indent="1"/>
    </xf>
    <xf numFmtId="0" fontId="40" fillId="3" borderId="4" xfId="0" applyFont="1" applyFill="1" applyBorder="1" applyAlignment="1">
      <alignment horizontal="left" vertical="top" wrapText="1"/>
    </xf>
    <xf numFmtId="0" fontId="38" fillId="2" borderId="2" xfId="0" applyFont="1" applyFill="1" applyBorder="1" applyAlignment="1">
      <alignment vertical="center" wrapText="1"/>
    </xf>
    <xf numFmtId="0" fontId="5" fillId="2" borderId="5" xfId="0" applyFont="1" applyFill="1" applyBorder="1" applyAlignment="1">
      <alignment vertical="center" wrapText="1"/>
    </xf>
    <xf numFmtId="0" fontId="4" fillId="0" borderId="7" xfId="0" applyFont="1" applyBorder="1" applyAlignment="1">
      <alignment wrapText="1"/>
    </xf>
    <xf numFmtId="0" fontId="4" fillId="0" borderId="6" xfId="0" applyFont="1" applyBorder="1" applyAlignment="1">
      <alignment wrapText="1"/>
    </xf>
    <xf numFmtId="0" fontId="3" fillId="3" borderId="2" xfId="0" applyFont="1" applyFill="1" applyBorder="1" applyAlignment="1">
      <alignment vertical="center" wrapText="1"/>
    </xf>
    <xf numFmtId="0" fontId="16" fillId="0" borderId="1" xfId="0" applyFont="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horizontal="left" vertical="center" wrapText="1"/>
    </xf>
    <xf numFmtId="0" fontId="34" fillId="0" borderId="2" xfId="0" applyFont="1" applyBorder="1" applyAlignment="1">
      <alignment horizontal="left" vertical="center" wrapText="1"/>
    </xf>
    <xf numFmtId="0" fontId="5" fillId="0" borderId="2" xfId="0" applyFont="1" applyBorder="1" applyAlignment="1">
      <alignmen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8" xfId="0" applyFont="1" applyBorder="1" applyAlignment="1">
      <alignment horizontal="left" vertical="center" wrapText="1"/>
    </xf>
    <xf numFmtId="0" fontId="3" fillId="2" borderId="2" xfId="0" applyFont="1" applyFill="1" applyBorder="1" applyAlignment="1">
      <alignment horizontal="left" vertical="center" wrapText="1"/>
    </xf>
    <xf numFmtId="0" fontId="3" fillId="3" borderId="2" xfId="0" applyFont="1" applyFill="1" applyBorder="1" applyAlignment="1">
      <alignment horizontal="left" wrapText="1"/>
    </xf>
    <xf numFmtId="0" fontId="3" fillId="5" borderId="2" xfId="0" applyFont="1" applyFill="1" applyBorder="1" applyAlignment="1">
      <alignment horizontal="center" vertical="center" wrapText="1"/>
    </xf>
    <xf numFmtId="0" fontId="4" fillId="0" borderId="5" xfId="0" applyFont="1" applyBorder="1" applyAlignment="1">
      <alignment horizontal="center" wrapText="1"/>
    </xf>
    <xf numFmtId="0" fontId="3" fillId="6"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6" fillId="3" borderId="0" xfId="0" applyFont="1" applyFill="1" applyAlignment="1">
      <alignment vertical="top" wrapText="1"/>
    </xf>
    <xf numFmtId="0" fontId="4" fillId="2" borderId="11" xfId="0" applyFont="1" applyFill="1" applyBorder="1" applyAlignment="1">
      <alignment horizontal="center" wrapText="1"/>
    </xf>
    <xf numFmtId="0" fontId="40" fillId="3" borderId="4" xfId="0" applyFont="1" applyFill="1" applyBorder="1" applyAlignment="1">
      <alignment vertical="top" wrapText="1"/>
    </xf>
    <xf numFmtId="0" fontId="3" fillId="3" borderId="2" xfId="0" applyFont="1" applyFill="1" applyBorder="1" applyAlignment="1">
      <alignment horizontal="center" wrapText="1"/>
    </xf>
    <xf numFmtId="0" fontId="3" fillId="0" borderId="2" xfId="0" applyFont="1" applyBorder="1" applyAlignment="1">
      <alignment horizontal="left" wrapText="1"/>
    </xf>
    <xf numFmtId="0" fontId="2" fillId="0" borderId="1" xfId="0" applyFont="1" applyBorder="1" applyAlignment="1">
      <alignment vertical="center" wrapText="1"/>
    </xf>
    <xf numFmtId="0" fontId="3" fillId="2" borderId="5" xfId="0" applyFont="1" applyFill="1" applyBorder="1" applyAlignment="1">
      <alignment wrapText="1"/>
    </xf>
    <xf numFmtId="0" fontId="1" fillId="3" borderId="5" xfId="0" applyFont="1" applyFill="1" applyBorder="1" applyAlignment="1">
      <alignment vertical="center" wrapText="1"/>
    </xf>
    <xf numFmtId="0" fontId="1" fillId="3" borderId="7" xfId="0" applyFont="1" applyFill="1" applyBorder="1" applyAlignment="1">
      <alignment vertical="center" wrapText="1"/>
    </xf>
    <xf numFmtId="0" fontId="1" fillId="3" borderId="6" xfId="0" applyFont="1" applyFill="1" applyBorder="1" applyAlignment="1">
      <alignment vertical="center" wrapText="1"/>
    </xf>
    <xf numFmtId="0" fontId="3" fillId="0" borderId="2" xfId="0" applyFont="1" applyBorder="1" applyAlignment="1">
      <alignment horizontal="center" wrapText="1"/>
    </xf>
    <xf numFmtId="0" fontId="3" fillId="2" borderId="2" xfId="0" applyFont="1" applyFill="1" applyBorder="1" applyAlignment="1">
      <alignment horizontal="left" wrapText="1"/>
    </xf>
    <xf numFmtId="0" fontId="6" fillId="3" borderId="4" xfId="0" applyFont="1" applyFill="1" applyBorder="1" applyAlignment="1">
      <alignment horizontal="left" vertical="center" wrapText="1"/>
    </xf>
    <xf numFmtId="0" fontId="4" fillId="3" borderId="0" xfId="0" applyFont="1" applyFill="1" applyAlignment="1">
      <alignment vertical="center" wrapText="1"/>
    </xf>
    <xf numFmtId="0" fontId="7" fillId="3" borderId="4" xfId="0" applyFont="1" applyFill="1" applyBorder="1" applyAlignment="1">
      <alignment vertical="top" wrapText="1"/>
    </xf>
    <xf numFmtId="0" fontId="7" fillId="3" borderId="0" xfId="0" applyFont="1" applyFill="1" applyAlignment="1">
      <alignment vertical="top" wrapText="1"/>
    </xf>
    <xf numFmtId="0" fontId="8" fillId="0" borderId="0" xfId="0" applyFont="1" applyAlignment="1">
      <alignment vertical="top" wrapText="1"/>
    </xf>
    <xf numFmtId="0" fontId="19" fillId="3" borderId="1" xfId="0" applyFont="1" applyFill="1" applyBorder="1" applyAlignment="1">
      <alignment horizontal="center" wrapText="1"/>
    </xf>
    <xf numFmtId="0" fontId="40" fillId="0" borderId="0" xfId="0" applyFont="1" applyAlignment="1">
      <alignment vertical="top" wrapText="1"/>
    </xf>
    <xf numFmtId="0" fontId="5" fillId="10" borderId="9" xfId="0" applyFont="1" applyFill="1" applyBorder="1" applyAlignment="1">
      <alignment wrapText="1"/>
    </xf>
    <xf numFmtId="0" fontId="5" fillId="10" borderId="8" xfId="0" applyFont="1" applyFill="1" applyBorder="1" applyAlignment="1">
      <alignment wrapText="1"/>
    </xf>
    <xf numFmtId="0" fontId="8" fillId="3" borderId="4" xfId="0" applyFont="1" applyFill="1" applyBorder="1" applyAlignment="1">
      <alignment horizontal="left" vertical="top" wrapText="1"/>
    </xf>
    <xf numFmtId="0" fontId="5" fillId="3" borderId="2" xfId="0" applyFont="1" applyFill="1" applyBorder="1" applyAlignment="1">
      <alignment horizontal="left" wrapText="1"/>
    </xf>
    <xf numFmtId="0" fontId="37" fillId="0" borderId="2" xfId="0" applyFont="1" applyBorder="1" applyAlignment="1">
      <alignment horizontal="left" vertical="center" wrapText="1"/>
    </xf>
    <xf numFmtId="0" fontId="37" fillId="0" borderId="0" xfId="0" applyFont="1" applyAlignment="1">
      <alignment wrapText="1"/>
    </xf>
    <xf numFmtId="0" fontId="3" fillId="0" borderId="1" xfId="0" applyFont="1" applyBorder="1" applyAlignment="1">
      <alignment wrapText="1"/>
    </xf>
    <xf numFmtId="0" fontId="5" fillId="0" borderId="0" xfId="0" applyFont="1" applyAlignment="1">
      <alignment wrapText="1"/>
    </xf>
    <xf numFmtId="0" fontId="3" fillId="0" borderId="0" xfId="0" applyFont="1"/>
    <xf numFmtId="0" fontId="5" fillId="0" borderId="2" xfId="0" applyFont="1" applyBorder="1" applyAlignment="1">
      <alignment horizontal="center" wrapText="1"/>
    </xf>
    <xf numFmtId="0" fontId="40" fillId="0" borderId="4" xfId="0" applyFont="1" applyBorder="1" applyAlignment="1">
      <alignment horizontal="left" vertical="top" wrapText="1"/>
    </xf>
    <xf numFmtId="0" fontId="1" fillId="0" borderId="0" xfId="0" applyFont="1" applyAlignment="1">
      <alignment wrapText="1"/>
    </xf>
    <xf numFmtId="0" fontId="5" fillId="2" borderId="2" xfId="0" applyFont="1" applyFill="1" applyBorder="1" applyAlignment="1">
      <alignment horizontal="left" vertical="center" wrapText="1"/>
    </xf>
    <xf numFmtId="0" fontId="45" fillId="0" borderId="0" xfId="0" applyFont="1" applyAlignment="1">
      <alignment vertical="top" wrapText="1"/>
    </xf>
    <xf numFmtId="0" fontId="8" fillId="0" borderId="0" xfId="0" applyFont="1" applyAlignment="1">
      <alignment wrapText="1"/>
    </xf>
    <xf numFmtId="0" fontId="3" fillId="0" borderId="13" xfId="0" applyFont="1" applyBorder="1" applyAlignment="1">
      <alignment horizontal="center" wrapText="1"/>
    </xf>
    <xf numFmtId="0" fontId="3" fillId="0" borderId="14" xfId="0" applyFont="1" applyBorder="1" applyAlignment="1">
      <alignment horizont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5" fillId="3" borderId="0" xfId="0" applyFont="1" applyFill="1" applyAlignment="1">
      <alignment vertical="center" wrapText="1"/>
    </xf>
    <xf numFmtId="0" fontId="8" fillId="3" borderId="0" xfId="0" applyFont="1" applyFill="1" applyAlignment="1">
      <alignment vertical="top" wrapText="1"/>
    </xf>
    <xf numFmtId="0" fontId="35" fillId="0" borderId="0" xfId="0" applyFont="1" applyAlignment="1">
      <alignment vertical="center" wrapText="1"/>
    </xf>
    <xf numFmtId="0" fontId="3" fillId="3" borderId="2" xfId="0" applyFont="1" applyFill="1" applyBorder="1" applyAlignment="1">
      <alignment wrapText="1"/>
    </xf>
    <xf numFmtId="0" fontId="4" fillId="3" borderId="2" xfId="0" applyFont="1" applyFill="1" applyBorder="1" applyAlignment="1">
      <alignment vertical="center" wrapText="1"/>
    </xf>
    <xf numFmtId="0" fontId="34" fillId="3" borderId="5" xfId="0" applyFont="1" applyFill="1" applyBorder="1" applyAlignment="1">
      <alignment vertical="center" wrapText="1"/>
    </xf>
    <xf numFmtId="0" fontId="4" fillId="3" borderId="5" xfId="0" applyFont="1" applyFill="1" applyBorder="1" applyAlignment="1">
      <alignment vertical="center" wrapText="1"/>
    </xf>
  </cellXfs>
  <cellStyles count="2">
    <cellStyle name="Standard" xfId="0" builtinId="0"/>
    <cellStyle name="Währung" xfId="1" builtinId="4"/>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9933796</xdr:colOff>
      <xdr:row>2</xdr:row>
      <xdr:rowOff>9525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914400" y="161925"/>
          <a:ext cx="9933796" cy="2333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B27"/>
  <sheetViews>
    <sheetView showGridLines="0" showRuler="0" workbookViewId="0">
      <selection activeCell="B3" sqref="B3"/>
    </sheetView>
  </sheetViews>
  <sheetFormatPr baseColWidth="10" defaultColWidth="13.7109375" defaultRowHeight="12.75"/>
  <cols>
    <col min="2" max="2" width="149.140625" customWidth="1"/>
  </cols>
  <sheetData>
    <row r="2" spans="2:2" ht="183" customHeight="1"/>
    <row r="3" spans="2:2" s="396" customFormat="1" ht="96" customHeight="1">
      <c r="B3" s="328" t="s">
        <v>1094</v>
      </c>
    </row>
    <row r="4" spans="2:2" ht="23.25" customHeight="1">
      <c r="B4" s="397" t="s">
        <v>981</v>
      </c>
    </row>
    <row r="5" spans="2:2" ht="282" customHeight="1">
      <c r="B5" s="401" t="s">
        <v>1034</v>
      </c>
    </row>
    <row r="6" spans="2:2">
      <c r="B6" s="14"/>
    </row>
    <row r="7" spans="2:2" ht="15.75">
      <c r="B7" s="397" t="s">
        <v>982</v>
      </c>
    </row>
    <row r="8" spans="2:2" s="395" customFormat="1" ht="19.5" customHeight="1">
      <c r="B8" s="35" t="s">
        <v>978</v>
      </c>
    </row>
    <row r="9" spans="2:2" ht="27.75" customHeight="1">
      <c r="B9" s="422" t="s">
        <v>1035</v>
      </c>
    </row>
    <row r="10" spans="2:2" ht="27.75" customHeight="1">
      <c r="B10" s="392" t="s">
        <v>977</v>
      </c>
    </row>
    <row r="11" spans="2:2" ht="27.75" customHeight="1">
      <c r="B11" s="392" t="s">
        <v>976</v>
      </c>
    </row>
    <row r="12" spans="2:2" ht="27.75" customHeight="1">
      <c r="B12" s="392" t="s">
        <v>975</v>
      </c>
    </row>
    <row r="13" spans="2:2" ht="27.75" customHeight="1">
      <c r="B13" s="392" t="s">
        <v>974</v>
      </c>
    </row>
    <row r="14" spans="2:2" ht="27.75" customHeight="1">
      <c r="B14" s="422" t="s">
        <v>1043</v>
      </c>
    </row>
    <row r="15" spans="2:2" ht="25.9" customHeight="1">
      <c r="B15" s="393" t="s">
        <v>979</v>
      </c>
    </row>
    <row r="16" spans="2:2" ht="21" customHeight="1">
      <c r="B16" s="399" t="s">
        <v>1044</v>
      </c>
    </row>
    <row r="17" spans="2:2" ht="21" customHeight="1">
      <c r="B17" s="398" t="s">
        <v>973</v>
      </c>
    </row>
    <row r="18" spans="2:2" ht="59.25" customHeight="1">
      <c r="B18" s="399" t="s">
        <v>980</v>
      </c>
    </row>
    <row r="19" spans="2:2" ht="15.75">
      <c r="B19" s="397" t="s">
        <v>983</v>
      </c>
    </row>
    <row r="20" spans="2:2" s="402" customFormat="1" ht="290.25" customHeight="1">
      <c r="B20" s="398" t="s">
        <v>1110</v>
      </c>
    </row>
    <row r="21" spans="2:2" s="395" customFormat="1" ht="26.25" customHeight="1">
      <c r="B21" s="403" t="s">
        <v>984</v>
      </c>
    </row>
    <row r="22" spans="2:2" s="395" customFormat="1" ht="25.5" customHeight="1">
      <c r="B22" s="400" t="s">
        <v>985</v>
      </c>
    </row>
    <row r="23" spans="2:2">
      <c r="B23" s="14"/>
    </row>
    <row r="24" spans="2:2">
      <c r="B24" s="14"/>
    </row>
    <row r="25" spans="2:2">
      <c r="B25" s="14"/>
    </row>
    <row r="26" spans="2:2">
      <c r="B26" s="14"/>
    </row>
    <row r="27" spans="2:2">
      <c r="B27" s="14"/>
    </row>
  </sheetData>
  <sheetProtection algorithmName="SHA-512" hashValue="juiqh9QKV8X6eHd+pZ6julheo/fME3wjvPjfx22grLRI8JmBvWXkULDxWzhnm7edogQaiCiwU1hJaxkg5j1Gbg==" saltValue="HPu07frLCP8SSdj12w3F5A==" spinCount="100000" sheet="1" objects="1" scenarios="1"/>
  <customSheetViews>
    <customSheetView guid="{5E62BE79-A4FD-4E7A-98EF-5A09C5274723}" showGridLines="0" showRuler="0">
      <selection activeCell="B5" sqref="B5"/>
      <pageMargins left="0.75" right="0.75" top="1" bottom="1" header="0.5" footer="0.5"/>
      <pageSetup orientation="portrait" horizontalDpi="1200" verticalDpi="1200" r:id="rId1"/>
    </customSheetView>
  </customSheetViews>
  <pageMargins left="0.75" right="0.75" top="1" bottom="1" header="0.5" footer="0.5"/>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39"/>
  <sheetViews>
    <sheetView showGridLines="0" showRuler="0" workbookViewId="0">
      <selection activeCell="E8" sqref="E8"/>
    </sheetView>
  </sheetViews>
  <sheetFormatPr baseColWidth="10" defaultColWidth="13.7109375" defaultRowHeight="12.75"/>
  <cols>
    <col min="1" max="1" width="36.28515625" customWidth="1"/>
    <col min="2" max="3" width="29.42578125" customWidth="1"/>
    <col min="4" max="4" width="10.42578125" customWidth="1"/>
    <col min="5" max="5" width="98.7109375" customWidth="1"/>
    <col min="6" max="6" width="23.7109375" customWidth="1"/>
  </cols>
  <sheetData>
    <row r="1" spans="1:15" ht="22.5" customHeight="1">
      <c r="A1" s="449" t="s">
        <v>989</v>
      </c>
      <c r="B1" s="450"/>
      <c r="C1" s="450"/>
    </row>
    <row r="2" spans="1:15" ht="60" customHeight="1">
      <c r="D2" s="1"/>
    </row>
    <row r="3" spans="1:15" ht="72.599999999999994" customHeight="1">
      <c r="A3" s="2" t="s">
        <v>0</v>
      </c>
      <c r="B3" s="3" t="s">
        <v>1</v>
      </c>
      <c r="C3" s="3" t="s">
        <v>2</v>
      </c>
      <c r="D3" s="3" t="s">
        <v>3</v>
      </c>
      <c r="E3" s="3" t="s">
        <v>4</v>
      </c>
      <c r="F3" s="4"/>
    </row>
    <row r="4" spans="1:15" ht="40.9" customHeight="1">
      <c r="A4" s="5" t="s">
        <v>5</v>
      </c>
      <c r="B4" s="5" t="s">
        <v>6</v>
      </c>
      <c r="C4" s="5" t="s">
        <v>7</v>
      </c>
      <c r="D4" s="6">
        <v>26113</v>
      </c>
      <c r="E4" s="5" t="s">
        <v>8</v>
      </c>
      <c r="F4" s="7"/>
    </row>
    <row r="5" spans="1:15" ht="40.9" customHeight="1">
      <c r="A5" s="5" t="s">
        <v>9</v>
      </c>
      <c r="B5" s="5" t="s">
        <v>10</v>
      </c>
      <c r="C5" s="5" t="s">
        <v>11</v>
      </c>
      <c r="D5" s="6">
        <v>16751</v>
      </c>
      <c r="E5" s="5" t="s">
        <v>12</v>
      </c>
      <c r="F5" s="7"/>
    </row>
    <row r="6" spans="1:15" ht="40.9" customHeight="1">
      <c r="A6" s="5" t="s">
        <v>13</v>
      </c>
      <c r="B6" s="5" t="s">
        <v>14</v>
      </c>
      <c r="C6" s="5" t="s">
        <v>15</v>
      </c>
      <c r="D6" s="6">
        <v>33409</v>
      </c>
      <c r="E6" s="8" t="s">
        <v>16</v>
      </c>
      <c r="F6" s="9"/>
      <c r="G6" s="10"/>
      <c r="H6" s="10"/>
      <c r="I6" s="10"/>
      <c r="J6" s="10"/>
      <c r="K6" s="10"/>
      <c r="L6" s="10"/>
      <c r="M6" s="10"/>
      <c r="N6" s="10"/>
      <c r="O6" s="10"/>
    </row>
    <row r="7" spans="1:15" ht="40.9" customHeight="1">
      <c r="A7" s="5" t="s">
        <v>13</v>
      </c>
      <c r="B7" s="5" t="s">
        <v>14</v>
      </c>
      <c r="C7" s="5" t="s">
        <v>15</v>
      </c>
      <c r="D7" s="6">
        <v>38784</v>
      </c>
      <c r="E7" s="8" t="s">
        <v>17</v>
      </c>
      <c r="F7" s="9"/>
      <c r="G7" s="10"/>
      <c r="H7" s="10"/>
      <c r="I7" s="10"/>
      <c r="J7" s="10"/>
      <c r="K7" s="10"/>
      <c r="L7" s="10"/>
      <c r="M7" s="10"/>
      <c r="N7" s="10"/>
      <c r="O7" s="10"/>
    </row>
    <row r="8" spans="1:15" ht="40.9" customHeight="1">
      <c r="A8" s="5" t="s">
        <v>13</v>
      </c>
      <c r="B8" s="5" t="s">
        <v>14</v>
      </c>
      <c r="C8" s="5" t="s">
        <v>15</v>
      </c>
      <c r="D8" s="6">
        <v>30732</v>
      </c>
      <c r="E8" s="8" t="s">
        <v>18</v>
      </c>
      <c r="F8" s="9"/>
      <c r="G8" s="10"/>
      <c r="H8" s="10"/>
      <c r="I8" s="10"/>
      <c r="J8" s="10"/>
      <c r="K8" s="10"/>
      <c r="L8" s="10"/>
      <c r="M8" s="10"/>
      <c r="N8" s="10"/>
      <c r="O8" s="10"/>
    </row>
    <row r="9" spans="1:15" ht="40.9" customHeight="1">
      <c r="A9" s="5" t="s">
        <v>13</v>
      </c>
      <c r="B9" s="5" t="s">
        <v>14</v>
      </c>
      <c r="C9" s="5" t="s">
        <v>15</v>
      </c>
      <c r="D9" s="6">
        <v>24075</v>
      </c>
      <c r="E9" s="8" t="s">
        <v>19</v>
      </c>
      <c r="F9" s="9"/>
      <c r="G9" s="10"/>
      <c r="H9" s="10"/>
      <c r="I9" s="10"/>
      <c r="J9" s="10"/>
      <c r="K9" s="10"/>
      <c r="L9" s="10"/>
      <c r="M9" s="10"/>
      <c r="N9" s="10"/>
      <c r="O9" s="10"/>
    </row>
    <row r="10" spans="1:15" ht="36.6" customHeight="1">
      <c r="A10" s="451" t="s">
        <v>20</v>
      </c>
      <c r="B10" s="444"/>
      <c r="C10" s="451"/>
      <c r="D10" s="11">
        <v>169864</v>
      </c>
      <c r="E10" s="13"/>
      <c r="F10" s="4"/>
    </row>
    <row r="11" spans="1:15" ht="46.7" customHeight="1">
      <c r="A11" s="448" t="s">
        <v>21</v>
      </c>
      <c r="B11" s="448"/>
      <c r="C11" s="448"/>
      <c r="D11" s="448"/>
      <c r="E11" s="448"/>
    </row>
    <row r="12" spans="1:15" ht="60" customHeight="1"/>
    <row r="13" spans="1:15" ht="70.900000000000006" customHeight="1">
      <c r="A13" s="12" t="s">
        <v>22</v>
      </c>
      <c r="B13" s="3" t="s">
        <v>23</v>
      </c>
      <c r="C13" s="3" t="s">
        <v>24</v>
      </c>
      <c r="D13" s="3" t="s">
        <v>3</v>
      </c>
      <c r="E13" s="3" t="s">
        <v>4</v>
      </c>
      <c r="F13" s="4"/>
    </row>
    <row r="14" spans="1:15" ht="26.65" customHeight="1">
      <c r="A14" s="13" t="s">
        <v>25</v>
      </c>
      <c r="B14" s="13" t="s">
        <v>26</v>
      </c>
      <c r="C14" s="13" t="s">
        <v>27</v>
      </c>
      <c r="D14" s="6">
        <v>0</v>
      </c>
      <c r="E14" s="13" t="s">
        <v>28</v>
      </c>
      <c r="F14" s="4"/>
      <c r="G14" s="14"/>
      <c r="H14" s="14"/>
      <c r="I14" s="14"/>
      <c r="J14" s="14"/>
      <c r="K14" s="14"/>
      <c r="L14" s="14"/>
      <c r="M14" s="14"/>
      <c r="N14" s="14"/>
    </row>
    <row r="15" spans="1:15" ht="26.65" customHeight="1">
      <c r="A15" s="13" t="s">
        <v>25</v>
      </c>
      <c r="B15" s="13" t="s">
        <v>29</v>
      </c>
      <c r="C15" s="13" t="s">
        <v>30</v>
      </c>
      <c r="D15" s="6">
        <v>0</v>
      </c>
      <c r="E15" s="13" t="s">
        <v>31</v>
      </c>
      <c r="F15" s="4"/>
      <c r="G15" s="14"/>
      <c r="H15" s="14"/>
      <c r="I15" s="14"/>
      <c r="J15" s="14"/>
      <c r="K15" s="14"/>
      <c r="L15" s="14"/>
      <c r="M15" s="14"/>
      <c r="N15" s="14"/>
    </row>
    <row r="16" spans="1:15" ht="26.65" customHeight="1">
      <c r="A16" s="15" t="s">
        <v>5</v>
      </c>
      <c r="B16" s="13" t="s">
        <v>6</v>
      </c>
      <c r="C16" s="425" t="s">
        <v>7</v>
      </c>
      <c r="D16" s="16">
        <v>70657</v>
      </c>
      <c r="E16" s="13" t="s">
        <v>28</v>
      </c>
      <c r="F16" s="4"/>
    </row>
    <row r="17" spans="1:6" ht="26.65" customHeight="1">
      <c r="A17" s="15" t="s">
        <v>9</v>
      </c>
      <c r="B17" s="13" t="s">
        <v>10</v>
      </c>
      <c r="C17" s="13" t="s">
        <v>32</v>
      </c>
      <c r="D17" s="16">
        <v>15364</v>
      </c>
      <c r="E17" s="13" t="s">
        <v>31</v>
      </c>
      <c r="F17" s="4"/>
    </row>
    <row r="18" spans="1:6" ht="26.65" customHeight="1">
      <c r="A18" s="455" t="s">
        <v>33</v>
      </c>
      <c r="B18" s="444"/>
      <c r="C18" s="455"/>
      <c r="D18" s="11">
        <v>86021</v>
      </c>
      <c r="E18" s="13"/>
      <c r="F18" s="4"/>
    </row>
    <row r="19" spans="1:6" ht="36.6" customHeight="1">
      <c r="A19" s="452" t="s">
        <v>34</v>
      </c>
      <c r="B19" s="452"/>
      <c r="C19" s="452"/>
      <c r="D19" s="452"/>
      <c r="E19" s="452"/>
    </row>
    <row r="20" spans="1:6" ht="60" customHeight="1">
      <c r="A20" s="17"/>
      <c r="B20" s="17"/>
      <c r="C20" s="17"/>
      <c r="D20" s="17"/>
      <c r="E20" s="17"/>
    </row>
    <row r="21" spans="1:6" ht="63.4" customHeight="1">
      <c r="A21" s="12" t="s">
        <v>35</v>
      </c>
      <c r="B21" s="18" t="s">
        <v>23</v>
      </c>
      <c r="C21" s="456" t="s">
        <v>36</v>
      </c>
      <c r="D21" s="456"/>
      <c r="E21" s="456"/>
      <c r="F21" s="4"/>
    </row>
    <row r="22" spans="1:6" ht="39.200000000000003" customHeight="1">
      <c r="A22" s="13" t="s">
        <v>37</v>
      </c>
      <c r="B22" s="13" t="s">
        <v>38</v>
      </c>
      <c r="C22" s="454" t="s">
        <v>1047</v>
      </c>
      <c r="D22" s="444"/>
      <c r="E22" s="444"/>
      <c r="F22" s="4"/>
    </row>
    <row r="23" spans="1:6" ht="39.200000000000003" customHeight="1">
      <c r="A23" s="13" t="s">
        <v>25</v>
      </c>
      <c r="B23" s="13" t="s">
        <v>29</v>
      </c>
      <c r="C23" s="453" t="s">
        <v>1048</v>
      </c>
      <c r="D23" s="444"/>
      <c r="E23" s="444"/>
      <c r="F23" s="4"/>
    </row>
    <row r="24" spans="1:6" ht="39.200000000000003" customHeight="1">
      <c r="A24" s="13" t="s">
        <v>5</v>
      </c>
      <c r="B24" s="13" t="s">
        <v>39</v>
      </c>
      <c r="C24" s="444" t="s">
        <v>40</v>
      </c>
      <c r="D24" s="444"/>
      <c r="E24" s="444"/>
      <c r="F24" s="4"/>
    </row>
    <row r="25" spans="1:6" ht="39.200000000000003" customHeight="1">
      <c r="A25" s="13" t="s">
        <v>13</v>
      </c>
      <c r="B25" s="13" t="s">
        <v>14</v>
      </c>
      <c r="C25" s="444" t="s">
        <v>41</v>
      </c>
      <c r="D25" s="444"/>
      <c r="E25" s="444"/>
      <c r="F25" s="4"/>
    </row>
    <row r="26" spans="1:6" ht="62.45" customHeight="1">
      <c r="A26" s="445" t="s">
        <v>1045</v>
      </c>
      <c r="B26" s="446"/>
      <c r="C26" s="446"/>
      <c r="D26" s="446"/>
      <c r="E26" s="447"/>
    </row>
    <row r="27" spans="1:6" ht="60" customHeight="1">
      <c r="D27" s="374"/>
    </row>
    <row r="28" spans="1:6" ht="52.5" customHeight="1">
      <c r="A28" s="12" t="s">
        <v>42</v>
      </c>
      <c r="B28" s="18" t="s">
        <v>23</v>
      </c>
      <c r="C28" s="18" t="s">
        <v>43</v>
      </c>
      <c r="D28" s="18" t="s">
        <v>44</v>
      </c>
      <c r="E28" s="19" t="s">
        <v>45</v>
      </c>
      <c r="F28" s="20"/>
    </row>
    <row r="29" spans="1:6" ht="39.950000000000003" customHeight="1">
      <c r="A29" s="13" t="s">
        <v>37</v>
      </c>
      <c r="B29" s="13" t="s">
        <v>38</v>
      </c>
      <c r="C29" s="13" t="s">
        <v>46</v>
      </c>
      <c r="D29" s="21">
        <v>8.92</v>
      </c>
      <c r="E29" s="15" t="s">
        <v>47</v>
      </c>
      <c r="F29" s="4"/>
    </row>
    <row r="30" spans="1:6" ht="120.75" customHeight="1">
      <c r="A30" s="13" t="s">
        <v>9</v>
      </c>
      <c r="B30" s="13" t="s">
        <v>10</v>
      </c>
      <c r="C30" s="13" t="s">
        <v>48</v>
      </c>
      <c r="D30" s="22">
        <v>111</v>
      </c>
      <c r="E30" s="424" t="s">
        <v>1046</v>
      </c>
      <c r="F30" s="4"/>
    </row>
    <row r="31" spans="1:6" ht="36.6" customHeight="1">
      <c r="A31" s="448" t="s">
        <v>49</v>
      </c>
      <c r="B31" s="448"/>
      <c r="C31" s="448"/>
      <c r="D31" s="448"/>
      <c r="E31" s="448"/>
      <c r="F31" s="23"/>
    </row>
    <row r="32" spans="1:6" ht="36.6" customHeight="1"/>
    <row r="33" ht="36.6" customHeight="1"/>
    <row r="34" ht="36.6" customHeight="1"/>
    <row r="35" ht="36.6" customHeight="1"/>
    <row r="36" ht="36.6" customHeight="1"/>
    <row r="37" ht="36.6" customHeight="1"/>
    <row r="38" ht="36.6" customHeight="1"/>
    <row r="39" ht="36.6" customHeight="1"/>
  </sheetData>
  <sheetProtection algorithmName="SHA-512" hashValue="Fwtecfbpe9uwxQIi4vPe7oQPR/gbdEcqY+Lj8HK0+Hmpw8+cViES8R1lv6skFKwcYlP3CYRgXk3JXOc7Cy7Yxw==" saltValue="GkB9/n5UvL3B8L/ZWEUjXA==" spinCount="100000" sheet="1" objects="1" scenarios="1"/>
  <customSheetViews>
    <customSheetView guid="{5E62BE79-A4FD-4E7A-98EF-5A09C5274723}" showGridLines="0" showRuler="0">
      <selection activeCell="E8" sqref="E8"/>
      <pageMargins left="0.75" right="0.75" top="1" bottom="1" header="0.5" footer="0.5"/>
    </customSheetView>
  </customSheetViews>
  <mergeCells count="12">
    <mergeCell ref="C24:E24"/>
    <mergeCell ref="C25:E25"/>
    <mergeCell ref="A26:E26"/>
    <mergeCell ref="A31:E31"/>
    <mergeCell ref="A1:C1"/>
    <mergeCell ref="A11:E11"/>
    <mergeCell ref="A10:C10"/>
    <mergeCell ref="A19:E19"/>
    <mergeCell ref="C23:E23"/>
    <mergeCell ref="C22:E22"/>
    <mergeCell ref="A18:C18"/>
    <mergeCell ref="C21:E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60"/>
  <sheetViews>
    <sheetView showGridLines="0" showRuler="0" topLeftCell="A49" workbookViewId="0">
      <selection activeCell="B56" sqref="B56"/>
    </sheetView>
  </sheetViews>
  <sheetFormatPr baseColWidth="10" defaultColWidth="13.7109375" defaultRowHeight="12.75"/>
  <cols>
    <col min="1" max="1" width="42.85546875" customWidth="1"/>
    <col min="2" max="6" width="16.7109375" customWidth="1"/>
    <col min="7" max="7" width="49" customWidth="1"/>
    <col min="8" max="8" width="23.7109375" customWidth="1"/>
    <col min="9" max="9" width="63.28515625" customWidth="1"/>
  </cols>
  <sheetData>
    <row r="1" spans="1:10">
      <c r="A1" s="449" t="s">
        <v>990</v>
      </c>
      <c r="B1" s="449"/>
      <c r="C1" s="449"/>
      <c r="D1" s="457"/>
      <c r="E1" s="457"/>
      <c r="F1" s="457"/>
    </row>
    <row r="3" spans="1:10" ht="19.149999999999999" customHeight="1">
      <c r="A3" s="466" t="s">
        <v>50</v>
      </c>
      <c r="B3" s="444"/>
      <c r="C3" s="444"/>
      <c r="D3" s="444"/>
      <c r="E3" s="444"/>
      <c r="F3" s="444"/>
      <c r="G3" s="4"/>
    </row>
    <row r="4" spans="1:10" ht="30.75" customHeight="1">
      <c r="A4" s="465" t="s">
        <v>51</v>
      </c>
      <c r="B4" s="444"/>
      <c r="C4" s="444"/>
      <c r="D4" s="444"/>
      <c r="E4" s="444"/>
      <c r="F4" s="444"/>
      <c r="G4" s="26"/>
    </row>
    <row r="5" spans="1:10" ht="49.15" customHeight="1">
      <c r="A5" s="446" t="s">
        <v>52</v>
      </c>
      <c r="B5" s="447"/>
      <c r="C5" s="447"/>
      <c r="D5" s="447"/>
      <c r="E5" s="447"/>
      <c r="F5" s="447"/>
    </row>
    <row r="6" spans="1:10" ht="60" customHeight="1"/>
    <row r="7" spans="1:10" ht="27.6" customHeight="1">
      <c r="A7" s="27" t="s">
        <v>53</v>
      </c>
      <c r="B7" s="28">
        <v>2015</v>
      </c>
      <c r="C7" s="28">
        <v>2016</v>
      </c>
      <c r="D7" s="28">
        <v>2017</v>
      </c>
      <c r="E7" s="28">
        <v>2018</v>
      </c>
      <c r="F7" s="28">
        <v>2019</v>
      </c>
      <c r="G7" s="4"/>
    </row>
    <row r="8" spans="1:10" ht="24.2" customHeight="1">
      <c r="A8" s="29" t="s">
        <v>54</v>
      </c>
      <c r="B8" s="30">
        <v>246</v>
      </c>
      <c r="C8" s="30">
        <v>402</v>
      </c>
      <c r="D8" s="30">
        <v>352</v>
      </c>
      <c r="E8" s="30">
        <v>477</v>
      </c>
      <c r="F8" s="30">
        <v>534</v>
      </c>
      <c r="G8" s="20"/>
    </row>
    <row r="9" spans="1:10" ht="24.2" customHeight="1">
      <c r="A9" s="29" t="s">
        <v>55</v>
      </c>
      <c r="B9" s="30">
        <v>102</v>
      </c>
      <c r="C9" s="30">
        <v>165</v>
      </c>
      <c r="D9" s="30">
        <v>134</v>
      </c>
      <c r="E9" s="30">
        <v>215</v>
      </c>
      <c r="F9" s="30">
        <v>169</v>
      </c>
      <c r="G9" s="31"/>
    </row>
    <row r="10" spans="1:10">
      <c r="A10" s="446" t="s">
        <v>56</v>
      </c>
      <c r="B10" s="447"/>
      <c r="C10" s="447"/>
      <c r="D10" s="447"/>
      <c r="E10" s="447"/>
      <c r="F10" s="447"/>
    </row>
    <row r="11" spans="1:10" ht="60" customHeight="1"/>
    <row r="12" spans="1:10" ht="55.9" customHeight="1">
      <c r="A12" s="27" t="s">
        <v>57</v>
      </c>
      <c r="B12" s="28">
        <v>2015</v>
      </c>
      <c r="C12" s="28">
        <v>2016</v>
      </c>
      <c r="D12" s="28">
        <v>2017</v>
      </c>
      <c r="E12" s="28">
        <v>2018</v>
      </c>
      <c r="F12" s="28">
        <v>2019</v>
      </c>
      <c r="G12" s="4"/>
    </row>
    <row r="13" spans="1:10" ht="39.950000000000003" customHeight="1">
      <c r="A13" s="32" t="s">
        <v>58</v>
      </c>
      <c r="B13" s="33">
        <v>273</v>
      </c>
      <c r="C13" s="33">
        <v>357</v>
      </c>
      <c r="D13" s="33">
        <v>410</v>
      </c>
      <c r="E13" s="34">
        <v>454</v>
      </c>
      <c r="F13" s="34">
        <v>541</v>
      </c>
      <c r="G13" s="4"/>
    </row>
    <row r="14" spans="1:10" ht="39.950000000000003" customHeight="1">
      <c r="A14" s="32" t="s">
        <v>59</v>
      </c>
      <c r="B14" s="33">
        <v>38</v>
      </c>
      <c r="C14" s="33">
        <v>65</v>
      </c>
      <c r="D14" s="33">
        <v>20</v>
      </c>
      <c r="E14" s="34">
        <v>78</v>
      </c>
      <c r="F14" s="34">
        <v>105</v>
      </c>
      <c r="G14" s="467"/>
      <c r="H14" s="459"/>
    </row>
    <row r="15" spans="1:10" ht="39.950000000000003" customHeight="1">
      <c r="A15" s="32" t="s">
        <v>60</v>
      </c>
      <c r="B15" s="33">
        <v>246</v>
      </c>
      <c r="C15" s="33">
        <v>402</v>
      </c>
      <c r="D15" s="33">
        <v>352</v>
      </c>
      <c r="E15" s="34">
        <v>477</v>
      </c>
      <c r="F15" s="34">
        <v>518</v>
      </c>
      <c r="G15" s="4"/>
    </row>
    <row r="16" spans="1:10" ht="39.950000000000003" customHeight="1">
      <c r="A16" s="32" t="s">
        <v>61</v>
      </c>
      <c r="B16" s="33">
        <v>65</v>
      </c>
      <c r="C16" s="33">
        <v>20</v>
      </c>
      <c r="D16" s="33">
        <v>78</v>
      </c>
      <c r="E16" s="34">
        <v>55</v>
      </c>
      <c r="F16" s="34">
        <v>130</v>
      </c>
      <c r="G16" s="4"/>
      <c r="J16" s="35"/>
    </row>
    <row r="17" spans="1:10" ht="39.950000000000003" customHeight="1">
      <c r="A17" s="32" t="s">
        <v>55</v>
      </c>
      <c r="B17" s="33">
        <v>102</v>
      </c>
      <c r="C17" s="33">
        <v>165</v>
      </c>
      <c r="D17" s="33">
        <v>134</v>
      </c>
      <c r="E17" s="34">
        <v>215</v>
      </c>
      <c r="F17" s="34">
        <v>169</v>
      </c>
      <c r="G17" s="31"/>
    </row>
    <row r="18" spans="1:10" ht="39.950000000000003" customHeight="1">
      <c r="A18" s="36" t="s">
        <v>62</v>
      </c>
      <c r="B18" s="33">
        <v>25</v>
      </c>
      <c r="C18" s="33">
        <v>40</v>
      </c>
      <c r="D18" s="33">
        <v>30</v>
      </c>
      <c r="E18" s="34">
        <v>65</v>
      </c>
      <c r="F18" s="34">
        <v>51</v>
      </c>
      <c r="G18" s="4"/>
    </row>
    <row r="19" spans="1:10" ht="39.950000000000003" customHeight="1">
      <c r="A19" s="36" t="s">
        <v>63</v>
      </c>
      <c r="B19" s="33">
        <v>77</v>
      </c>
      <c r="C19" s="33">
        <v>125</v>
      </c>
      <c r="D19" s="33">
        <v>99</v>
      </c>
      <c r="E19" s="34">
        <v>142</v>
      </c>
      <c r="F19" s="34">
        <v>118</v>
      </c>
      <c r="G19" s="4"/>
    </row>
    <row r="20" spans="1:10" ht="39.950000000000003" customHeight="1">
      <c r="A20" s="37" t="s">
        <v>64</v>
      </c>
      <c r="B20" s="38" t="s">
        <v>65</v>
      </c>
      <c r="C20" s="38" t="s">
        <v>65</v>
      </c>
      <c r="D20" s="30">
        <v>49</v>
      </c>
      <c r="E20" s="39">
        <v>80</v>
      </c>
      <c r="F20" s="39">
        <v>54</v>
      </c>
      <c r="G20" s="4"/>
    </row>
    <row r="21" spans="1:10" ht="39.950000000000003" customHeight="1">
      <c r="A21" s="37" t="s">
        <v>66</v>
      </c>
      <c r="B21" s="38" t="s">
        <v>65</v>
      </c>
      <c r="C21" s="38" t="s">
        <v>65</v>
      </c>
      <c r="D21" s="30">
        <v>25</v>
      </c>
      <c r="E21" s="39">
        <v>38</v>
      </c>
      <c r="F21" s="39">
        <v>29</v>
      </c>
      <c r="G21" s="4"/>
    </row>
    <row r="22" spans="1:10" ht="39.950000000000003" customHeight="1">
      <c r="A22" s="37" t="s">
        <v>67</v>
      </c>
      <c r="B22" s="38" t="s">
        <v>65</v>
      </c>
      <c r="C22" s="38" t="s">
        <v>65</v>
      </c>
      <c r="D22" s="30">
        <v>25</v>
      </c>
      <c r="E22" s="39">
        <v>24</v>
      </c>
      <c r="F22" s="39">
        <v>25</v>
      </c>
      <c r="G22" s="4"/>
    </row>
    <row r="23" spans="1:10" ht="39.950000000000003" customHeight="1">
      <c r="A23" s="32" t="s">
        <v>68</v>
      </c>
      <c r="B23" s="33">
        <v>55</v>
      </c>
      <c r="C23" s="33">
        <v>54</v>
      </c>
      <c r="D23" s="33">
        <v>37</v>
      </c>
      <c r="E23" s="34">
        <v>53</v>
      </c>
      <c r="F23" s="34">
        <v>68</v>
      </c>
      <c r="G23" s="4"/>
    </row>
    <row r="24" spans="1:10" ht="39.950000000000003" customHeight="1">
      <c r="A24" s="32" t="s">
        <v>69</v>
      </c>
      <c r="B24" s="33">
        <v>144</v>
      </c>
      <c r="C24" s="33">
        <v>237</v>
      </c>
      <c r="D24" s="33">
        <v>218</v>
      </c>
      <c r="E24" s="34">
        <v>311</v>
      </c>
      <c r="F24" s="34">
        <v>365</v>
      </c>
      <c r="G24" s="4"/>
    </row>
    <row r="25" spans="1:10" ht="39.950000000000003" customHeight="1">
      <c r="A25" s="32" t="s">
        <v>70</v>
      </c>
      <c r="B25" s="33">
        <v>246</v>
      </c>
      <c r="C25" s="33">
        <v>402</v>
      </c>
      <c r="D25" s="33">
        <v>352</v>
      </c>
      <c r="E25" s="34">
        <v>526</v>
      </c>
      <c r="F25" s="34">
        <v>534</v>
      </c>
      <c r="G25" s="4"/>
      <c r="J25" s="35"/>
    </row>
    <row r="26" spans="1:10" ht="57.6" customHeight="1">
      <c r="A26" s="458" t="s">
        <v>71</v>
      </c>
      <c r="B26" s="447"/>
      <c r="C26" s="447"/>
      <c r="D26" s="447"/>
      <c r="E26" s="447"/>
      <c r="F26" s="447"/>
      <c r="G26" s="35"/>
      <c r="H26" s="40"/>
      <c r="J26" s="14"/>
    </row>
    <row r="27" spans="1:10" ht="60" customHeight="1">
      <c r="D27" s="377"/>
    </row>
    <row r="28" spans="1:10" ht="20.100000000000001" customHeight="1">
      <c r="A28" s="464" t="s">
        <v>72</v>
      </c>
      <c r="B28" s="463" t="s">
        <v>73</v>
      </c>
      <c r="C28" s="463" t="s">
        <v>74</v>
      </c>
      <c r="D28" s="461" t="s">
        <v>1032</v>
      </c>
      <c r="E28" s="462"/>
      <c r="F28" s="462"/>
      <c r="G28" s="462"/>
      <c r="H28" s="462"/>
      <c r="I28" s="31"/>
    </row>
    <row r="29" spans="1:10" ht="72.599999999999994" customHeight="1">
      <c r="A29" s="464"/>
      <c r="B29" s="463"/>
      <c r="C29" s="463"/>
      <c r="D29" s="42" t="s">
        <v>75</v>
      </c>
      <c r="E29" s="42" t="s">
        <v>76</v>
      </c>
      <c r="F29" s="42" t="s">
        <v>77</v>
      </c>
      <c r="G29" s="42" t="s">
        <v>78</v>
      </c>
      <c r="H29" s="42" t="s">
        <v>79</v>
      </c>
      <c r="I29" s="43"/>
      <c r="J29" s="44"/>
    </row>
    <row r="30" spans="1:10" ht="24" customHeight="1">
      <c r="A30" s="29" t="s">
        <v>80</v>
      </c>
      <c r="B30" s="30">
        <v>68</v>
      </c>
      <c r="C30" s="30">
        <v>17</v>
      </c>
      <c r="D30" s="30">
        <v>6</v>
      </c>
      <c r="E30" s="30">
        <v>4</v>
      </c>
      <c r="F30" s="30">
        <v>6</v>
      </c>
      <c r="G30" s="30">
        <v>1</v>
      </c>
      <c r="H30" s="30">
        <v>0</v>
      </c>
      <c r="I30" s="45"/>
      <c r="J30" s="46"/>
    </row>
    <row r="31" spans="1:10" ht="24" customHeight="1">
      <c r="A31" s="29" t="s">
        <v>25</v>
      </c>
      <c r="B31" s="30">
        <v>37</v>
      </c>
      <c r="C31" s="30">
        <v>16</v>
      </c>
      <c r="D31" s="30">
        <v>3</v>
      </c>
      <c r="E31" s="30">
        <v>9</v>
      </c>
      <c r="F31" s="30">
        <v>2</v>
      </c>
      <c r="G31" s="30">
        <v>2</v>
      </c>
      <c r="H31" s="30">
        <v>0</v>
      </c>
      <c r="I31" s="45"/>
      <c r="J31" s="46"/>
    </row>
    <row r="32" spans="1:10" ht="24" customHeight="1">
      <c r="A32" s="29" t="s">
        <v>81</v>
      </c>
      <c r="B32" s="30">
        <v>128</v>
      </c>
      <c r="C32" s="30">
        <v>33</v>
      </c>
      <c r="D32" s="30">
        <v>4</v>
      </c>
      <c r="E32" s="30">
        <v>18</v>
      </c>
      <c r="F32" s="30">
        <v>6</v>
      </c>
      <c r="G32" s="30">
        <v>2</v>
      </c>
      <c r="H32" s="30">
        <v>3</v>
      </c>
      <c r="I32" s="45"/>
      <c r="J32" s="46"/>
    </row>
    <row r="33" spans="1:10" ht="24" customHeight="1">
      <c r="A33" s="29" t="s">
        <v>5</v>
      </c>
      <c r="B33" s="30">
        <v>26</v>
      </c>
      <c r="C33" s="30">
        <v>8</v>
      </c>
      <c r="D33" s="30">
        <v>3</v>
      </c>
      <c r="E33" s="30">
        <v>1</v>
      </c>
      <c r="F33" s="30">
        <v>2</v>
      </c>
      <c r="G33" s="30">
        <v>2</v>
      </c>
      <c r="H33" s="30">
        <v>0</v>
      </c>
      <c r="I33" s="45"/>
      <c r="J33" s="46"/>
    </row>
    <row r="34" spans="1:10" ht="24" customHeight="1">
      <c r="A34" s="29" t="s">
        <v>9</v>
      </c>
      <c r="B34" s="30">
        <v>55</v>
      </c>
      <c r="C34" s="30">
        <v>26</v>
      </c>
      <c r="D34" s="30">
        <v>10</v>
      </c>
      <c r="E34" s="30">
        <v>3</v>
      </c>
      <c r="F34" s="30">
        <v>6</v>
      </c>
      <c r="G34" s="30">
        <v>5</v>
      </c>
      <c r="H34" s="30">
        <v>2</v>
      </c>
      <c r="I34" s="45"/>
      <c r="J34" s="46"/>
    </row>
    <row r="35" spans="1:10" ht="24" customHeight="1">
      <c r="A35" s="29" t="s">
        <v>37</v>
      </c>
      <c r="B35" s="30">
        <v>50</v>
      </c>
      <c r="C35" s="30">
        <v>8</v>
      </c>
      <c r="D35" s="30">
        <v>3</v>
      </c>
      <c r="E35" s="30">
        <v>2</v>
      </c>
      <c r="F35" s="30">
        <v>1</v>
      </c>
      <c r="G35" s="30">
        <v>2</v>
      </c>
      <c r="H35" s="30">
        <v>0</v>
      </c>
      <c r="I35" s="45"/>
      <c r="J35" s="46"/>
    </row>
    <row r="36" spans="1:10" ht="24" customHeight="1">
      <c r="A36" s="29" t="s">
        <v>82</v>
      </c>
      <c r="B36" s="30">
        <v>78</v>
      </c>
      <c r="C36" s="30">
        <v>37</v>
      </c>
      <c r="D36" s="30">
        <v>10</v>
      </c>
      <c r="E36" s="30">
        <v>15</v>
      </c>
      <c r="F36" s="30">
        <v>3</v>
      </c>
      <c r="G36" s="30">
        <v>8</v>
      </c>
      <c r="H36" s="30">
        <v>1</v>
      </c>
      <c r="I36" s="45"/>
      <c r="J36" s="46"/>
    </row>
    <row r="37" spans="1:10" ht="24" customHeight="1">
      <c r="A37" s="29" t="s">
        <v>13</v>
      </c>
      <c r="B37" s="30">
        <v>88</v>
      </c>
      <c r="C37" s="30">
        <v>23</v>
      </c>
      <c r="D37" s="30">
        <v>12</v>
      </c>
      <c r="E37" s="30">
        <v>2</v>
      </c>
      <c r="F37" s="30">
        <v>7</v>
      </c>
      <c r="G37" s="30">
        <v>2</v>
      </c>
      <c r="H37" s="30">
        <v>0</v>
      </c>
      <c r="I37" s="45"/>
      <c r="J37" s="46"/>
    </row>
    <row r="38" spans="1:10" ht="24" customHeight="1">
      <c r="A38" s="47" t="s">
        <v>83</v>
      </c>
      <c r="B38" s="30">
        <v>1</v>
      </c>
      <c r="C38" s="30">
        <v>0</v>
      </c>
      <c r="D38" s="30">
        <v>0</v>
      </c>
      <c r="E38" s="30">
        <v>0</v>
      </c>
      <c r="F38" s="30">
        <v>0</v>
      </c>
      <c r="G38" s="30">
        <v>0</v>
      </c>
      <c r="H38" s="30">
        <v>0</v>
      </c>
      <c r="I38" s="45"/>
      <c r="J38" s="46"/>
    </row>
    <row r="39" spans="1:10" ht="24" customHeight="1">
      <c r="A39" s="47" t="s">
        <v>84</v>
      </c>
      <c r="B39" s="30">
        <v>3</v>
      </c>
      <c r="C39" s="30">
        <v>1</v>
      </c>
      <c r="D39" s="30">
        <v>0</v>
      </c>
      <c r="E39" s="30">
        <v>0</v>
      </c>
      <c r="F39" s="30">
        <v>0</v>
      </c>
      <c r="G39" s="30">
        <v>1</v>
      </c>
      <c r="H39" s="30">
        <v>0</v>
      </c>
      <c r="I39" s="45"/>
      <c r="J39" s="46"/>
    </row>
    <row r="40" spans="1:10" ht="24" customHeight="1">
      <c r="A40" s="48" t="s">
        <v>85</v>
      </c>
      <c r="B40" s="33">
        <v>534</v>
      </c>
      <c r="C40" s="33">
        <v>169</v>
      </c>
      <c r="D40" s="33">
        <v>51</v>
      </c>
      <c r="E40" s="33">
        <v>54</v>
      </c>
      <c r="F40" s="33">
        <v>33</v>
      </c>
      <c r="G40" s="33">
        <v>25</v>
      </c>
      <c r="H40" s="33">
        <v>6</v>
      </c>
      <c r="I40" s="45"/>
      <c r="J40" s="46"/>
    </row>
    <row r="41" spans="1:10" ht="67.5" customHeight="1">
      <c r="A41" s="452" t="s">
        <v>86</v>
      </c>
      <c r="B41" s="452"/>
      <c r="C41" s="452"/>
      <c r="D41" s="452"/>
      <c r="E41" s="452"/>
      <c r="F41" s="452"/>
      <c r="G41" s="452"/>
      <c r="H41" s="452"/>
      <c r="I41" s="49"/>
    </row>
    <row r="42" spans="1:10">
      <c r="E42" s="50"/>
    </row>
    <row r="44" spans="1:10" ht="29.1" customHeight="1">
      <c r="A44" s="41" t="s">
        <v>87</v>
      </c>
      <c r="B44" s="3" t="s">
        <v>88</v>
      </c>
      <c r="C44" s="3" t="s">
        <v>89</v>
      </c>
      <c r="D44" s="4"/>
      <c r="E44" s="14"/>
    </row>
    <row r="45" spans="1:10" ht="20.100000000000001" customHeight="1">
      <c r="A45" s="47" t="s">
        <v>90</v>
      </c>
      <c r="B45" s="30">
        <v>287</v>
      </c>
      <c r="C45" s="51">
        <v>0.53</v>
      </c>
      <c r="D45" s="4"/>
      <c r="E45" s="14"/>
    </row>
    <row r="46" spans="1:10" ht="20.100000000000001" customHeight="1">
      <c r="A46" s="47" t="s">
        <v>91</v>
      </c>
      <c r="B46" s="30">
        <v>86</v>
      </c>
      <c r="C46" s="51">
        <v>0.16</v>
      </c>
      <c r="D46" s="4"/>
      <c r="E46" s="14"/>
    </row>
    <row r="47" spans="1:10" ht="20.100000000000001" customHeight="1">
      <c r="A47" s="47" t="s">
        <v>92</v>
      </c>
      <c r="B47" s="30">
        <v>102</v>
      </c>
      <c r="C47" s="51">
        <v>0.19</v>
      </c>
      <c r="D47" s="4"/>
      <c r="E47" s="14"/>
    </row>
    <row r="48" spans="1:10" ht="20.100000000000001" customHeight="1">
      <c r="A48" s="47" t="s">
        <v>93</v>
      </c>
      <c r="B48" s="30">
        <v>14</v>
      </c>
      <c r="C48" s="51">
        <v>0.03</v>
      </c>
      <c r="D48" s="4"/>
      <c r="E48" s="14"/>
    </row>
    <row r="49" spans="1:8" ht="20.100000000000001" customHeight="1">
      <c r="A49" s="47" t="s">
        <v>94</v>
      </c>
      <c r="B49" s="30">
        <v>14</v>
      </c>
      <c r="C49" s="51">
        <v>0.03</v>
      </c>
      <c r="D49" s="4"/>
      <c r="E49" s="14"/>
    </row>
    <row r="50" spans="1:8" ht="20.100000000000001" customHeight="1">
      <c r="A50" s="47" t="s">
        <v>95</v>
      </c>
      <c r="B50" s="30">
        <v>38</v>
      </c>
      <c r="C50" s="51">
        <v>7.0000000000000007E-2</v>
      </c>
      <c r="D50" s="4"/>
      <c r="E50" s="14"/>
    </row>
    <row r="51" spans="1:8" ht="20.100000000000001" customHeight="1">
      <c r="A51" s="32" t="s">
        <v>85</v>
      </c>
      <c r="B51" s="33">
        <v>541</v>
      </c>
      <c r="C51" s="52">
        <v>1</v>
      </c>
      <c r="D51" s="4"/>
      <c r="E51" s="14"/>
    </row>
    <row r="52" spans="1:8" ht="75.75" customHeight="1">
      <c r="A52" s="448" t="s">
        <v>96</v>
      </c>
      <c r="B52" s="447"/>
      <c r="C52" s="447"/>
    </row>
    <row r="55" spans="1:8" ht="45.75" customHeight="1">
      <c r="A55" s="416" t="s">
        <v>1049</v>
      </c>
      <c r="B55" s="53">
        <v>2018</v>
      </c>
      <c r="C55" s="53">
        <v>2019</v>
      </c>
      <c r="D55" s="4"/>
      <c r="E55" s="14"/>
    </row>
    <row r="56" spans="1:8" ht="59.1" customHeight="1">
      <c r="A56" s="25" t="s">
        <v>97</v>
      </c>
      <c r="B56" s="54">
        <v>0.9</v>
      </c>
      <c r="C56" s="54">
        <v>0.93</v>
      </c>
      <c r="D56" s="4"/>
      <c r="E56" s="14"/>
    </row>
    <row r="57" spans="1:8" ht="59.1" customHeight="1">
      <c r="A57" s="25" t="s">
        <v>98</v>
      </c>
      <c r="B57" s="54">
        <v>0.98</v>
      </c>
      <c r="C57" s="54">
        <v>0.93</v>
      </c>
      <c r="D57" s="4"/>
      <c r="E57" s="14"/>
    </row>
    <row r="58" spans="1:8" ht="30" customHeight="1">
      <c r="A58" s="458" t="s">
        <v>99</v>
      </c>
      <c r="B58" s="447"/>
      <c r="C58" s="447"/>
      <c r="D58" s="459"/>
      <c r="E58" s="459"/>
      <c r="F58" s="459"/>
    </row>
    <row r="60" spans="1:8" ht="39.200000000000003" customHeight="1">
      <c r="A60" s="460"/>
      <c r="B60" s="459"/>
      <c r="C60" s="459"/>
      <c r="D60" s="459"/>
      <c r="E60" s="459"/>
      <c r="F60" s="459"/>
      <c r="G60" s="459"/>
      <c r="H60" s="459"/>
    </row>
  </sheetData>
  <sheetProtection algorithmName="SHA-512" hashValue="U0GZQhFxMk4tZdp7FKiIwYKOcmVl4YOQWdnq1GPPN+NHZqiZ5fuMId/P61wj+M/l4vOtxtbdYltDh89coxdvcg==" saltValue="xtujxI0mG37Gz7dSpFYnJg==" spinCount="100000" sheet="1" objects="1" scenarios="1"/>
  <customSheetViews>
    <customSheetView guid="{5E62BE79-A4FD-4E7A-98EF-5A09C5274723}" showGridLines="0" showRuler="0" topLeftCell="A49">
      <selection activeCell="B56" sqref="B56"/>
      <pageMargins left="0.75" right="0.75" top="1" bottom="1" header="0.5" footer="0.5"/>
      <pageSetup orientation="portrait" r:id="rId1"/>
    </customSheetView>
  </customSheetViews>
  <mergeCells count="15">
    <mergeCell ref="A1:F1"/>
    <mergeCell ref="A41:H41"/>
    <mergeCell ref="A52:C52"/>
    <mergeCell ref="A58:F58"/>
    <mergeCell ref="A60:H60"/>
    <mergeCell ref="A26:F26"/>
    <mergeCell ref="D28:H28"/>
    <mergeCell ref="C28:C29"/>
    <mergeCell ref="B28:B29"/>
    <mergeCell ref="A28:A29"/>
    <mergeCell ref="A5:F5"/>
    <mergeCell ref="A4:F4"/>
    <mergeCell ref="A3:F3"/>
    <mergeCell ref="G14:H14"/>
    <mergeCell ref="A10:F10"/>
  </mergeCells>
  <pageMargins left="0.75" right="0.75" top="1" bottom="1" header="0.5" footer="0.5"/>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1"/>
  <sheetViews>
    <sheetView showGridLines="0" showRuler="0" zoomScaleNormal="100" workbookViewId="0">
      <selection activeCell="F11" sqref="F11"/>
    </sheetView>
  </sheetViews>
  <sheetFormatPr baseColWidth="10" defaultColWidth="13.7109375" defaultRowHeight="12.75"/>
  <cols>
    <col min="1" max="1" width="49.140625" customWidth="1"/>
    <col min="2" max="5" width="18.7109375" customWidth="1"/>
  </cols>
  <sheetData>
    <row r="1" spans="1:5">
      <c r="A1" s="449" t="s">
        <v>991</v>
      </c>
      <c r="B1" s="449"/>
      <c r="C1" s="449"/>
    </row>
    <row r="2" spans="1:5" ht="60" customHeight="1">
      <c r="A2" s="14"/>
      <c r="B2" s="14"/>
      <c r="C2" s="14"/>
    </row>
    <row r="3" spans="1:5" ht="30" customHeight="1">
      <c r="A3" s="27" t="s">
        <v>1117</v>
      </c>
      <c r="B3" s="19" t="s">
        <v>100</v>
      </c>
      <c r="C3" s="19" t="s">
        <v>101</v>
      </c>
      <c r="D3" s="4"/>
    </row>
    <row r="4" spans="1:5" ht="20.100000000000001" customHeight="1">
      <c r="A4" s="56" t="s">
        <v>102</v>
      </c>
      <c r="B4" s="56" t="s">
        <v>103</v>
      </c>
      <c r="C4" s="57">
        <v>15000</v>
      </c>
      <c r="D4" s="4"/>
    </row>
    <row r="5" spans="1:5" ht="20.100000000000001" customHeight="1">
      <c r="A5" s="56" t="s">
        <v>104</v>
      </c>
      <c r="B5" s="56" t="s">
        <v>103</v>
      </c>
      <c r="C5" s="57">
        <v>15000</v>
      </c>
      <c r="D5" s="4"/>
    </row>
    <row r="6" spans="1:5" ht="20.100000000000001" customHeight="1">
      <c r="A6" s="56" t="s">
        <v>105</v>
      </c>
      <c r="B6" s="56" t="s">
        <v>103</v>
      </c>
      <c r="C6" s="57">
        <v>25000</v>
      </c>
      <c r="D6" s="4"/>
    </row>
    <row r="7" spans="1:5" ht="20.100000000000001" customHeight="1">
      <c r="A7" s="56" t="s">
        <v>106</v>
      </c>
      <c r="B7" s="56" t="s">
        <v>103</v>
      </c>
      <c r="C7" s="57">
        <v>10000</v>
      </c>
      <c r="D7" s="4"/>
    </row>
    <row r="8" spans="1:5" ht="20.100000000000001" customHeight="1">
      <c r="A8" s="58" t="s">
        <v>107</v>
      </c>
      <c r="B8" s="58" t="s">
        <v>108</v>
      </c>
      <c r="C8" s="57">
        <v>1700</v>
      </c>
      <c r="D8" s="4"/>
    </row>
    <row r="9" spans="1:5" ht="20.100000000000001" customHeight="1">
      <c r="A9" s="483" t="s">
        <v>109</v>
      </c>
      <c r="B9" s="484"/>
      <c r="C9" s="59">
        <v>66700</v>
      </c>
      <c r="D9" s="4"/>
    </row>
    <row r="10" spans="1:5">
      <c r="A10" s="458" t="s">
        <v>110</v>
      </c>
      <c r="B10" s="458"/>
      <c r="C10" s="458"/>
    </row>
    <row r="11" spans="1:5" ht="32.450000000000003" customHeight="1">
      <c r="A11" s="459"/>
      <c r="B11" s="459"/>
      <c r="C11" s="459"/>
    </row>
    <row r="12" spans="1:5" ht="60" customHeight="1"/>
    <row r="13" spans="1:5" ht="39.950000000000003" customHeight="1">
      <c r="A13" s="41" t="s">
        <v>1106</v>
      </c>
      <c r="B13" s="42" t="s">
        <v>111</v>
      </c>
      <c r="C13" s="42" t="s">
        <v>112</v>
      </c>
      <c r="D13" s="42" t="s">
        <v>113</v>
      </c>
      <c r="E13" s="4"/>
    </row>
    <row r="14" spans="1:5" ht="20.100000000000001" customHeight="1">
      <c r="A14" s="60" t="s">
        <v>114</v>
      </c>
      <c r="B14" s="61">
        <v>562000</v>
      </c>
      <c r="C14" s="61">
        <v>140500</v>
      </c>
      <c r="D14" s="62">
        <v>0.25</v>
      </c>
      <c r="E14" s="4"/>
    </row>
    <row r="15" spans="1:5" ht="20.100000000000001" customHeight="1">
      <c r="A15" s="63" t="s">
        <v>115</v>
      </c>
      <c r="B15" s="61">
        <v>344398</v>
      </c>
      <c r="C15" s="61">
        <v>58548</v>
      </c>
      <c r="D15" s="62">
        <v>0.17</v>
      </c>
      <c r="E15" s="4"/>
    </row>
    <row r="16" spans="1:5" ht="22.5" customHeight="1">
      <c r="A16" s="481" t="s">
        <v>116</v>
      </c>
      <c r="B16" s="481"/>
      <c r="C16" s="481"/>
      <c r="D16" s="481"/>
    </row>
    <row r="17" spans="1:7">
      <c r="A17" s="459"/>
      <c r="B17" s="459"/>
      <c r="C17" s="459"/>
      <c r="D17" s="459"/>
    </row>
    <row r="18" spans="1:7" ht="60" customHeight="1"/>
    <row r="19" spans="1:7" ht="20.85" customHeight="1">
      <c r="A19" s="488" t="s">
        <v>1116</v>
      </c>
      <c r="B19" s="489"/>
      <c r="C19" s="489"/>
      <c r="D19" s="489"/>
      <c r="E19" s="489"/>
      <c r="F19" s="490"/>
      <c r="G19" s="4"/>
    </row>
    <row r="20" spans="1:7" ht="54" customHeight="1">
      <c r="A20" s="485" t="s">
        <v>1111</v>
      </c>
      <c r="B20" s="486"/>
      <c r="C20" s="486"/>
      <c r="D20" s="486"/>
      <c r="E20" s="486"/>
      <c r="F20" s="487"/>
      <c r="G20" s="4"/>
    </row>
    <row r="21" spans="1:7" ht="60.75" customHeight="1">
      <c r="A21" s="480" t="s">
        <v>1105</v>
      </c>
      <c r="B21" s="481"/>
      <c r="C21" s="481"/>
      <c r="D21" s="481"/>
      <c r="E21" s="482"/>
      <c r="F21" s="482"/>
    </row>
    <row r="22" spans="1:7" ht="62.25" customHeight="1">
      <c r="A22" s="269"/>
      <c r="B22" s="269"/>
      <c r="C22" s="269"/>
      <c r="D22" s="269"/>
      <c r="E22" s="269"/>
      <c r="F22" s="269"/>
    </row>
    <row r="23" spans="1:7" ht="30" customHeight="1">
      <c r="A23" s="468" t="s">
        <v>1115</v>
      </c>
      <c r="B23" s="469"/>
      <c r="C23" s="469"/>
      <c r="D23" s="469"/>
      <c r="E23" s="469"/>
      <c r="F23" s="469"/>
    </row>
    <row r="24" spans="1:7">
      <c r="A24" s="472" t="s">
        <v>1100</v>
      </c>
      <c r="B24" s="472" t="s">
        <v>114</v>
      </c>
      <c r="C24" s="473"/>
      <c r="D24" s="473"/>
      <c r="E24" s="473"/>
      <c r="F24" s="470">
        <v>562000</v>
      </c>
    </row>
    <row r="25" spans="1:7">
      <c r="A25" s="473"/>
      <c r="B25" s="474"/>
      <c r="C25" s="473"/>
      <c r="D25" s="473"/>
      <c r="E25" s="473"/>
      <c r="F25" s="471"/>
    </row>
    <row r="26" spans="1:7">
      <c r="A26" s="473"/>
      <c r="B26" s="474"/>
      <c r="C26" s="473"/>
      <c r="D26" s="473"/>
      <c r="E26" s="473"/>
      <c r="F26" s="471"/>
    </row>
    <row r="27" spans="1:7">
      <c r="A27" s="473"/>
      <c r="B27" s="478" t="s">
        <v>1098</v>
      </c>
      <c r="C27" s="473"/>
      <c r="D27" s="473"/>
      <c r="E27" s="473"/>
      <c r="F27" s="470">
        <v>344398</v>
      </c>
    </row>
    <row r="28" spans="1:7">
      <c r="A28" s="473"/>
      <c r="B28" s="473"/>
      <c r="C28" s="473"/>
      <c r="D28" s="473"/>
      <c r="E28" s="473"/>
      <c r="F28" s="471"/>
    </row>
    <row r="29" spans="1:7">
      <c r="A29" s="473"/>
      <c r="B29" s="473"/>
      <c r="C29" s="473"/>
      <c r="D29" s="473"/>
      <c r="E29" s="473"/>
      <c r="F29" s="471"/>
    </row>
    <row r="30" spans="1:7" ht="36" customHeight="1">
      <c r="A30" s="473"/>
      <c r="B30" s="479" t="s">
        <v>1102</v>
      </c>
      <c r="C30" s="473"/>
      <c r="D30" s="473"/>
      <c r="E30" s="473"/>
      <c r="F30" s="441">
        <v>200000</v>
      </c>
    </row>
    <row r="31" spans="1:7">
      <c r="A31" s="472" t="s">
        <v>1103</v>
      </c>
      <c r="B31" s="472" t="s">
        <v>1104</v>
      </c>
      <c r="C31" s="473"/>
      <c r="D31" s="473"/>
      <c r="E31" s="473"/>
      <c r="F31" s="473"/>
    </row>
    <row r="32" spans="1:7">
      <c r="A32" s="473"/>
      <c r="B32" s="474"/>
      <c r="C32" s="473"/>
      <c r="D32" s="473"/>
      <c r="E32" s="473"/>
      <c r="F32" s="473"/>
    </row>
    <row r="33" spans="1:6" ht="34.5" customHeight="1">
      <c r="A33" s="473"/>
      <c r="B33" s="474"/>
      <c r="C33" s="473"/>
      <c r="D33" s="473"/>
      <c r="E33" s="473"/>
      <c r="F33" s="473"/>
    </row>
    <row r="34" spans="1:6" ht="50.25" customHeight="1">
      <c r="A34" s="480" t="s">
        <v>1099</v>
      </c>
      <c r="B34" s="481"/>
      <c r="C34" s="481"/>
      <c r="D34" s="481"/>
      <c r="E34" s="482"/>
      <c r="F34" s="482"/>
    </row>
    <row r="35" spans="1:6" ht="48" customHeight="1"/>
    <row r="36" spans="1:6" ht="30" customHeight="1">
      <c r="A36" s="27" t="s">
        <v>1095</v>
      </c>
      <c r="B36" s="19" t="s">
        <v>1097</v>
      </c>
      <c r="C36" s="42">
        <v>2017</v>
      </c>
      <c r="D36" s="42">
        <v>2018</v>
      </c>
      <c r="E36" s="42">
        <v>2019</v>
      </c>
    </row>
    <row r="37" spans="1:6" ht="30" customHeight="1">
      <c r="A37" s="475" t="s">
        <v>1114</v>
      </c>
      <c r="B37" s="56" t="s">
        <v>1112</v>
      </c>
      <c r="C37" s="440">
        <v>988000</v>
      </c>
      <c r="D37" s="440">
        <v>1080000</v>
      </c>
      <c r="E37" s="440">
        <v>1282593</v>
      </c>
    </row>
    <row r="38" spans="1:6" ht="30" customHeight="1">
      <c r="A38" s="476"/>
      <c r="B38" s="56" t="s">
        <v>1096</v>
      </c>
      <c r="C38" s="440">
        <v>67500</v>
      </c>
      <c r="D38" s="440">
        <v>186514</v>
      </c>
      <c r="E38" s="440">
        <v>66700</v>
      </c>
    </row>
    <row r="39" spans="1:6" ht="30" customHeight="1">
      <c r="A39" s="476"/>
      <c r="B39" s="56" t="s">
        <v>1113</v>
      </c>
      <c r="C39" s="440">
        <v>180458</v>
      </c>
      <c r="D39" s="440">
        <v>180458</v>
      </c>
      <c r="E39" s="440">
        <v>1006398</v>
      </c>
    </row>
    <row r="40" spans="1:6" ht="20.100000000000001" customHeight="1">
      <c r="A40" s="452" t="s">
        <v>1101</v>
      </c>
      <c r="B40" s="458"/>
      <c r="C40" s="458"/>
      <c r="D40" s="477"/>
      <c r="E40" s="477"/>
    </row>
    <row r="41" spans="1:6" ht="51.75" customHeight="1">
      <c r="A41" s="457"/>
      <c r="B41" s="457"/>
      <c r="C41" s="457"/>
      <c r="D41" s="457"/>
      <c r="E41" s="457"/>
    </row>
  </sheetData>
  <sheetProtection algorithmName="SHA-512" hashValue="01F4ft5KR09TDH4heWrj62MCalVPA7IwnkGcHQFo2Pw1ZXyPCRkfIe7zTM/0AAhOVYiZTQ8bty48zrMl5RPYFA==" saltValue="+fopX9Oceb/NkDJhNoQ9Fw==" spinCount="100000" sheet="1" objects="1" scenarios="1"/>
  <customSheetViews>
    <customSheetView guid="{5E62BE79-A4FD-4E7A-98EF-5A09C5274723}" showGridLines="0" showRuler="0" topLeftCell="A10">
      <selection activeCell="I22" sqref="I22"/>
      <pageMargins left="0.75" right="0.75" top="1" bottom="1" header="0.5" footer="0.5"/>
    </customSheetView>
  </customSheetViews>
  <mergeCells count="19">
    <mergeCell ref="A21:F21"/>
    <mergeCell ref="A1:C1"/>
    <mergeCell ref="A9:B9"/>
    <mergeCell ref="A10:C11"/>
    <mergeCell ref="A16:D17"/>
    <mergeCell ref="A20:F20"/>
    <mergeCell ref="A19:F19"/>
    <mergeCell ref="A40:E41"/>
    <mergeCell ref="B24:E26"/>
    <mergeCell ref="B27:E29"/>
    <mergeCell ref="B30:E30"/>
    <mergeCell ref="A24:A30"/>
    <mergeCell ref="A34:F34"/>
    <mergeCell ref="A23:F23"/>
    <mergeCell ref="F24:F26"/>
    <mergeCell ref="F27:F29"/>
    <mergeCell ref="B31:F33"/>
    <mergeCell ref="A37:A39"/>
    <mergeCell ref="A31:A33"/>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57"/>
  <sheetViews>
    <sheetView showGridLines="0" showRuler="0" topLeftCell="A33" zoomScale="140" zoomScaleNormal="140" workbookViewId="0">
      <selection activeCell="C42" sqref="C42"/>
    </sheetView>
  </sheetViews>
  <sheetFormatPr baseColWidth="10" defaultColWidth="13.7109375" defaultRowHeight="12.75"/>
  <cols>
    <col min="1" max="1" width="31" customWidth="1"/>
    <col min="2" max="2" width="28.28515625" customWidth="1"/>
  </cols>
  <sheetData>
    <row r="1" spans="1:23" ht="17.45" customHeight="1">
      <c r="A1" s="492" t="s">
        <v>992</v>
      </c>
      <c r="B1" s="492"/>
      <c r="C1" s="492"/>
      <c r="D1" s="492"/>
      <c r="E1" s="492"/>
      <c r="F1" s="492"/>
    </row>
    <row r="2" spans="1:23" ht="60" customHeight="1"/>
    <row r="3" spans="1:23" ht="59.1" customHeight="1">
      <c r="A3" s="41" t="s">
        <v>117</v>
      </c>
      <c r="B3" s="3" t="s">
        <v>118</v>
      </c>
      <c r="C3" s="19" t="s">
        <v>119</v>
      </c>
      <c r="D3" s="19" t="s">
        <v>120</v>
      </c>
      <c r="E3" s="19" t="s">
        <v>121</v>
      </c>
      <c r="F3" s="19" t="s">
        <v>122</v>
      </c>
      <c r="G3" s="19" t="s">
        <v>123</v>
      </c>
      <c r="H3" s="19" t="s">
        <v>124</v>
      </c>
      <c r="I3" s="19" t="s">
        <v>125</v>
      </c>
      <c r="J3" s="19" t="s">
        <v>126</v>
      </c>
      <c r="K3" s="19" t="s">
        <v>127</v>
      </c>
      <c r="L3" s="19" t="s">
        <v>128</v>
      </c>
      <c r="M3" s="9"/>
      <c r="N3" s="10"/>
      <c r="O3" s="10"/>
      <c r="P3" s="10"/>
      <c r="Q3" s="10"/>
      <c r="R3" s="10"/>
      <c r="S3" s="64"/>
      <c r="T3" s="64"/>
      <c r="U3" s="64"/>
      <c r="V3" s="64"/>
      <c r="W3" s="64"/>
    </row>
    <row r="4" spans="1:23" ht="20.100000000000001" customHeight="1">
      <c r="A4" s="493" t="s">
        <v>129</v>
      </c>
      <c r="B4" s="66" t="s">
        <v>80</v>
      </c>
      <c r="C4" s="67">
        <v>63.88</v>
      </c>
      <c r="D4" s="67">
        <v>121.89</v>
      </c>
      <c r="E4" s="67">
        <v>45.03</v>
      </c>
      <c r="F4" s="67">
        <v>359.75</v>
      </c>
      <c r="G4" s="67">
        <v>0</v>
      </c>
      <c r="H4" s="67">
        <v>0</v>
      </c>
      <c r="I4" s="67">
        <v>0.22</v>
      </c>
      <c r="J4" s="67">
        <v>0.01</v>
      </c>
      <c r="K4" s="67">
        <v>0</v>
      </c>
      <c r="L4" s="67">
        <v>11</v>
      </c>
      <c r="M4" s="4"/>
      <c r="O4" s="10"/>
      <c r="V4" s="64"/>
      <c r="W4" s="64"/>
    </row>
    <row r="5" spans="1:23" ht="20.100000000000001" customHeight="1">
      <c r="A5" s="493"/>
      <c r="B5" s="68" t="s">
        <v>130</v>
      </c>
      <c r="C5" s="69">
        <v>7.38</v>
      </c>
      <c r="D5" s="69">
        <v>13.43</v>
      </c>
      <c r="E5" s="69">
        <v>34.22</v>
      </c>
      <c r="F5" s="69">
        <v>18.190000000000001</v>
      </c>
      <c r="G5" s="69">
        <v>0</v>
      </c>
      <c r="H5" s="69">
        <v>0</v>
      </c>
      <c r="I5" s="69">
        <v>0.12</v>
      </c>
      <c r="J5" s="69">
        <v>0.01</v>
      </c>
      <c r="K5" s="69">
        <v>0</v>
      </c>
      <c r="L5" s="69">
        <v>0</v>
      </c>
      <c r="M5" s="4"/>
      <c r="O5" s="10"/>
      <c r="V5" s="64"/>
      <c r="W5" s="64"/>
    </row>
    <row r="6" spans="1:23" ht="20.100000000000001" customHeight="1">
      <c r="A6" s="493"/>
      <c r="B6" s="68" t="s">
        <v>131</v>
      </c>
      <c r="C6" s="69">
        <v>56.5</v>
      </c>
      <c r="D6" s="69">
        <v>108.46</v>
      </c>
      <c r="E6" s="69">
        <v>10.81</v>
      </c>
      <c r="F6" s="69">
        <v>341.56</v>
      </c>
      <c r="G6" s="69">
        <v>0</v>
      </c>
      <c r="H6" s="69">
        <v>0</v>
      </c>
      <c r="I6" s="69">
        <v>0.1</v>
      </c>
      <c r="J6" s="69">
        <v>0</v>
      </c>
      <c r="K6" s="69">
        <v>0</v>
      </c>
      <c r="L6" s="69">
        <v>11</v>
      </c>
      <c r="M6" s="4"/>
      <c r="O6" s="10"/>
      <c r="V6" s="64"/>
      <c r="W6" s="64"/>
    </row>
    <row r="7" spans="1:23" ht="20.100000000000001" customHeight="1">
      <c r="A7" s="493" t="s">
        <v>132</v>
      </c>
      <c r="B7" s="66" t="s">
        <v>81</v>
      </c>
      <c r="C7" s="67">
        <v>8.26</v>
      </c>
      <c r="D7" s="67">
        <v>1210.18</v>
      </c>
      <c r="E7" s="67">
        <v>446.33</v>
      </c>
      <c r="F7" s="67">
        <v>510.75</v>
      </c>
      <c r="G7" s="67">
        <v>0</v>
      </c>
      <c r="H7" s="67">
        <v>0</v>
      </c>
      <c r="I7" s="67">
        <v>0</v>
      </c>
      <c r="J7" s="67">
        <v>0</v>
      </c>
      <c r="K7" s="67">
        <v>0</v>
      </c>
      <c r="L7" s="67">
        <v>408.23</v>
      </c>
      <c r="M7" s="4"/>
      <c r="O7" s="10"/>
      <c r="V7" s="64"/>
      <c r="W7" s="64"/>
    </row>
    <row r="8" spans="1:23" ht="20.100000000000001" customHeight="1">
      <c r="A8" s="493"/>
      <c r="B8" s="68" t="s">
        <v>133</v>
      </c>
      <c r="C8" s="69">
        <v>8.26</v>
      </c>
      <c r="D8" s="69">
        <v>1210.18</v>
      </c>
      <c r="E8" s="69">
        <v>446.33</v>
      </c>
      <c r="F8" s="69">
        <v>510.75</v>
      </c>
      <c r="G8" s="69">
        <v>0</v>
      </c>
      <c r="H8" s="69">
        <v>0</v>
      </c>
      <c r="I8" s="69">
        <v>0</v>
      </c>
      <c r="J8" s="69">
        <v>0</v>
      </c>
      <c r="K8" s="69">
        <v>0</v>
      </c>
      <c r="L8" s="69">
        <v>408.23</v>
      </c>
      <c r="M8" s="4"/>
    </row>
    <row r="9" spans="1:23" ht="20.100000000000001" customHeight="1">
      <c r="A9" s="493"/>
      <c r="B9" s="66" t="s">
        <v>5</v>
      </c>
      <c r="C9" s="67">
        <v>11.6</v>
      </c>
      <c r="D9" s="67">
        <v>1462</v>
      </c>
      <c r="E9" s="67">
        <v>397.1</v>
      </c>
      <c r="F9" s="67">
        <v>1242.0999999999999</v>
      </c>
      <c r="G9" s="70" t="s">
        <v>65</v>
      </c>
      <c r="H9" s="70" t="s">
        <v>65</v>
      </c>
      <c r="I9" s="70" t="s">
        <v>65</v>
      </c>
      <c r="J9" s="70" t="s">
        <v>65</v>
      </c>
      <c r="K9" s="70" t="s">
        <v>65</v>
      </c>
      <c r="L9" s="70" t="s">
        <v>65</v>
      </c>
      <c r="M9" s="4"/>
    </row>
    <row r="10" spans="1:23" ht="20.100000000000001" customHeight="1">
      <c r="A10" s="493"/>
      <c r="B10" s="68" t="s">
        <v>134</v>
      </c>
      <c r="C10" s="69">
        <v>0.1</v>
      </c>
      <c r="D10" s="69">
        <v>77.5</v>
      </c>
      <c r="E10" s="69">
        <v>14.7</v>
      </c>
      <c r="F10" s="69">
        <v>19.600000000000001</v>
      </c>
      <c r="G10" s="38" t="s">
        <v>65</v>
      </c>
      <c r="H10" s="38" t="s">
        <v>65</v>
      </c>
      <c r="I10" s="38" t="s">
        <v>65</v>
      </c>
      <c r="J10" s="38" t="s">
        <v>65</v>
      </c>
      <c r="K10" s="38" t="s">
        <v>65</v>
      </c>
      <c r="L10" s="38" t="s">
        <v>65</v>
      </c>
      <c r="M10" s="4"/>
      <c r="O10" s="10"/>
      <c r="V10" s="64"/>
      <c r="W10" s="64"/>
    </row>
    <row r="11" spans="1:23" ht="20.100000000000001" customHeight="1">
      <c r="A11" s="493"/>
      <c r="B11" s="71" t="s">
        <v>39</v>
      </c>
      <c r="C11" s="69">
        <v>7.1</v>
      </c>
      <c r="D11" s="69">
        <v>157.1</v>
      </c>
      <c r="E11" s="69">
        <v>164.5</v>
      </c>
      <c r="F11" s="69">
        <v>216.8</v>
      </c>
      <c r="G11" s="38" t="s">
        <v>65</v>
      </c>
      <c r="H11" s="38" t="s">
        <v>65</v>
      </c>
      <c r="I11" s="38" t="s">
        <v>65</v>
      </c>
      <c r="J11" s="38" t="s">
        <v>65</v>
      </c>
      <c r="K11" s="38" t="s">
        <v>65</v>
      </c>
      <c r="L11" s="38" t="s">
        <v>65</v>
      </c>
      <c r="M11" s="4"/>
    </row>
    <row r="12" spans="1:23" ht="20.100000000000001" customHeight="1">
      <c r="A12" s="493"/>
      <c r="B12" s="68" t="s">
        <v>135</v>
      </c>
      <c r="C12" s="69">
        <v>2.7</v>
      </c>
      <c r="D12" s="69">
        <v>142.80000000000001</v>
      </c>
      <c r="E12" s="69">
        <v>16.600000000000001</v>
      </c>
      <c r="F12" s="69">
        <v>130.19999999999999</v>
      </c>
      <c r="G12" s="38" t="s">
        <v>65</v>
      </c>
      <c r="H12" s="38" t="s">
        <v>65</v>
      </c>
      <c r="I12" s="38" t="s">
        <v>65</v>
      </c>
      <c r="J12" s="38" t="s">
        <v>65</v>
      </c>
      <c r="K12" s="38" t="s">
        <v>65</v>
      </c>
      <c r="L12" s="38" t="s">
        <v>65</v>
      </c>
      <c r="M12" s="4"/>
    </row>
    <row r="13" spans="1:23" ht="20.100000000000001" customHeight="1">
      <c r="A13" s="493"/>
      <c r="B13" s="68" t="s">
        <v>6</v>
      </c>
      <c r="C13" s="69">
        <v>0.5</v>
      </c>
      <c r="D13" s="69">
        <v>1066.5</v>
      </c>
      <c r="E13" s="69">
        <v>133.30000000000001</v>
      </c>
      <c r="F13" s="69">
        <v>270.2</v>
      </c>
      <c r="G13" s="38" t="s">
        <v>65</v>
      </c>
      <c r="H13" s="38" t="s">
        <v>65</v>
      </c>
      <c r="I13" s="38" t="s">
        <v>65</v>
      </c>
      <c r="J13" s="38" t="s">
        <v>65</v>
      </c>
      <c r="K13" s="38" t="s">
        <v>65</v>
      </c>
      <c r="L13" s="38" t="s">
        <v>65</v>
      </c>
      <c r="M13" s="4"/>
    </row>
    <row r="14" spans="1:23" ht="20.100000000000001" customHeight="1">
      <c r="A14" s="493"/>
      <c r="B14" s="68" t="s">
        <v>136</v>
      </c>
      <c r="C14" s="69">
        <v>1.2</v>
      </c>
      <c r="D14" s="69">
        <v>18.100000000000001</v>
      </c>
      <c r="E14" s="69">
        <v>68</v>
      </c>
      <c r="F14" s="69">
        <v>605.29999999999995</v>
      </c>
      <c r="G14" s="38" t="s">
        <v>65</v>
      </c>
      <c r="H14" s="38" t="s">
        <v>65</v>
      </c>
      <c r="I14" s="38" t="s">
        <v>65</v>
      </c>
      <c r="J14" s="38" t="s">
        <v>65</v>
      </c>
      <c r="K14" s="38" t="s">
        <v>65</v>
      </c>
      <c r="L14" s="38" t="s">
        <v>65</v>
      </c>
      <c r="M14" s="4"/>
    </row>
    <row r="15" spans="1:23" ht="20.100000000000001" customHeight="1">
      <c r="A15" s="493"/>
      <c r="B15" s="66" t="s">
        <v>9</v>
      </c>
      <c r="C15" s="67">
        <v>12.7</v>
      </c>
      <c r="D15" s="67">
        <v>3190.8</v>
      </c>
      <c r="E15" s="67">
        <v>5361.2</v>
      </c>
      <c r="F15" s="67">
        <v>2418</v>
      </c>
      <c r="G15" s="70" t="s">
        <v>65</v>
      </c>
      <c r="H15" s="70" t="s">
        <v>65</v>
      </c>
      <c r="I15" s="70" t="s">
        <v>65</v>
      </c>
      <c r="J15" s="70" t="s">
        <v>65</v>
      </c>
      <c r="K15" s="70" t="s">
        <v>65</v>
      </c>
      <c r="L15" s="70" t="s">
        <v>65</v>
      </c>
      <c r="M15" s="4"/>
    </row>
    <row r="16" spans="1:23" ht="20.100000000000001" customHeight="1">
      <c r="A16" s="493"/>
      <c r="B16" s="71" t="s">
        <v>10</v>
      </c>
      <c r="C16" s="69">
        <v>12.7</v>
      </c>
      <c r="D16" s="69">
        <v>3190.8</v>
      </c>
      <c r="E16" s="69">
        <v>5361.2</v>
      </c>
      <c r="F16" s="69">
        <v>2418</v>
      </c>
      <c r="G16" s="38" t="s">
        <v>65</v>
      </c>
      <c r="H16" s="38" t="s">
        <v>65</v>
      </c>
      <c r="I16" s="38" t="s">
        <v>65</v>
      </c>
      <c r="J16" s="38" t="s">
        <v>65</v>
      </c>
      <c r="K16" s="38" t="s">
        <v>65</v>
      </c>
      <c r="L16" s="38" t="s">
        <v>65</v>
      </c>
      <c r="M16" s="4"/>
    </row>
    <row r="17" spans="1:13" ht="20.100000000000001" customHeight="1">
      <c r="A17" s="493" t="s">
        <v>137</v>
      </c>
      <c r="B17" s="66" t="s">
        <v>37</v>
      </c>
      <c r="C17" s="67">
        <v>13.3</v>
      </c>
      <c r="D17" s="67">
        <v>212</v>
      </c>
      <c r="E17" s="67">
        <v>367.5</v>
      </c>
      <c r="F17" s="67">
        <v>184</v>
      </c>
      <c r="G17" s="70" t="s">
        <v>65</v>
      </c>
      <c r="H17" s="70" t="s">
        <v>65</v>
      </c>
      <c r="I17" s="70" t="s">
        <v>65</v>
      </c>
      <c r="J17" s="70" t="s">
        <v>65</v>
      </c>
      <c r="K17" s="70" t="s">
        <v>65</v>
      </c>
      <c r="L17" s="70" t="s">
        <v>65</v>
      </c>
      <c r="M17" s="4"/>
    </row>
    <row r="18" spans="1:13" ht="20.100000000000001" customHeight="1">
      <c r="A18" s="493"/>
      <c r="B18" s="68" t="s">
        <v>38</v>
      </c>
      <c r="C18" s="69">
        <v>13.3</v>
      </c>
      <c r="D18" s="69">
        <v>212</v>
      </c>
      <c r="E18" s="69">
        <v>367.5</v>
      </c>
      <c r="F18" s="69">
        <v>184</v>
      </c>
      <c r="G18" s="38" t="s">
        <v>65</v>
      </c>
      <c r="H18" s="38" t="s">
        <v>65</v>
      </c>
      <c r="I18" s="38" t="s">
        <v>65</v>
      </c>
      <c r="J18" s="38" t="s">
        <v>65</v>
      </c>
      <c r="K18" s="38" t="s">
        <v>65</v>
      </c>
      <c r="L18" s="38" t="s">
        <v>65</v>
      </c>
      <c r="M18" s="4"/>
    </row>
    <row r="19" spans="1:13" ht="20.100000000000001" customHeight="1">
      <c r="A19" s="493"/>
      <c r="B19" s="66" t="s">
        <v>82</v>
      </c>
      <c r="C19" s="67">
        <v>2088.09</v>
      </c>
      <c r="D19" s="67">
        <v>2216.54</v>
      </c>
      <c r="E19" s="67">
        <v>80.36</v>
      </c>
      <c r="F19" s="67">
        <v>0</v>
      </c>
      <c r="G19" s="67">
        <v>0.01</v>
      </c>
      <c r="H19" s="67">
        <v>0</v>
      </c>
      <c r="I19" s="67">
        <v>0</v>
      </c>
      <c r="J19" s="67">
        <v>0</v>
      </c>
      <c r="K19" s="67">
        <v>0</v>
      </c>
      <c r="L19" s="67">
        <v>0</v>
      </c>
      <c r="M19" s="4"/>
    </row>
    <row r="20" spans="1:13" ht="20.100000000000001" customHeight="1">
      <c r="A20" s="493"/>
      <c r="B20" s="68" t="s">
        <v>138</v>
      </c>
      <c r="C20" s="72">
        <v>2088.09</v>
      </c>
      <c r="D20" s="69">
        <v>2216.54</v>
      </c>
      <c r="E20" s="69">
        <v>80.36</v>
      </c>
      <c r="F20" s="69">
        <v>0</v>
      </c>
      <c r="G20" s="69">
        <v>0.01</v>
      </c>
      <c r="H20" s="69">
        <v>0</v>
      </c>
      <c r="I20" s="69">
        <v>0</v>
      </c>
      <c r="J20" s="69">
        <v>0</v>
      </c>
      <c r="K20" s="69">
        <v>0</v>
      </c>
      <c r="L20" s="69">
        <v>0</v>
      </c>
      <c r="M20" s="4"/>
    </row>
    <row r="21" spans="1:13" ht="20.100000000000001" customHeight="1">
      <c r="A21" s="444"/>
      <c r="B21" s="66" t="s">
        <v>13</v>
      </c>
      <c r="C21" s="67">
        <v>0.36</v>
      </c>
      <c r="D21" s="67">
        <v>0.48</v>
      </c>
      <c r="E21" s="67">
        <v>0.55000000000000004</v>
      </c>
      <c r="F21" s="67">
        <v>1.17</v>
      </c>
      <c r="G21" s="67">
        <v>0.22</v>
      </c>
      <c r="H21" s="67">
        <v>0.2</v>
      </c>
      <c r="I21" s="67">
        <v>0.03</v>
      </c>
      <c r="J21" s="67">
        <v>0</v>
      </c>
      <c r="K21" s="67">
        <v>0</v>
      </c>
      <c r="L21" s="67">
        <v>0</v>
      </c>
      <c r="M21" s="4"/>
    </row>
    <row r="22" spans="1:13" ht="20.100000000000001" customHeight="1">
      <c r="A22" s="493"/>
      <c r="B22" s="68" t="s">
        <v>14</v>
      </c>
      <c r="C22" s="72">
        <v>0.36</v>
      </c>
      <c r="D22" s="69">
        <v>0.48</v>
      </c>
      <c r="E22" s="69">
        <v>0.55000000000000004</v>
      </c>
      <c r="F22" s="69">
        <v>1.17</v>
      </c>
      <c r="G22" s="69">
        <v>0.22</v>
      </c>
      <c r="H22" s="69">
        <v>0.2</v>
      </c>
      <c r="I22" s="69">
        <v>0.03</v>
      </c>
      <c r="J22" s="69">
        <v>0</v>
      </c>
      <c r="K22" s="69">
        <v>0</v>
      </c>
      <c r="L22" s="69">
        <v>0</v>
      </c>
      <c r="M22" s="4"/>
    </row>
    <row r="23" spans="1:13" ht="20.100000000000001" customHeight="1">
      <c r="A23" s="493" t="s">
        <v>139</v>
      </c>
      <c r="B23" s="66" t="s">
        <v>25</v>
      </c>
      <c r="C23" s="67">
        <v>4.2</v>
      </c>
      <c r="D23" s="67">
        <v>4706.43</v>
      </c>
      <c r="E23" s="67">
        <v>16008.99</v>
      </c>
      <c r="F23" s="67">
        <v>2236.06</v>
      </c>
      <c r="G23" s="67">
        <v>0.39</v>
      </c>
      <c r="H23" s="67">
        <v>2.9</v>
      </c>
      <c r="I23" s="67">
        <v>0.47</v>
      </c>
      <c r="J23" s="67">
        <v>0.08</v>
      </c>
      <c r="K23" s="67">
        <v>0</v>
      </c>
      <c r="L23" s="67">
        <v>301.25</v>
      </c>
      <c r="M23" s="4"/>
    </row>
    <row r="24" spans="1:13" ht="20.100000000000001" customHeight="1">
      <c r="A24" s="493"/>
      <c r="B24" s="68" t="s">
        <v>26</v>
      </c>
      <c r="C24" s="72">
        <v>2.5499999999999998</v>
      </c>
      <c r="D24" s="69">
        <v>2057.4299999999998</v>
      </c>
      <c r="E24" s="69">
        <v>11371.65</v>
      </c>
      <c r="F24" s="69">
        <v>1008.12</v>
      </c>
      <c r="G24" s="69">
        <v>0</v>
      </c>
      <c r="H24" s="69">
        <v>1.21</v>
      </c>
      <c r="I24" s="69">
        <v>0.35</v>
      </c>
      <c r="J24" s="69">
        <v>0.08</v>
      </c>
      <c r="K24" s="69">
        <v>0</v>
      </c>
      <c r="L24" s="69">
        <v>132.47</v>
      </c>
      <c r="M24" s="4"/>
    </row>
    <row r="25" spans="1:13" ht="20.100000000000001" customHeight="1">
      <c r="A25" s="493"/>
      <c r="B25" s="68" t="s">
        <v>140</v>
      </c>
      <c r="C25" s="72">
        <v>0.55000000000000004</v>
      </c>
      <c r="D25" s="69">
        <v>739.22</v>
      </c>
      <c r="E25" s="69">
        <v>3263.59</v>
      </c>
      <c r="F25" s="69">
        <v>338.95</v>
      </c>
      <c r="G25" s="69">
        <v>0.38</v>
      </c>
      <c r="H25" s="69">
        <v>0.75</v>
      </c>
      <c r="I25" s="69">
        <v>0.06</v>
      </c>
      <c r="J25" s="69">
        <v>0.01</v>
      </c>
      <c r="K25" s="69">
        <v>0</v>
      </c>
      <c r="L25" s="69">
        <v>45.41</v>
      </c>
      <c r="M25" s="4"/>
    </row>
    <row r="26" spans="1:13" ht="20.100000000000001" customHeight="1">
      <c r="A26" s="493"/>
      <c r="B26" s="68" t="s">
        <v>29</v>
      </c>
      <c r="C26" s="72">
        <v>1.1100000000000001</v>
      </c>
      <c r="D26" s="73">
        <v>1909.79</v>
      </c>
      <c r="E26" s="73">
        <v>1373.75</v>
      </c>
      <c r="F26" s="73">
        <v>888.99</v>
      </c>
      <c r="G26" s="73">
        <v>0</v>
      </c>
      <c r="H26" s="73">
        <v>0.95</v>
      </c>
      <c r="I26" s="73">
        <v>0.06</v>
      </c>
      <c r="J26" s="73">
        <v>0</v>
      </c>
      <c r="K26" s="73">
        <v>0</v>
      </c>
      <c r="L26" s="73">
        <v>123.37</v>
      </c>
      <c r="M26" s="4"/>
    </row>
    <row r="27" spans="1:13" ht="20.100000000000001" customHeight="1">
      <c r="A27" s="65" t="s">
        <v>141</v>
      </c>
      <c r="B27" s="74" t="s">
        <v>142</v>
      </c>
      <c r="C27" s="75">
        <v>2202.4</v>
      </c>
      <c r="D27" s="75">
        <v>13120.33</v>
      </c>
      <c r="E27" s="75">
        <v>22707.06</v>
      </c>
      <c r="F27" s="75">
        <v>6951.83</v>
      </c>
      <c r="G27" s="75">
        <v>0.62</v>
      </c>
      <c r="H27" s="75">
        <v>3.1</v>
      </c>
      <c r="I27" s="75">
        <v>0.73</v>
      </c>
      <c r="J27" s="75">
        <v>0.09</v>
      </c>
      <c r="K27" s="75">
        <v>0</v>
      </c>
      <c r="L27" s="75">
        <v>720.48</v>
      </c>
      <c r="M27" s="4"/>
    </row>
    <row r="28" spans="1:13" ht="75" customHeight="1">
      <c r="A28" s="491" t="s">
        <v>143</v>
      </c>
      <c r="B28" s="491"/>
      <c r="C28" s="491"/>
      <c r="D28" s="491"/>
      <c r="E28" s="491"/>
      <c r="F28" s="491"/>
      <c r="G28" s="491"/>
      <c r="H28" s="491"/>
      <c r="I28" s="491"/>
      <c r="J28" s="491"/>
      <c r="K28" s="491"/>
      <c r="L28" s="491"/>
    </row>
    <row r="29" spans="1:13" ht="60" customHeight="1"/>
    <row r="30" spans="1:13" ht="30" customHeight="1">
      <c r="A30" s="41" t="s">
        <v>144</v>
      </c>
      <c r="B30" s="42" t="s">
        <v>145</v>
      </c>
      <c r="C30" s="28">
        <v>2015</v>
      </c>
      <c r="D30" s="28">
        <v>2016</v>
      </c>
      <c r="E30" s="28">
        <v>2017</v>
      </c>
      <c r="F30" s="28">
        <v>2018</v>
      </c>
      <c r="G30" s="28">
        <v>2019</v>
      </c>
      <c r="H30" s="4"/>
      <c r="I30" s="14"/>
    </row>
    <row r="31" spans="1:13" ht="20.100000000000001" customHeight="1">
      <c r="A31" s="47" t="s">
        <v>1089</v>
      </c>
      <c r="B31" s="47" t="s">
        <v>146</v>
      </c>
      <c r="C31" s="76">
        <v>34</v>
      </c>
      <c r="D31" s="77">
        <v>0.1</v>
      </c>
      <c r="E31" s="77">
        <v>1.5</v>
      </c>
      <c r="F31" s="76">
        <v>1.6</v>
      </c>
      <c r="G31" s="76">
        <v>2.2000000000000002</v>
      </c>
      <c r="H31" s="4"/>
      <c r="I31" s="14"/>
    </row>
    <row r="32" spans="1:13" ht="20.100000000000001" customHeight="1">
      <c r="A32" s="47" t="s">
        <v>147</v>
      </c>
      <c r="B32" s="47" t="s">
        <v>146</v>
      </c>
      <c r="C32" s="77">
        <v>7.1</v>
      </c>
      <c r="D32" s="77">
        <v>5.5</v>
      </c>
      <c r="E32" s="77">
        <v>6.9</v>
      </c>
      <c r="F32" s="77">
        <v>6.2</v>
      </c>
      <c r="G32" s="76">
        <v>13.1</v>
      </c>
      <c r="H32" s="4"/>
      <c r="I32" s="14"/>
    </row>
    <row r="33" spans="1:12" ht="20.100000000000001" customHeight="1">
      <c r="A33" s="47" t="s">
        <v>148</v>
      </c>
      <c r="B33" s="47" t="s">
        <v>146</v>
      </c>
      <c r="C33" s="77">
        <v>19.8</v>
      </c>
      <c r="D33" s="77">
        <v>17.3</v>
      </c>
      <c r="E33" s="77">
        <v>16.7</v>
      </c>
      <c r="F33" s="77">
        <v>16.600000000000001</v>
      </c>
      <c r="G33" s="76">
        <v>22.7</v>
      </c>
      <c r="H33" s="4"/>
      <c r="I33" s="14"/>
    </row>
    <row r="34" spans="1:12" ht="20.100000000000001" customHeight="1">
      <c r="A34" s="47" t="s">
        <v>122</v>
      </c>
      <c r="B34" s="47" t="s">
        <v>146</v>
      </c>
      <c r="C34" s="77">
        <v>2.6</v>
      </c>
      <c r="D34" s="77">
        <v>3.4</v>
      </c>
      <c r="E34" s="76">
        <v>3</v>
      </c>
      <c r="F34" s="77">
        <v>2.8</v>
      </c>
      <c r="G34" s="76">
        <v>7</v>
      </c>
      <c r="H34" s="4"/>
      <c r="I34" s="14"/>
    </row>
    <row r="35" spans="1:12" ht="20.100000000000001" customHeight="1">
      <c r="A35" s="47" t="s">
        <v>123</v>
      </c>
      <c r="B35" s="47" t="s">
        <v>149</v>
      </c>
      <c r="C35" s="77">
        <v>2.4</v>
      </c>
      <c r="D35" s="77">
        <v>0.4</v>
      </c>
      <c r="E35" s="77">
        <v>0.7</v>
      </c>
      <c r="F35" s="77">
        <v>0.6</v>
      </c>
      <c r="G35" s="76">
        <v>0.6</v>
      </c>
      <c r="H35" s="4"/>
      <c r="I35" s="14"/>
      <c r="J35" s="10"/>
      <c r="K35" s="35"/>
      <c r="L35" s="35"/>
    </row>
    <row r="36" spans="1:12" ht="20.100000000000001" customHeight="1">
      <c r="A36" s="47" t="s">
        <v>124</v>
      </c>
      <c r="B36" s="47" t="s">
        <v>149</v>
      </c>
      <c r="C36" s="77">
        <v>3.9</v>
      </c>
      <c r="D36" s="77">
        <v>3.4</v>
      </c>
      <c r="E36" s="76">
        <v>3</v>
      </c>
      <c r="F36" s="77">
        <v>2.8</v>
      </c>
      <c r="G36" s="76">
        <v>3.1</v>
      </c>
      <c r="H36" s="4"/>
      <c r="I36" s="14"/>
    </row>
    <row r="37" spans="1:12" ht="20.100000000000001" customHeight="1">
      <c r="A37" s="47" t="s">
        <v>125</v>
      </c>
      <c r="B37" s="47" t="s">
        <v>149</v>
      </c>
      <c r="C37" s="77">
        <v>0.6</v>
      </c>
      <c r="D37" s="77">
        <v>0.6</v>
      </c>
      <c r="E37" s="77">
        <v>0.6</v>
      </c>
      <c r="F37" s="77">
        <v>0.6</v>
      </c>
      <c r="G37" s="76">
        <v>0.7</v>
      </c>
      <c r="H37" s="4"/>
      <c r="I37" s="14"/>
    </row>
    <row r="38" spans="1:12" ht="20.100000000000001" customHeight="1">
      <c r="A38" s="47" t="s">
        <v>126</v>
      </c>
      <c r="B38" s="47" t="s">
        <v>149</v>
      </c>
      <c r="C38" s="77">
        <v>0.1</v>
      </c>
      <c r="D38" s="77">
        <v>0.1</v>
      </c>
      <c r="E38" s="77">
        <v>0.1</v>
      </c>
      <c r="F38" s="77">
        <v>0.1</v>
      </c>
      <c r="G38" s="76">
        <v>0.1</v>
      </c>
      <c r="H38" s="4"/>
      <c r="I38" s="14"/>
    </row>
    <row r="39" spans="1:12" ht="20.100000000000001" customHeight="1">
      <c r="A39" s="47" t="s">
        <v>127</v>
      </c>
      <c r="B39" s="47" t="s">
        <v>149</v>
      </c>
      <c r="C39" s="38" t="s">
        <v>65</v>
      </c>
      <c r="D39" s="38" t="s">
        <v>150</v>
      </c>
      <c r="E39" s="38" t="s">
        <v>150</v>
      </c>
      <c r="F39" s="38" t="s">
        <v>150</v>
      </c>
      <c r="G39" s="38" t="s">
        <v>150</v>
      </c>
      <c r="H39" s="4"/>
      <c r="I39" s="14"/>
    </row>
    <row r="40" spans="1:12" ht="20.100000000000001" customHeight="1">
      <c r="A40" s="47" t="s">
        <v>128</v>
      </c>
      <c r="B40" s="47" t="s">
        <v>146</v>
      </c>
      <c r="C40" s="38" t="s">
        <v>65</v>
      </c>
      <c r="D40" s="77">
        <v>0.5</v>
      </c>
      <c r="E40" s="77">
        <v>0.4</v>
      </c>
      <c r="F40" s="77">
        <v>0.3</v>
      </c>
      <c r="G40" s="76">
        <v>0.7</v>
      </c>
      <c r="H40" s="4"/>
      <c r="I40" s="14"/>
    </row>
    <row r="41" spans="1:12" ht="118.5" customHeight="1">
      <c r="A41" s="491" t="s">
        <v>1090</v>
      </c>
      <c r="B41" s="491"/>
      <c r="C41" s="491"/>
      <c r="D41" s="491"/>
      <c r="E41" s="491"/>
      <c r="F41" s="491"/>
      <c r="G41" s="491"/>
    </row>
    <row r="42" spans="1:12" ht="16.7" customHeight="1">
      <c r="B42" s="78"/>
      <c r="E42" s="78"/>
      <c r="F42" s="78"/>
      <c r="G42" s="78"/>
    </row>
    <row r="43" spans="1:12" ht="16.7" customHeight="1">
      <c r="B43" s="78"/>
      <c r="E43" s="78"/>
      <c r="F43" s="78"/>
      <c r="G43" s="78"/>
    </row>
    <row r="44" spans="1:12" ht="16.7" customHeight="1">
      <c r="B44" s="78"/>
      <c r="E44" s="78"/>
      <c r="F44" s="78"/>
      <c r="G44" s="78"/>
    </row>
    <row r="45" spans="1:12" ht="16.7" customHeight="1">
      <c r="B45" s="35"/>
      <c r="E45" s="35"/>
      <c r="F45" s="35"/>
      <c r="G45" s="35"/>
    </row>
    <row r="46" spans="1:12" ht="16.7" customHeight="1">
      <c r="A46" s="35"/>
      <c r="B46" s="35"/>
      <c r="E46" s="35"/>
      <c r="F46" s="35"/>
      <c r="G46" s="35"/>
    </row>
    <row r="47" spans="1:12" ht="16.7" customHeight="1">
      <c r="B47" s="35"/>
      <c r="E47" s="35"/>
      <c r="F47" s="35"/>
      <c r="G47" s="35"/>
    </row>
    <row r="48" spans="1:12" ht="16.7" customHeight="1">
      <c r="B48" s="35"/>
      <c r="E48" s="35"/>
      <c r="F48" s="35"/>
      <c r="G48" s="35"/>
    </row>
    <row r="49" spans="2:7" ht="16.7" customHeight="1">
      <c r="B49" s="35"/>
      <c r="E49" s="35"/>
      <c r="F49" s="35"/>
      <c r="G49" s="35"/>
    </row>
    <row r="50" spans="2:7" ht="16.7" customHeight="1">
      <c r="B50" s="35"/>
      <c r="E50" s="35"/>
      <c r="F50" s="35"/>
      <c r="G50" s="35"/>
    </row>
    <row r="51" spans="2:7" ht="16.7" customHeight="1">
      <c r="B51" s="35"/>
      <c r="E51" s="35"/>
      <c r="F51" s="35"/>
      <c r="G51" s="35"/>
    </row>
    <row r="52" spans="2:7" ht="16.7" customHeight="1">
      <c r="B52" s="35"/>
      <c r="E52" s="35"/>
      <c r="F52" s="35"/>
      <c r="G52" s="35"/>
    </row>
    <row r="53" spans="2:7" ht="16.7" customHeight="1">
      <c r="B53" s="35"/>
      <c r="E53" s="35"/>
      <c r="F53" s="35"/>
      <c r="G53" s="35"/>
    </row>
    <row r="54" spans="2:7" ht="16.7" customHeight="1">
      <c r="B54" s="35"/>
      <c r="E54" s="35"/>
      <c r="F54" s="35"/>
      <c r="G54" s="35"/>
    </row>
    <row r="55" spans="2:7" ht="16.7" customHeight="1">
      <c r="B55" s="35"/>
      <c r="E55" s="35"/>
      <c r="F55" s="35"/>
      <c r="G55" s="35"/>
    </row>
    <row r="56" spans="2:7" ht="16.7" customHeight="1">
      <c r="B56" s="35"/>
      <c r="E56" s="35"/>
      <c r="F56" s="35"/>
      <c r="G56" s="35"/>
    </row>
    <row r="57" spans="2:7" ht="17.45" customHeight="1">
      <c r="B57" s="35"/>
      <c r="F57" s="35"/>
      <c r="G57" s="35"/>
    </row>
  </sheetData>
  <sheetProtection algorithmName="SHA-512" hashValue="/tSVTav0C88kVLkzd/qrufzRdazMDhFphsdBW5Vbbsd+B7e6uo3J/mpGKIQz3VRzPfzsgMFdYM4RTDuz/ubtvA==" saltValue="kPLPVLXwAJkZZ78UpZx8mw==" spinCount="100000" sheet="1" objects="1" scenarios="1"/>
  <customSheetViews>
    <customSheetView guid="{5E62BE79-A4FD-4E7A-98EF-5A09C5274723}" showGridLines="0" showRuler="0" topLeftCell="A34">
      <selection activeCell="D38" sqref="D38"/>
      <pageMargins left="0.75" right="0.75" top="1" bottom="1" header="0.5" footer="0.5"/>
    </customSheetView>
  </customSheetViews>
  <mergeCells count="7">
    <mergeCell ref="A28:L28"/>
    <mergeCell ref="A41:G41"/>
    <mergeCell ref="A1:F1"/>
    <mergeCell ref="A4:A6"/>
    <mergeCell ref="A7:A16"/>
    <mergeCell ref="A17:A22"/>
    <mergeCell ref="A23:A26"/>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M47"/>
  <sheetViews>
    <sheetView showGridLines="0" showRuler="0" workbookViewId="0">
      <selection activeCell="C5" sqref="C5"/>
    </sheetView>
  </sheetViews>
  <sheetFormatPr baseColWidth="10" defaultColWidth="13.7109375" defaultRowHeight="12.75"/>
  <cols>
    <col min="1" max="1" width="33.42578125" customWidth="1"/>
    <col min="2" max="3" width="37" customWidth="1"/>
    <col min="4" max="4" width="42" customWidth="1"/>
    <col min="5" max="6" width="37" customWidth="1"/>
  </cols>
  <sheetData>
    <row r="1" spans="1:13" ht="15.75">
      <c r="A1" s="494" t="s">
        <v>993</v>
      </c>
      <c r="B1" s="494"/>
      <c r="C1" s="494"/>
      <c r="D1" s="14"/>
      <c r="G1" s="495"/>
      <c r="H1" s="459"/>
      <c r="I1" s="459"/>
      <c r="J1" s="459"/>
      <c r="K1" s="459"/>
      <c r="L1" s="459"/>
      <c r="M1" s="459"/>
    </row>
    <row r="2" spans="1:13" ht="60" customHeight="1"/>
    <row r="3" spans="1:13" ht="30" customHeight="1">
      <c r="A3" s="2" t="s">
        <v>151</v>
      </c>
      <c r="B3" s="3" t="s">
        <v>152</v>
      </c>
      <c r="C3" s="79" t="s">
        <v>153</v>
      </c>
      <c r="D3" s="4"/>
    </row>
    <row r="4" spans="1:13" ht="20.100000000000001" customHeight="1">
      <c r="A4" s="493" t="s">
        <v>129</v>
      </c>
      <c r="B4" s="80" t="s">
        <v>80</v>
      </c>
      <c r="C4" s="81">
        <v>18</v>
      </c>
      <c r="D4" s="4"/>
    </row>
    <row r="5" spans="1:13" ht="20.100000000000001" customHeight="1">
      <c r="A5" s="493"/>
      <c r="B5" s="82" t="s">
        <v>130</v>
      </c>
      <c r="C5" s="83">
        <v>0</v>
      </c>
      <c r="D5" s="4"/>
    </row>
    <row r="6" spans="1:13" ht="20.100000000000001" customHeight="1">
      <c r="A6" s="493"/>
      <c r="B6" s="82" t="s">
        <v>131</v>
      </c>
      <c r="C6" s="83">
        <v>18</v>
      </c>
      <c r="D6" s="4"/>
    </row>
    <row r="7" spans="1:13" ht="20.100000000000001" customHeight="1">
      <c r="A7" s="493" t="s">
        <v>132</v>
      </c>
      <c r="B7" s="80" t="s">
        <v>81</v>
      </c>
      <c r="C7" s="81">
        <v>6</v>
      </c>
      <c r="D7" s="4"/>
    </row>
    <row r="8" spans="1:13" ht="20.100000000000001" customHeight="1">
      <c r="A8" s="493"/>
      <c r="B8" s="82" t="s">
        <v>133</v>
      </c>
      <c r="C8" s="83">
        <v>6</v>
      </c>
      <c r="D8" s="4"/>
    </row>
    <row r="9" spans="1:13" ht="20.100000000000001" customHeight="1">
      <c r="A9" s="493"/>
      <c r="B9" s="80" t="s">
        <v>5</v>
      </c>
      <c r="C9" s="81">
        <v>5</v>
      </c>
      <c r="D9" s="4"/>
    </row>
    <row r="10" spans="1:13" ht="20.100000000000001" customHeight="1">
      <c r="A10" s="493"/>
      <c r="B10" s="82" t="s">
        <v>39</v>
      </c>
      <c r="C10" s="83">
        <v>1</v>
      </c>
      <c r="D10" s="4"/>
      <c r="E10" s="84"/>
    </row>
    <row r="11" spans="1:13" ht="20.100000000000001" customHeight="1">
      <c r="A11" s="493"/>
      <c r="B11" s="82" t="s">
        <v>135</v>
      </c>
      <c r="C11" s="83">
        <v>1</v>
      </c>
      <c r="D11" s="4"/>
    </row>
    <row r="12" spans="1:13" ht="20.100000000000001" customHeight="1">
      <c r="A12" s="493"/>
      <c r="B12" s="82" t="s">
        <v>6</v>
      </c>
      <c r="C12" s="83">
        <v>1</v>
      </c>
      <c r="D12" s="4"/>
    </row>
    <row r="13" spans="1:13" ht="20.100000000000001" customHeight="1">
      <c r="A13" s="493"/>
      <c r="B13" s="82" t="s">
        <v>136</v>
      </c>
      <c r="C13" s="83">
        <v>2</v>
      </c>
      <c r="D13" s="4"/>
    </row>
    <row r="14" spans="1:13" ht="20.100000000000001" customHeight="1">
      <c r="A14" s="493"/>
      <c r="B14" s="80" t="s">
        <v>9</v>
      </c>
      <c r="C14" s="81">
        <v>11</v>
      </c>
      <c r="D14" s="4"/>
    </row>
    <row r="15" spans="1:13" ht="20.100000000000001" customHeight="1">
      <c r="A15" s="493"/>
      <c r="B15" s="85" t="s">
        <v>10</v>
      </c>
      <c r="C15" s="83">
        <v>11</v>
      </c>
      <c r="D15" s="4"/>
    </row>
    <row r="16" spans="1:13" ht="20.100000000000001" customHeight="1">
      <c r="A16" s="493" t="s">
        <v>137</v>
      </c>
      <c r="B16" s="80" t="s">
        <v>37</v>
      </c>
      <c r="C16" s="81">
        <v>3</v>
      </c>
      <c r="D16" s="4"/>
    </row>
    <row r="17" spans="1:8" ht="20.100000000000001" customHeight="1">
      <c r="A17" s="493"/>
      <c r="B17" s="85" t="s">
        <v>38</v>
      </c>
      <c r="C17" s="83">
        <v>3</v>
      </c>
      <c r="D17" s="4"/>
    </row>
    <row r="18" spans="1:8" ht="20.100000000000001" customHeight="1">
      <c r="A18" s="493"/>
      <c r="B18" s="80" t="s">
        <v>82</v>
      </c>
      <c r="C18" s="81">
        <v>17</v>
      </c>
      <c r="D18" s="4"/>
      <c r="E18" s="84"/>
      <c r="F18" s="84"/>
    </row>
    <row r="19" spans="1:8" ht="20.100000000000001" customHeight="1">
      <c r="A19" s="493"/>
      <c r="B19" s="85" t="s">
        <v>138</v>
      </c>
      <c r="C19" s="83">
        <v>17</v>
      </c>
      <c r="D19" s="4"/>
    </row>
    <row r="20" spans="1:8" ht="20.100000000000001" customHeight="1">
      <c r="A20" s="493"/>
      <c r="B20" s="80" t="s">
        <v>13</v>
      </c>
      <c r="C20" s="81">
        <v>3</v>
      </c>
      <c r="D20" s="4"/>
    </row>
    <row r="21" spans="1:8" ht="20.100000000000001" customHeight="1">
      <c r="A21" s="493"/>
      <c r="B21" s="85" t="s">
        <v>14</v>
      </c>
      <c r="C21" s="83">
        <v>3</v>
      </c>
      <c r="D21" s="4"/>
    </row>
    <row r="22" spans="1:8" ht="20.100000000000001" customHeight="1">
      <c r="A22" s="493" t="s">
        <v>154</v>
      </c>
      <c r="B22" s="80" t="s">
        <v>25</v>
      </c>
      <c r="C22" s="81">
        <v>108</v>
      </c>
      <c r="D22" s="4"/>
      <c r="G22" s="84"/>
    </row>
    <row r="23" spans="1:8" ht="20.100000000000001" customHeight="1">
      <c r="A23" s="493"/>
      <c r="B23" s="82" t="s">
        <v>26</v>
      </c>
      <c r="C23" s="83">
        <v>53</v>
      </c>
      <c r="D23" s="4"/>
      <c r="G23" s="84"/>
    </row>
    <row r="24" spans="1:8" ht="20.100000000000001" customHeight="1">
      <c r="A24" s="493"/>
      <c r="B24" s="82" t="s">
        <v>140</v>
      </c>
      <c r="C24" s="83">
        <v>30</v>
      </c>
      <c r="D24" s="4"/>
      <c r="G24" s="84"/>
    </row>
    <row r="25" spans="1:8" ht="20.100000000000001" customHeight="1">
      <c r="A25" s="493"/>
      <c r="B25" s="82" t="s">
        <v>29</v>
      </c>
      <c r="C25" s="83">
        <v>25</v>
      </c>
      <c r="D25" s="4"/>
    </row>
    <row r="26" spans="1:8" ht="20.100000000000001" customHeight="1">
      <c r="A26" s="86" t="s">
        <v>155</v>
      </c>
      <c r="B26" s="87" t="s">
        <v>85</v>
      </c>
      <c r="C26" s="88">
        <v>171</v>
      </c>
      <c r="D26" s="89"/>
    </row>
    <row r="27" spans="1:8" ht="54" customHeight="1">
      <c r="A27" s="480" t="s">
        <v>156</v>
      </c>
      <c r="B27" s="480"/>
      <c r="C27" s="480"/>
    </row>
    <row r="28" spans="1:8" ht="60" customHeight="1">
      <c r="A28" s="496"/>
      <c r="B28" s="459"/>
      <c r="C28" s="459"/>
      <c r="D28" s="377"/>
      <c r="F28" s="90"/>
    </row>
    <row r="29" spans="1:8" ht="26.65" customHeight="1">
      <c r="A29" s="2" t="s">
        <v>157</v>
      </c>
      <c r="B29" s="91" t="s">
        <v>158</v>
      </c>
      <c r="C29" s="91" t="s">
        <v>159</v>
      </c>
      <c r="D29" s="91" t="s">
        <v>160</v>
      </c>
      <c r="E29" s="79" t="s">
        <v>161</v>
      </c>
      <c r="F29" s="91">
        <v>2019</v>
      </c>
      <c r="G29" s="4"/>
      <c r="H29" s="14"/>
    </row>
    <row r="30" spans="1:8" ht="20.100000000000001" customHeight="1">
      <c r="A30" s="92" t="s">
        <v>85</v>
      </c>
      <c r="B30" s="93">
        <v>244</v>
      </c>
      <c r="C30" s="93">
        <v>129</v>
      </c>
      <c r="D30" s="93">
        <v>117</v>
      </c>
      <c r="E30" s="93">
        <v>609</v>
      </c>
      <c r="F30" s="93">
        <v>171</v>
      </c>
      <c r="G30" s="4"/>
      <c r="H30" s="14"/>
    </row>
    <row r="31" spans="1:8" ht="20.100000000000001" customHeight="1">
      <c r="A31" s="92" t="s">
        <v>162</v>
      </c>
      <c r="B31" s="94">
        <v>0</v>
      </c>
      <c r="C31" s="94">
        <v>0</v>
      </c>
      <c r="D31" s="94">
        <v>0</v>
      </c>
      <c r="E31" s="94">
        <v>0</v>
      </c>
      <c r="F31" s="94">
        <v>1</v>
      </c>
      <c r="G31" s="4"/>
      <c r="H31" s="14"/>
    </row>
    <row r="32" spans="1:8" ht="20.100000000000001" customHeight="1">
      <c r="A32" s="92" t="s">
        <v>163</v>
      </c>
      <c r="B32" s="94">
        <v>1</v>
      </c>
      <c r="C32" s="94">
        <v>0</v>
      </c>
      <c r="D32" s="94">
        <v>0</v>
      </c>
      <c r="E32" s="94">
        <v>0</v>
      </c>
      <c r="F32" s="94">
        <v>0</v>
      </c>
      <c r="G32" s="4"/>
      <c r="H32" s="14"/>
    </row>
    <row r="33" spans="1:8" ht="20.100000000000001" customHeight="1">
      <c r="A33" s="92" t="s">
        <v>164</v>
      </c>
      <c r="B33" s="94">
        <v>0</v>
      </c>
      <c r="C33" s="94">
        <v>0</v>
      </c>
      <c r="D33" s="94">
        <v>0</v>
      </c>
      <c r="E33" s="94">
        <v>2</v>
      </c>
      <c r="F33" s="94">
        <v>3</v>
      </c>
      <c r="G33" s="4"/>
      <c r="H33" s="14"/>
    </row>
    <row r="34" spans="1:8" ht="20.100000000000001" customHeight="1">
      <c r="A34" s="92" t="s">
        <v>165</v>
      </c>
      <c r="B34" s="94">
        <v>3</v>
      </c>
      <c r="C34" s="94">
        <v>1</v>
      </c>
      <c r="D34" s="94">
        <v>2</v>
      </c>
      <c r="E34" s="94">
        <v>1</v>
      </c>
      <c r="F34" s="94">
        <v>3</v>
      </c>
      <c r="G34" s="4"/>
      <c r="H34" s="14"/>
    </row>
    <row r="35" spans="1:8" ht="20.100000000000001" customHeight="1">
      <c r="A35" s="92" t="s">
        <v>166</v>
      </c>
      <c r="B35" s="94">
        <v>240</v>
      </c>
      <c r="C35" s="94">
        <v>128</v>
      </c>
      <c r="D35" s="94">
        <v>110</v>
      </c>
      <c r="E35" s="94">
        <v>84</v>
      </c>
      <c r="F35" s="94">
        <v>74</v>
      </c>
      <c r="G35" s="4"/>
      <c r="H35" s="14"/>
    </row>
    <row r="36" spans="1:8" ht="20.100000000000001" customHeight="1">
      <c r="A36" s="92" t="s">
        <v>167</v>
      </c>
      <c r="B36" s="94">
        <v>0</v>
      </c>
      <c r="C36" s="94">
        <v>0</v>
      </c>
      <c r="D36" s="94">
        <v>5</v>
      </c>
      <c r="E36" s="94">
        <v>522</v>
      </c>
      <c r="F36" s="94">
        <v>90</v>
      </c>
      <c r="G36" s="4"/>
      <c r="H36" s="14"/>
    </row>
    <row r="37" spans="1:8" ht="53.25" customHeight="1">
      <c r="A37" s="480" t="s">
        <v>168</v>
      </c>
      <c r="B37" s="480"/>
      <c r="C37" s="480"/>
      <c r="D37" s="480"/>
      <c r="E37" s="480"/>
      <c r="F37" s="480"/>
    </row>
    <row r="38" spans="1:8" ht="60" customHeight="1">
      <c r="B38" s="95"/>
    </row>
    <row r="39" spans="1:8" ht="50.85" customHeight="1">
      <c r="A39" s="2" t="s">
        <v>169</v>
      </c>
      <c r="B39" s="3" t="s">
        <v>170</v>
      </c>
      <c r="C39" s="3" t="s">
        <v>171</v>
      </c>
      <c r="D39" s="3" t="s">
        <v>172</v>
      </c>
      <c r="E39" s="3" t="s">
        <v>173</v>
      </c>
      <c r="F39" s="20"/>
      <c r="G39" s="35"/>
      <c r="H39" s="35"/>
    </row>
    <row r="40" spans="1:8" ht="134.1" customHeight="1">
      <c r="A40" s="56" t="s">
        <v>174</v>
      </c>
      <c r="B40" s="56" t="s">
        <v>175</v>
      </c>
      <c r="C40" s="56" t="s">
        <v>176</v>
      </c>
      <c r="D40" s="47" t="s">
        <v>177</v>
      </c>
      <c r="E40" s="56" t="s">
        <v>178</v>
      </c>
      <c r="F40" s="20"/>
      <c r="G40" s="35"/>
      <c r="H40" s="35"/>
    </row>
    <row r="41" spans="1:8" ht="76.7" customHeight="1">
      <c r="A41" s="56" t="s">
        <v>179</v>
      </c>
      <c r="B41" s="56" t="s">
        <v>180</v>
      </c>
      <c r="C41" s="56" t="s">
        <v>181</v>
      </c>
      <c r="D41" s="56" t="s">
        <v>182</v>
      </c>
      <c r="E41" s="56" t="s">
        <v>183</v>
      </c>
      <c r="F41" s="20"/>
      <c r="G41" s="35"/>
      <c r="H41" s="35"/>
    </row>
    <row r="42" spans="1:8" ht="110.1" customHeight="1">
      <c r="A42" s="56" t="s">
        <v>184</v>
      </c>
      <c r="B42" s="56" t="s">
        <v>185</v>
      </c>
      <c r="C42" s="56" t="s">
        <v>186</v>
      </c>
      <c r="D42" s="56" t="s">
        <v>187</v>
      </c>
      <c r="E42" s="56" t="s">
        <v>188</v>
      </c>
      <c r="F42" s="20"/>
      <c r="G42" s="35"/>
      <c r="H42" s="35"/>
    </row>
    <row r="43" spans="1:8" ht="143.25" customHeight="1">
      <c r="A43" s="56" t="s">
        <v>189</v>
      </c>
      <c r="B43" s="56" t="s">
        <v>190</v>
      </c>
      <c r="C43" s="56" t="s">
        <v>191</v>
      </c>
      <c r="D43" s="56" t="s">
        <v>192</v>
      </c>
      <c r="E43" s="56" t="s">
        <v>193</v>
      </c>
      <c r="F43" s="20"/>
      <c r="G43" s="35"/>
      <c r="H43" s="35"/>
    </row>
    <row r="44" spans="1:8" ht="49.15" customHeight="1">
      <c r="A44" s="480" t="s">
        <v>194</v>
      </c>
      <c r="B44" s="480"/>
      <c r="C44" s="480"/>
      <c r="D44" s="480"/>
      <c r="E44" s="480"/>
      <c r="F44" s="14"/>
      <c r="G44" s="14"/>
      <c r="H44" s="14"/>
    </row>
    <row r="45" spans="1:8">
      <c r="A45" s="14"/>
      <c r="B45" s="14"/>
      <c r="C45" s="14"/>
      <c r="D45" s="14"/>
      <c r="E45" s="14"/>
      <c r="F45" s="14"/>
      <c r="G45" s="14"/>
      <c r="H45" s="14"/>
    </row>
    <row r="46" spans="1:8">
      <c r="A46" s="14"/>
      <c r="B46" s="14"/>
      <c r="C46" s="14"/>
      <c r="D46" s="14"/>
      <c r="E46" s="14"/>
      <c r="F46" s="14"/>
      <c r="G46" s="14"/>
      <c r="H46" s="14"/>
    </row>
    <row r="47" spans="1:8">
      <c r="A47" s="14"/>
      <c r="B47" s="14"/>
      <c r="C47" s="14"/>
      <c r="D47" s="14"/>
      <c r="E47" s="14"/>
      <c r="F47" s="14"/>
      <c r="G47" s="14"/>
      <c r="H47" s="14"/>
    </row>
  </sheetData>
  <sheetProtection algorithmName="SHA-512" hashValue="SsbTjX713EbWKwGasAEoUH7UknI67pc4dtv6zaEX9jK1x0ZZCrkuAV9TKCINkibH55t09FdRQilmnMx63am11w==" saltValue="Lo/vm3HtpohmtQbmZaFY0Q==" spinCount="100000" sheet="1" objects="1" scenarios="1"/>
  <customSheetViews>
    <customSheetView guid="{5E62BE79-A4FD-4E7A-98EF-5A09C5274723}" showGridLines="0" showRuler="0">
      <selection activeCell="C5" sqref="C5"/>
      <pageMargins left="0.75" right="0.75" top="1" bottom="1" header="0.5" footer="0.5"/>
    </customSheetView>
  </customSheetViews>
  <mergeCells count="10">
    <mergeCell ref="A22:A25"/>
    <mergeCell ref="A27:C27"/>
    <mergeCell ref="A28:C28"/>
    <mergeCell ref="A37:F37"/>
    <mergeCell ref="A44:E44"/>
    <mergeCell ref="A1:C1"/>
    <mergeCell ref="A4:A6"/>
    <mergeCell ref="G1:M1"/>
    <mergeCell ref="A7:A15"/>
    <mergeCell ref="A16:A21"/>
  </mergeCells>
  <pageMargins left="0.75" right="0.75" top="1" bottom="1" header="0.5" footer="0.5"/>
  <ignoredErrors>
    <ignoredError sqref="B29:D2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B262"/>
  <sheetViews>
    <sheetView showGridLines="0" showRuler="0" topLeftCell="A85" zoomScaleNormal="100" workbookViewId="0">
      <selection activeCell="H96" sqref="H96"/>
    </sheetView>
  </sheetViews>
  <sheetFormatPr baseColWidth="10" defaultColWidth="13.7109375" defaultRowHeight="12.75"/>
  <cols>
    <col min="1" max="2" width="30.5703125" customWidth="1"/>
    <col min="3" max="6" width="30.140625" customWidth="1"/>
    <col min="7" max="7" width="30.85546875" customWidth="1"/>
    <col min="8" max="25" width="22.42578125" customWidth="1"/>
    <col min="26" max="28" width="26.28515625" customWidth="1"/>
  </cols>
  <sheetData>
    <row r="1" spans="1:25" ht="25.9" customHeight="1">
      <c r="A1" s="494" t="s">
        <v>994</v>
      </c>
      <c r="B1" s="497"/>
      <c r="C1" s="497"/>
    </row>
    <row r="2" spans="1:25" ht="60" customHeight="1">
      <c r="A2" s="498"/>
      <c r="B2" s="459"/>
      <c r="C2" s="459"/>
      <c r="D2" s="459"/>
      <c r="E2" s="459"/>
      <c r="S2" s="96"/>
      <c r="T2" s="96"/>
    </row>
    <row r="3" spans="1:25" ht="49.5" customHeight="1">
      <c r="A3" s="41" t="s">
        <v>195</v>
      </c>
      <c r="B3" s="19" t="s">
        <v>118</v>
      </c>
      <c r="C3" s="19" t="s">
        <v>196</v>
      </c>
      <c r="D3" s="19" t="s">
        <v>197</v>
      </c>
      <c r="E3" s="19" t="s">
        <v>198</v>
      </c>
      <c r="F3" s="19" t="s">
        <v>199</v>
      </c>
      <c r="G3" s="19" t="s">
        <v>200</v>
      </c>
      <c r="H3" s="19" t="s">
        <v>201</v>
      </c>
      <c r="I3" s="19" t="s">
        <v>202</v>
      </c>
      <c r="J3" s="19" t="s">
        <v>203</v>
      </c>
      <c r="K3" s="19" t="s">
        <v>204</v>
      </c>
      <c r="L3" s="19" t="s">
        <v>205</v>
      </c>
      <c r="M3" s="19" t="s">
        <v>206</v>
      </c>
      <c r="N3" s="19" t="s">
        <v>207</v>
      </c>
      <c r="O3" s="19" t="s">
        <v>208</v>
      </c>
      <c r="P3" s="19" t="s">
        <v>209</v>
      </c>
      <c r="Q3" s="19" t="s">
        <v>210</v>
      </c>
      <c r="R3" s="19" t="s">
        <v>211</v>
      </c>
      <c r="S3" s="19" t="s">
        <v>212</v>
      </c>
      <c r="T3" s="19" t="s">
        <v>213</v>
      </c>
      <c r="U3" s="19" t="s">
        <v>214</v>
      </c>
      <c r="V3" s="19" t="s">
        <v>215</v>
      </c>
      <c r="W3" s="19" t="s">
        <v>216</v>
      </c>
      <c r="X3" s="19" t="s">
        <v>217</v>
      </c>
      <c r="Y3" s="4"/>
    </row>
    <row r="4" spans="1:25" ht="20.100000000000001" customHeight="1">
      <c r="A4" s="499" t="s">
        <v>129</v>
      </c>
      <c r="B4" s="99" t="s">
        <v>80</v>
      </c>
      <c r="C4" s="100">
        <v>0</v>
      </c>
      <c r="D4" s="100">
        <v>2622429</v>
      </c>
      <c r="E4" s="100">
        <v>0</v>
      </c>
      <c r="F4" s="100">
        <v>0</v>
      </c>
      <c r="G4" s="101">
        <v>0</v>
      </c>
      <c r="H4" s="102">
        <v>714.3</v>
      </c>
      <c r="I4" s="102">
        <v>0</v>
      </c>
      <c r="J4" s="102">
        <v>0</v>
      </c>
      <c r="K4" s="102">
        <v>2623143.2999999998</v>
      </c>
      <c r="L4" s="102">
        <v>0</v>
      </c>
      <c r="M4" s="102">
        <v>0</v>
      </c>
      <c r="N4" s="102">
        <v>541.70000000000005</v>
      </c>
      <c r="O4" s="102">
        <v>0</v>
      </c>
      <c r="P4" s="102">
        <v>541.70000000000005</v>
      </c>
      <c r="Q4" s="102">
        <v>2623685</v>
      </c>
      <c r="R4" s="102">
        <v>764639.9</v>
      </c>
      <c r="S4" s="102">
        <v>1301954.5</v>
      </c>
      <c r="T4" s="102">
        <v>0</v>
      </c>
      <c r="U4" s="102">
        <v>0</v>
      </c>
      <c r="V4" s="102">
        <v>0</v>
      </c>
      <c r="W4" s="102">
        <v>2066594.4</v>
      </c>
      <c r="X4" s="102">
        <v>4690279.4000000004</v>
      </c>
      <c r="Y4" s="4"/>
    </row>
    <row r="5" spans="1:25" ht="20.100000000000001" customHeight="1">
      <c r="A5" s="499"/>
      <c r="B5" s="103" t="s">
        <v>130</v>
      </c>
      <c r="C5" s="104">
        <v>0</v>
      </c>
      <c r="D5" s="104">
        <v>1599275.1</v>
      </c>
      <c r="E5" s="104">
        <v>0</v>
      </c>
      <c r="F5" s="104">
        <v>0</v>
      </c>
      <c r="G5" s="105">
        <v>0</v>
      </c>
      <c r="H5" s="106">
        <v>713.9</v>
      </c>
      <c r="I5" s="106">
        <v>0</v>
      </c>
      <c r="J5" s="106">
        <v>0</v>
      </c>
      <c r="K5" s="106">
        <v>1599989</v>
      </c>
      <c r="L5" s="106">
        <v>0</v>
      </c>
      <c r="M5" s="106">
        <v>0</v>
      </c>
      <c r="N5" s="106">
        <v>0</v>
      </c>
      <c r="O5" s="106">
        <v>0</v>
      </c>
      <c r="P5" s="106">
        <v>0</v>
      </c>
      <c r="Q5" s="106">
        <v>1599989</v>
      </c>
      <c r="R5" s="106">
        <v>446699.5</v>
      </c>
      <c r="S5" s="106">
        <v>760596.5</v>
      </c>
      <c r="T5" s="106">
        <v>0</v>
      </c>
      <c r="U5" s="106">
        <v>0</v>
      </c>
      <c r="V5" s="106">
        <v>0</v>
      </c>
      <c r="W5" s="106">
        <v>1207296</v>
      </c>
      <c r="X5" s="106">
        <v>2807285</v>
      </c>
      <c r="Y5" s="4"/>
    </row>
    <row r="6" spans="1:25" ht="20.100000000000001" customHeight="1">
      <c r="A6" s="499"/>
      <c r="B6" s="103" t="s">
        <v>131</v>
      </c>
      <c r="C6" s="104">
        <v>0</v>
      </c>
      <c r="D6" s="104">
        <v>1023153.9</v>
      </c>
      <c r="E6" s="104">
        <v>0</v>
      </c>
      <c r="F6" s="104">
        <v>0</v>
      </c>
      <c r="G6" s="105">
        <v>0</v>
      </c>
      <c r="H6" s="106">
        <v>0.4</v>
      </c>
      <c r="I6" s="106">
        <v>0</v>
      </c>
      <c r="J6" s="106">
        <v>0</v>
      </c>
      <c r="K6" s="106">
        <v>1023154.4</v>
      </c>
      <c r="L6" s="106">
        <v>0</v>
      </c>
      <c r="M6" s="106">
        <v>0</v>
      </c>
      <c r="N6" s="106">
        <v>541.70000000000005</v>
      </c>
      <c r="O6" s="106">
        <v>0</v>
      </c>
      <c r="P6" s="106">
        <v>541.70000000000005</v>
      </c>
      <c r="Q6" s="106">
        <v>1023696.1</v>
      </c>
      <c r="R6" s="106">
        <v>317940.40000000002</v>
      </c>
      <c r="S6" s="106">
        <v>541358</v>
      </c>
      <c r="T6" s="106">
        <v>0</v>
      </c>
      <c r="U6" s="106">
        <v>0</v>
      </c>
      <c r="V6" s="106">
        <v>0</v>
      </c>
      <c r="W6" s="106">
        <v>859298.4</v>
      </c>
      <c r="X6" s="106">
        <v>1882994.5</v>
      </c>
      <c r="Y6" s="4"/>
    </row>
    <row r="7" spans="1:25" ht="20.100000000000001" customHeight="1">
      <c r="A7" s="499" t="s">
        <v>132</v>
      </c>
      <c r="B7" s="99" t="s">
        <v>81</v>
      </c>
      <c r="C7" s="100">
        <v>0</v>
      </c>
      <c r="D7" s="100">
        <v>1244446.2</v>
      </c>
      <c r="E7" s="100">
        <v>0</v>
      </c>
      <c r="F7" s="100">
        <v>20841.400000000001</v>
      </c>
      <c r="G7" s="101">
        <v>185329.2</v>
      </c>
      <c r="H7" s="102">
        <v>4141.3</v>
      </c>
      <c r="I7" s="102">
        <v>0</v>
      </c>
      <c r="J7" s="102">
        <v>0</v>
      </c>
      <c r="K7" s="102">
        <v>1454758.1</v>
      </c>
      <c r="L7" s="102">
        <v>0</v>
      </c>
      <c r="M7" s="102">
        <v>0</v>
      </c>
      <c r="N7" s="102">
        <v>0</v>
      </c>
      <c r="O7" s="102">
        <v>0</v>
      </c>
      <c r="P7" s="102">
        <v>0</v>
      </c>
      <c r="Q7" s="102">
        <v>1454758.1</v>
      </c>
      <c r="R7" s="102">
        <v>141559.1</v>
      </c>
      <c r="S7" s="102">
        <v>331252.8</v>
      </c>
      <c r="T7" s="102">
        <v>0</v>
      </c>
      <c r="U7" s="102">
        <v>0</v>
      </c>
      <c r="V7" s="102">
        <v>0</v>
      </c>
      <c r="W7" s="102">
        <v>472811.9</v>
      </c>
      <c r="X7" s="102">
        <v>1927570.1</v>
      </c>
      <c r="Y7" s="4"/>
    </row>
    <row r="8" spans="1:25" ht="20.100000000000001" customHeight="1">
      <c r="A8" s="499"/>
      <c r="B8" s="103" t="s">
        <v>218</v>
      </c>
      <c r="C8" s="104">
        <v>0</v>
      </c>
      <c r="D8" s="104">
        <v>0</v>
      </c>
      <c r="E8" s="104">
        <v>0</v>
      </c>
      <c r="F8" s="104">
        <v>0</v>
      </c>
      <c r="G8" s="105">
        <v>12989.1</v>
      </c>
      <c r="H8" s="106">
        <v>0</v>
      </c>
      <c r="I8" s="106">
        <v>0</v>
      </c>
      <c r="J8" s="106">
        <v>0</v>
      </c>
      <c r="K8" s="106">
        <v>12989.1</v>
      </c>
      <c r="L8" s="106">
        <v>0</v>
      </c>
      <c r="M8" s="106">
        <v>0</v>
      </c>
      <c r="N8" s="106">
        <v>0</v>
      </c>
      <c r="O8" s="106">
        <v>0</v>
      </c>
      <c r="P8" s="106">
        <v>0</v>
      </c>
      <c r="Q8" s="106">
        <v>12989.1</v>
      </c>
      <c r="R8" s="106">
        <v>4735.7</v>
      </c>
      <c r="S8" s="106">
        <v>11998.2</v>
      </c>
      <c r="T8" s="106">
        <v>0</v>
      </c>
      <c r="U8" s="106">
        <v>0</v>
      </c>
      <c r="V8" s="106">
        <v>0</v>
      </c>
      <c r="W8" s="106">
        <v>16733.900000000001</v>
      </c>
      <c r="X8" s="106">
        <v>29723</v>
      </c>
      <c r="Y8" s="4"/>
    </row>
    <row r="9" spans="1:25" ht="20.100000000000001" customHeight="1">
      <c r="A9" s="499"/>
      <c r="B9" s="103" t="s">
        <v>133</v>
      </c>
      <c r="C9" s="104">
        <v>0</v>
      </c>
      <c r="D9" s="104">
        <v>1244446.2</v>
      </c>
      <c r="E9" s="104">
        <v>0</v>
      </c>
      <c r="F9" s="104">
        <v>20841.400000000001</v>
      </c>
      <c r="G9" s="105">
        <v>172340.1</v>
      </c>
      <c r="H9" s="106">
        <v>4141.3</v>
      </c>
      <c r="I9" s="106">
        <v>0</v>
      </c>
      <c r="J9" s="106">
        <v>0</v>
      </c>
      <c r="K9" s="106">
        <v>1441769</v>
      </c>
      <c r="L9" s="106">
        <v>0</v>
      </c>
      <c r="M9" s="106">
        <v>0</v>
      </c>
      <c r="N9" s="106">
        <v>0</v>
      </c>
      <c r="O9" s="106">
        <v>0</v>
      </c>
      <c r="P9" s="106">
        <v>0</v>
      </c>
      <c r="Q9" s="106">
        <v>1441769</v>
      </c>
      <c r="R9" s="106">
        <v>136823.4</v>
      </c>
      <c r="S9" s="106">
        <v>319254.59999999998</v>
      </c>
      <c r="T9" s="106">
        <v>0</v>
      </c>
      <c r="U9" s="106">
        <v>0</v>
      </c>
      <c r="V9" s="106">
        <v>0</v>
      </c>
      <c r="W9" s="106">
        <v>456078</v>
      </c>
      <c r="X9" s="106">
        <v>1897847</v>
      </c>
      <c r="Y9" s="4"/>
    </row>
    <row r="10" spans="1:25" ht="20.100000000000001" customHeight="1">
      <c r="A10" s="499"/>
      <c r="B10" s="99" t="s">
        <v>5</v>
      </c>
      <c r="C10" s="100">
        <v>0</v>
      </c>
      <c r="D10" s="100">
        <v>1139536.3</v>
      </c>
      <c r="E10" s="100">
        <v>0</v>
      </c>
      <c r="F10" s="100">
        <v>35402.6</v>
      </c>
      <c r="G10" s="101">
        <v>0</v>
      </c>
      <c r="H10" s="102">
        <v>324262.3</v>
      </c>
      <c r="I10" s="102">
        <v>0</v>
      </c>
      <c r="J10" s="102">
        <v>0</v>
      </c>
      <c r="K10" s="102">
        <v>1499201.2</v>
      </c>
      <c r="L10" s="102">
        <v>0</v>
      </c>
      <c r="M10" s="102">
        <v>0</v>
      </c>
      <c r="N10" s="102">
        <v>1486.8</v>
      </c>
      <c r="O10" s="102">
        <v>13383.3</v>
      </c>
      <c r="P10" s="102">
        <v>14870.1</v>
      </c>
      <c r="Q10" s="102">
        <v>1514071.2</v>
      </c>
      <c r="R10" s="102">
        <v>1556844.6</v>
      </c>
      <c r="S10" s="102">
        <v>1274371.8</v>
      </c>
      <c r="T10" s="102">
        <v>0</v>
      </c>
      <c r="U10" s="102">
        <v>0</v>
      </c>
      <c r="V10" s="102">
        <v>0</v>
      </c>
      <c r="W10" s="102">
        <v>2831216.4</v>
      </c>
      <c r="X10" s="102">
        <v>4345287.5999999996</v>
      </c>
      <c r="Y10" s="4"/>
    </row>
    <row r="11" spans="1:25" ht="20.100000000000001" customHeight="1">
      <c r="A11" s="499"/>
      <c r="B11" s="103" t="s">
        <v>134</v>
      </c>
      <c r="C11" s="104">
        <v>0</v>
      </c>
      <c r="D11" s="104">
        <v>4801</v>
      </c>
      <c r="E11" s="104">
        <v>0</v>
      </c>
      <c r="F11" s="104">
        <v>86.9</v>
      </c>
      <c r="G11" s="105">
        <v>0</v>
      </c>
      <c r="H11" s="106">
        <v>0</v>
      </c>
      <c r="I11" s="106">
        <v>0</v>
      </c>
      <c r="J11" s="106">
        <v>0</v>
      </c>
      <c r="K11" s="106">
        <v>4887.8999999999996</v>
      </c>
      <c r="L11" s="106">
        <v>0</v>
      </c>
      <c r="M11" s="106">
        <v>0</v>
      </c>
      <c r="N11" s="106">
        <v>0</v>
      </c>
      <c r="O11" s="106">
        <v>197.6</v>
      </c>
      <c r="P11" s="106">
        <v>197.6</v>
      </c>
      <c r="Q11" s="106">
        <v>5085.5</v>
      </c>
      <c r="R11" s="106">
        <v>3364.6</v>
      </c>
      <c r="S11" s="106">
        <v>6560.6</v>
      </c>
      <c r="T11" s="106">
        <v>0</v>
      </c>
      <c r="U11" s="106">
        <v>0</v>
      </c>
      <c r="V11" s="106">
        <v>0</v>
      </c>
      <c r="W11" s="106">
        <v>9925.2000000000007</v>
      </c>
      <c r="X11" s="106">
        <v>15010.7</v>
      </c>
      <c r="Y11" s="4"/>
    </row>
    <row r="12" spans="1:25" ht="20.100000000000001" customHeight="1">
      <c r="A12" s="499"/>
      <c r="B12" s="103" t="s">
        <v>39</v>
      </c>
      <c r="C12" s="104">
        <v>0</v>
      </c>
      <c r="D12" s="104">
        <v>304635.40000000002</v>
      </c>
      <c r="E12" s="104">
        <v>0</v>
      </c>
      <c r="F12" s="104">
        <v>8941</v>
      </c>
      <c r="G12" s="105">
        <v>0</v>
      </c>
      <c r="H12" s="106">
        <v>123363.2</v>
      </c>
      <c r="I12" s="106">
        <v>0</v>
      </c>
      <c r="J12" s="106">
        <v>0</v>
      </c>
      <c r="K12" s="106">
        <v>436939.7</v>
      </c>
      <c r="L12" s="106">
        <v>0</v>
      </c>
      <c r="M12" s="106">
        <v>0</v>
      </c>
      <c r="N12" s="106">
        <v>0</v>
      </c>
      <c r="O12" s="106">
        <v>0</v>
      </c>
      <c r="P12" s="106">
        <v>0</v>
      </c>
      <c r="Q12" s="106">
        <v>436939.7</v>
      </c>
      <c r="R12" s="106">
        <v>926710.5</v>
      </c>
      <c r="S12" s="106">
        <v>45703.5</v>
      </c>
      <c r="T12" s="106">
        <v>0</v>
      </c>
      <c r="U12" s="106">
        <v>0</v>
      </c>
      <c r="V12" s="106">
        <v>0</v>
      </c>
      <c r="W12" s="106">
        <v>972414</v>
      </c>
      <c r="X12" s="106">
        <v>1409353.7</v>
      </c>
      <c r="Y12" s="4"/>
    </row>
    <row r="13" spans="1:25" ht="20.100000000000001" customHeight="1">
      <c r="A13" s="499"/>
      <c r="B13" s="103" t="s">
        <v>135</v>
      </c>
      <c r="C13" s="104">
        <v>0</v>
      </c>
      <c r="D13" s="104">
        <v>235758.7</v>
      </c>
      <c r="E13" s="104">
        <v>0</v>
      </c>
      <c r="F13" s="104">
        <v>6128.8</v>
      </c>
      <c r="G13" s="105">
        <v>0</v>
      </c>
      <c r="H13" s="106">
        <v>195980.1</v>
      </c>
      <c r="I13" s="106">
        <v>0</v>
      </c>
      <c r="J13" s="106">
        <v>0</v>
      </c>
      <c r="K13" s="106">
        <v>437867.6</v>
      </c>
      <c r="L13" s="106">
        <v>0</v>
      </c>
      <c r="M13" s="106">
        <v>0</v>
      </c>
      <c r="N13" s="106">
        <v>1486.8</v>
      </c>
      <c r="O13" s="106">
        <v>9703.6</v>
      </c>
      <c r="P13" s="106">
        <v>11190.4</v>
      </c>
      <c r="Q13" s="106">
        <v>449058</v>
      </c>
      <c r="R13" s="106">
        <v>126697</v>
      </c>
      <c r="S13" s="106">
        <v>247040.6</v>
      </c>
      <c r="T13" s="106">
        <v>0</v>
      </c>
      <c r="U13" s="106">
        <v>0</v>
      </c>
      <c r="V13" s="106">
        <v>0</v>
      </c>
      <c r="W13" s="106">
        <v>373737.6</v>
      </c>
      <c r="X13" s="106">
        <v>822795.6</v>
      </c>
      <c r="Y13" s="4"/>
    </row>
    <row r="14" spans="1:25" ht="20.100000000000001" customHeight="1">
      <c r="A14" s="499"/>
      <c r="B14" s="103" t="s">
        <v>6</v>
      </c>
      <c r="C14" s="104">
        <v>0</v>
      </c>
      <c r="D14" s="104">
        <v>509740.6</v>
      </c>
      <c r="E14" s="104">
        <v>0</v>
      </c>
      <c r="F14" s="104">
        <v>15615.1</v>
      </c>
      <c r="G14" s="105">
        <v>0</v>
      </c>
      <c r="H14" s="106">
        <v>1914.4</v>
      </c>
      <c r="I14" s="106">
        <v>0</v>
      </c>
      <c r="J14" s="106">
        <v>0</v>
      </c>
      <c r="K14" s="106">
        <v>527270</v>
      </c>
      <c r="L14" s="106">
        <v>0</v>
      </c>
      <c r="M14" s="106">
        <v>0</v>
      </c>
      <c r="N14" s="106">
        <v>0</v>
      </c>
      <c r="O14" s="106">
        <v>0</v>
      </c>
      <c r="P14" s="106">
        <v>0</v>
      </c>
      <c r="Q14" s="106">
        <v>527270</v>
      </c>
      <c r="R14" s="106">
        <v>241298.7</v>
      </c>
      <c r="S14" s="106">
        <v>470496.9</v>
      </c>
      <c r="T14" s="106">
        <v>0</v>
      </c>
      <c r="U14" s="106">
        <v>0</v>
      </c>
      <c r="V14" s="106">
        <v>0</v>
      </c>
      <c r="W14" s="106">
        <v>711795.6</v>
      </c>
      <c r="X14" s="106">
        <v>1239065.6000000001</v>
      </c>
      <c r="Y14" s="4"/>
    </row>
    <row r="15" spans="1:25" ht="20.100000000000001" customHeight="1">
      <c r="A15" s="499"/>
      <c r="B15" s="103" t="s">
        <v>136</v>
      </c>
      <c r="C15" s="104">
        <v>0</v>
      </c>
      <c r="D15" s="104">
        <v>84600.6</v>
      </c>
      <c r="E15" s="104">
        <v>0</v>
      </c>
      <c r="F15" s="104">
        <v>4630.7</v>
      </c>
      <c r="G15" s="105">
        <v>0</v>
      </c>
      <c r="H15" s="106">
        <v>3004.6</v>
      </c>
      <c r="I15" s="106">
        <v>0</v>
      </c>
      <c r="J15" s="106">
        <v>0</v>
      </c>
      <c r="K15" s="106">
        <v>92236</v>
      </c>
      <c r="L15" s="106">
        <v>0</v>
      </c>
      <c r="M15" s="106">
        <v>0</v>
      </c>
      <c r="N15" s="106">
        <v>0</v>
      </c>
      <c r="O15" s="106">
        <v>3482.1</v>
      </c>
      <c r="P15" s="106">
        <v>3482.1</v>
      </c>
      <c r="Q15" s="106">
        <v>95718</v>
      </c>
      <c r="R15" s="106">
        <v>258773.6</v>
      </c>
      <c r="S15" s="106">
        <v>504570.4</v>
      </c>
      <c r="T15" s="106">
        <v>0</v>
      </c>
      <c r="U15" s="106">
        <v>0</v>
      </c>
      <c r="V15" s="106">
        <v>0</v>
      </c>
      <c r="W15" s="106">
        <v>763344</v>
      </c>
      <c r="X15" s="106">
        <v>859062</v>
      </c>
      <c r="Y15" s="4"/>
    </row>
    <row r="16" spans="1:25" ht="20.100000000000001" customHeight="1">
      <c r="A16" s="499"/>
      <c r="B16" s="99" t="s">
        <v>9</v>
      </c>
      <c r="C16" s="100">
        <v>0</v>
      </c>
      <c r="D16" s="100">
        <v>3989097</v>
      </c>
      <c r="E16" s="100">
        <v>0</v>
      </c>
      <c r="F16" s="100">
        <v>37606.5</v>
      </c>
      <c r="G16" s="101">
        <v>0</v>
      </c>
      <c r="H16" s="102">
        <v>5197.1000000000004</v>
      </c>
      <c r="I16" s="102">
        <v>0</v>
      </c>
      <c r="J16" s="102">
        <v>0</v>
      </c>
      <c r="K16" s="102">
        <v>4031900.6</v>
      </c>
      <c r="L16" s="102">
        <v>0</v>
      </c>
      <c r="M16" s="102">
        <v>0</v>
      </c>
      <c r="N16" s="102">
        <v>0</v>
      </c>
      <c r="O16" s="102">
        <v>0</v>
      </c>
      <c r="P16" s="102">
        <v>0</v>
      </c>
      <c r="Q16" s="102">
        <v>4031900.6</v>
      </c>
      <c r="R16" s="102">
        <v>958960.1</v>
      </c>
      <c r="S16" s="102">
        <v>2729347.9</v>
      </c>
      <c r="T16" s="102">
        <v>0</v>
      </c>
      <c r="U16" s="102">
        <v>0</v>
      </c>
      <c r="V16" s="102">
        <v>0</v>
      </c>
      <c r="W16" s="102">
        <v>3688308</v>
      </c>
      <c r="X16" s="102">
        <v>7720208.5999999996</v>
      </c>
      <c r="Y16" s="4"/>
    </row>
    <row r="17" spans="1:25" ht="20.100000000000001" customHeight="1">
      <c r="A17" s="499"/>
      <c r="B17" s="103" t="s">
        <v>10</v>
      </c>
      <c r="C17" s="104">
        <v>0</v>
      </c>
      <c r="D17" s="104">
        <v>3989097</v>
      </c>
      <c r="E17" s="104">
        <v>0</v>
      </c>
      <c r="F17" s="104">
        <v>37606.5</v>
      </c>
      <c r="G17" s="105">
        <v>0</v>
      </c>
      <c r="H17" s="106">
        <v>5197.1000000000004</v>
      </c>
      <c r="I17" s="106">
        <v>0</v>
      </c>
      <c r="J17" s="106">
        <v>0</v>
      </c>
      <c r="K17" s="106">
        <v>4031900.6</v>
      </c>
      <c r="L17" s="106">
        <v>0</v>
      </c>
      <c r="M17" s="106">
        <v>0</v>
      </c>
      <c r="N17" s="106">
        <v>0</v>
      </c>
      <c r="O17" s="106">
        <v>0</v>
      </c>
      <c r="P17" s="106">
        <v>0</v>
      </c>
      <c r="Q17" s="106">
        <v>4031900.6</v>
      </c>
      <c r="R17" s="107">
        <v>958960.1</v>
      </c>
      <c r="S17" s="106">
        <v>2729347.9</v>
      </c>
      <c r="T17" s="106">
        <v>0</v>
      </c>
      <c r="U17" s="106">
        <v>0</v>
      </c>
      <c r="V17" s="106">
        <v>0</v>
      </c>
      <c r="W17" s="106">
        <v>3688308</v>
      </c>
      <c r="X17" s="106">
        <v>7720208.5999999996</v>
      </c>
      <c r="Y17" s="4"/>
    </row>
    <row r="18" spans="1:25" ht="20.100000000000001" customHeight="1">
      <c r="A18" s="499" t="s">
        <v>137</v>
      </c>
      <c r="B18" s="99" t="s">
        <v>37</v>
      </c>
      <c r="C18" s="100">
        <v>0</v>
      </c>
      <c r="D18" s="100">
        <v>310711.5</v>
      </c>
      <c r="E18" s="100">
        <v>0</v>
      </c>
      <c r="F18" s="100">
        <v>0</v>
      </c>
      <c r="G18" s="101">
        <v>0</v>
      </c>
      <c r="H18" s="102">
        <v>0</v>
      </c>
      <c r="I18" s="102">
        <v>0</v>
      </c>
      <c r="J18" s="102">
        <v>0</v>
      </c>
      <c r="K18" s="102">
        <v>310711.5</v>
      </c>
      <c r="L18" s="102">
        <v>0</v>
      </c>
      <c r="M18" s="102">
        <v>0</v>
      </c>
      <c r="N18" s="102">
        <v>0</v>
      </c>
      <c r="O18" s="102">
        <v>0</v>
      </c>
      <c r="P18" s="102">
        <v>0</v>
      </c>
      <c r="Q18" s="102">
        <v>310711.5</v>
      </c>
      <c r="R18" s="102">
        <v>188925.4</v>
      </c>
      <c r="S18" s="102">
        <v>246386.6</v>
      </c>
      <c r="T18" s="102">
        <v>0</v>
      </c>
      <c r="U18" s="102">
        <v>0</v>
      </c>
      <c r="V18" s="102">
        <v>0</v>
      </c>
      <c r="W18" s="102">
        <v>435312</v>
      </c>
      <c r="X18" s="102">
        <v>746023.5</v>
      </c>
      <c r="Y18" s="4"/>
    </row>
    <row r="19" spans="1:25" ht="20.100000000000001" customHeight="1">
      <c r="A19" s="499"/>
      <c r="B19" s="103" t="s">
        <v>38</v>
      </c>
      <c r="C19" s="104">
        <v>0</v>
      </c>
      <c r="D19" s="104">
        <v>310711.5</v>
      </c>
      <c r="E19" s="104">
        <v>0</v>
      </c>
      <c r="F19" s="104">
        <v>0</v>
      </c>
      <c r="G19" s="105">
        <v>0</v>
      </c>
      <c r="H19" s="106">
        <v>0</v>
      </c>
      <c r="I19" s="106">
        <v>0</v>
      </c>
      <c r="J19" s="106">
        <v>0</v>
      </c>
      <c r="K19" s="106">
        <v>310711.5</v>
      </c>
      <c r="L19" s="106">
        <v>0</v>
      </c>
      <c r="M19" s="106">
        <v>0</v>
      </c>
      <c r="N19" s="106">
        <v>0</v>
      </c>
      <c r="O19" s="106">
        <v>0</v>
      </c>
      <c r="P19" s="106">
        <v>0</v>
      </c>
      <c r="Q19" s="106">
        <v>310711.5</v>
      </c>
      <c r="R19" s="106">
        <v>188925.4</v>
      </c>
      <c r="S19" s="106">
        <v>246386.6</v>
      </c>
      <c r="T19" s="106">
        <v>0</v>
      </c>
      <c r="U19" s="106">
        <v>0</v>
      </c>
      <c r="V19" s="106">
        <v>0</v>
      </c>
      <c r="W19" s="106">
        <v>435312</v>
      </c>
      <c r="X19" s="106">
        <v>746023.5</v>
      </c>
      <c r="Y19" s="4"/>
    </row>
    <row r="20" spans="1:25" ht="20.100000000000001" customHeight="1">
      <c r="A20" s="499"/>
      <c r="B20" s="99" t="s">
        <v>82</v>
      </c>
      <c r="C20" s="100">
        <v>0</v>
      </c>
      <c r="D20" s="100">
        <v>1726016.8</v>
      </c>
      <c r="E20" s="100">
        <v>0</v>
      </c>
      <c r="F20" s="100">
        <v>2714.6</v>
      </c>
      <c r="G20" s="101">
        <v>0</v>
      </c>
      <c r="H20" s="102">
        <v>32.6</v>
      </c>
      <c r="I20" s="102">
        <v>1763255.9</v>
      </c>
      <c r="J20" s="102">
        <v>0</v>
      </c>
      <c r="K20" s="102">
        <v>3492019.8</v>
      </c>
      <c r="L20" s="102">
        <v>0</v>
      </c>
      <c r="M20" s="102">
        <v>0</v>
      </c>
      <c r="N20" s="102">
        <v>0</v>
      </c>
      <c r="O20" s="102">
        <v>0</v>
      </c>
      <c r="P20" s="102">
        <v>0</v>
      </c>
      <c r="Q20" s="102">
        <v>3492019.8</v>
      </c>
      <c r="R20" s="102">
        <v>0</v>
      </c>
      <c r="S20" s="102">
        <v>0</v>
      </c>
      <c r="T20" s="102">
        <v>0</v>
      </c>
      <c r="U20" s="102">
        <v>0</v>
      </c>
      <c r="V20" s="102">
        <v>0</v>
      </c>
      <c r="W20" s="102">
        <v>0</v>
      </c>
      <c r="X20" s="102">
        <v>3492019.8</v>
      </c>
      <c r="Y20" s="4"/>
    </row>
    <row r="21" spans="1:25" ht="20.100000000000001" customHeight="1">
      <c r="A21" s="499"/>
      <c r="B21" s="103" t="s">
        <v>138</v>
      </c>
      <c r="C21" s="104">
        <v>0</v>
      </c>
      <c r="D21" s="104">
        <v>1726016.8</v>
      </c>
      <c r="E21" s="104">
        <v>0</v>
      </c>
      <c r="F21" s="104">
        <v>2714.6</v>
      </c>
      <c r="G21" s="105">
        <v>0</v>
      </c>
      <c r="H21" s="106">
        <v>32.6</v>
      </c>
      <c r="I21" s="106">
        <v>1763255.9</v>
      </c>
      <c r="J21" s="106">
        <v>0</v>
      </c>
      <c r="K21" s="106">
        <v>3492019.8</v>
      </c>
      <c r="L21" s="106">
        <v>0</v>
      </c>
      <c r="M21" s="106">
        <v>0</v>
      </c>
      <c r="N21" s="106">
        <v>0</v>
      </c>
      <c r="O21" s="106">
        <v>0</v>
      </c>
      <c r="P21" s="106">
        <v>0</v>
      </c>
      <c r="Q21" s="106">
        <v>3492019.8</v>
      </c>
      <c r="R21" s="106">
        <v>0</v>
      </c>
      <c r="S21" s="106">
        <v>0</v>
      </c>
      <c r="T21" s="106">
        <v>0</v>
      </c>
      <c r="U21" s="106">
        <v>0</v>
      </c>
      <c r="V21" s="106">
        <v>0</v>
      </c>
      <c r="W21" s="106">
        <v>0</v>
      </c>
      <c r="X21" s="106">
        <v>3492019.8</v>
      </c>
      <c r="Y21" s="4"/>
    </row>
    <row r="22" spans="1:25" ht="20.100000000000001" customHeight="1">
      <c r="A22" s="499"/>
      <c r="B22" s="99" t="s">
        <v>13</v>
      </c>
      <c r="C22" s="100">
        <v>0</v>
      </c>
      <c r="D22" s="100">
        <v>2430595.7000000002</v>
      </c>
      <c r="E22" s="100">
        <v>0</v>
      </c>
      <c r="F22" s="100">
        <v>1963.2</v>
      </c>
      <c r="G22" s="101">
        <v>0</v>
      </c>
      <c r="H22" s="102">
        <v>5.0999999999999996</v>
      </c>
      <c r="I22" s="102">
        <v>135284.5</v>
      </c>
      <c r="J22" s="102">
        <v>0</v>
      </c>
      <c r="K22" s="102">
        <v>2567848.5</v>
      </c>
      <c r="L22" s="102">
        <v>0</v>
      </c>
      <c r="M22" s="102">
        <v>0</v>
      </c>
      <c r="N22" s="102">
        <v>0</v>
      </c>
      <c r="O22" s="102">
        <v>126306.1</v>
      </c>
      <c r="P22" s="102">
        <v>126306.1</v>
      </c>
      <c r="Q22" s="102">
        <v>2694154.6</v>
      </c>
      <c r="R22" s="102">
        <v>921004.7</v>
      </c>
      <c r="S22" s="102">
        <v>614003.1</v>
      </c>
      <c r="T22" s="102">
        <v>0</v>
      </c>
      <c r="U22" s="102">
        <v>0</v>
      </c>
      <c r="V22" s="102">
        <v>0</v>
      </c>
      <c r="W22" s="102">
        <v>1535007.8</v>
      </c>
      <c r="X22" s="102">
        <v>4229162.4000000004</v>
      </c>
      <c r="Y22" s="4"/>
    </row>
    <row r="23" spans="1:25" ht="20.100000000000001" customHeight="1">
      <c r="A23" s="499"/>
      <c r="B23" s="103" t="s">
        <v>14</v>
      </c>
      <c r="C23" s="104">
        <v>0</v>
      </c>
      <c r="D23" s="104">
        <v>2430595.7000000002</v>
      </c>
      <c r="E23" s="104">
        <v>0</v>
      </c>
      <c r="F23" s="104">
        <v>1963.2</v>
      </c>
      <c r="G23" s="105">
        <v>0</v>
      </c>
      <c r="H23" s="106">
        <v>5.0999999999999996</v>
      </c>
      <c r="I23" s="106">
        <v>135284.5</v>
      </c>
      <c r="J23" s="106">
        <v>0</v>
      </c>
      <c r="K23" s="106">
        <v>2567848.5</v>
      </c>
      <c r="L23" s="106">
        <v>0</v>
      </c>
      <c r="M23" s="106">
        <v>0</v>
      </c>
      <c r="N23" s="106">
        <v>0</v>
      </c>
      <c r="O23" s="106">
        <v>126306.1</v>
      </c>
      <c r="P23" s="106">
        <v>126306.1</v>
      </c>
      <c r="Q23" s="106">
        <v>2694154.6</v>
      </c>
      <c r="R23" s="106">
        <v>921004.7</v>
      </c>
      <c r="S23" s="106">
        <v>614003.1</v>
      </c>
      <c r="T23" s="106">
        <v>0</v>
      </c>
      <c r="U23" s="106">
        <v>0</v>
      </c>
      <c r="V23" s="106">
        <v>0</v>
      </c>
      <c r="W23" s="106">
        <v>1535007.8</v>
      </c>
      <c r="X23" s="106">
        <v>4229162.4000000004</v>
      </c>
      <c r="Y23" s="4"/>
    </row>
    <row r="24" spans="1:25" ht="20.100000000000001" customHeight="1">
      <c r="A24" s="499" t="s">
        <v>154</v>
      </c>
      <c r="B24" s="99" t="s">
        <v>25</v>
      </c>
      <c r="C24" s="100">
        <v>0</v>
      </c>
      <c r="D24" s="100">
        <v>5903976.9000000004</v>
      </c>
      <c r="E24" s="100">
        <v>661.2</v>
      </c>
      <c r="F24" s="100">
        <v>939.9</v>
      </c>
      <c r="G24" s="101">
        <v>1844624.3</v>
      </c>
      <c r="H24" s="102">
        <v>79173.8</v>
      </c>
      <c r="I24" s="102">
        <v>0</v>
      </c>
      <c r="J24" s="102">
        <v>902.6</v>
      </c>
      <c r="K24" s="102">
        <v>7830278.5999999996</v>
      </c>
      <c r="L24" s="102">
        <v>0</v>
      </c>
      <c r="M24" s="102">
        <v>0</v>
      </c>
      <c r="N24" s="102">
        <v>0</v>
      </c>
      <c r="O24" s="102">
        <v>0</v>
      </c>
      <c r="P24" s="102">
        <v>0</v>
      </c>
      <c r="Q24" s="102">
        <v>7830278.5999999996</v>
      </c>
      <c r="R24" s="102">
        <v>0</v>
      </c>
      <c r="S24" s="102">
        <v>5101029.8</v>
      </c>
      <c r="T24" s="102">
        <v>0</v>
      </c>
      <c r="U24" s="102">
        <v>0</v>
      </c>
      <c r="V24" s="102">
        <v>0</v>
      </c>
      <c r="W24" s="102">
        <v>5101029.8</v>
      </c>
      <c r="X24" s="102">
        <v>12931308.4</v>
      </c>
      <c r="Y24" s="4"/>
    </row>
    <row r="25" spans="1:25" ht="20.100000000000001" customHeight="1">
      <c r="A25" s="499"/>
      <c r="B25" s="103" t="s">
        <v>219</v>
      </c>
      <c r="C25" s="104">
        <v>0</v>
      </c>
      <c r="D25" s="104">
        <v>15710.4</v>
      </c>
      <c r="E25" s="104">
        <v>0</v>
      </c>
      <c r="F25" s="104">
        <v>55.4</v>
      </c>
      <c r="G25" s="105">
        <v>0.3</v>
      </c>
      <c r="H25" s="106">
        <v>0</v>
      </c>
      <c r="I25" s="106">
        <v>0</v>
      </c>
      <c r="J25" s="106">
        <v>902.6</v>
      </c>
      <c r="K25" s="106">
        <v>16668.7</v>
      </c>
      <c r="L25" s="106">
        <v>0</v>
      </c>
      <c r="M25" s="106">
        <v>0</v>
      </c>
      <c r="N25" s="106">
        <v>0</v>
      </c>
      <c r="O25" s="106">
        <v>0</v>
      </c>
      <c r="P25" s="106">
        <v>0</v>
      </c>
      <c r="Q25" s="106">
        <v>16668.7</v>
      </c>
      <c r="R25" s="106">
        <v>0</v>
      </c>
      <c r="S25" s="106">
        <v>2622</v>
      </c>
      <c r="T25" s="106">
        <v>0</v>
      </c>
      <c r="U25" s="106">
        <v>0</v>
      </c>
      <c r="V25" s="106">
        <v>0</v>
      </c>
      <c r="W25" s="106">
        <v>2622</v>
      </c>
      <c r="X25" s="106">
        <v>19290.7</v>
      </c>
      <c r="Y25" s="4"/>
    </row>
    <row r="26" spans="1:25" ht="20.100000000000001" customHeight="1">
      <c r="A26" s="499"/>
      <c r="B26" s="103" t="s">
        <v>26</v>
      </c>
      <c r="C26" s="104">
        <v>0</v>
      </c>
      <c r="D26" s="104">
        <v>3052992.7</v>
      </c>
      <c r="E26" s="104">
        <v>0</v>
      </c>
      <c r="F26" s="104">
        <v>0</v>
      </c>
      <c r="G26" s="105">
        <v>0</v>
      </c>
      <c r="H26" s="106">
        <v>16299.3</v>
      </c>
      <c r="I26" s="106">
        <v>0</v>
      </c>
      <c r="J26" s="106">
        <v>0</v>
      </c>
      <c r="K26" s="106">
        <v>3069291.9</v>
      </c>
      <c r="L26" s="106">
        <v>0</v>
      </c>
      <c r="M26" s="106">
        <v>0</v>
      </c>
      <c r="N26" s="106">
        <v>0</v>
      </c>
      <c r="O26" s="106">
        <v>0</v>
      </c>
      <c r="P26" s="106">
        <v>0</v>
      </c>
      <c r="Q26" s="106">
        <v>3069291.9</v>
      </c>
      <c r="R26" s="106">
        <v>0</v>
      </c>
      <c r="S26" s="106">
        <v>3701325</v>
      </c>
      <c r="T26" s="106">
        <v>0</v>
      </c>
      <c r="U26" s="106">
        <v>0</v>
      </c>
      <c r="V26" s="106">
        <v>0</v>
      </c>
      <c r="W26" s="106">
        <v>3701325</v>
      </c>
      <c r="X26" s="106">
        <v>6770616.9000000004</v>
      </c>
      <c r="Y26" s="4"/>
    </row>
    <row r="27" spans="1:25" ht="20.100000000000001" customHeight="1">
      <c r="A27" s="499"/>
      <c r="B27" s="103" t="s">
        <v>140</v>
      </c>
      <c r="C27" s="104">
        <v>0</v>
      </c>
      <c r="D27" s="104">
        <v>1834212.6</v>
      </c>
      <c r="E27" s="104">
        <v>0</v>
      </c>
      <c r="F27" s="104">
        <v>807.4</v>
      </c>
      <c r="G27" s="105">
        <v>0</v>
      </c>
      <c r="H27" s="106">
        <v>52742.7</v>
      </c>
      <c r="I27" s="106">
        <v>0</v>
      </c>
      <c r="J27" s="106">
        <v>0</v>
      </c>
      <c r="K27" s="106">
        <v>1887762.7</v>
      </c>
      <c r="L27" s="106">
        <v>0</v>
      </c>
      <c r="M27" s="106">
        <v>0</v>
      </c>
      <c r="N27" s="106">
        <v>0</v>
      </c>
      <c r="O27" s="106">
        <v>0</v>
      </c>
      <c r="P27" s="106">
        <v>0</v>
      </c>
      <c r="Q27" s="106">
        <v>1887762.7</v>
      </c>
      <c r="R27" s="106">
        <v>0</v>
      </c>
      <c r="S27" s="106">
        <v>1397082.8</v>
      </c>
      <c r="T27" s="106">
        <v>0</v>
      </c>
      <c r="U27" s="106">
        <v>0</v>
      </c>
      <c r="V27" s="106">
        <v>0</v>
      </c>
      <c r="W27" s="106">
        <v>1397082.8</v>
      </c>
      <c r="X27" s="106">
        <v>3284845.5</v>
      </c>
      <c r="Y27" s="4"/>
    </row>
    <row r="28" spans="1:25" ht="20.100000000000001" customHeight="1">
      <c r="A28" s="499"/>
      <c r="B28" s="103" t="s">
        <v>29</v>
      </c>
      <c r="C28" s="104">
        <v>0</v>
      </c>
      <c r="D28" s="384"/>
      <c r="E28" s="104">
        <v>661.2</v>
      </c>
      <c r="F28" s="104">
        <v>77.099999999999994</v>
      </c>
      <c r="G28" s="105">
        <v>1844624</v>
      </c>
      <c r="H28" s="106">
        <v>10131.700000000001</v>
      </c>
      <c r="I28" s="106">
        <v>0</v>
      </c>
      <c r="J28" s="106">
        <v>0</v>
      </c>
      <c r="K28" s="106">
        <v>2856555.2</v>
      </c>
      <c r="L28" s="106">
        <v>0</v>
      </c>
      <c r="M28" s="106">
        <v>0</v>
      </c>
      <c r="N28" s="106">
        <v>0</v>
      </c>
      <c r="O28" s="106">
        <v>0</v>
      </c>
      <c r="P28" s="106">
        <v>0</v>
      </c>
      <c r="Q28" s="106">
        <v>2856555.2</v>
      </c>
      <c r="R28" s="106">
        <v>0</v>
      </c>
      <c r="S28" s="106">
        <v>0</v>
      </c>
      <c r="T28" s="106">
        <v>0</v>
      </c>
      <c r="U28" s="106">
        <v>0</v>
      </c>
      <c r="V28" s="106">
        <v>0</v>
      </c>
      <c r="W28" s="106">
        <v>0</v>
      </c>
      <c r="X28" s="106">
        <v>2856555.2</v>
      </c>
      <c r="Y28" s="4"/>
    </row>
    <row r="29" spans="1:25" ht="20.100000000000001" customHeight="1">
      <c r="A29" s="92" t="s">
        <v>141</v>
      </c>
      <c r="B29" s="99" t="s">
        <v>85</v>
      </c>
      <c r="C29" s="100">
        <v>0</v>
      </c>
      <c r="D29" s="100">
        <v>19366809.399999999</v>
      </c>
      <c r="E29" s="100">
        <v>661.2</v>
      </c>
      <c r="F29" s="100">
        <v>99468.1</v>
      </c>
      <c r="G29" s="101">
        <v>2029953.5</v>
      </c>
      <c r="H29" s="102">
        <v>413526.6</v>
      </c>
      <c r="I29" s="102">
        <v>1898540.4</v>
      </c>
      <c r="J29" s="102">
        <v>902.6</v>
      </c>
      <c r="K29" s="102">
        <v>23809861.600000001</v>
      </c>
      <c r="L29" s="102">
        <v>0</v>
      </c>
      <c r="M29" s="102">
        <v>0</v>
      </c>
      <c r="N29" s="102">
        <v>2028.5</v>
      </c>
      <c r="O29" s="102">
        <v>139689.4</v>
      </c>
      <c r="P29" s="102">
        <v>141717.9</v>
      </c>
      <c r="Q29" s="102">
        <v>23951579.5</v>
      </c>
      <c r="R29" s="102">
        <v>4531933.8</v>
      </c>
      <c r="S29" s="102">
        <v>11598346.6</v>
      </c>
      <c r="T29" s="102">
        <v>0</v>
      </c>
      <c r="U29" s="102">
        <v>0</v>
      </c>
      <c r="V29" s="102">
        <v>0</v>
      </c>
      <c r="W29" s="102">
        <v>16130280.4</v>
      </c>
      <c r="X29" s="102">
        <v>40081859.899999999</v>
      </c>
      <c r="Y29" s="4"/>
    </row>
    <row r="30" spans="1:25" ht="41.25" customHeight="1">
      <c r="A30" s="507" t="s">
        <v>1036</v>
      </c>
      <c r="B30" s="508"/>
      <c r="C30" s="508"/>
      <c r="D30" s="508"/>
      <c r="E30" s="508"/>
      <c r="F30" s="508"/>
      <c r="G30" s="508"/>
      <c r="H30" s="508"/>
      <c r="I30" s="508"/>
      <c r="J30" s="508"/>
      <c r="K30" s="508"/>
      <c r="L30" s="508"/>
      <c r="M30" s="508"/>
      <c r="N30" s="508"/>
      <c r="O30" s="508"/>
      <c r="P30" s="508"/>
      <c r="Q30" s="508"/>
      <c r="R30" s="508"/>
      <c r="S30" s="508"/>
      <c r="T30" s="508"/>
      <c r="U30" s="508"/>
      <c r="V30" s="508"/>
      <c r="W30" s="508"/>
      <c r="X30" s="508"/>
      <c r="Y30" s="508"/>
    </row>
    <row r="31" spans="1:25" ht="60" customHeight="1">
      <c r="A31" s="506"/>
      <c r="B31" s="459"/>
      <c r="C31" s="459"/>
      <c r="D31" s="459"/>
      <c r="E31" s="459"/>
    </row>
    <row r="32" spans="1:25" ht="32.25" customHeight="1">
      <c r="A32" s="503" t="s">
        <v>986</v>
      </c>
      <c r="B32" s="503"/>
      <c r="C32" s="405" t="s">
        <v>158</v>
      </c>
      <c r="D32" s="405" t="s">
        <v>159</v>
      </c>
      <c r="E32" s="405" t="s">
        <v>160</v>
      </c>
      <c r="F32" s="405" t="s">
        <v>220</v>
      </c>
      <c r="G32" s="405" t="s">
        <v>221</v>
      </c>
      <c r="H32" s="4"/>
      <c r="I32" s="109"/>
      <c r="J32" s="109"/>
      <c r="K32" s="109"/>
      <c r="L32" s="109"/>
      <c r="M32" s="109"/>
      <c r="N32" s="109"/>
      <c r="O32" s="109"/>
      <c r="P32" s="109"/>
      <c r="Q32" s="109"/>
      <c r="R32" s="109"/>
      <c r="S32" s="109"/>
      <c r="T32" s="109"/>
      <c r="U32" s="109"/>
      <c r="V32" s="109"/>
      <c r="W32" s="109"/>
      <c r="X32" s="109"/>
      <c r="Y32" s="109"/>
    </row>
    <row r="33" spans="1:25" ht="20.100000000000001" customHeight="1">
      <c r="A33" s="500" t="s">
        <v>222</v>
      </c>
      <c r="B33" s="501"/>
      <c r="C33" s="501"/>
      <c r="D33" s="501"/>
      <c r="E33" s="501"/>
      <c r="F33" s="501"/>
      <c r="G33" s="502"/>
      <c r="H33" s="4"/>
    </row>
    <row r="34" spans="1:25" ht="20.100000000000001" customHeight="1">
      <c r="A34" s="504" t="s">
        <v>987</v>
      </c>
      <c r="B34" s="504"/>
      <c r="C34" s="406">
        <v>0</v>
      </c>
      <c r="D34" s="407">
        <v>0</v>
      </c>
      <c r="E34" s="407">
        <v>0</v>
      </c>
      <c r="F34" s="407">
        <v>0</v>
      </c>
      <c r="G34" s="407">
        <v>0</v>
      </c>
      <c r="H34" s="4"/>
      <c r="I34" s="109"/>
      <c r="J34" s="109"/>
      <c r="K34" s="109"/>
      <c r="L34" s="109"/>
      <c r="M34" s="109"/>
      <c r="N34" s="109"/>
      <c r="O34" s="109"/>
      <c r="P34" s="109"/>
      <c r="Q34" s="109"/>
      <c r="R34" s="109"/>
      <c r="S34" s="109"/>
      <c r="T34" s="109"/>
      <c r="U34" s="109"/>
      <c r="V34" s="109"/>
      <c r="W34" s="109"/>
      <c r="X34" s="109"/>
      <c r="Y34" s="109"/>
    </row>
    <row r="35" spans="1:25" ht="20.100000000000001" customHeight="1">
      <c r="A35" s="505" t="s">
        <v>223</v>
      </c>
      <c r="B35" s="505"/>
      <c r="C35" s="406">
        <v>21.48</v>
      </c>
      <c r="D35" s="407">
        <v>22.12</v>
      </c>
      <c r="E35" s="407">
        <v>23.47</v>
      </c>
      <c r="F35" s="407">
        <v>23.66</v>
      </c>
      <c r="G35" s="407">
        <v>19.37</v>
      </c>
      <c r="H35" s="4"/>
      <c r="I35" s="109"/>
      <c r="J35" s="109"/>
      <c r="K35" s="109"/>
      <c r="L35" s="109"/>
      <c r="M35" s="109"/>
      <c r="N35" s="109"/>
      <c r="O35" s="109"/>
      <c r="P35" s="109"/>
      <c r="Q35" s="109"/>
      <c r="R35" s="109"/>
      <c r="S35" s="109"/>
      <c r="T35" s="109"/>
      <c r="U35" s="109"/>
      <c r="V35" s="109"/>
      <c r="W35" s="109"/>
      <c r="X35" s="109"/>
      <c r="Y35" s="109"/>
    </row>
    <row r="36" spans="1:25" ht="20.100000000000001" customHeight="1">
      <c r="A36" s="505" t="s">
        <v>224</v>
      </c>
      <c r="B36" s="505"/>
      <c r="C36" s="406">
        <v>0</v>
      </c>
      <c r="D36" s="407">
        <v>0</v>
      </c>
      <c r="E36" s="407">
        <v>0</v>
      </c>
      <c r="F36" s="407">
        <v>0</v>
      </c>
      <c r="G36" s="407">
        <v>0</v>
      </c>
      <c r="H36" s="4"/>
      <c r="I36" s="109"/>
      <c r="J36" s="109"/>
      <c r="K36" s="109"/>
      <c r="L36" s="109"/>
      <c r="M36" s="109"/>
      <c r="N36" s="109"/>
      <c r="O36" s="109"/>
      <c r="P36" s="109"/>
      <c r="Q36" s="109"/>
      <c r="R36" s="109"/>
      <c r="S36" s="109"/>
      <c r="T36" s="109"/>
      <c r="U36" s="109"/>
      <c r="V36" s="109"/>
      <c r="W36" s="109"/>
      <c r="X36" s="109"/>
      <c r="Y36" s="109"/>
    </row>
    <row r="37" spans="1:25" ht="20.100000000000001" customHeight="1">
      <c r="A37" s="505" t="s">
        <v>225</v>
      </c>
      <c r="B37" s="505"/>
      <c r="C37" s="406">
        <v>0.1</v>
      </c>
      <c r="D37" s="407">
        <v>0.08</v>
      </c>
      <c r="E37" s="407">
        <v>0.1</v>
      </c>
      <c r="F37" s="407">
        <v>0.11</v>
      </c>
      <c r="G37" s="407">
        <v>0.1</v>
      </c>
      <c r="H37" s="4"/>
      <c r="I37" s="109"/>
      <c r="J37" s="109"/>
      <c r="K37" s="109"/>
      <c r="L37" s="109"/>
      <c r="M37" s="109"/>
      <c r="N37" s="109"/>
      <c r="O37" s="109"/>
      <c r="P37" s="109"/>
      <c r="Q37" s="109"/>
      <c r="R37" s="109"/>
      <c r="S37" s="109"/>
      <c r="T37" s="109"/>
      <c r="U37" s="109"/>
      <c r="V37" s="109"/>
      <c r="W37" s="109"/>
      <c r="X37" s="109"/>
      <c r="Y37" s="109"/>
    </row>
    <row r="38" spans="1:25" ht="20.100000000000001" customHeight="1">
      <c r="A38" s="505" t="s">
        <v>226</v>
      </c>
      <c r="B38" s="505"/>
      <c r="C38" s="406">
        <v>0.54</v>
      </c>
      <c r="D38" s="407">
        <v>0.56000000000000005</v>
      </c>
      <c r="E38" s="407">
        <v>0.86</v>
      </c>
      <c r="F38" s="407">
        <v>0.77</v>
      </c>
      <c r="G38" s="407">
        <v>2.0299999999999998</v>
      </c>
      <c r="H38" s="4"/>
      <c r="I38" s="109"/>
      <c r="J38" s="109"/>
      <c r="K38" s="109"/>
      <c r="L38" s="109"/>
      <c r="M38" s="109"/>
      <c r="N38" s="109"/>
      <c r="O38" s="109"/>
      <c r="P38" s="109"/>
      <c r="Q38" s="109"/>
      <c r="R38" s="109"/>
      <c r="S38" s="109"/>
      <c r="T38" s="109"/>
      <c r="U38" s="109"/>
      <c r="V38" s="109"/>
      <c r="W38" s="109"/>
      <c r="X38" s="109"/>
      <c r="Y38" s="109"/>
    </row>
    <row r="39" spans="1:25" ht="20.100000000000001" customHeight="1">
      <c r="A39" s="505" t="s">
        <v>227</v>
      </c>
      <c r="B39" s="505"/>
      <c r="C39" s="406">
        <v>0.54</v>
      </c>
      <c r="D39" s="407">
        <v>0.44</v>
      </c>
      <c r="E39" s="407">
        <v>0.48</v>
      </c>
      <c r="F39" s="407">
        <v>0.46</v>
      </c>
      <c r="G39" s="407">
        <v>0.41</v>
      </c>
      <c r="H39" s="4"/>
      <c r="I39" s="109"/>
      <c r="J39" s="109"/>
      <c r="K39" s="109"/>
      <c r="L39" s="109"/>
      <c r="M39" s="109"/>
      <c r="N39" s="109"/>
      <c r="O39" s="109"/>
      <c r="P39" s="109"/>
      <c r="Q39" s="109"/>
      <c r="R39" s="109"/>
      <c r="S39" s="109"/>
      <c r="T39" s="109"/>
      <c r="U39" s="109"/>
      <c r="V39" s="109"/>
      <c r="W39" s="109"/>
      <c r="X39" s="109"/>
      <c r="Y39" s="109"/>
    </row>
    <row r="40" spans="1:25" ht="20.100000000000001" customHeight="1">
      <c r="A40" s="505" t="s">
        <v>228</v>
      </c>
      <c r="B40" s="505"/>
      <c r="C40" s="406">
        <v>0.2</v>
      </c>
      <c r="D40" s="407">
        <v>0</v>
      </c>
      <c r="E40" s="407">
        <v>1.4</v>
      </c>
      <c r="F40" s="407">
        <v>1.5</v>
      </c>
      <c r="G40" s="407">
        <v>1.9</v>
      </c>
      <c r="H40" s="4"/>
      <c r="I40" s="109"/>
      <c r="J40" s="109"/>
      <c r="K40" s="109"/>
      <c r="L40" s="109"/>
      <c r="M40" s="109"/>
      <c r="N40" s="109"/>
      <c r="O40" s="109"/>
      <c r="P40" s="109"/>
      <c r="Q40" s="109"/>
      <c r="R40" s="109"/>
      <c r="S40" s="109"/>
      <c r="T40" s="109"/>
      <c r="U40" s="109"/>
      <c r="V40" s="109"/>
      <c r="W40" s="109"/>
      <c r="X40" s="109"/>
      <c r="Y40" s="109"/>
    </row>
    <row r="41" spans="1:25" ht="20.100000000000001" customHeight="1">
      <c r="A41" s="505" t="s">
        <v>229</v>
      </c>
      <c r="B41" s="505"/>
      <c r="C41" s="406">
        <v>0</v>
      </c>
      <c r="D41" s="407">
        <v>0.2</v>
      </c>
      <c r="E41" s="407">
        <v>0</v>
      </c>
      <c r="F41" s="407">
        <v>0</v>
      </c>
      <c r="G41" s="407">
        <v>0</v>
      </c>
      <c r="H41" s="4"/>
      <c r="I41" s="109"/>
      <c r="J41" s="109"/>
      <c r="K41" s="109"/>
      <c r="L41" s="109"/>
      <c r="M41" s="109"/>
      <c r="N41" s="109"/>
      <c r="O41" s="109"/>
      <c r="P41" s="109"/>
      <c r="Q41" s="109"/>
      <c r="R41" s="109"/>
      <c r="S41" s="109"/>
      <c r="T41" s="109"/>
      <c r="U41" s="109"/>
      <c r="V41" s="109"/>
      <c r="W41" s="109"/>
      <c r="X41" s="109"/>
      <c r="Y41" s="109"/>
    </row>
    <row r="42" spans="1:25" ht="20.100000000000001" customHeight="1">
      <c r="A42" s="509" t="s">
        <v>230</v>
      </c>
      <c r="B42" s="509"/>
      <c r="C42" s="408">
        <v>22.85</v>
      </c>
      <c r="D42" s="408">
        <v>23.4</v>
      </c>
      <c r="E42" s="408">
        <v>26.31</v>
      </c>
      <c r="F42" s="408">
        <v>26.5</v>
      </c>
      <c r="G42" s="408">
        <v>23.81</v>
      </c>
      <c r="H42" s="4"/>
      <c r="I42" s="109"/>
      <c r="J42" s="109"/>
      <c r="K42" s="109"/>
      <c r="L42" s="109"/>
      <c r="M42" s="109"/>
      <c r="N42" s="109"/>
      <c r="O42" s="109"/>
      <c r="P42" s="109"/>
      <c r="Q42" s="109"/>
      <c r="R42" s="109"/>
      <c r="S42" s="109"/>
      <c r="T42" s="109"/>
      <c r="U42" s="109"/>
      <c r="V42" s="109"/>
      <c r="W42" s="109"/>
      <c r="X42" s="109"/>
      <c r="Y42" s="109"/>
    </row>
    <row r="43" spans="1:25" ht="20.100000000000001" customHeight="1">
      <c r="A43" s="500" t="s">
        <v>231</v>
      </c>
      <c r="B43" s="510"/>
      <c r="C43" s="510"/>
      <c r="D43" s="510"/>
      <c r="E43" s="510"/>
      <c r="F43" s="510"/>
      <c r="G43" s="511"/>
      <c r="H43" s="4"/>
    </row>
    <row r="44" spans="1:25" ht="20.100000000000001" customHeight="1">
      <c r="A44" s="505" t="s">
        <v>232</v>
      </c>
      <c r="B44" s="505"/>
      <c r="C44" s="409" t="s">
        <v>65</v>
      </c>
      <c r="D44" s="409" t="s">
        <v>65</v>
      </c>
      <c r="E44" s="409" t="s">
        <v>65</v>
      </c>
      <c r="F44" s="409" t="s">
        <v>65</v>
      </c>
      <c r="G44" s="406">
        <v>0</v>
      </c>
      <c r="H44" s="4"/>
      <c r="I44" s="109"/>
      <c r="J44" s="109"/>
      <c r="K44" s="109"/>
      <c r="L44" s="109"/>
      <c r="M44" s="109"/>
      <c r="N44" s="109"/>
      <c r="O44" s="109"/>
      <c r="P44" s="109"/>
      <c r="Q44" s="109"/>
      <c r="R44" s="109"/>
      <c r="S44" s="109"/>
      <c r="T44" s="109"/>
      <c r="U44" s="109"/>
      <c r="V44" s="109"/>
      <c r="W44" s="109"/>
      <c r="X44" s="109"/>
      <c r="Y44" s="109"/>
    </row>
    <row r="45" spans="1:25" ht="20.100000000000001" customHeight="1">
      <c r="A45" s="505" t="s">
        <v>233</v>
      </c>
      <c r="B45" s="505"/>
      <c r="C45" s="409" t="s">
        <v>65</v>
      </c>
      <c r="D45" s="409" t="s">
        <v>65</v>
      </c>
      <c r="E45" s="409" t="s">
        <v>65</v>
      </c>
      <c r="F45" s="409" t="s">
        <v>65</v>
      </c>
      <c r="G45" s="406">
        <v>0</v>
      </c>
      <c r="H45" s="4"/>
      <c r="I45" s="109"/>
      <c r="J45" s="109"/>
      <c r="K45" s="109"/>
      <c r="L45" s="109"/>
      <c r="M45" s="109"/>
      <c r="N45" s="109"/>
      <c r="O45" s="109"/>
      <c r="P45" s="109"/>
      <c r="Q45" s="109"/>
      <c r="R45" s="109"/>
      <c r="S45" s="109"/>
      <c r="T45" s="109"/>
      <c r="U45" s="109"/>
      <c r="V45" s="109"/>
      <c r="W45" s="109"/>
      <c r="X45" s="109"/>
      <c r="Y45" s="109"/>
    </row>
    <row r="46" spans="1:25" ht="20.100000000000001" customHeight="1">
      <c r="A46" s="505" t="s">
        <v>234</v>
      </c>
      <c r="B46" s="505"/>
      <c r="C46" s="409" t="s">
        <v>65</v>
      </c>
      <c r="D46" s="409" t="s">
        <v>65</v>
      </c>
      <c r="E46" s="409" t="s">
        <v>65</v>
      </c>
      <c r="F46" s="409" t="s">
        <v>65</v>
      </c>
      <c r="G46" s="410">
        <v>0</v>
      </c>
      <c r="H46" s="4"/>
      <c r="I46" s="109"/>
      <c r="J46" s="109"/>
      <c r="K46" s="109"/>
      <c r="L46" s="109"/>
      <c r="M46" s="109"/>
      <c r="N46" s="109"/>
      <c r="O46" s="109"/>
      <c r="P46" s="109"/>
      <c r="Q46" s="109"/>
      <c r="R46" s="109"/>
      <c r="S46" s="109"/>
      <c r="T46" s="109"/>
      <c r="U46" s="109"/>
      <c r="V46" s="109"/>
      <c r="W46" s="109"/>
      <c r="X46" s="109"/>
      <c r="Y46" s="109"/>
    </row>
    <row r="47" spans="1:25" ht="20.100000000000001" customHeight="1">
      <c r="A47" s="505" t="s">
        <v>235</v>
      </c>
      <c r="B47" s="505"/>
      <c r="C47" s="409" t="s">
        <v>65</v>
      </c>
      <c r="D47" s="409" t="s">
        <v>65</v>
      </c>
      <c r="E47" s="409" t="s">
        <v>65</v>
      </c>
      <c r="F47" s="409" t="s">
        <v>65</v>
      </c>
      <c r="G47" s="410">
        <v>0.14000000000000001</v>
      </c>
      <c r="H47" s="4"/>
      <c r="I47" s="109"/>
      <c r="J47" s="109"/>
      <c r="K47" s="109"/>
      <c r="L47" s="109"/>
      <c r="M47" s="109"/>
      <c r="N47" s="109"/>
      <c r="O47" s="109"/>
      <c r="P47" s="109"/>
      <c r="Q47" s="109"/>
      <c r="R47" s="109"/>
      <c r="S47" s="109"/>
      <c r="T47" s="109"/>
      <c r="U47" s="109"/>
      <c r="V47" s="109"/>
      <c r="W47" s="109"/>
      <c r="X47" s="109"/>
      <c r="Y47" s="109"/>
    </row>
    <row r="48" spans="1:25" ht="20.100000000000001" customHeight="1">
      <c r="A48" s="512" t="s">
        <v>988</v>
      </c>
      <c r="B48" s="512"/>
      <c r="C48" s="410">
        <v>0.18</v>
      </c>
      <c r="D48" s="410">
        <v>0.17</v>
      </c>
      <c r="E48" s="410">
        <v>0.14000000000000001</v>
      </c>
      <c r="F48" s="410">
        <v>0.14000000000000001</v>
      </c>
      <c r="G48" s="410">
        <v>0.14000000000000001</v>
      </c>
      <c r="H48" s="4"/>
      <c r="I48" s="109"/>
      <c r="J48" s="109"/>
      <c r="K48" s="109"/>
      <c r="L48" s="109"/>
      <c r="M48" s="109"/>
      <c r="N48" s="109"/>
      <c r="O48" s="109"/>
      <c r="P48" s="109"/>
      <c r="Q48" s="109"/>
      <c r="R48" s="109"/>
      <c r="S48" s="109"/>
      <c r="T48" s="109"/>
      <c r="U48" s="109"/>
      <c r="V48" s="109"/>
      <c r="W48" s="109"/>
      <c r="X48" s="109"/>
      <c r="Y48" s="109"/>
    </row>
    <row r="49" spans="1:25" ht="20.100000000000001" customHeight="1">
      <c r="A49" s="513" t="s">
        <v>236</v>
      </c>
      <c r="B49" s="513"/>
      <c r="C49" s="411">
        <v>23.04</v>
      </c>
      <c r="D49" s="411">
        <v>23.56</v>
      </c>
      <c r="E49" s="411">
        <v>26.45</v>
      </c>
      <c r="F49" s="411">
        <v>26.64</v>
      </c>
      <c r="G49" s="411">
        <v>23.95</v>
      </c>
      <c r="H49" s="4"/>
      <c r="I49" s="109"/>
      <c r="J49" s="109"/>
      <c r="K49" s="109"/>
      <c r="L49" s="109"/>
      <c r="M49" s="109"/>
      <c r="N49" s="109"/>
      <c r="O49" s="109"/>
      <c r="P49" s="109"/>
      <c r="Q49" s="109"/>
      <c r="R49" s="109"/>
      <c r="S49" s="109"/>
      <c r="T49" s="109"/>
      <c r="U49" s="109"/>
      <c r="V49" s="109"/>
      <c r="W49" s="109"/>
      <c r="X49" s="109"/>
      <c r="Y49" s="109"/>
    </row>
    <row r="50" spans="1:25" ht="20.100000000000001" customHeight="1">
      <c r="A50" s="514" t="s">
        <v>237</v>
      </c>
      <c r="B50" s="515"/>
      <c r="C50" s="515"/>
      <c r="D50" s="515"/>
      <c r="E50" s="515"/>
      <c r="F50" s="515"/>
      <c r="G50" s="516"/>
      <c r="H50" s="4"/>
      <c r="I50" s="109"/>
      <c r="J50" s="109"/>
      <c r="K50" s="109"/>
      <c r="L50" s="109"/>
      <c r="M50" s="109"/>
      <c r="N50" s="109"/>
      <c r="O50" s="109"/>
      <c r="P50" s="109"/>
      <c r="Q50" s="109"/>
      <c r="R50" s="109"/>
      <c r="S50" s="109"/>
      <c r="T50" s="109"/>
      <c r="U50" s="109"/>
      <c r="V50" s="109"/>
      <c r="W50" s="109"/>
      <c r="X50" s="109"/>
      <c r="Y50" s="109"/>
    </row>
    <row r="51" spans="1:25" ht="20.100000000000001" customHeight="1">
      <c r="A51" s="505" t="s">
        <v>238</v>
      </c>
      <c r="B51" s="505"/>
      <c r="C51" s="406">
        <v>3.73</v>
      </c>
      <c r="D51" s="406">
        <v>3.76</v>
      </c>
      <c r="E51" s="406">
        <v>3.88</v>
      </c>
      <c r="F51" s="406">
        <v>4.9400000000000004</v>
      </c>
      <c r="G51" s="406">
        <v>4.53</v>
      </c>
      <c r="H51" s="4"/>
      <c r="I51" s="109"/>
      <c r="J51" s="109"/>
      <c r="K51" s="109"/>
      <c r="L51" s="109"/>
      <c r="M51" s="109"/>
      <c r="N51" s="109"/>
      <c r="O51" s="109"/>
      <c r="P51" s="109"/>
      <c r="Q51" s="109"/>
      <c r="R51" s="109"/>
      <c r="S51" s="109"/>
      <c r="T51" s="109"/>
      <c r="U51" s="109"/>
      <c r="V51" s="109"/>
      <c r="W51" s="109"/>
      <c r="X51" s="109"/>
      <c r="Y51" s="109"/>
    </row>
    <row r="52" spans="1:25" ht="20.100000000000001" customHeight="1">
      <c r="A52" s="505" t="s">
        <v>239</v>
      </c>
      <c r="B52" s="505"/>
      <c r="C52" s="406">
        <v>11.98</v>
      </c>
      <c r="D52" s="406">
        <v>12.14</v>
      </c>
      <c r="E52" s="406">
        <v>12.67</v>
      </c>
      <c r="F52" s="406">
        <v>12.39</v>
      </c>
      <c r="G52" s="406">
        <v>11.6</v>
      </c>
      <c r="H52" s="4"/>
      <c r="I52" s="109"/>
      <c r="J52" s="109"/>
      <c r="K52" s="109"/>
      <c r="L52" s="109"/>
      <c r="M52" s="109"/>
      <c r="N52" s="109"/>
      <c r="O52" s="109"/>
      <c r="P52" s="109"/>
      <c r="Q52" s="109"/>
      <c r="R52" s="109"/>
      <c r="S52" s="109"/>
      <c r="T52" s="109"/>
      <c r="U52" s="109"/>
      <c r="V52" s="109"/>
      <c r="W52" s="109"/>
      <c r="X52" s="109"/>
      <c r="Y52" s="109"/>
    </row>
    <row r="53" spans="1:25" ht="20.100000000000001" customHeight="1">
      <c r="A53" s="505" t="s">
        <v>240</v>
      </c>
      <c r="B53" s="505"/>
      <c r="C53" s="406">
        <v>0</v>
      </c>
      <c r="D53" s="406">
        <v>0</v>
      </c>
      <c r="E53" s="406">
        <v>0</v>
      </c>
      <c r="F53" s="406">
        <v>0</v>
      </c>
      <c r="G53" s="406">
        <v>0</v>
      </c>
      <c r="H53" s="4"/>
      <c r="I53" s="110"/>
      <c r="J53" s="109"/>
      <c r="K53" s="109"/>
      <c r="L53" s="109"/>
      <c r="M53" s="109"/>
      <c r="N53" s="109"/>
      <c r="O53" s="109"/>
      <c r="P53" s="109"/>
      <c r="Q53" s="109"/>
      <c r="R53" s="109"/>
      <c r="S53" s="109"/>
      <c r="T53" s="109"/>
      <c r="U53" s="109"/>
      <c r="V53" s="109"/>
      <c r="W53" s="109"/>
      <c r="X53" s="109"/>
      <c r="Y53" s="109"/>
    </row>
    <row r="54" spans="1:25" ht="20.100000000000001" customHeight="1">
      <c r="A54" s="505" t="s">
        <v>241</v>
      </c>
      <c r="B54" s="505"/>
      <c r="C54" s="406">
        <v>0</v>
      </c>
      <c r="D54" s="406">
        <v>0</v>
      </c>
      <c r="E54" s="406">
        <v>0</v>
      </c>
      <c r="F54" s="406">
        <v>0</v>
      </c>
      <c r="G54" s="406">
        <v>0</v>
      </c>
      <c r="H54" s="4"/>
      <c r="I54" s="110"/>
      <c r="J54" s="109"/>
      <c r="K54" s="109"/>
      <c r="L54" s="109"/>
      <c r="M54" s="109"/>
      <c r="N54" s="109"/>
      <c r="O54" s="109"/>
      <c r="P54" s="109"/>
      <c r="Q54" s="109"/>
      <c r="R54" s="109"/>
      <c r="S54" s="109"/>
      <c r="T54" s="109"/>
      <c r="U54" s="109"/>
      <c r="V54" s="109"/>
      <c r="W54" s="109"/>
      <c r="X54" s="109"/>
      <c r="Y54" s="109"/>
    </row>
    <row r="55" spans="1:25" ht="20.100000000000001" customHeight="1">
      <c r="A55" s="505" t="s">
        <v>242</v>
      </c>
      <c r="B55" s="505"/>
      <c r="C55" s="406">
        <v>0</v>
      </c>
      <c r="D55" s="406">
        <v>0</v>
      </c>
      <c r="E55" s="406">
        <v>0</v>
      </c>
      <c r="F55" s="406">
        <v>0</v>
      </c>
      <c r="G55" s="406">
        <v>0</v>
      </c>
      <c r="H55" s="4"/>
      <c r="I55" s="110"/>
      <c r="J55" s="109"/>
      <c r="K55" s="109"/>
      <c r="L55" s="109"/>
      <c r="M55" s="109"/>
      <c r="N55" s="109"/>
      <c r="O55" s="109"/>
      <c r="P55" s="109"/>
      <c r="Q55" s="109"/>
      <c r="R55" s="109"/>
      <c r="S55" s="109"/>
      <c r="T55" s="109"/>
      <c r="U55" s="109"/>
      <c r="V55" s="109"/>
      <c r="W55" s="109"/>
      <c r="X55" s="109"/>
      <c r="Y55" s="109"/>
    </row>
    <row r="56" spans="1:25" ht="20.100000000000001" customHeight="1">
      <c r="A56" s="517" t="s">
        <v>216</v>
      </c>
      <c r="B56" s="517"/>
      <c r="C56" s="412">
        <v>15.7</v>
      </c>
      <c r="D56" s="412">
        <v>15.9</v>
      </c>
      <c r="E56" s="412">
        <v>16.55</v>
      </c>
      <c r="F56" s="412">
        <v>17.329999999999998</v>
      </c>
      <c r="G56" s="412">
        <v>16.13</v>
      </c>
      <c r="H56" s="4"/>
      <c r="I56" s="109"/>
      <c r="J56" s="109"/>
      <c r="K56" s="109"/>
      <c r="L56" s="109"/>
      <c r="M56" s="109"/>
      <c r="N56" s="109"/>
      <c r="O56" s="109"/>
      <c r="P56" s="109"/>
      <c r="Q56" s="109"/>
      <c r="R56" s="109"/>
      <c r="S56" s="109"/>
      <c r="T56" s="109"/>
      <c r="U56" s="109"/>
      <c r="V56" s="109"/>
      <c r="W56" s="109"/>
      <c r="X56" s="109"/>
      <c r="Y56" s="109"/>
    </row>
    <row r="57" spans="1:25" ht="20.100000000000001" customHeight="1">
      <c r="A57" s="519" t="s">
        <v>243</v>
      </c>
      <c r="B57" s="519"/>
      <c r="C57" s="412">
        <v>38.74</v>
      </c>
      <c r="D57" s="412">
        <v>39.46</v>
      </c>
      <c r="E57" s="412">
        <v>43</v>
      </c>
      <c r="F57" s="412">
        <v>43.97</v>
      </c>
      <c r="G57" s="412">
        <v>40.08</v>
      </c>
      <c r="H57" s="4"/>
      <c r="I57" s="109"/>
      <c r="J57" s="109"/>
      <c r="K57" s="109"/>
      <c r="L57" s="109"/>
      <c r="M57" s="109"/>
      <c r="N57" s="109"/>
      <c r="O57" s="109"/>
      <c r="P57" s="109"/>
      <c r="Q57" s="109"/>
      <c r="R57" s="109"/>
      <c r="S57" s="109"/>
      <c r="T57" s="109"/>
      <c r="U57" s="109"/>
      <c r="V57" s="109"/>
      <c r="W57" s="109"/>
      <c r="X57" s="109"/>
      <c r="Y57" s="109"/>
    </row>
    <row r="58" spans="1:25" ht="61.5" customHeight="1">
      <c r="A58" s="518" t="s">
        <v>1037</v>
      </c>
      <c r="B58" s="491"/>
      <c r="C58" s="491"/>
      <c r="D58" s="491"/>
      <c r="E58" s="491"/>
      <c r="F58" s="491"/>
      <c r="G58" s="491"/>
      <c r="I58" s="109"/>
      <c r="J58" s="109"/>
      <c r="K58" s="109"/>
      <c r="L58" s="109"/>
      <c r="M58" s="109"/>
      <c r="N58" s="109"/>
      <c r="O58" s="109"/>
      <c r="P58" s="109"/>
      <c r="Q58" s="109"/>
      <c r="R58" s="109"/>
      <c r="S58" s="109"/>
      <c r="T58" s="109"/>
      <c r="U58" s="109"/>
      <c r="V58" s="109"/>
      <c r="W58" s="109"/>
      <c r="X58" s="109"/>
      <c r="Y58" s="109"/>
    </row>
    <row r="59" spans="1:25" ht="60" customHeight="1"/>
    <row r="60" spans="1:25" ht="47.25" customHeight="1">
      <c r="A60" s="99" t="s">
        <v>244</v>
      </c>
      <c r="B60" s="19" t="s">
        <v>118</v>
      </c>
      <c r="C60" s="113" t="s">
        <v>245</v>
      </c>
      <c r="D60" s="113" t="s">
        <v>246</v>
      </c>
      <c r="E60" s="113" t="s">
        <v>247</v>
      </c>
      <c r="F60" s="113" t="s">
        <v>248</v>
      </c>
      <c r="G60" s="113" t="s">
        <v>249</v>
      </c>
      <c r="H60" s="114" t="s">
        <v>250</v>
      </c>
      <c r="I60" s="113" t="s">
        <v>251</v>
      </c>
      <c r="J60" s="113" t="s">
        <v>252</v>
      </c>
      <c r="K60" s="20"/>
    </row>
    <row r="61" spans="1:25" ht="20.100000000000001" customHeight="1">
      <c r="A61" s="499" t="s">
        <v>129</v>
      </c>
      <c r="B61" s="99" t="s">
        <v>80</v>
      </c>
      <c r="C61" s="102">
        <v>2734.8</v>
      </c>
      <c r="D61" s="102">
        <v>2193.1</v>
      </c>
      <c r="E61" s="102">
        <v>0</v>
      </c>
      <c r="F61" s="102">
        <v>0</v>
      </c>
      <c r="G61" s="102">
        <v>0</v>
      </c>
      <c r="H61" s="102">
        <v>541.70000000000005</v>
      </c>
      <c r="I61" s="102">
        <v>0</v>
      </c>
      <c r="J61" s="102">
        <v>2734.8</v>
      </c>
      <c r="K61" s="20"/>
    </row>
    <row r="62" spans="1:25" ht="20.100000000000001" customHeight="1">
      <c r="A62" s="499"/>
      <c r="B62" s="115" t="s">
        <v>130</v>
      </c>
      <c r="C62" s="116">
        <v>0</v>
      </c>
      <c r="D62" s="116">
        <v>0</v>
      </c>
      <c r="E62" s="116">
        <v>0</v>
      </c>
      <c r="F62" s="117">
        <v>0</v>
      </c>
      <c r="G62" s="117">
        <v>0</v>
      </c>
      <c r="H62" s="117">
        <v>0</v>
      </c>
      <c r="I62" s="117">
        <v>0</v>
      </c>
      <c r="J62" s="117">
        <v>0</v>
      </c>
      <c r="K62" s="20"/>
    </row>
    <row r="63" spans="1:25" ht="20.100000000000001" customHeight="1">
      <c r="A63" s="499"/>
      <c r="B63" s="115" t="s">
        <v>131</v>
      </c>
      <c r="C63" s="116">
        <v>2734.8</v>
      </c>
      <c r="D63" s="116">
        <v>2193.1</v>
      </c>
      <c r="E63" s="116">
        <v>0</v>
      </c>
      <c r="F63" s="117">
        <v>0</v>
      </c>
      <c r="G63" s="117">
        <v>0</v>
      </c>
      <c r="H63" s="117">
        <v>541.70000000000005</v>
      </c>
      <c r="I63" s="117">
        <v>0</v>
      </c>
      <c r="J63" s="117">
        <v>2734.8</v>
      </c>
      <c r="K63" s="20"/>
    </row>
    <row r="64" spans="1:25" ht="20.100000000000001" customHeight="1">
      <c r="A64" s="499" t="s">
        <v>132</v>
      </c>
      <c r="B64" s="99" t="s">
        <v>81</v>
      </c>
      <c r="C64" s="118">
        <v>0</v>
      </c>
      <c r="D64" s="118">
        <v>0</v>
      </c>
      <c r="E64" s="118">
        <v>0</v>
      </c>
      <c r="F64" s="118">
        <v>0</v>
      </c>
      <c r="G64" s="118">
        <v>0</v>
      </c>
      <c r="H64" s="118">
        <v>0</v>
      </c>
      <c r="I64" s="118">
        <v>0</v>
      </c>
      <c r="J64" s="118">
        <v>0</v>
      </c>
      <c r="K64" s="20"/>
    </row>
    <row r="65" spans="1:11" ht="20.100000000000001" customHeight="1">
      <c r="A65" s="499"/>
      <c r="B65" s="115" t="s">
        <v>218</v>
      </c>
      <c r="C65" s="116">
        <v>0</v>
      </c>
      <c r="D65" s="116">
        <v>0</v>
      </c>
      <c r="E65" s="116">
        <v>0</v>
      </c>
      <c r="F65" s="117">
        <v>0</v>
      </c>
      <c r="G65" s="117">
        <v>0</v>
      </c>
      <c r="H65" s="117">
        <v>0</v>
      </c>
      <c r="I65" s="117">
        <v>0</v>
      </c>
      <c r="J65" s="117">
        <v>0</v>
      </c>
      <c r="K65" s="20"/>
    </row>
    <row r="66" spans="1:11" ht="20.100000000000001" customHeight="1">
      <c r="A66" s="499"/>
      <c r="B66" s="115" t="s">
        <v>133</v>
      </c>
      <c r="C66" s="116">
        <v>0</v>
      </c>
      <c r="D66" s="116">
        <v>0</v>
      </c>
      <c r="E66" s="116">
        <v>0</v>
      </c>
      <c r="F66" s="117">
        <v>0</v>
      </c>
      <c r="G66" s="117">
        <v>0</v>
      </c>
      <c r="H66" s="117">
        <v>0</v>
      </c>
      <c r="I66" s="117">
        <v>0</v>
      </c>
      <c r="J66" s="117">
        <v>0</v>
      </c>
      <c r="K66" s="20"/>
    </row>
    <row r="67" spans="1:11" ht="20.100000000000001" customHeight="1">
      <c r="A67" s="499"/>
      <c r="B67" s="99" t="s">
        <v>5</v>
      </c>
      <c r="C67" s="118">
        <v>1486.8</v>
      </c>
      <c r="D67" s="118">
        <v>0</v>
      </c>
      <c r="E67" s="118">
        <v>0</v>
      </c>
      <c r="F67" s="118">
        <v>0</v>
      </c>
      <c r="G67" s="118">
        <v>0</v>
      </c>
      <c r="H67" s="118">
        <v>1486.8</v>
      </c>
      <c r="I67" s="118">
        <v>0</v>
      </c>
      <c r="J67" s="118">
        <v>1486.8</v>
      </c>
      <c r="K67" s="20"/>
    </row>
    <row r="68" spans="1:11" ht="20.100000000000001" customHeight="1">
      <c r="A68" s="499"/>
      <c r="B68" s="115" t="s">
        <v>134</v>
      </c>
      <c r="C68" s="116">
        <v>0</v>
      </c>
      <c r="D68" s="116">
        <v>0</v>
      </c>
      <c r="E68" s="116">
        <v>0</v>
      </c>
      <c r="F68" s="117">
        <v>0</v>
      </c>
      <c r="G68" s="117">
        <v>0</v>
      </c>
      <c r="H68" s="117">
        <v>0</v>
      </c>
      <c r="I68" s="117">
        <v>0</v>
      </c>
      <c r="J68" s="117">
        <v>0</v>
      </c>
      <c r="K68" s="20"/>
    </row>
    <row r="69" spans="1:11" ht="20.100000000000001" customHeight="1">
      <c r="A69" s="499"/>
      <c r="B69" s="115" t="s">
        <v>39</v>
      </c>
      <c r="C69" s="116">
        <v>0</v>
      </c>
      <c r="D69" s="116">
        <v>0</v>
      </c>
      <c r="E69" s="116">
        <v>0</v>
      </c>
      <c r="F69" s="117">
        <v>0</v>
      </c>
      <c r="G69" s="117">
        <v>0</v>
      </c>
      <c r="H69" s="117">
        <v>0</v>
      </c>
      <c r="I69" s="117">
        <v>0</v>
      </c>
      <c r="J69" s="117">
        <v>0</v>
      </c>
      <c r="K69" s="20"/>
    </row>
    <row r="70" spans="1:11" ht="20.100000000000001" customHeight="1">
      <c r="A70" s="499"/>
      <c r="B70" s="115" t="s">
        <v>135</v>
      </c>
      <c r="C70" s="116">
        <v>1486.8</v>
      </c>
      <c r="D70" s="116">
        <v>0</v>
      </c>
      <c r="E70" s="116">
        <v>0</v>
      </c>
      <c r="F70" s="117">
        <v>0</v>
      </c>
      <c r="G70" s="117">
        <v>0</v>
      </c>
      <c r="H70" s="117">
        <v>1486.8</v>
      </c>
      <c r="I70" s="117">
        <v>0</v>
      </c>
      <c r="J70" s="117">
        <v>1486.8</v>
      </c>
      <c r="K70" s="20"/>
    </row>
    <row r="71" spans="1:11" ht="20.100000000000001" customHeight="1">
      <c r="A71" s="499"/>
      <c r="B71" s="115" t="s">
        <v>6</v>
      </c>
      <c r="C71" s="116">
        <v>0</v>
      </c>
      <c r="D71" s="116">
        <v>0</v>
      </c>
      <c r="E71" s="116">
        <v>0</v>
      </c>
      <c r="F71" s="117">
        <v>0</v>
      </c>
      <c r="G71" s="117">
        <v>0</v>
      </c>
      <c r="H71" s="117">
        <v>0</v>
      </c>
      <c r="I71" s="117">
        <v>0</v>
      </c>
      <c r="J71" s="117">
        <v>0</v>
      </c>
      <c r="K71" s="20"/>
    </row>
    <row r="72" spans="1:11" ht="20.100000000000001" customHeight="1">
      <c r="A72" s="499"/>
      <c r="B72" s="115" t="s">
        <v>136</v>
      </c>
      <c r="C72" s="116">
        <v>0</v>
      </c>
      <c r="D72" s="116">
        <v>0</v>
      </c>
      <c r="E72" s="116">
        <v>0</v>
      </c>
      <c r="F72" s="117">
        <v>0</v>
      </c>
      <c r="G72" s="117">
        <v>0</v>
      </c>
      <c r="H72" s="117">
        <v>0</v>
      </c>
      <c r="I72" s="117">
        <v>0</v>
      </c>
      <c r="J72" s="117">
        <v>0</v>
      </c>
      <c r="K72" s="20"/>
    </row>
    <row r="73" spans="1:11" ht="20.100000000000001" customHeight="1">
      <c r="A73" s="499"/>
      <c r="B73" s="99" t="s">
        <v>9</v>
      </c>
      <c r="C73" s="118">
        <v>0</v>
      </c>
      <c r="D73" s="118">
        <v>0</v>
      </c>
      <c r="E73" s="118">
        <v>0</v>
      </c>
      <c r="F73" s="118">
        <v>0</v>
      </c>
      <c r="G73" s="118">
        <v>0</v>
      </c>
      <c r="H73" s="118">
        <v>0</v>
      </c>
      <c r="I73" s="118">
        <v>0</v>
      </c>
      <c r="J73" s="118">
        <v>0</v>
      </c>
      <c r="K73" s="20"/>
    </row>
    <row r="74" spans="1:11" ht="20.100000000000001" customHeight="1">
      <c r="A74" s="499"/>
      <c r="B74" s="115" t="s">
        <v>10</v>
      </c>
      <c r="C74" s="116">
        <v>0</v>
      </c>
      <c r="D74" s="116">
        <v>0</v>
      </c>
      <c r="E74" s="116">
        <v>0</v>
      </c>
      <c r="F74" s="117">
        <v>0</v>
      </c>
      <c r="G74" s="117">
        <v>0</v>
      </c>
      <c r="H74" s="117">
        <v>0</v>
      </c>
      <c r="I74" s="117">
        <v>0</v>
      </c>
      <c r="J74" s="117">
        <v>0</v>
      </c>
      <c r="K74" s="20"/>
    </row>
    <row r="75" spans="1:11" ht="20.100000000000001" customHeight="1">
      <c r="A75" s="499" t="s">
        <v>137</v>
      </c>
      <c r="B75" s="99" t="s">
        <v>37</v>
      </c>
      <c r="C75" s="118">
        <v>0</v>
      </c>
      <c r="D75" s="118">
        <v>0</v>
      </c>
      <c r="E75" s="118">
        <v>0</v>
      </c>
      <c r="F75" s="118">
        <v>0</v>
      </c>
      <c r="G75" s="118">
        <v>0</v>
      </c>
      <c r="H75" s="118">
        <v>0</v>
      </c>
      <c r="I75" s="118">
        <v>0</v>
      </c>
      <c r="J75" s="118">
        <v>0</v>
      </c>
      <c r="K75" s="20"/>
    </row>
    <row r="76" spans="1:11" ht="20.100000000000001" customHeight="1">
      <c r="A76" s="499"/>
      <c r="B76" s="115" t="s">
        <v>38</v>
      </c>
      <c r="C76" s="116">
        <v>0</v>
      </c>
      <c r="D76" s="116">
        <v>0</v>
      </c>
      <c r="E76" s="116">
        <v>0</v>
      </c>
      <c r="F76" s="117">
        <v>0</v>
      </c>
      <c r="G76" s="117">
        <v>0</v>
      </c>
      <c r="H76" s="117">
        <v>0</v>
      </c>
      <c r="I76" s="117">
        <v>0</v>
      </c>
      <c r="J76" s="117">
        <v>0</v>
      </c>
      <c r="K76" s="20"/>
    </row>
    <row r="77" spans="1:11" ht="20.100000000000001" customHeight="1">
      <c r="A77" s="499"/>
      <c r="B77" s="99" t="s">
        <v>82</v>
      </c>
      <c r="C77" s="118">
        <v>1775427.8</v>
      </c>
      <c r="D77" s="118">
        <v>12172</v>
      </c>
      <c r="E77" s="118">
        <v>1763255.9</v>
      </c>
      <c r="F77" s="118">
        <v>0</v>
      </c>
      <c r="G77" s="118">
        <v>0</v>
      </c>
      <c r="H77" s="118">
        <v>0</v>
      </c>
      <c r="I77" s="118">
        <v>0</v>
      </c>
      <c r="J77" s="118">
        <v>1775427.8</v>
      </c>
      <c r="K77" s="20"/>
    </row>
    <row r="78" spans="1:11" ht="20.100000000000001" customHeight="1">
      <c r="A78" s="499"/>
      <c r="B78" s="115" t="s">
        <v>138</v>
      </c>
      <c r="C78" s="116">
        <v>1775427.8</v>
      </c>
      <c r="D78" s="116">
        <v>12172</v>
      </c>
      <c r="E78" s="116">
        <v>1763255.9</v>
      </c>
      <c r="F78" s="117">
        <v>0</v>
      </c>
      <c r="G78" s="117">
        <v>0</v>
      </c>
      <c r="H78" s="117">
        <v>0</v>
      </c>
      <c r="I78" s="117">
        <v>0</v>
      </c>
      <c r="J78" s="117">
        <v>1775427.8</v>
      </c>
      <c r="K78" s="20"/>
    </row>
    <row r="79" spans="1:11" ht="20.100000000000001" customHeight="1">
      <c r="A79" s="499"/>
      <c r="B79" s="99" t="s">
        <v>13</v>
      </c>
      <c r="C79" s="118">
        <v>909.5</v>
      </c>
      <c r="D79" s="118">
        <v>909.5</v>
      </c>
      <c r="E79" s="118">
        <v>0</v>
      </c>
      <c r="F79" s="118">
        <v>0</v>
      </c>
      <c r="G79" s="118">
        <v>0</v>
      </c>
      <c r="H79" s="118">
        <v>0</v>
      </c>
      <c r="I79" s="118">
        <v>0</v>
      </c>
      <c r="J79" s="118">
        <v>909.5</v>
      </c>
      <c r="K79" s="20"/>
    </row>
    <row r="80" spans="1:11" ht="20.100000000000001" customHeight="1">
      <c r="A80" s="499"/>
      <c r="B80" s="115" t="s">
        <v>14</v>
      </c>
      <c r="C80" s="116">
        <v>909.5</v>
      </c>
      <c r="D80" s="116">
        <v>909.5</v>
      </c>
      <c r="E80" s="116">
        <v>0</v>
      </c>
      <c r="F80" s="117">
        <v>0</v>
      </c>
      <c r="G80" s="117">
        <v>0</v>
      </c>
      <c r="H80" s="117">
        <v>0</v>
      </c>
      <c r="I80" s="117">
        <v>0</v>
      </c>
      <c r="J80" s="117">
        <v>909.5</v>
      </c>
      <c r="K80" s="20"/>
    </row>
    <row r="81" spans="1:11" ht="20.100000000000001" customHeight="1">
      <c r="A81" s="499" t="s">
        <v>154</v>
      </c>
      <c r="B81" s="99" t="s">
        <v>25</v>
      </c>
      <c r="C81" s="118">
        <v>2287636.2000000002</v>
      </c>
      <c r="D81" s="118">
        <v>443012.2</v>
      </c>
      <c r="E81" s="118">
        <v>0</v>
      </c>
      <c r="F81" s="118">
        <v>0</v>
      </c>
      <c r="G81" s="118">
        <v>1844624</v>
      </c>
      <c r="H81" s="118">
        <v>0</v>
      </c>
      <c r="I81" s="118">
        <v>0</v>
      </c>
      <c r="J81" s="118">
        <v>2287636.2000000002</v>
      </c>
      <c r="K81" s="20"/>
    </row>
    <row r="82" spans="1:11" ht="20.100000000000001" customHeight="1">
      <c r="A82" s="499"/>
      <c r="B82" s="115" t="s">
        <v>219</v>
      </c>
      <c r="C82" s="116">
        <v>0</v>
      </c>
      <c r="D82" s="116">
        <v>0</v>
      </c>
      <c r="E82" s="116">
        <v>0</v>
      </c>
      <c r="F82" s="116">
        <v>0</v>
      </c>
      <c r="G82" s="116">
        <v>0</v>
      </c>
      <c r="H82" s="116">
        <v>0</v>
      </c>
      <c r="I82" s="116">
        <v>0</v>
      </c>
      <c r="J82" s="117">
        <v>0</v>
      </c>
      <c r="K82" s="20"/>
    </row>
    <row r="83" spans="1:11" ht="20.100000000000001" customHeight="1">
      <c r="A83" s="499"/>
      <c r="B83" s="115" t="s">
        <v>26</v>
      </c>
      <c r="C83" s="116">
        <v>0</v>
      </c>
      <c r="D83" s="116">
        <v>0</v>
      </c>
      <c r="E83" s="116">
        <v>0</v>
      </c>
      <c r="F83" s="116">
        <v>0</v>
      </c>
      <c r="G83" s="116">
        <v>0</v>
      </c>
      <c r="H83" s="116">
        <v>0</v>
      </c>
      <c r="I83" s="116">
        <v>0</v>
      </c>
      <c r="J83" s="117">
        <v>0</v>
      </c>
      <c r="K83" s="20"/>
    </row>
    <row r="84" spans="1:11" ht="20.100000000000001" customHeight="1">
      <c r="A84" s="499"/>
      <c r="B84" s="115" t="s">
        <v>140</v>
      </c>
      <c r="C84" s="116">
        <v>0</v>
      </c>
      <c r="D84" s="116">
        <v>0</v>
      </c>
      <c r="E84" s="116">
        <v>0</v>
      </c>
      <c r="F84" s="116">
        <v>0</v>
      </c>
      <c r="G84" s="116">
        <v>0</v>
      </c>
      <c r="H84" s="116">
        <v>0</v>
      </c>
      <c r="I84" s="116">
        <v>0</v>
      </c>
      <c r="J84" s="117">
        <v>0</v>
      </c>
      <c r="K84" s="20"/>
    </row>
    <row r="85" spans="1:11" ht="20.100000000000001" customHeight="1">
      <c r="A85" s="499"/>
      <c r="B85" s="115" t="s">
        <v>29</v>
      </c>
      <c r="C85" s="116">
        <v>2287636.2000000002</v>
      </c>
      <c r="D85" s="116">
        <v>443012.2</v>
      </c>
      <c r="E85" s="116">
        <v>0</v>
      </c>
      <c r="F85" s="116">
        <v>0</v>
      </c>
      <c r="G85" s="116">
        <v>1844624</v>
      </c>
      <c r="H85" s="116">
        <v>0</v>
      </c>
      <c r="I85" s="116">
        <v>0</v>
      </c>
      <c r="J85" s="117">
        <v>2287636.2000000002</v>
      </c>
      <c r="K85" s="20"/>
    </row>
    <row r="86" spans="1:11" ht="20.100000000000001" customHeight="1">
      <c r="A86" s="92" t="s">
        <v>141</v>
      </c>
      <c r="B86" s="99" t="s">
        <v>85</v>
      </c>
      <c r="C86" s="118">
        <v>4068195.1</v>
      </c>
      <c r="D86" s="118">
        <v>458286.8</v>
      </c>
      <c r="E86" s="118">
        <v>1763255.9</v>
      </c>
      <c r="F86" s="118">
        <v>0</v>
      </c>
      <c r="G86" s="118">
        <v>1844624</v>
      </c>
      <c r="H86" s="118">
        <v>2028.5</v>
      </c>
      <c r="I86" s="118">
        <v>0</v>
      </c>
      <c r="J86" s="118">
        <v>4068195.1</v>
      </c>
      <c r="K86" s="20"/>
    </row>
    <row r="87" spans="1:11" ht="50.1" customHeight="1">
      <c r="A87" s="518" t="s">
        <v>1038</v>
      </c>
      <c r="B87" s="491"/>
      <c r="C87" s="491"/>
      <c r="D87" s="491"/>
      <c r="E87" s="491"/>
      <c r="F87" s="491"/>
      <c r="G87" s="491"/>
      <c r="H87" s="491"/>
      <c r="I87" s="491"/>
      <c r="J87" s="491"/>
      <c r="K87" s="35"/>
    </row>
    <row r="88" spans="1:11" ht="60" customHeight="1">
      <c r="A88" s="506"/>
      <c r="B88" s="459"/>
      <c r="C88" s="459"/>
      <c r="D88" s="459"/>
      <c r="E88" s="459"/>
      <c r="F88" s="459"/>
    </row>
    <row r="89" spans="1:11" ht="44.25" customHeight="1">
      <c r="A89" s="41" t="s">
        <v>1086</v>
      </c>
      <c r="B89" s="119" t="s">
        <v>158</v>
      </c>
      <c r="C89" s="119" t="s">
        <v>159</v>
      </c>
      <c r="D89" s="119" t="s">
        <v>160</v>
      </c>
      <c r="E89" s="119" t="s">
        <v>220</v>
      </c>
      <c r="F89" s="42" t="s">
        <v>253</v>
      </c>
      <c r="G89" s="4"/>
      <c r="I89" s="109"/>
      <c r="J89" s="109"/>
      <c r="K89" s="109"/>
    </row>
    <row r="90" spans="1:11" ht="30" customHeight="1">
      <c r="A90" s="99" t="s">
        <v>245</v>
      </c>
      <c r="B90" s="75">
        <v>0.99</v>
      </c>
      <c r="C90" s="75">
        <v>0.95</v>
      </c>
      <c r="D90" s="75">
        <v>1.5</v>
      </c>
      <c r="E90" s="75">
        <v>1.71</v>
      </c>
      <c r="F90" s="75">
        <v>1.77</v>
      </c>
      <c r="G90" s="4"/>
      <c r="I90" s="109"/>
      <c r="J90" s="109"/>
      <c r="K90" s="109"/>
    </row>
    <row r="91" spans="1:11" ht="20.100000000000001" customHeight="1">
      <c r="A91" s="120" t="s">
        <v>254</v>
      </c>
      <c r="B91" s="69">
        <v>0.81</v>
      </c>
      <c r="C91" s="69">
        <v>0.78</v>
      </c>
      <c r="D91" s="69">
        <v>0.77</v>
      </c>
      <c r="E91" s="69">
        <v>0.96</v>
      </c>
      <c r="F91" s="69">
        <v>0.18</v>
      </c>
      <c r="G91" s="4"/>
      <c r="I91" s="109"/>
      <c r="J91" s="109"/>
      <c r="K91" s="109"/>
    </row>
    <row r="92" spans="1:11" ht="20.100000000000001" customHeight="1">
      <c r="A92" s="120" t="s">
        <v>255</v>
      </c>
      <c r="B92" s="69">
        <v>0</v>
      </c>
      <c r="C92" s="69">
        <v>0</v>
      </c>
      <c r="D92" s="69">
        <v>0.59</v>
      </c>
      <c r="E92" s="69">
        <v>0.61</v>
      </c>
      <c r="F92" s="69">
        <v>0.71</v>
      </c>
      <c r="G92" s="4"/>
      <c r="I92" s="109"/>
      <c r="J92" s="109"/>
      <c r="K92" s="109"/>
    </row>
    <row r="93" spans="1:11" ht="20.100000000000001" customHeight="1">
      <c r="A93" s="121" t="s">
        <v>256</v>
      </c>
      <c r="B93" s="69">
        <v>0.18</v>
      </c>
      <c r="C93" s="69">
        <v>0.17</v>
      </c>
      <c r="D93" s="69">
        <v>0.14000000000000001</v>
      </c>
      <c r="E93" s="69">
        <v>0.14000000000000001</v>
      </c>
      <c r="F93" s="69">
        <v>0.14000000000000001</v>
      </c>
      <c r="G93" s="4"/>
      <c r="I93" s="109"/>
      <c r="J93" s="109"/>
      <c r="K93" s="109"/>
    </row>
    <row r="94" spans="1:11" ht="20.100000000000001" customHeight="1">
      <c r="A94" s="120" t="s">
        <v>257</v>
      </c>
      <c r="B94" s="69">
        <v>0</v>
      </c>
      <c r="C94" s="69">
        <v>0</v>
      </c>
      <c r="D94" s="69">
        <v>0</v>
      </c>
      <c r="E94" s="69">
        <v>0</v>
      </c>
      <c r="F94" s="69">
        <v>0.74</v>
      </c>
      <c r="G94" s="4"/>
      <c r="I94" s="109"/>
      <c r="J94" s="109"/>
      <c r="K94" s="109"/>
    </row>
    <row r="95" spans="1:11" ht="20.100000000000001" customHeight="1">
      <c r="A95" s="99" t="s">
        <v>258</v>
      </c>
      <c r="B95" s="122">
        <v>0</v>
      </c>
      <c r="C95" s="122">
        <v>0</v>
      </c>
      <c r="D95" s="122">
        <v>0</v>
      </c>
      <c r="E95" s="122">
        <v>0</v>
      </c>
      <c r="F95" s="122">
        <v>0</v>
      </c>
      <c r="G95" s="4"/>
      <c r="I95" s="109"/>
      <c r="J95" s="109"/>
      <c r="K95" s="109"/>
    </row>
    <row r="96" spans="1:11" ht="30" customHeight="1">
      <c r="A96" s="99" t="s">
        <v>259</v>
      </c>
      <c r="B96" s="75">
        <v>0.99</v>
      </c>
      <c r="C96" s="75">
        <v>0.95</v>
      </c>
      <c r="D96" s="75">
        <v>1.5</v>
      </c>
      <c r="E96" s="75">
        <v>1.71</v>
      </c>
      <c r="F96" s="75">
        <v>1.77</v>
      </c>
      <c r="G96" s="4"/>
      <c r="I96" s="109"/>
      <c r="J96" s="109"/>
      <c r="K96" s="109"/>
    </row>
    <row r="97" spans="1:7" ht="46.5" customHeight="1">
      <c r="A97" s="518" t="s">
        <v>1050</v>
      </c>
      <c r="B97" s="491"/>
      <c r="C97" s="491"/>
      <c r="D97" s="491"/>
      <c r="E97" s="491"/>
      <c r="F97" s="491"/>
    </row>
    <row r="98" spans="1:7" ht="60" customHeight="1">
      <c r="A98" s="123"/>
    </row>
    <row r="99" spans="1:7" ht="42.75" customHeight="1">
      <c r="A99" s="41" t="s">
        <v>260</v>
      </c>
      <c r="B99" s="113" t="s">
        <v>118</v>
      </c>
      <c r="C99" s="124" t="s">
        <v>261</v>
      </c>
      <c r="D99" s="124" t="s">
        <v>262</v>
      </c>
      <c r="E99" s="124" t="s">
        <v>263</v>
      </c>
      <c r="F99" s="124" t="s">
        <v>264</v>
      </c>
      <c r="G99" s="20"/>
    </row>
    <row r="100" spans="1:7" ht="20.100000000000001" customHeight="1">
      <c r="A100" s="499" t="s">
        <v>129</v>
      </c>
      <c r="B100" s="111" t="s">
        <v>80</v>
      </c>
      <c r="C100" s="125">
        <v>2069329.2</v>
      </c>
      <c r="D100" s="125">
        <v>764639.93</v>
      </c>
      <c r="E100" s="125">
        <v>541.70000000000005</v>
      </c>
      <c r="F100" s="126">
        <v>0.37</v>
      </c>
      <c r="G100" s="20"/>
    </row>
    <row r="101" spans="1:7" ht="20.100000000000001" customHeight="1">
      <c r="A101" s="499"/>
      <c r="B101" s="115" t="s">
        <v>130</v>
      </c>
      <c r="C101" s="127">
        <v>1207296</v>
      </c>
      <c r="D101" s="127">
        <v>446699.52000000002</v>
      </c>
      <c r="E101" s="127">
        <v>0</v>
      </c>
      <c r="F101" s="128">
        <v>0.37</v>
      </c>
      <c r="G101" s="20"/>
    </row>
    <row r="102" spans="1:7" ht="20.100000000000001" customHeight="1">
      <c r="A102" s="499"/>
      <c r="B102" s="115" t="s">
        <v>131</v>
      </c>
      <c r="C102" s="127">
        <v>862033.2</v>
      </c>
      <c r="D102" s="127">
        <v>317940.40999999997</v>
      </c>
      <c r="E102" s="127">
        <v>541.70000000000005</v>
      </c>
      <c r="F102" s="128">
        <v>0.36899999999999999</v>
      </c>
      <c r="G102" s="20"/>
    </row>
    <row r="103" spans="1:7" ht="20.100000000000001" customHeight="1">
      <c r="A103" s="499" t="s">
        <v>132</v>
      </c>
      <c r="B103" s="111" t="s">
        <v>81</v>
      </c>
      <c r="C103" s="125">
        <v>472811.95</v>
      </c>
      <c r="D103" s="125">
        <v>141559.10999999999</v>
      </c>
      <c r="E103" s="125">
        <v>0</v>
      </c>
      <c r="F103" s="126">
        <v>0.29899999999999999</v>
      </c>
      <c r="G103" s="20"/>
    </row>
    <row r="104" spans="1:7" ht="20.100000000000001" customHeight="1">
      <c r="A104" s="499"/>
      <c r="B104" s="115" t="s">
        <v>218</v>
      </c>
      <c r="C104" s="127">
        <v>16733.91</v>
      </c>
      <c r="D104" s="127">
        <v>4735.7</v>
      </c>
      <c r="E104" s="127">
        <v>0</v>
      </c>
      <c r="F104" s="128">
        <v>0.28300000000000003</v>
      </c>
      <c r="G104" s="20"/>
    </row>
    <row r="105" spans="1:7" ht="20.100000000000001" customHeight="1">
      <c r="A105" s="499"/>
      <c r="B105" s="115" t="s">
        <v>133</v>
      </c>
      <c r="C105" s="127">
        <v>456078.04</v>
      </c>
      <c r="D105" s="127">
        <v>136823.41</v>
      </c>
      <c r="E105" s="127">
        <v>0</v>
      </c>
      <c r="F105" s="128">
        <v>0.3</v>
      </c>
      <c r="G105" s="20"/>
    </row>
    <row r="106" spans="1:7" ht="20.100000000000001" customHeight="1">
      <c r="A106" s="499"/>
      <c r="B106" s="111" t="s">
        <v>5</v>
      </c>
      <c r="C106" s="125">
        <v>2832703.2</v>
      </c>
      <c r="D106" s="125">
        <v>1556844.56</v>
      </c>
      <c r="E106" s="125">
        <v>1486.8</v>
      </c>
      <c r="F106" s="126">
        <v>0.55000000000000004</v>
      </c>
      <c r="G106" s="20"/>
    </row>
    <row r="107" spans="1:7" ht="20.100000000000001" customHeight="1">
      <c r="A107" s="499"/>
      <c r="B107" s="115" t="s">
        <v>134</v>
      </c>
      <c r="C107" s="127">
        <v>9925.2000000000007</v>
      </c>
      <c r="D107" s="127">
        <v>3364.64</v>
      </c>
      <c r="E107" s="127">
        <v>0</v>
      </c>
      <c r="F107" s="128">
        <v>0.33899999999999997</v>
      </c>
      <c r="G107" s="20"/>
    </row>
    <row r="108" spans="1:7" ht="20.100000000000001" customHeight="1">
      <c r="A108" s="499"/>
      <c r="B108" s="115" t="s">
        <v>39</v>
      </c>
      <c r="C108" s="127">
        <v>972414</v>
      </c>
      <c r="D108" s="127">
        <v>926710.54</v>
      </c>
      <c r="E108" s="127">
        <v>0</v>
      </c>
      <c r="F108" s="128">
        <v>0.95299999999999996</v>
      </c>
      <c r="G108" s="20"/>
    </row>
    <row r="109" spans="1:7" ht="20.100000000000001" customHeight="1">
      <c r="A109" s="499"/>
      <c r="B109" s="115" t="s">
        <v>135</v>
      </c>
      <c r="C109" s="127">
        <v>375224.4</v>
      </c>
      <c r="D109" s="127">
        <v>126697.05</v>
      </c>
      <c r="E109" s="127">
        <v>1486.8</v>
      </c>
      <c r="F109" s="128">
        <v>0.34200000000000003</v>
      </c>
      <c r="G109" s="20"/>
    </row>
    <row r="110" spans="1:7" ht="20.100000000000001" customHeight="1">
      <c r="A110" s="499"/>
      <c r="B110" s="115" t="s">
        <v>6</v>
      </c>
      <c r="C110" s="127">
        <v>711795.6</v>
      </c>
      <c r="D110" s="127">
        <v>241298.71</v>
      </c>
      <c r="E110" s="127">
        <v>0</v>
      </c>
      <c r="F110" s="128">
        <v>0.33899999999999997</v>
      </c>
      <c r="G110" s="20"/>
    </row>
    <row r="111" spans="1:7" ht="20.100000000000001" customHeight="1">
      <c r="A111" s="499"/>
      <c r="B111" s="115" t="s">
        <v>136</v>
      </c>
      <c r="C111" s="127">
        <v>763344</v>
      </c>
      <c r="D111" s="127">
        <v>258773.62</v>
      </c>
      <c r="E111" s="127">
        <v>0</v>
      </c>
      <c r="F111" s="128">
        <v>0.33899999999999997</v>
      </c>
      <c r="G111" s="20"/>
    </row>
    <row r="112" spans="1:7" ht="20.100000000000001" customHeight="1">
      <c r="A112" s="499"/>
      <c r="B112" s="111" t="s">
        <v>9</v>
      </c>
      <c r="C112" s="125">
        <v>3688308</v>
      </c>
      <c r="D112" s="125">
        <v>958960.08</v>
      </c>
      <c r="E112" s="125">
        <v>0</v>
      </c>
      <c r="F112" s="126">
        <v>0.26</v>
      </c>
      <c r="G112" s="20"/>
    </row>
    <row r="113" spans="1:22" ht="20.100000000000001" customHeight="1">
      <c r="A113" s="499"/>
      <c r="B113" s="115" t="s">
        <v>10</v>
      </c>
      <c r="C113" s="127">
        <v>3688308</v>
      </c>
      <c r="D113" s="127">
        <v>958960.08</v>
      </c>
      <c r="E113" s="127">
        <v>0</v>
      </c>
      <c r="F113" s="128">
        <v>0.26</v>
      </c>
      <c r="G113" s="20"/>
    </row>
    <row r="114" spans="1:22" ht="20.100000000000001" customHeight="1">
      <c r="A114" s="499" t="s">
        <v>137</v>
      </c>
      <c r="B114" s="111" t="s">
        <v>37</v>
      </c>
      <c r="C114" s="125">
        <v>435312</v>
      </c>
      <c r="D114" s="125">
        <v>188925.41</v>
      </c>
      <c r="E114" s="125">
        <v>0</v>
      </c>
      <c r="F114" s="126">
        <v>0.434</v>
      </c>
      <c r="G114" s="20"/>
    </row>
    <row r="115" spans="1:22" ht="20.100000000000001" customHeight="1">
      <c r="A115" s="499"/>
      <c r="B115" s="115" t="s">
        <v>38</v>
      </c>
      <c r="C115" s="127">
        <v>435312</v>
      </c>
      <c r="D115" s="127">
        <v>188925.41</v>
      </c>
      <c r="E115" s="127">
        <v>0</v>
      </c>
      <c r="F115" s="128">
        <v>0.434</v>
      </c>
      <c r="G115" s="20"/>
    </row>
    <row r="116" spans="1:22" ht="20.100000000000001" customHeight="1">
      <c r="A116" s="499"/>
      <c r="B116" s="111" t="s">
        <v>82</v>
      </c>
      <c r="C116" s="125">
        <v>1775427.82</v>
      </c>
      <c r="D116" s="125">
        <v>0</v>
      </c>
      <c r="E116" s="125">
        <v>0</v>
      </c>
      <c r="F116" s="129">
        <v>0</v>
      </c>
      <c r="G116" s="20"/>
    </row>
    <row r="117" spans="1:22" ht="20.100000000000001" customHeight="1">
      <c r="A117" s="499"/>
      <c r="B117" s="115" t="s">
        <v>138</v>
      </c>
      <c r="C117" s="127">
        <v>1775427.82</v>
      </c>
      <c r="D117" s="127">
        <v>0</v>
      </c>
      <c r="E117" s="127">
        <v>0</v>
      </c>
      <c r="F117" s="130">
        <v>0</v>
      </c>
      <c r="G117" s="20"/>
    </row>
    <row r="118" spans="1:22" ht="20.100000000000001" customHeight="1">
      <c r="A118" s="499"/>
      <c r="B118" s="111" t="s">
        <v>13</v>
      </c>
      <c r="C118" s="125">
        <v>1535917.32</v>
      </c>
      <c r="D118" s="125">
        <v>921004.69</v>
      </c>
      <c r="E118" s="125">
        <v>0</v>
      </c>
      <c r="F118" s="129">
        <v>0.6</v>
      </c>
      <c r="G118" s="20"/>
    </row>
    <row r="119" spans="1:22" ht="20.100000000000001" customHeight="1">
      <c r="A119" s="499"/>
      <c r="B119" s="115" t="s">
        <v>14</v>
      </c>
      <c r="C119" s="127">
        <v>1535917.32</v>
      </c>
      <c r="D119" s="127">
        <v>921004.69</v>
      </c>
      <c r="E119" s="127">
        <v>0</v>
      </c>
      <c r="F119" s="130">
        <v>0.6</v>
      </c>
      <c r="G119" s="20"/>
      <c r="I119" s="35"/>
    </row>
    <row r="120" spans="1:22" ht="20.100000000000001" customHeight="1">
      <c r="A120" s="499" t="s">
        <v>154</v>
      </c>
      <c r="B120" s="111" t="s">
        <v>25</v>
      </c>
      <c r="C120" s="125">
        <v>7388665.9900000002</v>
      </c>
      <c r="D120" s="125">
        <v>0</v>
      </c>
      <c r="E120" s="125">
        <v>0</v>
      </c>
      <c r="F120" s="129">
        <v>0</v>
      </c>
      <c r="G120" s="20"/>
    </row>
    <row r="121" spans="1:22" ht="20.100000000000001" customHeight="1">
      <c r="A121" s="499"/>
      <c r="B121" s="115" t="s">
        <v>219</v>
      </c>
      <c r="C121" s="127">
        <v>2622</v>
      </c>
      <c r="D121" s="127">
        <v>0</v>
      </c>
      <c r="E121" s="127">
        <v>0</v>
      </c>
      <c r="F121" s="130">
        <v>0</v>
      </c>
      <c r="G121" s="20"/>
    </row>
    <row r="122" spans="1:22" ht="20.100000000000001" customHeight="1">
      <c r="A122" s="499"/>
      <c r="B122" s="115" t="s">
        <v>26</v>
      </c>
      <c r="C122" s="127">
        <v>3701325</v>
      </c>
      <c r="D122" s="127">
        <v>0</v>
      </c>
      <c r="E122" s="127">
        <v>0</v>
      </c>
      <c r="F122" s="130">
        <v>0</v>
      </c>
      <c r="G122" s="131"/>
    </row>
    <row r="123" spans="1:22" ht="20.100000000000001" customHeight="1">
      <c r="A123" s="499"/>
      <c r="B123" s="115" t="s">
        <v>140</v>
      </c>
      <c r="C123" s="127">
        <v>1397082.8</v>
      </c>
      <c r="D123" s="127">
        <v>0</v>
      </c>
      <c r="E123" s="127">
        <v>0</v>
      </c>
      <c r="F123" s="130">
        <v>0</v>
      </c>
      <c r="G123" s="20"/>
    </row>
    <row r="124" spans="1:22" ht="20.100000000000001" customHeight="1">
      <c r="A124" s="499"/>
      <c r="B124" s="115" t="s">
        <v>29</v>
      </c>
      <c r="C124" s="127">
        <v>2287636.2000000002</v>
      </c>
      <c r="D124" s="127">
        <v>0</v>
      </c>
      <c r="E124" s="127">
        <v>0</v>
      </c>
      <c r="F124" s="130">
        <v>0</v>
      </c>
      <c r="G124" s="20"/>
    </row>
    <row r="125" spans="1:22" ht="20.100000000000001" customHeight="1">
      <c r="A125" s="92" t="s">
        <v>141</v>
      </c>
      <c r="B125" s="99" t="s">
        <v>142</v>
      </c>
      <c r="C125" s="125">
        <v>20198475.489999998</v>
      </c>
      <c r="D125" s="125">
        <v>4531933.7699999996</v>
      </c>
      <c r="E125" s="125">
        <v>2028.5</v>
      </c>
      <c r="F125" s="126">
        <v>0.22399999999999998</v>
      </c>
      <c r="G125" s="20"/>
    </row>
    <row r="126" spans="1:22" ht="32.450000000000003" customHeight="1">
      <c r="A126" s="491" t="s">
        <v>265</v>
      </c>
      <c r="B126" s="491"/>
      <c r="C126" s="491"/>
      <c r="D126" s="491"/>
      <c r="E126" s="491"/>
      <c r="F126" s="491"/>
      <c r="G126" s="35"/>
      <c r="U126" s="35"/>
    </row>
    <row r="127" spans="1:22" ht="60" customHeight="1">
      <c r="A127" s="123"/>
      <c r="G127" s="123"/>
      <c r="M127" s="132"/>
      <c r="N127" s="132"/>
      <c r="Q127" s="132"/>
      <c r="T127" s="132"/>
      <c r="U127" s="132"/>
    </row>
    <row r="128" spans="1:22" ht="49.5" customHeight="1">
      <c r="A128" s="2" t="s">
        <v>266</v>
      </c>
      <c r="B128" s="113" t="s">
        <v>118</v>
      </c>
      <c r="C128" s="114" t="s">
        <v>267</v>
      </c>
      <c r="D128" s="113" t="s">
        <v>268</v>
      </c>
      <c r="E128" s="113" t="s">
        <v>269</v>
      </c>
      <c r="F128" s="113" t="s">
        <v>270</v>
      </c>
      <c r="G128" s="113" t="s">
        <v>271</v>
      </c>
      <c r="H128" s="113" t="s">
        <v>272</v>
      </c>
      <c r="I128" s="426" t="s">
        <v>1051</v>
      </c>
      <c r="J128" s="113" t="s">
        <v>273</v>
      </c>
      <c r="K128" s="113" t="s">
        <v>274</v>
      </c>
      <c r="L128" s="113" t="s">
        <v>275</v>
      </c>
      <c r="M128" s="19" t="s">
        <v>276</v>
      </c>
      <c r="N128" s="42" t="s">
        <v>277</v>
      </c>
      <c r="O128" s="19" t="s">
        <v>278</v>
      </c>
      <c r="P128" s="97" t="s">
        <v>279</v>
      </c>
      <c r="Q128" s="113" t="s">
        <v>280</v>
      </c>
      <c r="R128" s="113" t="s">
        <v>281</v>
      </c>
      <c r="S128" s="133" t="s">
        <v>282</v>
      </c>
      <c r="T128" s="27" t="s">
        <v>283</v>
      </c>
      <c r="U128" s="27" t="s">
        <v>284</v>
      </c>
      <c r="V128" s="4"/>
    </row>
    <row r="129" spans="1:22" ht="20.100000000000001" customHeight="1">
      <c r="A129" s="499" t="s">
        <v>129</v>
      </c>
      <c r="B129" s="111" t="s">
        <v>80</v>
      </c>
      <c r="C129" s="118">
        <v>0</v>
      </c>
      <c r="D129" s="118">
        <v>195446.5</v>
      </c>
      <c r="E129" s="118">
        <v>0</v>
      </c>
      <c r="F129" s="118">
        <v>0</v>
      </c>
      <c r="G129" s="118">
        <v>0</v>
      </c>
      <c r="H129" s="118">
        <v>45.2</v>
      </c>
      <c r="I129" s="118">
        <v>0</v>
      </c>
      <c r="J129" s="118">
        <v>0</v>
      </c>
      <c r="K129" s="118">
        <v>0</v>
      </c>
      <c r="L129" s="118">
        <v>0</v>
      </c>
      <c r="M129" s="118">
        <v>0</v>
      </c>
      <c r="N129" s="118">
        <v>0</v>
      </c>
      <c r="O129" s="118">
        <v>1672.5</v>
      </c>
      <c r="P129" s="118">
        <v>495.5</v>
      </c>
      <c r="Q129" s="118">
        <v>0</v>
      </c>
      <c r="R129" s="118">
        <v>0</v>
      </c>
      <c r="S129" s="118">
        <v>197659.7</v>
      </c>
      <c r="T129" s="118">
        <v>123421.6</v>
      </c>
      <c r="U129" s="118">
        <v>321081.3</v>
      </c>
      <c r="V129" s="4"/>
    </row>
    <row r="130" spans="1:22" ht="20.100000000000001" customHeight="1">
      <c r="A130" s="499"/>
      <c r="B130" s="115" t="s">
        <v>130</v>
      </c>
      <c r="C130" s="116">
        <v>0</v>
      </c>
      <c r="D130" s="116">
        <v>119192.1</v>
      </c>
      <c r="E130" s="116">
        <v>0</v>
      </c>
      <c r="F130" s="117">
        <v>0</v>
      </c>
      <c r="G130" s="117">
        <v>0</v>
      </c>
      <c r="H130" s="117">
        <v>45.2</v>
      </c>
      <c r="I130" s="117">
        <v>0</v>
      </c>
      <c r="J130" s="117">
        <v>0</v>
      </c>
      <c r="K130" s="117">
        <v>0</v>
      </c>
      <c r="L130" s="117">
        <v>0</v>
      </c>
      <c r="M130" s="117">
        <v>0</v>
      </c>
      <c r="N130" s="117">
        <v>0</v>
      </c>
      <c r="O130" s="117">
        <v>97.2</v>
      </c>
      <c r="P130" s="117">
        <v>495.5</v>
      </c>
      <c r="Q130" s="106">
        <v>0</v>
      </c>
      <c r="R130" s="117">
        <v>0</v>
      </c>
      <c r="S130" s="117">
        <v>119829.9</v>
      </c>
      <c r="T130" s="117">
        <v>72102.399999999994</v>
      </c>
      <c r="U130" s="117">
        <v>191932.3</v>
      </c>
      <c r="V130" s="4"/>
    </row>
    <row r="131" spans="1:22" ht="20.100000000000001" customHeight="1">
      <c r="A131" s="499"/>
      <c r="B131" s="115" t="s">
        <v>131</v>
      </c>
      <c r="C131" s="116">
        <v>0</v>
      </c>
      <c r="D131" s="116">
        <v>76254.399999999994</v>
      </c>
      <c r="E131" s="116">
        <v>0</v>
      </c>
      <c r="F131" s="117">
        <v>0</v>
      </c>
      <c r="G131" s="117">
        <v>0</v>
      </c>
      <c r="H131" s="117">
        <v>0</v>
      </c>
      <c r="I131" s="117">
        <v>0</v>
      </c>
      <c r="J131" s="117">
        <v>0</v>
      </c>
      <c r="K131" s="117">
        <v>0</v>
      </c>
      <c r="L131" s="117">
        <v>0</v>
      </c>
      <c r="M131" s="117">
        <v>0</v>
      </c>
      <c r="N131" s="117">
        <v>0</v>
      </c>
      <c r="O131" s="117">
        <v>1575.3</v>
      </c>
      <c r="P131" s="117">
        <v>0</v>
      </c>
      <c r="Q131" s="117">
        <v>0</v>
      </c>
      <c r="R131" s="117">
        <v>0</v>
      </c>
      <c r="S131" s="117">
        <v>77829.7</v>
      </c>
      <c r="T131" s="117">
        <v>51319.199999999997</v>
      </c>
      <c r="U131" s="117">
        <v>129149</v>
      </c>
      <c r="V131" s="4"/>
    </row>
    <row r="132" spans="1:22" ht="20.100000000000001" customHeight="1">
      <c r="A132" s="499" t="s">
        <v>132</v>
      </c>
      <c r="B132" s="111" t="s">
        <v>81</v>
      </c>
      <c r="C132" s="118">
        <v>0</v>
      </c>
      <c r="D132" s="118">
        <v>92747.1</v>
      </c>
      <c r="E132" s="118">
        <v>0</v>
      </c>
      <c r="F132" s="118">
        <v>1453.2</v>
      </c>
      <c r="G132" s="118">
        <v>10425.700000000001</v>
      </c>
      <c r="H132" s="118">
        <v>262</v>
      </c>
      <c r="I132" s="118">
        <v>0</v>
      </c>
      <c r="J132" s="118">
        <v>0</v>
      </c>
      <c r="K132" s="118">
        <v>0</v>
      </c>
      <c r="L132" s="118">
        <v>0</v>
      </c>
      <c r="M132" s="118">
        <v>0</v>
      </c>
      <c r="N132" s="118">
        <v>0</v>
      </c>
      <c r="O132" s="118">
        <v>272.39999999999998</v>
      </c>
      <c r="P132" s="118">
        <v>0</v>
      </c>
      <c r="Q132" s="118">
        <v>0</v>
      </c>
      <c r="R132" s="118">
        <v>0</v>
      </c>
      <c r="S132" s="118">
        <v>105160.4</v>
      </c>
      <c r="T132" s="118">
        <v>76308.899999999994</v>
      </c>
      <c r="U132" s="118">
        <v>181469.3</v>
      </c>
      <c r="V132" s="4"/>
    </row>
    <row r="133" spans="1:22" ht="20.100000000000001" customHeight="1">
      <c r="A133" s="499"/>
      <c r="B133" s="115" t="s">
        <v>218</v>
      </c>
      <c r="C133" s="116">
        <v>0</v>
      </c>
      <c r="D133" s="116">
        <v>0</v>
      </c>
      <c r="E133" s="116">
        <v>0</v>
      </c>
      <c r="F133" s="117">
        <v>0</v>
      </c>
      <c r="G133" s="117">
        <v>730.7</v>
      </c>
      <c r="H133" s="117">
        <v>0</v>
      </c>
      <c r="I133" s="117">
        <v>0</v>
      </c>
      <c r="J133" s="117">
        <v>0</v>
      </c>
      <c r="K133" s="117">
        <v>0</v>
      </c>
      <c r="L133" s="117">
        <v>0</v>
      </c>
      <c r="M133" s="117">
        <v>0</v>
      </c>
      <c r="N133" s="117">
        <v>0</v>
      </c>
      <c r="O133" s="117">
        <v>0</v>
      </c>
      <c r="P133" s="117">
        <v>0</v>
      </c>
      <c r="Q133" s="117">
        <v>0</v>
      </c>
      <c r="R133" s="117">
        <v>0</v>
      </c>
      <c r="S133" s="117">
        <v>730.7</v>
      </c>
      <c r="T133" s="117">
        <v>2703</v>
      </c>
      <c r="U133" s="117">
        <v>3433.7</v>
      </c>
      <c r="V133" s="4"/>
    </row>
    <row r="134" spans="1:22" ht="20.100000000000001" customHeight="1">
      <c r="A134" s="499"/>
      <c r="B134" s="115" t="s">
        <v>133</v>
      </c>
      <c r="C134" s="116">
        <v>0</v>
      </c>
      <c r="D134" s="116">
        <v>92747.1</v>
      </c>
      <c r="E134" s="116">
        <v>0</v>
      </c>
      <c r="F134" s="117">
        <v>1453.2</v>
      </c>
      <c r="G134" s="117">
        <v>9695</v>
      </c>
      <c r="H134" s="117">
        <v>262</v>
      </c>
      <c r="I134" s="117">
        <v>0</v>
      </c>
      <c r="J134" s="117">
        <v>0</v>
      </c>
      <c r="K134" s="117">
        <v>0</v>
      </c>
      <c r="L134" s="117">
        <v>0</v>
      </c>
      <c r="M134" s="117">
        <v>0</v>
      </c>
      <c r="N134" s="117">
        <v>0</v>
      </c>
      <c r="O134" s="117">
        <v>272.39999999999998</v>
      </c>
      <c r="P134" s="117">
        <v>0</v>
      </c>
      <c r="Q134" s="117">
        <v>0</v>
      </c>
      <c r="R134" s="117">
        <v>0</v>
      </c>
      <c r="S134" s="117">
        <v>104429.7</v>
      </c>
      <c r="T134" s="117">
        <v>73605.899999999994</v>
      </c>
      <c r="U134" s="117">
        <v>178035.6</v>
      </c>
      <c r="V134" s="4"/>
    </row>
    <row r="135" spans="1:22" ht="20.100000000000001" customHeight="1">
      <c r="A135" s="499"/>
      <c r="B135" s="111" t="s">
        <v>5</v>
      </c>
      <c r="C135" s="118">
        <v>0</v>
      </c>
      <c r="D135" s="118">
        <v>84928.3</v>
      </c>
      <c r="E135" s="118">
        <v>0</v>
      </c>
      <c r="F135" s="118">
        <v>2468.6</v>
      </c>
      <c r="G135" s="118">
        <v>0</v>
      </c>
      <c r="H135" s="118">
        <v>20511.099999999999</v>
      </c>
      <c r="I135" s="118">
        <v>0</v>
      </c>
      <c r="J135" s="118">
        <v>0</v>
      </c>
      <c r="K135" s="118">
        <v>134.1</v>
      </c>
      <c r="L135" s="118">
        <v>0</v>
      </c>
      <c r="M135" s="118">
        <v>0</v>
      </c>
      <c r="N135" s="118">
        <v>0</v>
      </c>
      <c r="O135" s="118">
        <v>0</v>
      </c>
      <c r="P135" s="118">
        <v>0</v>
      </c>
      <c r="Q135" s="118">
        <v>0</v>
      </c>
      <c r="R135" s="118">
        <v>0</v>
      </c>
      <c r="S135" s="118">
        <v>108042</v>
      </c>
      <c r="T135" s="118">
        <v>9128.7999999999993</v>
      </c>
      <c r="U135" s="118">
        <v>117170.9</v>
      </c>
      <c r="V135" s="4"/>
    </row>
    <row r="136" spans="1:22" ht="20.100000000000001" customHeight="1">
      <c r="A136" s="499"/>
      <c r="B136" s="115" t="s">
        <v>134</v>
      </c>
      <c r="C136" s="116">
        <v>0</v>
      </c>
      <c r="D136" s="116">
        <v>357.8</v>
      </c>
      <c r="E136" s="116">
        <v>0</v>
      </c>
      <c r="F136" s="117">
        <v>6.1</v>
      </c>
      <c r="G136" s="117">
        <v>0</v>
      </c>
      <c r="H136" s="117">
        <v>0</v>
      </c>
      <c r="I136" s="117">
        <v>0</v>
      </c>
      <c r="J136" s="117">
        <v>0</v>
      </c>
      <c r="K136" s="117">
        <v>0</v>
      </c>
      <c r="L136" s="117">
        <v>0</v>
      </c>
      <c r="M136" s="117">
        <v>0</v>
      </c>
      <c r="N136" s="117">
        <v>0</v>
      </c>
      <c r="O136" s="117">
        <v>0</v>
      </c>
      <c r="P136" s="117">
        <v>0</v>
      </c>
      <c r="Q136" s="117">
        <v>0</v>
      </c>
      <c r="R136" s="117">
        <v>0</v>
      </c>
      <c r="S136" s="117">
        <v>363.9</v>
      </c>
      <c r="T136" s="117">
        <v>46.9</v>
      </c>
      <c r="U136" s="117">
        <v>410.7</v>
      </c>
      <c r="V136" s="4"/>
    </row>
    <row r="137" spans="1:22" ht="20.100000000000001" customHeight="1">
      <c r="A137" s="499"/>
      <c r="B137" s="115" t="s">
        <v>39</v>
      </c>
      <c r="C137" s="116">
        <v>0</v>
      </c>
      <c r="D137" s="116">
        <v>22704.1</v>
      </c>
      <c r="E137" s="116">
        <v>0</v>
      </c>
      <c r="F137" s="117">
        <v>623.4</v>
      </c>
      <c r="G137" s="117">
        <v>0</v>
      </c>
      <c r="H137" s="117">
        <v>7803.3</v>
      </c>
      <c r="I137" s="117">
        <v>0</v>
      </c>
      <c r="J137" s="117">
        <v>0</v>
      </c>
      <c r="K137" s="117">
        <v>0</v>
      </c>
      <c r="L137" s="117">
        <v>0</v>
      </c>
      <c r="M137" s="117">
        <v>0</v>
      </c>
      <c r="N137" s="117">
        <v>0</v>
      </c>
      <c r="O137" s="117">
        <v>0</v>
      </c>
      <c r="P137" s="117">
        <v>0</v>
      </c>
      <c r="Q137" s="117">
        <v>0</v>
      </c>
      <c r="R137" s="117">
        <v>0</v>
      </c>
      <c r="S137" s="117">
        <v>31130.9</v>
      </c>
      <c r="T137" s="117">
        <v>351.1</v>
      </c>
      <c r="U137" s="117">
        <v>31482</v>
      </c>
      <c r="V137" s="4"/>
    </row>
    <row r="138" spans="1:22" ht="20.100000000000001" customHeight="1">
      <c r="A138" s="499"/>
      <c r="B138" s="115" t="s">
        <v>135</v>
      </c>
      <c r="C138" s="116">
        <v>0</v>
      </c>
      <c r="D138" s="116">
        <v>17570.8</v>
      </c>
      <c r="E138" s="116">
        <v>0</v>
      </c>
      <c r="F138" s="117">
        <v>427.4</v>
      </c>
      <c r="G138" s="117">
        <v>0</v>
      </c>
      <c r="H138" s="117">
        <v>12396.7</v>
      </c>
      <c r="I138" s="117">
        <v>0</v>
      </c>
      <c r="J138" s="117">
        <v>0</v>
      </c>
      <c r="K138" s="117">
        <v>130.9</v>
      </c>
      <c r="L138" s="117">
        <v>0</v>
      </c>
      <c r="M138" s="117">
        <v>0</v>
      </c>
      <c r="N138" s="117">
        <v>0</v>
      </c>
      <c r="O138" s="117">
        <v>0</v>
      </c>
      <c r="P138" s="117">
        <v>0</v>
      </c>
      <c r="Q138" s="117">
        <v>0</v>
      </c>
      <c r="R138" s="117">
        <v>0</v>
      </c>
      <c r="S138" s="117">
        <v>30525.7</v>
      </c>
      <c r="T138" s="117">
        <v>1764.9</v>
      </c>
      <c r="U138" s="117">
        <v>32290.6</v>
      </c>
      <c r="V138" s="4"/>
    </row>
    <row r="139" spans="1:22" ht="20.100000000000001" customHeight="1">
      <c r="A139" s="499"/>
      <c r="B139" s="115" t="s">
        <v>6</v>
      </c>
      <c r="C139" s="116">
        <v>0</v>
      </c>
      <c r="D139" s="116">
        <v>37990.400000000001</v>
      </c>
      <c r="E139" s="116">
        <v>0</v>
      </c>
      <c r="F139" s="117">
        <v>1088.8</v>
      </c>
      <c r="G139" s="117">
        <v>0</v>
      </c>
      <c r="H139" s="117">
        <v>121.1</v>
      </c>
      <c r="I139" s="117">
        <v>0</v>
      </c>
      <c r="J139" s="117">
        <v>0</v>
      </c>
      <c r="K139" s="117">
        <v>0</v>
      </c>
      <c r="L139" s="117">
        <v>0</v>
      </c>
      <c r="M139" s="117">
        <v>0</v>
      </c>
      <c r="N139" s="117">
        <v>0</v>
      </c>
      <c r="O139" s="117">
        <v>0</v>
      </c>
      <c r="P139" s="117">
        <v>0</v>
      </c>
      <c r="Q139" s="117">
        <v>0</v>
      </c>
      <c r="R139" s="117">
        <v>0</v>
      </c>
      <c r="S139" s="117">
        <v>39200.300000000003</v>
      </c>
      <c r="T139" s="117">
        <v>3361.3</v>
      </c>
      <c r="U139" s="117">
        <v>42561.5</v>
      </c>
      <c r="V139" s="4"/>
    </row>
    <row r="140" spans="1:22" ht="20.100000000000001" customHeight="1">
      <c r="A140" s="499"/>
      <c r="B140" s="115" t="s">
        <v>136</v>
      </c>
      <c r="C140" s="116">
        <v>0</v>
      </c>
      <c r="D140" s="116">
        <v>6305.2</v>
      </c>
      <c r="E140" s="116">
        <v>0</v>
      </c>
      <c r="F140" s="117">
        <v>322.89999999999998</v>
      </c>
      <c r="G140" s="117">
        <v>0</v>
      </c>
      <c r="H140" s="117">
        <v>190.1</v>
      </c>
      <c r="I140" s="117">
        <v>0</v>
      </c>
      <c r="J140" s="117">
        <v>0</v>
      </c>
      <c r="K140" s="117">
        <v>3.2</v>
      </c>
      <c r="L140" s="117">
        <v>0</v>
      </c>
      <c r="M140" s="117">
        <v>0</v>
      </c>
      <c r="N140" s="117">
        <v>0</v>
      </c>
      <c r="O140" s="117">
        <v>0</v>
      </c>
      <c r="P140" s="117">
        <v>0</v>
      </c>
      <c r="Q140" s="117">
        <v>0</v>
      </c>
      <c r="R140" s="117">
        <v>0</v>
      </c>
      <c r="S140" s="117">
        <v>6821.3</v>
      </c>
      <c r="T140" s="117">
        <v>3604.7</v>
      </c>
      <c r="U140" s="117">
        <v>10426</v>
      </c>
      <c r="V140" s="4"/>
    </row>
    <row r="141" spans="1:22" ht="20.100000000000001" customHeight="1">
      <c r="A141" s="499"/>
      <c r="B141" s="111" t="s">
        <v>9</v>
      </c>
      <c r="C141" s="118">
        <v>0</v>
      </c>
      <c r="D141" s="118">
        <v>297302.59999999998</v>
      </c>
      <c r="E141" s="118">
        <v>0</v>
      </c>
      <c r="F141" s="118">
        <v>2622.3</v>
      </c>
      <c r="G141" s="118">
        <v>0</v>
      </c>
      <c r="H141" s="118">
        <v>328.7</v>
      </c>
      <c r="I141" s="118">
        <v>0</v>
      </c>
      <c r="J141" s="118">
        <v>0</v>
      </c>
      <c r="K141" s="118">
        <v>0</v>
      </c>
      <c r="L141" s="118">
        <v>0</v>
      </c>
      <c r="M141" s="118">
        <v>0</v>
      </c>
      <c r="N141" s="118">
        <v>0</v>
      </c>
      <c r="O141" s="118">
        <v>0</v>
      </c>
      <c r="P141" s="118">
        <v>0</v>
      </c>
      <c r="Q141" s="118">
        <v>0</v>
      </c>
      <c r="R141" s="118">
        <v>0</v>
      </c>
      <c r="S141" s="118">
        <v>300253.59999999998</v>
      </c>
      <c r="T141" s="118">
        <v>475381.9</v>
      </c>
      <c r="U141" s="118">
        <v>775635.5</v>
      </c>
      <c r="V141" s="4"/>
    </row>
    <row r="142" spans="1:22" ht="20.100000000000001" customHeight="1">
      <c r="A142" s="499"/>
      <c r="B142" s="115" t="s">
        <v>10</v>
      </c>
      <c r="C142" s="116">
        <v>0</v>
      </c>
      <c r="D142" s="116">
        <v>297302.59999999998</v>
      </c>
      <c r="E142" s="116">
        <v>0</v>
      </c>
      <c r="F142" s="117">
        <v>2622.3</v>
      </c>
      <c r="G142" s="117">
        <v>0</v>
      </c>
      <c r="H142" s="117">
        <v>328.7</v>
      </c>
      <c r="I142" s="117">
        <v>0</v>
      </c>
      <c r="J142" s="117">
        <v>0</v>
      </c>
      <c r="K142" s="117">
        <v>0</v>
      </c>
      <c r="L142" s="117">
        <v>0</v>
      </c>
      <c r="M142" s="117">
        <v>0</v>
      </c>
      <c r="N142" s="117">
        <v>0</v>
      </c>
      <c r="O142" s="117">
        <v>0</v>
      </c>
      <c r="P142" s="117">
        <v>0</v>
      </c>
      <c r="Q142" s="117">
        <v>0</v>
      </c>
      <c r="R142" s="117">
        <v>0</v>
      </c>
      <c r="S142" s="117">
        <v>300253.59999999998</v>
      </c>
      <c r="T142" s="117">
        <v>475381.9</v>
      </c>
      <c r="U142" s="117">
        <v>775635.5</v>
      </c>
      <c r="V142" s="4"/>
    </row>
    <row r="143" spans="1:22" ht="20.100000000000001" customHeight="1">
      <c r="A143" s="499" t="s">
        <v>137</v>
      </c>
      <c r="B143" s="111" t="s">
        <v>37</v>
      </c>
      <c r="C143" s="118">
        <v>0</v>
      </c>
      <c r="D143" s="118">
        <v>23157</v>
      </c>
      <c r="E143" s="118">
        <v>0</v>
      </c>
      <c r="F143" s="118">
        <v>0</v>
      </c>
      <c r="G143" s="118">
        <v>0</v>
      </c>
      <c r="H143" s="118">
        <v>0</v>
      </c>
      <c r="I143" s="118">
        <v>0</v>
      </c>
      <c r="J143" s="118">
        <v>0</v>
      </c>
      <c r="K143" s="118">
        <v>0</v>
      </c>
      <c r="L143" s="118">
        <v>0</v>
      </c>
      <c r="M143" s="118">
        <v>0</v>
      </c>
      <c r="N143" s="118">
        <v>0</v>
      </c>
      <c r="O143" s="118">
        <v>0</v>
      </c>
      <c r="P143" s="118">
        <v>0</v>
      </c>
      <c r="Q143" s="118">
        <v>0</v>
      </c>
      <c r="R143" s="118">
        <v>0</v>
      </c>
      <c r="S143" s="118">
        <v>23157</v>
      </c>
      <c r="T143" s="118">
        <v>43325.599999999999</v>
      </c>
      <c r="U143" s="118">
        <v>66482.600000000006</v>
      </c>
      <c r="V143" s="4"/>
    </row>
    <row r="144" spans="1:22" ht="20.100000000000001" customHeight="1">
      <c r="A144" s="499"/>
      <c r="B144" s="115" t="s">
        <v>38</v>
      </c>
      <c r="C144" s="116">
        <v>0</v>
      </c>
      <c r="D144" s="116">
        <v>23157</v>
      </c>
      <c r="E144" s="116">
        <v>0</v>
      </c>
      <c r="F144" s="117">
        <v>0</v>
      </c>
      <c r="G144" s="117">
        <v>0</v>
      </c>
      <c r="H144" s="117">
        <v>0</v>
      </c>
      <c r="I144" s="117">
        <v>0</v>
      </c>
      <c r="J144" s="117">
        <v>0</v>
      </c>
      <c r="K144" s="117">
        <v>0</v>
      </c>
      <c r="L144" s="117">
        <v>0</v>
      </c>
      <c r="M144" s="117">
        <v>0</v>
      </c>
      <c r="N144" s="117">
        <v>0</v>
      </c>
      <c r="O144" s="117">
        <v>0</v>
      </c>
      <c r="P144" s="117">
        <v>0</v>
      </c>
      <c r="Q144" s="117">
        <v>0</v>
      </c>
      <c r="R144" s="117">
        <v>0</v>
      </c>
      <c r="S144" s="117">
        <v>23157</v>
      </c>
      <c r="T144" s="117">
        <v>43325.599999999999</v>
      </c>
      <c r="U144" s="117">
        <v>66482.600000000006</v>
      </c>
      <c r="V144" s="4"/>
    </row>
    <row r="145" spans="1:28" ht="20.100000000000001" customHeight="1">
      <c r="A145" s="499"/>
      <c r="B145" s="111" t="s">
        <v>82</v>
      </c>
      <c r="C145" s="118">
        <v>0</v>
      </c>
      <c r="D145" s="118">
        <v>128638</v>
      </c>
      <c r="E145" s="118">
        <v>0</v>
      </c>
      <c r="F145" s="118">
        <v>189.3</v>
      </c>
      <c r="G145" s="118">
        <v>0</v>
      </c>
      <c r="H145" s="118">
        <v>2.1</v>
      </c>
      <c r="I145" s="118">
        <v>137232.1</v>
      </c>
      <c r="J145" s="118">
        <v>0</v>
      </c>
      <c r="K145" s="118">
        <v>0</v>
      </c>
      <c r="L145" s="118">
        <v>0</v>
      </c>
      <c r="M145" s="118">
        <v>0</v>
      </c>
      <c r="N145" s="118">
        <v>0</v>
      </c>
      <c r="O145" s="118">
        <v>50.7</v>
      </c>
      <c r="P145" s="118">
        <v>85.2</v>
      </c>
      <c r="Q145" s="118">
        <v>0</v>
      </c>
      <c r="R145" s="118">
        <v>0</v>
      </c>
      <c r="S145" s="118">
        <v>266197.3</v>
      </c>
      <c r="T145" s="118">
        <v>0</v>
      </c>
      <c r="U145" s="118">
        <v>266197.3</v>
      </c>
      <c r="V145" s="4"/>
    </row>
    <row r="146" spans="1:28" ht="20.100000000000001" customHeight="1">
      <c r="A146" s="499"/>
      <c r="B146" s="115" t="s">
        <v>138</v>
      </c>
      <c r="C146" s="116">
        <v>0</v>
      </c>
      <c r="D146" s="116">
        <v>128638</v>
      </c>
      <c r="E146" s="116">
        <v>0</v>
      </c>
      <c r="F146" s="117">
        <v>189.3</v>
      </c>
      <c r="G146" s="117">
        <v>0</v>
      </c>
      <c r="H146" s="117">
        <v>2.1</v>
      </c>
      <c r="I146" s="117">
        <v>137232.1</v>
      </c>
      <c r="J146" s="117">
        <v>0</v>
      </c>
      <c r="K146" s="117">
        <v>0</v>
      </c>
      <c r="L146" s="117">
        <v>0</v>
      </c>
      <c r="M146" s="117">
        <v>0</v>
      </c>
      <c r="N146" s="117">
        <v>0</v>
      </c>
      <c r="O146" s="117">
        <v>50.7</v>
      </c>
      <c r="P146" s="117">
        <v>85.2</v>
      </c>
      <c r="Q146" s="117">
        <v>0</v>
      </c>
      <c r="R146" s="117">
        <v>0</v>
      </c>
      <c r="S146" s="117">
        <v>266197.3</v>
      </c>
      <c r="T146" s="117">
        <v>0</v>
      </c>
      <c r="U146" s="117">
        <v>266197.3</v>
      </c>
      <c r="V146" s="4"/>
    </row>
    <row r="147" spans="1:28" ht="20.100000000000001" customHeight="1">
      <c r="A147" s="499"/>
      <c r="B147" s="111" t="s">
        <v>13</v>
      </c>
      <c r="C147" s="118">
        <v>0</v>
      </c>
      <c r="D147" s="118">
        <v>181149.4</v>
      </c>
      <c r="E147" s="118">
        <v>0</v>
      </c>
      <c r="F147" s="118">
        <v>136.9</v>
      </c>
      <c r="G147" s="118">
        <v>0</v>
      </c>
      <c r="H147" s="118">
        <v>0.3</v>
      </c>
      <c r="I147" s="118">
        <v>10529</v>
      </c>
      <c r="J147" s="118">
        <v>0</v>
      </c>
      <c r="K147" s="118">
        <v>3.4</v>
      </c>
      <c r="L147" s="118">
        <v>20565.900000000001</v>
      </c>
      <c r="M147" s="118">
        <v>0</v>
      </c>
      <c r="N147" s="118">
        <v>0</v>
      </c>
      <c r="O147" s="118">
        <v>661.2</v>
      </c>
      <c r="P147" s="118">
        <v>0</v>
      </c>
      <c r="Q147" s="118">
        <v>0</v>
      </c>
      <c r="R147" s="118">
        <v>0</v>
      </c>
      <c r="S147" s="118">
        <v>213046.1</v>
      </c>
      <c r="T147" s="118">
        <v>126638.1</v>
      </c>
      <c r="U147" s="118">
        <v>339684.3</v>
      </c>
      <c r="V147" s="4"/>
    </row>
    <row r="148" spans="1:28" ht="20.100000000000001" customHeight="1">
      <c r="A148" s="499"/>
      <c r="B148" s="115" t="s">
        <v>14</v>
      </c>
      <c r="C148" s="116">
        <v>0</v>
      </c>
      <c r="D148" s="116">
        <v>181149.4</v>
      </c>
      <c r="E148" s="116">
        <v>0</v>
      </c>
      <c r="F148" s="117">
        <v>136.9</v>
      </c>
      <c r="G148" s="117">
        <v>0</v>
      </c>
      <c r="H148" s="117">
        <v>0.3</v>
      </c>
      <c r="I148" s="117">
        <v>10529</v>
      </c>
      <c r="J148" s="117">
        <v>0</v>
      </c>
      <c r="K148" s="117">
        <v>3.4</v>
      </c>
      <c r="L148" s="117">
        <v>20565.900000000001</v>
      </c>
      <c r="M148" s="117">
        <v>0</v>
      </c>
      <c r="N148" s="117">
        <v>0</v>
      </c>
      <c r="O148" s="117">
        <v>661.2</v>
      </c>
      <c r="P148" s="117">
        <v>0</v>
      </c>
      <c r="Q148" s="117">
        <v>0</v>
      </c>
      <c r="R148" s="117">
        <v>0</v>
      </c>
      <c r="S148" s="117">
        <v>213046.1</v>
      </c>
      <c r="T148" s="117">
        <v>126638.1</v>
      </c>
      <c r="U148" s="117">
        <v>339684.3</v>
      </c>
      <c r="V148" s="4"/>
    </row>
    <row r="149" spans="1:28" ht="20.100000000000001" customHeight="1">
      <c r="A149" s="499" t="s">
        <v>154</v>
      </c>
      <c r="B149" s="111" t="s">
        <v>25</v>
      </c>
      <c r="C149" s="118">
        <v>0</v>
      </c>
      <c r="D149" s="118">
        <v>416018.7</v>
      </c>
      <c r="E149" s="118">
        <v>9.1999999999999993</v>
      </c>
      <c r="F149" s="118">
        <v>63.6</v>
      </c>
      <c r="G149" s="118">
        <v>95053.5</v>
      </c>
      <c r="H149" s="118">
        <v>4783.7</v>
      </c>
      <c r="I149" s="118">
        <v>0</v>
      </c>
      <c r="J149" s="118">
        <v>61.2</v>
      </c>
      <c r="K149" s="118">
        <v>0</v>
      </c>
      <c r="L149" s="118">
        <v>0</v>
      </c>
      <c r="M149" s="118">
        <v>0</v>
      </c>
      <c r="N149" s="118">
        <v>162.69999999999999</v>
      </c>
      <c r="O149" s="118">
        <v>900.9</v>
      </c>
      <c r="P149" s="118">
        <v>100.2</v>
      </c>
      <c r="Q149" s="118">
        <v>0</v>
      </c>
      <c r="R149" s="118">
        <v>0</v>
      </c>
      <c r="S149" s="118">
        <v>517153.7</v>
      </c>
      <c r="T149" s="118">
        <v>969130.9</v>
      </c>
      <c r="U149" s="118">
        <v>1486284.6</v>
      </c>
      <c r="V149" s="4"/>
    </row>
    <row r="150" spans="1:28" ht="20.100000000000001" customHeight="1">
      <c r="A150" s="499"/>
      <c r="B150" s="115" t="s">
        <v>219</v>
      </c>
      <c r="C150" s="116">
        <v>0</v>
      </c>
      <c r="D150" s="116">
        <v>1106.5</v>
      </c>
      <c r="E150" s="116">
        <v>0</v>
      </c>
      <c r="F150" s="117">
        <v>3.7</v>
      </c>
      <c r="G150" s="117">
        <v>0</v>
      </c>
      <c r="H150" s="117">
        <v>0</v>
      </c>
      <c r="I150" s="117">
        <v>0</v>
      </c>
      <c r="J150" s="117">
        <v>61.2</v>
      </c>
      <c r="K150" s="117">
        <v>0</v>
      </c>
      <c r="L150" s="117">
        <v>0</v>
      </c>
      <c r="M150" s="117">
        <v>0</v>
      </c>
      <c r="N150" s="117">
        <v>0</v>
      </c>
      <c r="O150" s="117">
        <v>0</v>
      </c>
      <c r="P150" s="117">
        <v>0</v>
      </c>
      <c r="Q150" s="117">
        <v>0</v>
      </c>
      <c r="R150" s="117">
        <v>0</v>
      </c>
      <c r="S150" s="117">
        <v>1171.4000000000001</v>
      </c>
      <c r="T150" s="117">
        <v>506.2</v>
      </c>
      <c r="U150" s="117">
        <v>1677.6</v>
      </c>
      <c r="V150" s="4"/>
    </row>
    <row r="151" spans="1:28" ht="20.100000000000001" customHeight="1">
      <c r="A151" s="499"/>
      <c r="B151" s="115" t="s">
        <v>26</v>
      </c>
      <c r="C151" s="116">
        <v>0</v>
      </c>
      <c r="D151" s="116">
        <v>215184.2</v>
      </c>
      <c r="E151" s="116">
        <v>0</v>
      </c>
      <c r="F151" s="117">
        <v>0</v>
      </c>
      <c r="G151" s="117">
        <v>0</v>
      </c>
      <c r="H151" s="117">
        <v>984.8</v>
      </c>
      <c r="I151" s="117">
        <v>0</v>
      </c>
      <c r="J151" s="117">
        <v>0</v>
      </c>
      <c r="K151" s="117">
        <v>0</v>
      </c>
      <c r="L151" s="117">
        <v>0</v>
      </c>
      <c r="M151" s="117">
        <v>0</v>
      </c>
      <c r="N151" s="117">
        <v>105.6</v>
      </c>
      <c r="O151" s="117">
        <v>676.4</v>
      </c>
      <c r="P151" s="117">
        <v>0</v>
      </c>
      <c r="Q151" s="117">
        <v>0</v>
      </c>
      <c r="R151" s="117">
        <v>0</v>
      </c>
      <c r="S151" s="117">
        <v>216951</v>
      </c>
      <c r="T151" s="117">
        <v>714561.4</v>
      </c>
      <c r="U151" s="117">
        <v>931512.3</v>
      </c>
      <c r="V151" s="4"/>
    </row>
    <row r="152" spans="1:28" ht="20.100000000000001" customHeight="1">
      <c r="A152" s="499"/>
      <c r="B152" s="115" t="s">
        <v>140</v>
      </c>
      <c r="C152" s="116">
        <v>0</v>
      </c>
      <c r="D152" s="116">
        <v>129310.3</v>
      </c>
      <c r="E152" s="116">
        <v>0</v>
      </c>
      <c r="F152" s="117">
        <v>54.6</v>
      </c>
      <c r="G152" s="117">
        <v>0</v>
      </c>
      <c r="H152" s="117">
        <v>3186.7</v>
      </c>
      <c r="I152" s="117">
        <v>0</v>
      </c>
      <c r="J152" s="117">
        <v>0</v>
      </c>
      <c r="K152" s="117">
        <v>0</v>
      </c>
      <c r="L152" s="117">
        <v>0</v>
      </c>
      <c r="M152" s="117">
        <v>0</v>
      </c>
      <c r="N152" s="117">
        <v>31.7</v>
      </c>
      <c r="O152" s="117">
        <v>31.5</v>
      </c>
      <c r="P152" s="117">
        <v>0</v>
      </c>
      <c r="Q152" s="117">
        <v>0</v>
      </c>
      <c r="R152" s="117">
        <v>0</v>
      </c>
      <c r="S152" s="117">
        <v>132614.79999999999</v>
      </c>
      <c r="T152" s="117">
        <v>254063.4</v>
      </c>
      <c r="U152" s="117">
        <v>386678.2</v>
      </c>
      <c r="V152" s="4"/>
    </row>
    <row r="153" spans="1:28" ht="20.100000000000001" customHeight="1">
      <c r="A153" s="499"/>
      <c r="B153" s="115" t="s">
        <v>29</v>
      </c>
      <c r="C153" s="116">
        <v>0</v>
      </c>
      <c r="D153" s="116">
        <v>70417.7</v>
      </c>
      <c r="E153" s="116">
        <v>9.1999999999999993</v>
      </c>
      <c r="F153" s="117">
        <v>5.2</v>
      </c>
      <c r="G153" s="117">
        <v>95053.5</v>
      </c>
      <c r="H153" s="117">
        <v>612.20000000000005</v>
      </c>
      <c r="I153" s="117">
        <v>0</v>
      </c>
      <c r="J153" s="117">
        <v>0</v>
      </c>
      <c r="K153" s="117">
        <v>0</v>
      </c>
      <c r="L153" s="117">
        <v>0</v>
      </c>
      <c r="M153" s="117">
        <v>0</v>
      </c>
      <c r="N153" s="117">
        <v>25.5</v>
      </c>
      <c r="O153" s="117">
        <v>193.1</v>
      </c>
      <c r="P153" s="117">
        <v>100.2</v>
      </c>
      <c r="Q153" s="117">
        <v>0</v>
      </c>
      <c r="R153" s="117">
        <v>0</v>
      </c>
      <c r="S153" s="117">
        <v>166416.5</v>
      </c>
      <c r="T153" s="117">
        <v>0</v>
      </c>
      <c r="U153" s="117">
        <v>166416.5</v>
      </c>
      <c r="V153" s="4"/>
    </row>
    <row r="154" spans="1:28" ht="20.100000000000001" customHeight="1">
      <c r="A154" s="92" t="s">
        <v>141</v>
      </c>
      <c r="B154" s="99" t="s">
        <v>142</v>
      </c>
      <c r="C154" s="118">
        <v>0</v>
      </c>
      <c r="D154" s="118">
        <v>1419387.5</v>
      </c>
      <c r="E154" s="118">
        <v>9.1999999999999993</v>
      </c>
      <c r="F154" s="118">
        <v>6933.8</v>
      </c>
      <c r="G154" s="118">
        <v>105479.1</v>
      </c>
      <c r="H154" s="118">
        <v>25933.1</v>
      </c>
      <c r="I154" s="118">
        <v>147761.1</v>
      </c>
      <c r="J154" s="118">
        <v>61.2</v>
      </c>
      <c r="K154" s="118">
        <v>137.4</v>
      </c>
      <c r="L154" s="118">
        <v>20565.900000000001</v>
      </c>
      <c r="M154" s="118">
        <v>0</v>
      </c>
      <c r="N154" s="118">
        <v>162.69999999999999</v>
      </c>
      <c r="O154" s="118">
        <v>3557.8</v>
      </c>
      <c r="P154" s="118">
        <v>680.9</v>
      </c>
      <c r="Q154" s="118">
        <v>0</v>
      </c>
      <c r="R154" s="118">
        <v>0</v>
      </c>
      <c r="S154" s="118">
        <v>1730669.8</v>
      </c>
      <c r="T154" s="134">
        <v>1823336</v>
      </c>
      <c r="U154" s="134">
        <v>3554005.8</v>
      </c>
      <c r="V154" s="4"/>
    </row>
    <row r="155" spans="1:28" ht="33" customHeight="1">
      <c r="A155" s="518" t="s">
        <v>1040</v>
      </c>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508"/>
      <c r="Y155" s="508"/>
      <c r="Z155" s="508"/>
      <c r="AA155" s="508"/>
      <c r="AB155" s="508"/>
    </row>
    <row r="156" spans="1:28" ht="60" customHeight="1">
      <c r="A156" s="506"/>
      <c r="B156" s="506"/>
      <c r="C156" s="506"/>
      <c r="D156" s="506"/>
      <c r="E156" s="506"/>
      <c r="F156" s="506"/>
      <c r="G156" s="109"/>
      <c r="I156" s="109"/>
      <c r="J156" s="109"/>
      <c r="K156" s="109"/>
      <c r="L156" s="109"/>
      <c r="M156" s="109"/>
      <c r="N156" s="109"/>
      <c r="O156" s="109"/>
      <c r="P156" s="109"/>
      <c r="Q156" s="109"/>
      <c r="R156" s="109"/>
      <c r="S156" s="109"/>
      <c r="T156" s="109"/>
      <c r="U156" s="109"/>
      <c r="V156" s="35"/>
      <c r="W156" s="35"/>
      <c r="X156" s="35"/>
      <c r="Y156" s="35"/>
      <c r="Z156" s="35"/>
      <c r="AA156" s="35"/>
      <c r="AB156" s="109"/>
    </row>
    <row r="157" spans="1:28" ht="62.45" customHeight="1">
      <c r="A157" s="74" t="s">
        <v>285</v>
      </c>
      <c r="B157" s="119" t="s">
        <v>158</v>
      </c>
      <c r="C157" s="119" t="s">
        <v>159</v>
      </c>
      <c r="D157" s="119" t="s">
        <v>160</v>
      </c>
      <c r="E157" s="119" t="s">
        <v>220</v>
      </c>
      <c r="F157" s="119" t="s">
        <v>221</v>
      </c>
      <c r="G157" s="135"/>
      <c r="I157" s="109"/>
      <c r="J157" s="109"/>
      <c r="K157" s="109"/>
      <c r="L157" s="109"/>
      <c r="M157" s="109"/>
      <c r="N157" s="109"/>
      <c r="O157" s="109"/>
      <c r="P157" s="109"/>
      <c r="Q157" s="109"/>
      <c r="R157" s="109"/>
      <c r="S157" s="109"/>
      <c r="T157" s="109"/>
      <c r="U157" s="109"/>
      <c r="V157" s="35"/>
      <c r="W157" s="35"/>
      <c r="X157" s="35"/>
      <c r="Y157" s="35"/>
      <c r="Z157" s="35"/>
      <c r="AA157" s="35"/>
      <c r="AB157" s="109"/>
    </row>
    <row r="158" spans="1:28" ht="20.100000000000001" customHeight="1">
      <c r="A158" s="520" t="s">
        <v>286</v>
      </c>
      <c r="B158" s="521"/>
      <c r="C158" s="521"/>
      <c r="D158" s="521"/>
      <c r="E158" s="521"/>
      <c r="F158" s="522"/>
      <c r="G158" s="4"/>
    </row>
    <row r="159" spans="1:28" ht="20.100000000000001" customHeight="1">
      <c r="A159" s="103" t="s">
        <v>287</v>
      </c>
      <c r="B159" s="136">
        <v>0</v>
      </c>
      <c r="C159" s="136">
        <v>0</v>
      </c>
      <c r="D159" s="136">
        <v>0</v>
      </c>
      <c r="E159" s="136">
        <v>0</v>
      </c>
      <c r="F159" s="137">
        <v>0</v>
      </c>
      <c r="G159" s="138"/>
      <c r="I159" s="109"/>
      <c r="J159" s="109"/>
      <c r="K159" s="109"/>
      <c r="L159" s="109"/>
      <c r="M159" s="109"/>
      <c r="N159" s="109"/>
      <c r="O159" s="109"/>
      <c r="P159" s="109"/>
      <c r="Q159" s="109"/>
      <c r="R159" s="109"/>
      <c r="S159" s="109"/>
      <c r="T159" s="109"/>
      <c r="U159" s="109"/>
      <c r="V159" s="35"/>
      <c r="W159" s="35"/>
      <c r="X159" s="35"/>
      <c r="Y159" s="35"/>
      <c r="Z159" s="35"/>
      <c r="AA159" s="35"/>
      <c r="AB159" s="109"/>
    </row>
    <row r="160" spans="1:28" ht="20.100000000000001" customHeight="1">
      <c r="A160" s="103" t="s">
        <v>268</v>
      </c>
      <c r="B160" s="136">
        <v>1653000</v>
      </c>
      <c r="C160" s="136">
        <v>1607000</v>
      </c>
      <c r="D160" s="136">
        <v>1712000</v>
      </c>
      <c r="E160" s="136">
        <v>1722000</v>
      </c>
      <c r="F160" s="137">
        <v>1.419</v>
      </c>
      <c r="G160" s="138"/>
      <c r="I160" s="109"/>
      <c r="J160" s="109"/>
      <c r="K160" s="109"/>
      <c r="L160" s="109"/>
      <c r="M160" s="109"/>
      <c r="N160" s="109"/>
      <c r="O160" s="109"/>
      <c r="P160" s="109"/>
      <c r="Q160" s="109"/>
      <c r="R160" s="109"/>
      <c r="S160" s="109"/>
      <c r="T160" s="109"/>
      <c r="U160" s="109"/>
      <c r="V160" s="35"/>
      <c r="W160" s="35"/>
      <c r="X160" s="35"/>
      <c r="Y160" s="35"/>
      <c r="Z160" s="35"/>
      <c r="AA160" s="35"/>
      <c r="AB160" s="109"/>
    </row>
    <row r="161" spans="1:28" ht="20.100000000000001" customHeight="1">
      <c r="A161" s="103" t="s">
        <v>269</v>
      </c>
      <c r="B161" s="136">
        <v>0</v>
      </c>
      <c r="C161" s="136">
        <v>0</v>
      </c>
      <c r="D161" s="136">
        <v>0</v>
      </c>
      <c r="E161" s="136">
        <v>0</v>
      </c>
      <c r="F161" s="29" t="s">
        <v>150</v>
      </c>
      <c r="G161" s="138"/>
      <c r="I161" s="109"/>
      <c r="J161" s="109"/>
      <c r="K161" s="109"/>
      <c r="L161" s="109"/>
      <c r="M161" s="109"/>
      <c r="N161" s="109"/>
      <c r="O161" s="109"/>
      <c r="P161" s="109"/>
      <c r="Q161" s="109"/>
      <c r="R161" s="109"/>
      <c r="S161" s="109"/>
      <c r="T161" s="109"/>
      <c r="U161" s="109"/>
      <c r="V161" s="35"/>
      <c r="W161" s="35"/>
      <c r="X161" s="35"/>
      <c r="Y161" s="35"/>
      <c r="Z161" s="35"/>
      <c r="AA161" s="35"/>
      <c r="AB161" s="109"/>
    </row>
    <row r="162" spans="1:28" ht="20.100000000000001" customHeight="1">
      <c r="A162" s="103" t="s">
        <v>270</v>
      </c>
      <c r="B162" s="136">
        <v>9000</v>
      </c>
      <c r="C162" s="136">
        <v>6000</v>
      </c>
      <c r="D162" s="136">
        <v>7000</v>
      </c>
      <c r="E162" s="136">
        <v>7000</v>
      </c>
      <c r="F162" s="29" t="s">
        <v>150</v>
      </c>
      <c r="G162" s="138"/>
      <c r="I162" s="109"/>
      <c r="J162" s="109"/>
      <c r="K162" s="109"/>
      <c r="L162" s="109"/>
      <c r="M162" s="109"/>
      <c r="N162" s="109"/>
      <c r="O162" s="109"/>
      <c r="P162" s="109"/>
      <c r="Q162" s="109"/>
      <c r="R162" s="109"/>
      <c r="S162" s="109"/>
      <c r="T162" s="109"/>
      <c r="U162" s="109"/>
      <c r="V162" s="35"/>
      <c r="W162" s="35"/>
      <c r="X162" s="35"/>
      <c r="Y162" s="35"/>
      <c r="Z162" s="35"/>
      <c r="AA162" s="35"/>
      <c r="AB162" s="109"/>
    </row>
    <row r="163" spans="1:28" ht="20.100000000000001" customHeight="1">
      <c r="A163" s="103" t="s">
        <v>271</v>
      </c>
      <c r="B163" s="136">
        <v>35000</v>
      </c>
      <c r="C163" s="136">
        <v>30000</v>
      </c>
      <c r="D163" s="136">
        <v>47000</v>
      </c>
      <c r="E163" s="136">
        <v>41000</v>
      </c>
      <c r="F163" s="137">
        <v>0.105</v>
      </c>
      <c r="G163" s="138"/>
      <c r="I163" s="109"/>
      <c r="J163" s="109"/>
      <c r="K163" s="109"/>
      <c r="L163" s="109"/>
      <c r="M163" s="109"/>
      <c r="N163" s="109"/>
      <c r="O163" s="109"/>
      <c r="P163" s="109"/>
      <c r="Q163" s="109"/>
      <c r="R163" s="109"/>
      <c r="S163" s="109"/>
      <c r="T163" s="109"/>
      <c r="U163" s="109"/>
      <c r="V163" s="35"/>
      <c r="W163" s="35"/>
      <c r="X163" s="35"/>
      <c r="Y163" s="35"/>
      <c r="Z163" s="35"/>
      <c r="AA163" s="35"/>
      <c r="AB163" s="109"/>
    </row>
    <row r="164" spans="1:28" ht="20.100000000000001" customHeight="1">
      <c r="A164" s="103" t="s">
        <v>272</v>
      </c>
      <c r="B164" s="136">
        <v>34000</v>
      </c>
      <c r="C164" s="136">
        <v>31000</v>
      </c>
      <c r="D164" s="136">
        <v>34000</v>
      </c>
      <c r="E164" s="136">
        <v>33000</v>
      </c>
      <c r="F164" s="29" t="s">
        <v>150</v>
      </c>
      <c r="G164" s="138"/>
      <c r="I164" s="109"/>
      <c r="J164" s="109"/>
      <c r="K164" s="109"/>
      <c r="L164" s="109"/>
      <c r="M164" s="109"/>
      <c r="N164" s="109"/>
      <c r="O164" s="109"/>
      <c r="P164" s="109"/>
      <c r="Q164" s="109"/>
      <c r="R164" s="109"/>
      <c r="S164" s="109"/>
      <c r="T164" s="109"/>
      <c r="U164" s="109"/>
      <c r="V164" s="35"/>
      <c r="W164" s="35"/>
      <c r="X164" s="35"/>
      <c r="Y164" s="35"/>
      <c r="Z164" s="35"/>
      <c r="AA164" s="35"/>
      <c r="AB164" s="109"/>
    </row>
    <row r="165" spans="1:28" ht="20.100000000000001" customHeight="1">
      <c r="A165" s="103" t="s">
        <v>288</v>
      </c>
      <c r="B165" s="136">
        <v>17000</v>
      </c>
      <c r="C165" s="136">
        <v>17000</v>
      </c>
      <c r="D165" s="136">
        <v>119000</v>
      </c>
      <c r="E165" s="136">
        <v>113000</v>
      </c>
      <c r="F165" s="137">
        <v>0.14799999999999999</v>
      </c>
      <c r="G165" s="138"/>
      <c r="I165" s="109"/>
      <c r="J165" s="109"/>
      <c r="K165" s="109"/>
      <c r="L165" s="109"/>
      <c r="M165" s="109"/>
      <c r="N165" s="109"/>
      <c r="O165" s="109"/>
      <c r="P165" s="109"/>
      <c r="Q165" s="109"/>
      <c r="R165" s="109"/>
      <c r="S165" s="109"/>
      <c r="T165" s="109"/>
      <c r="U165" s="109"/>
      <c r="V165" s="35"/>
      <c r="W165" s="35"/>
      <c r="X165" s="35"/>
      <c r="Y165" s="35"/>
      <c r="Z165" s="35"/>
      <c r="AA165" s="35"/>
      <c r="AB165" s="109"/>
    </row>
    <row r="166" spans="1:28" ht="20.100000000000001" customHeight="1">
      <c r="A166" s="103" t="s">
        <v>273</v>
      </c>
      <c r="B166" s="139">
        <v>0</v>
      </c>
      <c r="C166" s="139">
        <v>0</v>
      </c>
      <c r="D166" s="139">
        <v>0</v>
      </c>
      <c r="E166" s="139">
        <v>0</v>
      </c>
      <c r="F166" s="29" t="s">
        <v>150</v>
      </c>
      <c r="G166" s="140"/>
      <c r="I166" s="109"/>
      <c r="J166" s="109"/>
      <c r="K166" s="109"/>
      <c r="L166" s="109"/>
      <c r="M166" s="109"/>
      <c r="N166" s="109"/>
      <c r="O166" s="109"/>
      <c r="P166" s="109"/>
      <c r="Q166" s="109"/>
      <c r="R166" s="109"/>
      <c r="S166" s="109"/>
      <c r="T166" s="109"/>
      <c r="U166" s="109"/>
      <c r="V166" s="35"/>
      <c r="W166" s="35"/>
      <c r="X166" s="35"/>
      <c r="Y166" s="35"/>
      <c r="Z166" s="35"/>
      <c r="AA166" s="35"/>
      <c r="AB166" s="109"/>
    </row>
    <row r="167" spans="1:28" ht="20.100000000000001" customHeight="1">
      <c r="A167" s="103" t="s">
        <v>274</v>
      </c>
      <c r="B167" s="139">
        <v>13000</v>
      </c>
      <c r="C167" s="139">
        <v>12000</v>
      </c>
      <c r="D167" s="139">
        <v>0</v>
      </c>
      <c r="E167" s="139">
        <v>0</v>
      </c>
      <c r="F167" s="29" t="s">
        <v>150</v>
      </c>
      <c r="G167" s="138"/>
      <c r="I167" s="109"/>
      <c r="J167" s="109"/>
      <c r="K167" s="109"/>
      <c r="L167" s="109"/>
      <c r="M167" s="109"/>
      <c r="N167" s="109"/>
      <c r="O167" s="109"/>
      <c r="P167" s="109"/>
      <c r="Q167" s="109"/>
      <c r="R167" s="109"/>
      <c r="S167" s="109"/>
      <c r="T167" s="109"/>
      <c r="U167" s="109"/>
      <c r="V167" s="35"/>
      <c r="W167" s="35"/>
      <c r="X167" s="35"/>
      <c r="Y167" s="35"/>
      <c r="Z167" s="35"/>
      <c r="AA167" s="35"/>
      <c r="AB167" s="109"/>
    </row>
    <row r="168" spans="1:28" ht="20.100000000000001" customHeight="1">
      <c r="A168" s="103" t="s">
        <v>275</v>
      </c>
      <c r="B168" s="136">
        <v>36000</v>
      </c>
      <c r="C168" s="136">
        <v>38000</v>
      </c>
      <c r="D168" s="136">
        <v>19000</v>
      </c>
      <c r="E168" s="136">
        <v>5000</v>
      </c>
      <c r="F168" s="29" t="s">
        <v>150</v>
      </c>
      <c r="G168" s="138"/>
      <c r="I168" s="109"/>
      <c r="J168" s="109"/>
      <c r="K168" s="109"/>
      <c r="L168" s="109"/>
      <c r="M168" s="109"/>
      <c r="N168" s="109"/>
      <c r="O168" s="109"/>
      <c r="P168" s="109"/>
      <c r="Q168" s="109"/>
      <c r="R168" s="109"/>
      <c r="S168" s="109"/>
      <c r="T168" s="109"/>
      <c r="U168" s="109"/>
      <c r="V168" s="35"/>
      <c r="W168" s="35"/>
      <c r="X168" s="35"/>
      <c r="Y168" s="35"/>
      <c r="Z168" s="35"/>
      <c r="AA168" s="35"/>
      <c r="AB168" s="109"/>
    </row>
    <row r="169" spans="1:28" ht="27" customHeight="1">
      <c r="A169" s="103" t="s">
        <v>276</v>
      </c>
      <c r="B169" s="136">
        <v>0</v>
      </c>
      <c r="C169" s="136">
        <v>0</v>
      </c>
      <c r="D169" s="136">
        <v>0</v>
      </c>
      <c r="E169" s="136">
        <v>0</v>
      </c>
      <c r="F169" s="137">
        <v>0</v>
      </c>
      <c r="G169" s="138"/>
      <c r="I169" s="109"/>
      <c r="J169" s="109"/>
      <c r="K169" s="109"/>
      <c r="L169" s="109"/>
      <c r="M169" s="109"/>
      <c r="N169" s="109"/>
      <c r="O169" s="109"/>
      <c r="P169" s="109"/>
      <c r="Q169" s="109"/>
      <c r="R169" s="109"/>
      <c r="S169" s="109"/>
      <c r="T169" s="109"/>
      <c r="U169" s="109"/>
      <c r="V169" s="35"/>
      <c r="W169" s="35"/>
      <c r="X169" s="35"/>
      <c r="Y169" s="35"/>
      <c r="Z169" s="35"/>
      <c r="AA169" s="35"/>
      <c r="AB169" s="109"/>
    </row>
    <row r="170" spans="1:28" ht="20.100000000000001" customHeight="1">
      <c r="A170" s="427" t="s">
        <v>1052</v>
      </c>
      <c r="B170" s="139">
        <v>0</v>
      </c>
      <c r="C170" s="139">
        <v>0</v>
      </c>
      <c r="D170" s="139">
        <v>0</v>
      </c>
      <c r="E170" s="139">
        <v>0</v>
      </c>
      <c r="F170" s="29" t="s">
        <v>150</v>
      </c>
      <c r="G170" s="138"/>
      <c r="I170" s="109"/>
      <c r="J170" s="109"/>
      <c r="K170" s="109"/>
      <c r="L170" s="109"/>
      <c r="M170" s="109"/>
      <c r="N170" s="109"/>
      <c r="O170" s="109"/>
      <c r="P170" s="109"/>
      <c r="Q170" s="109"/>
      <c r="R170" s="109"/>
      <c r="S170" s="109"/>
      <c r="T170" s="109"/>
      <c r="U170" s="109"/>
      <c r="V170" s="35"/>
      <c r="W170" s="35"/>
      <c r="X170" s="35"/>
      <c r="Y170" s="35"/>
      <c r="Z170" s="35"/>
      <c r="AA170" s="35"/>
      <c r="AB170" s="109"/>
    </row>
    <row r="171" spans="1:28" ht="20.100000000000001" customHeight="1">
      <c r="A171" s="103" t="s">
        <v>278</v>
      </c>
      <c r="B171" s="139">
        <v>3000</v>
      </c>
      <c r="C171" s="139">
        <v>2000</v>
      </c>
      <c r="D171" s="139">
        <v>2000</v>
      </c>
      <c r="E171" s="139">
        <v>4000</v>
      </c>
      <c r="F171" s="29" t="s">
        <v>150</v>
      </c>
      <c r="G171" s="138"/>
      <c r="I171" s="109"/>
      <c r="J171" s="109"/>
      <c r="K171" s="109"/>
      <c r="L171" s="109"/>
      <c r="M171" s="109"/>
      <c r="N171" s="109"/>
      <c r="O171" s="109"/>
      <c r="P171" s="109"/>
      <c r="Q171" s="109"/>
      <c r="R171" s="109"/>
      <c r="S171" s="109"/>
      <c r="T171" s="109"/>
      <c r="U171" s="109"/>
      <c r="V171" s="35"/>
      <c r="W171" s="35"/>
      <c r="X171" s="35"/>
      <c r="Y171" s="35"/>
      <c r="Z171" s="35"/>
      <c r="AA171" s="35"/>
      <c r="AB171" s="109"/>
    </row>
    <row r="172" spans="1:28" ht="20.100000000000001" customHeight="1">
      <c r="A172" s="103" t="s">
        <v>279</v>
      </c>
      <c r="B172" s="139">
        <v>0</v>
      </c>
      <c r="C172" s="139">
        <v>1000</v>
      </c>
      <c r="D172" s="139">
        <v>1000</v>
      </c>
      <c r="E172" s="139">
        <v>0</v>
      </c>
      <c r="F172" s="29" t="s">
        <v>150</v>
      </c>
      <c r="G172" s="138"/>
      <c r="I172" s="109"/>
      <c r="J172" s="109"/>
      <c r="K172" s="109"/>
      <c r="L172" s="109"/>
      <c r="M172" s="109"/>
      <c r="N172" s="109"/>
      <c r="O172" s="109"/>
      <c r="P172" s="109"/>
      <c r="Q172" s="109"/>
      <c r="R172" s="109"/>
      <c r="S172" s="109"/>
      <c r="T172" s="109"/>
      <c r="U172" s="109"/>
      <c r="V172" s="35"/>
      <c r="W172" s="35"/>
      <c r="X172" s="35"/>
      <c r="Y172" s="35"/>
      <c r="Z172" s="35"/>
      <c r="AA172" s="35"/>
      <c r="AB172" s="109"/>
    </row>
    <row r="173" spans="1:28" ht="20.100000000000001" customHeight="1">
      <c r="A173" s="103" t="s">
        <v>280</v>
      </c>
      <c r="B173" s="139">
        <v>2000</v>
      </c>
      <c r="C173" s="139">
        <v>2000</v>
      </c>
      <c r="D173" s="139">
        <v>1000</v>
      </c>
      <c r="E173" s="139">
        <v>0</v>
      </c>
      <c r="F173" s="137">
        <v>0</v>
      </c>
      <c r="G173" s="138"/>
      <c r="I173" s="109"/>
      <c r="J173" s="109"/>
      <c r="K173" s="109"/>
      <c r="L173" s="109"/>
      <c r="M173" s="109"/>
      <c r="N173" s="109"/>
      <c r="O173" s="109"/>
      <c r="P173" s="109"/>
      <c r="Q173" s="109"/>
      <c r="R173" s="109"/>
      <c r="S173" s="109"/>
      <c r="T173" s="109"/>
      <c r="U173" s="109"/>
      <c r="V173" s="35"/>
      <c r="W173" s="35"/>
      <c r="X173" s="35"/>
      <c r="Y173" s="35"/>
      <c r="Z173" s="35"/>
      <c r="AA173" s="35"/>
      <c r="AB173" s="109"/>
    </row>
    <row r="174" spans="1:28" ht="20.100000000000001" customHeight="1">
      <c r="A174" s="68" t="s">
        <v>289</v>
      </c>
      <c r="B174" s="139">
        <v>0</v>
      </c>
      <c r="C174" s="139">
        <v>0</v>
      </c>
      <c r="D174" s="139">
        <v>0</v>
      </c>
      <c r="E174" s="139">
        <v>0</v>
      </c>
      <c r="F174" s="137">
        <v>0</v>
      </c>
      <c r="G174" s="140"/>
      <c r="I174" s="109"/>
      <c r="J174" s="109"/>
      <c r="K174" s="109"/>
      <c r="L174" s="109"/>
      <c r="M174" s="109"/>
      <c r="N174" s="109"/>
      <c r="O174" s="109"/>
      <c r="P174" s="109"/>
      <c r="Q174" s="109"/>
      <c r="R174" s="109"/>
      <c r="S174" s="109"/>
      <c r="T174" s="109"/>
      <c r="U174" s="109"/>
      <c r="V174" s="35"/>
      <c r="W174" s="35"/>
      <c r="X174" s="35"/>
      <c r="Y174" s="35"/>
      <c r="Z174" s="35"/>
      <c r="AA174" s="35"/>
      <c r="AB174" s="109"/>
    </row>
    <row r="175" spans="1:28" ht="30" customHeight="1">
      <c r="A175" s="99" t="s">
        <v>282</v>
      </c>
      <c r="B175" s="141">
        <v>1803000</v>
      </c>
      <c r="C175" s="141">
        <v>1745000</v>
      </c>
      <c r="D175" s="141">
        <v>1943000</v>
      </c>
      <c r="E175" s="141">
        <v>1926000</v>
      </c>
      <c r="F175" s="142">
        <v>1.7310000000000001</v>
      </c>
      <c r="G175" s="140"/>
      <c r="I175" s="109"/>
      <c r="J175" s="109"/>
      <c r="K175" s="109"/>
      <c r="L175" s="109"/>
      <c r="M175" s="109"/>
      <c r="N175" s="109"/>
      <c r="O175" s="109"/>
      <c r="P175" s="109"/>
      <c r="Q175" s="109"/>
      <c r="R175" s="109"/>
      <c r="S175" s="109"/>
      <c r="T175" s="109"/>
      <c r="U175" s="109"/>
      <c r="V175" s="35"/>
      <c r="W175" s="35"/>
      <c r="X175" s="35"/>
      <c r="Y175" s="35"/>
      <c r="Z175" s="35"/>
      <c r="AA175" s="35"/>
      <c r="AB175" s="109"/>
    </row>
    <row r="176" spans="1:28" ht="30" customHeight="1">
      <c r="A176" s="99" t="s">
        <v>283</v>
      </c>
      <c r="B176" s="141">
        <v>1940000</v>
      </c>
      <c r="C176" s="141">
        <v>1799000</v>
      </c>
      <c r="D176" s="141">
        <v>1824000</v>
      </c>
      <c r="E176" s="141">
        <v>1831000</v>
      </c>
      <c r="F176" s="142">
        <v>1.823</v>
      </c>
      <c r="G176" s="140"/>
      <c r="I176" s="109"/>
      <c r="J176" s="109"/>
      <c r="K176" s="109"/>
      <c r="L176" s="109"/>
      <c r="M176" s="109"/>
      <c r="N176" s="109"/>
      <c r="O176" s="109"/>
      <c r="P176" s="109"/>
      <c r="Q176" s="109"/>
      <c r="R176" s="109"/>
      <c r="S176" s="109"/>
      <c r="T176" s="109"/>
      <c r="U176" s="109"/>
      <c r="V176" s="35"/>
      <c r="W176" s="35"/>
      <c r="X176" s="35"/>
      <c r="Y176" s="35"/>
      <c r="Z176" s="35"/>
      <c r="AA176" s="35"/>
      <c r="AB176" s="109"/>
    </row>
    <row r="177" spans="1:28" ht="30" customHeight="1">
      <c r="A177" s="99" t="s">
        <v>284</v>
      </c>
      <c r="B177" s="141">
        <v>3743000</v>
      </c>
      <c r="C177" s="141">
        <v>3544000</v>
      </c>
      <c r="D177" s="141">
        <v>3767000</v>
      </c>
      <c r="E177" s="141">
        <v>3758000</v>
      </c>
      <c r="F177" s="142">
        <v>3.5539999999999998</v>
      </c>
      <c r="G177" s="140"/>
      <c r="I177" s="109"/>
      <c r="J177" s="109"/>
      <c r="K177" s="109"/>
      <c r="L177" s="109"/>
      <c r="M177" s="109"/>
      <c r="N177" s="109"/>
      <c r="O177" s="109"/>
      <c r="P177" s="109"/>
      <c r="Q177" s="109"/>
      <c r="R177" s="109"/>
      <c r="S177" s="109"/>
      <c r="T177" s="109"/>
      <c r="U177" s="109"/>
      <c r="V177" s="35"/>
      <c r="W177" s="35"/>
      <c r="X177" s="35"/>
      <c r="Y177" s="35"/>
      <c r="Z177" s="35"/>
      <c r="AA177" s="35"/>
      <c r="AB177" s="109"/>
    </row>
    <row r="178" spans="1:28" ht="73.5" customHeight="1">
      <c r="A178" s="518" t="s">
        <v>1053</v>
      </c>
      <c r="B178" s="491"/>
      <c r="C178" s="491"/>
      <c r="D178" s="491"/>
      <c r="E178" s="491"/>
      <c r="F178" s="491"/>
      <c r="G178" s="108"/>
      <c r="I178" s="109"/>
      <c r="J178" s="109"/>
      <c r="K178" s="109"/>
      <c r="L178" s="109"/>
      <c r="M178" s="109"/>
      <c r="N178" s="109"/>
      <c r="O178" s="109"/>
      <c r="P178" s="109"/>
      <c r="Q178" s="109"/>
      <c r="R178" s="109"/>
      <c r="S178" s="109"/>
      <c r="T178" s="109"/>
      <c r="U178" s="109"/>
      <c r="V178" s="35"/>
      <c r="W178" s="35"/>
      <c r="X178" s="35"/>
      <c r="Y178" s="35"/>
      <c r="Z178" s="35"/>
      <c r="AA178" s="35"/>
      <c r="AB178" s="109"/>
    </row>
    <row r="179" spans="1:28" ht="60" customHeight="1"/>
    <row r="180" spans="1:28" ht="39.200000000000003" customHeight="1">
      <c r="A180" s="2" t="s">
        <v>290</v>
      </c>
      <c r="B180" s="143" t="s">
        <v>158</v>
      </c>
      <c r="C180" s="143" t="s">
        <v>159</v>
      </c>
      <c r="D180" s="143" t="s">
        <v>160</v>
      </c>
      <c r="E180" s="143" t="s">
        <v>220</v>
      </c>
      <c r="F180" s="143" t="s">
        <v>221</v>
      </c>
      <c r="G180" s="4"/>
    </row>
    <row r="181" spans="1:28" ht="20.100000000000001" customHeight="1">
      <c r="A181" s="144" t="s">
        <v>291</v>
      </c>
      <c r="B181" s="145">
        <v>0.5</v>
      </c>
      <c r="C181" s="146">
        <v>0.53</v>
      </c>
      <c r="D181" s="146">
        <v>0.55000000000000004</v>
      </c>
      <c r="E181" s="147">
        <v>0.56000000000000005</v>
      </c>
      <c r="F181" s="147">
        <v>0.56000000000000005</v>
      </c>
      <c r="G181" s="4"/>
    </row>
    <row r="182" spans="1:28" ht="63" customHeight="1">
      <c r="A182" s="518" t="s">
        <v>1039</v>
      </c>
      <c r="B182" s="491"/>
      <c r="C182" s="491"/>
      <c r="D182" s="491"/>
      <c r="E182" s="491"/>
      <c r="F182" s="491"/>
    </row>
    <row r="183" spans="1:28" ht="60" customHeight="1">
      <c r="A183" s="108"/>
      <c r="B183" s="108"/>
      <c r="C183" s="108"/>
      <c r="D183" s="108"/>
      <c r="E183" s="108"/>
      <c r="F183" s="108"/>
    </row>
    <row r="184" spans="1:28" ht="69.2" customHeight="1">
      <c r="A184" s="2" t="s">
        <v>292</v>
      </c>
      <c r="B184" s="113" t="s">
        <v>118</v>
      </c>
      <c r="C184" s="19" t="s">
        <v>293</v>
      </c>
      <c r="D184" s="19" t="s">
        <v>223</v>
      </c>
      <c r="E184" s="19" t="s">
        <v>224</v>
      </c>
      <c r="F184" s="19" t="s">
        <v>225</v>
      </c>
      <c r="G184" s="19" t="s">
        <v>226</v>
      </c>
      <c r="H184" s="19" t="s">
        <v>294</v>
      </c>
      <c r="I184" s="19" t="s">
        <v>228</v>
      </c>
      <c r="J184" s="19" t="s">
        <v>229</v>
      </c>
      <c r="K184" s="20"/>
    </row>
    <row r="185" spans="1:28" ht="20.100000000000001" customHeight="1">
      <c r="A185" s="523" t="s">
        <v>129</v>
      </c>
      <c r="B185" s="99" t="s">
        <v>80</v>
      </c>
      <c r="C185" s="148">
        <v>0</v>
      </c>
      <c r="D185" s="148">
        <v>0.99970000000000003</v>
      </c>
      <c r="E185" s="148">
        <v>0</v>
      </c>
      <c r="F185" s="148">
        <v>0</v>
      </c>
      <c r="G185" s="148">
        <v>0</v>
      </c>
      <c r="H185" s="148">
        <v>2.9999999999999997E-4</v>
      </c>
      <c r="I185" s="148">
        <v>0</v>
      </c>
      <c r="J185" s="148">
        <v>0</v>
      </c>
      <c r="K185" s="20"/>
    </row>
    <row r="186" spans="1:28" ht="20.100000000000001" customHeight="1">
      <c r="A186" s="523"/>
      <c r="B186" s="121" t="s">
        <v>130</v>
      </c>
      <c r="C186" s="149">
        <v>0</v>
      </c>
      <c r="D186" s="149">
        <v>0.99959999999999993</v>
      </c>
      <c r="E186" s="149">
        <v>0</v>
      </c>
      <c r="F186" s="149">
        <v>0</v>
      </c>
      <c r="G186" s="149">
        <v>0</v>
      </c>
      <c r="H186" s="149">
        <v>4.0000000000000002E-4</v>
      </c>
      <c r="I186" s="149">
        <v>0</v>
      </c>
      <c r="J186" s="149">
        <v>0</v>
      </c>
      <c r="K186" s="20"/>
    </row>
    <row r="187" spans="1:28" ht="20.100000000000001" customHeight="1">
      <c r="A187" s="523"/>
      <c r="B187" s="121" t="s">
        <v>131</v>
      </c>
      <c r="C187" s="149">
        <v>0</v>
      </c>
      <c r="D187" s="149">
        <v>1</v>
      </c>
      <c r="E187" s="149">
        <v>0</v>
      </c>
      <c r="F187" s="149">
        <v>0</v>
      </c>
      <c r="G187" s="149">
        <v>0</v>
      </c>
      <c r="H187" s="149">
        <v>0</v>
      </c>
      <c r="I187" s="149">
        <v>0</v>
      </c>
      <c r="J187" s="149">
        <v>0</v>
      </c>
      <c r="K187" s="20"/>
    </row>
    <row r="188" spans="1:28" ht="20.100000000000001" customHeight="1">
      <c r="A188" s="523" t="s">
        <v>132</v>
      </c>
      <c r="B188" s="74" t="s">
        <v>81</v>
      </c>
      <c r="C188" s="148">
        <v>0</v>
      </c>
      <c r="D188" s="148">
        <v>0.85540000000000005</v>
      </c>
      <c r="E188" s="148">
        <v>0</v>
      </c>
      <c r="F188" s="148">
        <v>1.43E-2</v>
      </c>
      <c r="G188" s="148">
        <v>0.12740000000000001</v>
      </c>
      <c r="H188" s="148">
        <v>2.8000000000000004E-3</v>
      </c>
      <c r="I188" s="148">
        <v>0</v>
      </c>
      <c r="J188" s="148">
        <v>0</v>
      </c>
      <c r="K188" s="20"/>
    </row>
    <row r="189" spans="1:28" ht="20.100000000000001" customHeight="1">
      <c r="A189" s="523"/>
      <c r="B189" s="121" t="s">
        <v>218</v>
      </c>
      <c r="C189" s="149">
        <v>0</v>
      </c>
      <c r="D189" s="149">
        <v>0</v>
      </c>
      <c r="E189" s="149">
        <v>0</v>
      </c>
      <c r="F189" s="149">
        <v>0</v>
      </c>
      <c r="G189" s="149">
        <v>1</v>
      </c>
      <c r="H189" s="149">
        <v>0</v>
      </c>
      <c r="I189" s="149">
        <v>0</v>
      </c>
      <c r="J189" s="149">
        <v>0</v>
      </c>
      <c r="K189" s="20"/>
    </row>
    <row r="190" spans="1:28" ht="20.100000000000001" customHeight="1">
      <c r="A190" s="523"/>
      <c r="B190" s="121" t="s">
        <v>133</v>
      </c>
      <c r="C190" s="149">
        <v>0</v>
      </c>
      <c r="D190" s="149">
        <v>0.86310000000000009</v>
      </c>
      <c r="E190" s="149">
        <v>0</v>
      </c>
      <c r="F190" s="149">
        <v>1.4499999999999999E-2</v>
      </c>
      <c r="G190" s="149">
        <v>0.1195</v>
      </c>
      <c r="H190" s="149">
        <v>2.8999999999999998E-3</v>
      </c>
      <c r="I190" s="149">
        <v>0</v>
      </c>
      <c r="J190" s="149">
        <v>0</v>
      </c>
      <c r="K190" s="20"/>
    </row>
    <row r="191" spans="1:28" ht="20.100000000000001" customHeight="1">
      <c r="A191" s="523"/>
      <c r="B191" s="74" t="s">
        <v>5</v>
      </c>
      <c r="C191" s="148">
        <v>0</v>
      </c>
      <c r="D191" s="148">
        <v>0.76010000000000011</v>
      </c>
      <c r="E191" s="148">
        <v>0</v>
      </c>
      <c r="F191" s="148">
        <v>2.3599999999999999E-2</v>
      </c>
      <c r="G191" s="148">
        <v>0</v>
      </c>
      <c r="H191" s="148">
        <v>0.21629999999999999</v>
      </c>
      <c r="I191" s="148">
        <v>0</v>
      </c>
      <c r="J191" s="148">
        <v>0</v>
      </c>
      <c r="K191" s="20"/>
    </row>
    <row r="192" spans="1:28" ht="20.100000000000001" customHeight="1">
      <c r="A192" s="523"/>
      <c r="B192" s="121" t="s">
        <v>134</v>
      </c>
      <c r="C192" s="149">
        <v>0</v>
      </c>
      <c r="D192" s="149">
        <v>0.98219999999999996</v>
      </c>
      <c r="E192" s="149">
        <v>0</v>
      </c>
      <c r="F192" s="149">
        <v>1.78E-2</v>
      </c>
      <c r="G192" s="149">
        <v>0</v>
      </c>
      <c r="H192" s="149">
        <v>0</v>
      </c>
      <c r="I192" s="149">
        <v>0</v>
      </c>
      <c r="J192" s="149">
        <v>0</v>
      </c>
      <c r="K192" s="20"/>
    </row>
    <row r="193" spans="1:11" ht="20.100000000000001" customHeight="1">
      <c r="A193" s="523"/>
      <c r="B193" s="121" t="s">
        <v>39</v>
      </c>
      <c r="C193" s="149">
        <v>0</v>
      </c>
      <c r="D193" s="149">
        <v>0.69720000000000004</v>
      </c>
      <c r="E193" s="149">
        <v>0</v>
      </c>
      <c r="F193" s="149">
        <v>2.0499999999999997E-2</v>
      </c>
      <c r="G193" s="149">
        <v>0</v>
      </c>
      <c r="H193" s="149">
        <v>0.2823</v>
      </c>
      <c r="I193" s="149">
        <v>0</v>
      </c>
      <c r="J193" s="149">
        <v>0</v>
      </c>
      <c r="K193" s="20"/>
    </row>
    <row r="194" spans="1:11" ht="20.100000000000001" customHeight="1">
      <c r="A194" s="523"/>
      <c r="B194" s="121" t="s">
        <v>135</v>
      </c>
      <c r="C194" s="149">
        <v>0</v>
      </c>
      <c r="D194" s="149">
        <v>0.5384000000000001</v>
      </c>
      <c r="E194" s="149">
        <v>0</v>
      </c>
      <c r="F194" s="149">
        <v>1.3999999999999999E-2</v>
      </c>
      <c r="G194" s="149">
        <v>0</v>
      </c>
      <c r="H194" s="149">
        <v>0.4476</v>
      </c>
      <c r="I194" s="149">
        <v>0</v>
      </c>
      <c r="J194" s="149">
        <v>0</v>
      </c>
      <c r="K194" s="20"/>
    </row>
    <row r="195" spans="1:11" ht="20.100000000000001" customHeight="1">
      <c r="A195" s="523"/>
      <c r="B195" s="121" t="s">
        <v>6</v>
      </c>
      <c r="C195" s="149">
        <v>0</v>
      </c>
      <c r="D195" s="149">
        <v>0.9668000000000001</v>
      </c>
      <c r="E195" s="149">
        <v>0</v>
      </c>
      <c r="F195" s="149">
        <v>2.9600000000000001E-2</v>
      </c>
      <c r="G195" s="149">
        <v>0</v>
      </c>
      <c r="H195" s="149">
        <v>3.5999999999999999E-3</v>
      </c>
      <c r="I195" s="149">
        <v>0</v>
      </c>
      <c r="J195" s="149">
        <v>0</v>
      </c>
      <c r="K195" s="20"/>
    </row>
    <row r="196" spans="1:11" ht="20.100000000000001" customHeight="1">
      <c r="A196" s="523"/>
      <c r="B196" s="121" t="s">
        <v>136</v>
      </c>
      <c r="C196" s="149">
        <v>0</v>
      </c>
      <c r="D196" s="149">
        <v>0.91720000000000002</v>
      </c>
      <c r="E196" s="149">
        <v>0</v>
      </c>
      <c r="F196" s="149">
        <v>5.0199999999999995E-2</v>
      </c>
      <c r="G196" s="149">
        <v>0</v>
      </c>
      <c r="H196" s="149">
        <v>3.2599999999999997E-2</v>
      </c>
      <c r="I196" s="149">
        <v>0</v>
      </c>
      <c r="J196" s="149">
        <v>0</v>
      </c>
      <c r="K196" s="20"/>
    </row>
    <row r="197" spans="1:11" ht="20.100000000000001" customHeight="1">
      <c r="A197" s="523"/>
      <c r="B197" s="74" t="s">
        <v>9</v>
      </c>
      <c r="C197" s="148">
        <v>0</v>
      </c>
      <c r="D197" s="148">
        <v>0.98939999999999995</v>
      </c>
      <c r="E197" s="148">
        <v>0</v>
      </c>
      <c r="F197" s="148">
        <v>9.300000000000001E-3</v>
      </c>
      <c r="G197" s="148">
        <v>0</v>
      </c>
      <c r="H197" s="148">
        <v>1.3000000000000002E-3</v>
      </c>
      <c r="I197" s="148">
        <v>0</v>
      </c>
      <c r="J197" s="148">
        <v>0</v>
      </c>
      <c r="K197" s="20"/>
    </row>
    <row r="198" spans="1:11" ht="20.100000000000001" customHeight="1">
      <c r="A198" s="523"/>
      <c r="B198" s="121" t="s">
        <v>10</v>
      </c>
      <c r="C198" s="149">
        <v>0</v>
      </c>
      <c r="D198" s="149">
        <v>0.98939999999999995</v>
      </c>
      <c r="E198" s="149">
        <v>0</v>
      </c>
      <c r="F198" s="149">
        <v>9.300000000000001E-3</v>
      </c>
      <c r="G198" s="149">
        <v>0</v>
      </c>
      <c r="H198" s="149">
        <v>1.3000000000000002E-3</v>
      </c>
      <c r="I198" s="149">
        <v>0</v>
      </c>
      <c r="J198" s="149">
        <v>0</v>
      </c>
      <c r="K198" s="20"/>
    </row>
    <row r="199" spans="1:11" ht="20.100000000000001" customHeight="1">
      <c r="A199" s="523" t="s">
        <v>137</v>
      </c>
      <c r="B199" s="74" t="s">
        <v>37</v>
      </c>
      <c r="C199" s="148">
        <v>0</v>
      </c>
      <c r="D199" s="148">
        <v>1</v>
      </c>
      <c r="E199" s="148">
        <v>0</v>
      </c>
      <c r="F199" s="148">
        <v>0</v>
      </c>
      <c r="G199" s="148">
        <v>0</v>
      </c>
      <c r="H199" s="148">
        <v>0</v>
      </c>
      <c r="I199" s="148">
        <v>0</v>
      </c>
      <c r="J199" s="148">
        <v>0</v>
      </c>
      <c r="K199" s="20"/>
    </row>
    <row r="200" spans="1:11" ht="20.100000000000001" customHeight="1">
      <c r="A200" s="523"/>
      <c r="B200" s="121" t="s">
        <v>38</v>
      </c>
      <c r="C200" s="149">
        <v>0</v>
      </c>
      <c r="D200" s="149">
        <v>1</v>
      </c>
      <c r="E200" s="149">
        <v>0</v>
      </c>
      <c r="F200" s="149">
        <v>0</v>
      </c>
      <c r="G200" s="149">
        <v>0</v>
      </c>
      <c r="H200" s="149">
        <v>0</v>
      </c>
      <c r="I200" s="149">
        <v>0</v>
      </c>
      <c r="J200" s="149">
        <v>0</v>
      </c>
      <c r="K200" s="20"/>
    </row>
    <row r="201" spans="1:11" ht="20.100000000000001" customHeight="1">
      <c r="A201" s="523"/>
      <c r="B201" s="74" t="s">
        <v>82</v>
      </c>
      <c r="C201" s="148">
        <v>0</v>
      </c>
      <c r="D201" s="148">
        <v>0.49430000000000002</v>
      </c>
      <c r="E201" s="148">
        <v>0</v>
      </c>
      <c r="F201" s="148">
        <v>8.0000000000000004E-4</v>
      </c>
      <c r="G201" s="148">
        <v>0</v>
      </c>
      <c r="H201" s="148">
        <v>0</v>
      </c>
      <c r="I201" s="148">
        <v>0.50490000000000002</v>
      </c>
      <c r="J201" s="148">
        <v>0</v>
      </c>
      <c r="K201" s="20"/>
    </row>
    <row r="202" spans="1:11" ht="20.100000000000001" customHeight="1">
      <c r="A202" s="523"/>
      <c r="B202" s="121" t="s">
        <v>138</v>
      </c>
      <c r="C202" s="149">
        <v>0</v>
      </c>
      <c r="D202" s="149">
        <v>0.49430000000000002</v>
      </c>
      <c r="E202" s="149">
        <v>0</v>
      </c>
      <c r="F202" s="149">
        <v>8.0000000000000004E-4</v>
      </c>
      <c r="G202" s="149">
        <v>0</v>
      </c>
      <c r="H202" s="149">
        <v>0</v>
      </c>
      <c r="I202" s="149">
        <v>0.50490000000000002</v>
      </c>
      <c r="J202" s="149">
        <v>0</v>
      </c>
      <c r="K202" s="20"/>
    </row>
    <row r="203" spans="1:11" ht="20.100000000000001" customHeight="1">
      <c r="A203" s="523"/>
      <c r="B203" s="74" t="s">
        <v>13</v>
      </c>
      <c r="C203" s="148">
        <v>0</v>
      </c>
      <c r="D203" s="148">
        <v>0.94650000000000012</v>
      </c>
      <c r="E203" s="148">
        <v>0</v>
      </c>
      <c r="F203" s="148">
        <v>8.0000000000000004E-4</v>
      </c>
      <c r="G203" s="148">
        <v>0</v>
      </c>
      <c r="H203" s="148">
        <v>0</v>
      </c>
      <c r="I203" s="148">
        <v>5.2699999999999997E-2</v>
      </c>
      <c r="J203" s="148">
        <v>0</v>
      </c>
      <c r="K203" s="20"/>
    </row>
    <row r="204" spans="1:11" ht="20.100000000000001" customHeight="1">
      <c r="A204" s="523"/>
      <c r="B204" s="121" t="s">
        <v>14</v>
      </c>
      <c r="C204" s="149">
        <v>0</v>
      </c>
      <c r="D204" s="149">
        <v>0.94650000000000012</v>
      </c>
      <c r="E204" s="149">
        <v>0</v>
      </c>
      <c r="F204" s="149">
        <v>8.0000000000000004E-4</v>
      </c>
      <c r="G204" s="149">
        <v>0</v>
      </c>
      <c r="H204" s="149">
        <v>0</v>
      </c>
      <c r="I204" s="149">
        <v>5.2699999999999997E-2</v>
      </c>
      <c r="J204" s="149">
        <v>0</v>
      </c>
      <c r="K204" s="20"/>
    </row>
    <row r="205" spans="1:11" ht="20.100000000000001" customHeight="1">
      <c r="A205" s="523" t="s">
        <v>154</v>
      </c>
      <c r="B205" s="74" t="s">
        <v>25</v>
      </c>
      <c r="C205" s="148">
        <v>0</v>
      </c>
      <c r="D205" s="148">
        <v>0.75400000000000011</v>
      </c>
      <c r="E205" s="148">
        <v>1E-4</v>
      </c>
      <c r="F205" s="148">
        <v>1E-4</v>
      </c>
      <c r="G205" s="148">
        <v>0.2356</v>
      </c>
      <c r="H205" s="148">
        <v>1.01E-2</v>
      </c>
      <c r="I205" s="148">
        <v>0</v>
      </c>
      <c r="J205" s="148">
        <v>1E-4</v>
      </c>
      <c r="K205" s="20"/>
    </row>
    <row r="206" spans="1:11" ht="20.100000000000001" customHeight="1">
      <c r="A206" s="523"/>
      <c r="B206" s="121" t="s">
        <v>219</v>
      </c>
      <c r="C206" s="149">
        <v>0</v>
      </c>
      <c r="D206" s="149">
        <v>0.9425</v>
      </c>
      <c r="E206" s="149">
        <v>0</v>
      </c>
      <c r="F206" s="149">
        <v>3.3000000000000004E-3</v>
      </c>
      <c r="G206" s="149">
        <v>0</v>
      </c>
      <c r="H206" s="149">
        <v>0</v>
      </c>
      <c r="I206" s="149">
        <v>0</v>
      </c>
      <c r="J206" s="149">
        <v>5.4199999999999998E-2</v>
      </c>
      <c r="K206" s="20"/>
    </row>
    <row r="207" spans="1:11" ht="20.100000000000001" customHeight="1">
      <c r="A207" s="523"/>
      <c r="B207" s="121" t="s">
        <v>26</v>
      </c>
      <c r="C207" s="149">
        <v>0</v>
      </c>
      <c r="D207" s="149">
        <v>0.99470000000000003</v>
      </c>
      <c r="E207" s="149">
        <v>0</v>
      </c>
      <c r="F207" s="149">
        <v>0</v>
      </c>
      <c r="G207" s="149">
        <v>0</v>
      </c>
      <c r="H207" s="149">
        <v>5.3E-3</v>
      </c>
      <c r="I207" s="149">
        <v>0</v>
      </c>
      <c r="J207" s="149">
        <v>0</v>
      </c>
      <c r="K207" s="20"/>
    </row>
    <row r="208" spans="1:11" ht="20.100000000000001" customHeight="1">
      <c r="A208" s="523"/>
      <c r="B208" s="121" t="s">
        <v>140</v>
      </c>
      <c r="C208" s="149">
        <v>0</v>
      </c>
      <c r="D208" s="149">
        <v>0.97160000000000002</v>
      </c>
      <c r="E208" s="149">
        <v>0</v>
      </c>
      <c r="F208" s="149">
        <v>4.0000000000000002E-4</v>
      </c>
      <c r="G208" s="149">
        <v>0</v>
      </c>
      <c r="H208" s="149">
        <v>2.7900000000000001E-2</v>
      </c>
      <c r="I208" s="149">
        <v>0</v>
      </c>
      <c r="J208" s="149">
        <v>0</v>
      </c>
      <c r="K208" s="20"/>
    </row>
    <row r="209" spans="1:25" ht="20.100000000000001" customHeight="1">
      <c r="A209" s="523"/>
      <c r="B209" s="121" t="s">
        <v>29</v>
      </c>
      <c r="C209" s="149">
        <v>0</v>
      </c>
      <c r="D209" s="149">
        <v>0.35039999999999999</v>
      </c>
      <c r="E209" s="149">
        <v>2.0000000000000001E-4</v>
      </c>
      <c r="F209" s="149">
        <v>0</v>
      </c>
      <c r="G209" s="149">
        <v>0.64580000000000004</v>
      </c>
      <c r="H209" s="149">
        <v>3.4999999999999996E-3</v>
      </c>
      <c r="I209" s="149">
        <v>0</v>
      </c>
      <c r="J209" s="149">
        <v>0</v>
      </c>
      <c r="K209" s="20"/>
    </row>
    <row r="210" spans="1:25" ht="20.100000000000001" customHeight="1">
      <c r="A210" s="65" t="s">
        <v>141</v>
      </c>
      <c r="B210" s="175" t="s">
        <v>142</v>
      </c>
      <c r="C210" s="417">
        <v>0</v>
      </c>
      <c r="D210" s="418">
        <v>0.81340000000000001</v>
      </c>
      <c r="E210" s="417">
        <v>0</v>
      </c>
      <c r="F210" s="418">
        <v>4.1999999999999997E-3</v>
      </c>
      <c r="G210" s="418">
        <v>8.5300000000000001E-2</v>
      </c>
      <c r="H210" s="418">
        <v>1.7399999999999999E-2</v>
      </c>
      <c r="I210" s="418">
        <v>7.9699999999999993E-2</v>
      </c>
      <c r="J210" s="417">
        <v>0</v>
      </c>
      <c r="K210" s="4"/>
    </row>
    <row r="211" spans="1:25" ht="19.5" customHeight="1">
      <c r="A211" s="508" t="s">
        <v>295</v>
      </c>
      <c r="B211" s="508"/>
      <c r="C211" s="508"/>
      <c r="D211" s="508"/>
      <c r="E211" s="508"/>
      <c r="F211" s="508"/>
      <c r="G211" s="508"/>
      <c r="H211" s="508"/>
      <c r="I211" s="508"/>
      <c r="J211" s="508"/>
      <c r="K211" s="508"/>
      <c r="L211" s="35"/>
      <c r="M211" s="35"/>
      <c r="N211" s="35"/>
      <c r="O211" s="35"/>
      <c r="P211" s="35"/>
      <c r="Q211" s="35"/>
      <c r="R211" s="35"/>
      <c r="S211" s="35"/>
      <c r="T211" s="35"/>
      <c r="U211" s="35"/>
      <c r="V211" s="35"/>
      <c r="W211" s="35"/>
      <c r="X211" s="35"/>
      <c r="Y211" s="35"/>
    </row>
    <row r="212" spans="1:25" ht="60" customHeight="1">
      <c r="A212" s="132"/>
    </row>
    <row r="213" spans="1:25" ht="71.25" customHeight="1">
      <c r="A213" s="41" t="s">
        <v>296</v>
      </c>
      <c r="B213" s="28">
        <v>2015</v>
      </c>
      <c r="C213" s="28">
        <v>2016</v>
      </c>
      <c r="D213" s="28">
        <v>2017</v>
      </c>
      <c r="E213" s="28">
        <v>2018</v>
      </c>
      <c r="F213" s="28">
        <v>2019</v>
      </c>
      <c r="G213" s="131"/>
      <c r="I213" s="35"/>
      <c r="J213" s="109"/>
      <c r="K213" s="35"/>
    </row>
    <row r="214" spans="1:25" ht="20.100000000000001" customHeight="1">
      <c r="A214" s="29" t="s">
        <v>293</v>
      </c>
      <c r="B214" s="150">
        <v>0</v>
      </c>
      <c r="C214" s="150">
        <v>0</v>
      </c>
      <c r="D214" s="150">
        <v>0</v>
      </c>
      <c r="E214" s="150">
        <v>0</v>
      </c>
      <c r="F214" s="150">
        <v>0</v>
      </c>
      <c r="G214" s="131"/>
      <c r="I214" s="35"/>
      <c r="J214" s="109"/>
      <c r="K214" s="109"/>
    </row>
    <row r="215" spans="1:25" ht="20.100000000000001" customHeight="1">
      <c r="A215" s="29" t="s">
        <v>223</v>
      </c>
      <c r="B215" s="150">
        <v>0.93</v>
      </c>
      <c r="C215" s="150">
        <v>0.94000000000000006</v>
      </c>
      <c r="D215" s="150">
        <v>0.89</v>
      </c>
      <c r="E215" s="150">
        <v>0.89</v>
      </c>
      <c r="F215" s="150">
        <v>0.81</v>
      </c>
      <c r="G215" s="131"/>
      <c r="I215" s="35"/>
      <c r="J215" s="109"/>
      <c r="K215" s="109"/>
    </row>
    <row r="216" spans="1:25" ht="20.100000000000001" customHeight="1">
      <c r="A216" s="29" t="s">
        <v>224</v>
      </c>
      <c r="B216" s="150">
        <v>0</v>
      </c>
      <c r="C216" s="150">
        <v>0</v>
      </c>
      <c r="D216" s="150">
        <v>0</v>
      </c>
      <c r="E216" s="150">
        <v>0</v>
      </c>
      <c r="F216" s="150">
        <v>0</v>
      </c>
      <c r="G216" s="131"/>
      <c r="I216" s="35"/>
      <c r="J216" s="109"/>
      <c r="K216" s="109"/>
    </row>
    <row r="217" spans="1:25" ht="20.100000000000001" customHeight="1">
      <c r="A217" s="29" t="s">
        <v>225</v>
      </c>
      <c r="B217" s="150">
        <v>0</v>
      </c>
      <c r="C217" s="150">
        <v>0</v>
      </c>
      <c r="D217" s="150">
        <v>0</v>
      </c>
      <c r="E217" s="150">
        <v>0</v>
      </c>
      <c r="F217" s="150">
        <v>0</v>
      </c>
      <c r="G217" s="131"/>
      <c r="I217" s="35"/>
      <c r="J217" s="109"/>
      <c r="K217" s="109"/>
    </row>
    <row r="218" spans="1:25" ht="20.100000000000001" customHeight="1">
      <c r="A218" s="29" t="s">
        <v>226</v>
      </c>
      <c r="B218" s="150">
        <v>0.02</v>
      </c>
      <c r="C218" s="150">
        <v>0.02</v>
      </c>
      <c r="D218" s="150">
        <v>0.03</v>
      </c>
      <c r="E218" s="150">
        <v>0.03</v>
      </c>
      <c r="F218" s="150">
        <v>0.08</v>
      </c>
      <c r="G218" s="131"/>
      <c r="I218" s="35"/>
      <c r="J218" s="109"/>
      <c r="K218" s="109"/>
    </row>
    <row r="219" spans="1:25" ht="20.100000000000001" customHeight="1">
      <c r="A219" s="29" t="s">
        <v>227</v>
      </c>
      <c r="B219" s="150">
        <v>0.02</v>
      </c>
      <c r="C219" s="150">
        <v>0.02</v>
      </c>
      <c r="D219" s="150">
        <v>0.02</v>
      </c>
      <c r="E219" s="150">
        <v>0.02</v>
      </c>
      <c r="F219" s="150">
        <v>0.02</v>
      </c>
      <c r="G219" s="131"/>
      <c r="I219" s="35"/>
      <c r="J219" s="109"/>
      <c r="K219" s="109"/>
    </row>
    <row r="220" spans="1:25" ht="20.100000000000001" customHeight="1">
      <c r="A220" s="29" t="s">
        <v>297</v>
      </c>
      <c r="B220" s="150">
        <v>0.01</v>
      </c>
      <c r="C220" s="150">
        <v>0</v>
      </c>
      <c r="D220" s="150">
        <v>0.05</v>
      </c>
      <c r="E220" s="150">
        <v>0.06</v>
      </c>
      <c r="F220" s="150">
        <v>0.08</v>
      </c>
      <c r="G220" s="131"/>
      <c r="I220" s="35"/>
      <c r="J220" s="109"/>
      <c r="K220" s="109"/>
    </row>
    <row r="221" spans="1:25" ht="20.100000000000001" customHeight="1">
      <c r="A221" s="29" t="s">
        <v>229</v>
      </c>
      <c r="B221" s="150">
        <v>0</v>
      </c>
      <c r="C221" s="150">
        <v>0.01</v>
      </c>
      <c r="D221" s="150">
        <v>0</v>
      </c>
      <c r="E221" s="150">
        <v>0</v>
      </c>
      <c r="F221" s="150">
        <v>0</v>
      </c>
      <c r="G221" s="131"/>
      <c r="I221" s="35"/>
      <c r="J221" s="109"/>
      <c r="K221" s="109"/>
    </row>
    <row r="222" spans="1:25" ht="32.450000000000003" customHeight="1">
      <c r="A222" s="491" t="s">
        <v>298</v>
      </c>
      <c r="B222" s="491"/>
      <c r="C222" s="491"/>
      <c r="D222" s="491"/>
      <c r="E222" s="491"/>
      <c r="F222" s="491"/>
    </row>
    <row r="223" spans="1:25" ht="60" customHeight="1">
      <c r="A223" s="123"/>
      <c r="B223" s="123"/>
      <c r="C223" s="123"/>
      <c r="D223" s="123"/>
      <c r="E223" s="123"/>
      <c r="F223" s="123"/>
    </row>
    <row r="224" spans="1:25" ht="79.150000000000006" customHeight="1">
      <c r="A224" s="41" t="s">
        <v>299</v>
      </c>
      <c r="B224" s="113" t="s">
        <v>1</v>
      </c>
      <c r="C224" s="18" t="s">
        <v>300</v>
      </c>
      <c r="D224" s="3" t="s">
        <v>301</v>
      </c>
      <c r="E224" s="3" t="s">
        <v>302</v>
      </c>
      <c r="F224" s="18" t="s">
        <v>303</v>
      </c>
      <c r="G224" s="4"/>
    </row>
    <row r="225" spans="1:7" ht="20.100000000000001" customHeight="1">
      <c r="A225" s="523" t="s">
        <v>129</v>
      </c>
      <c r="B225" s="29" t="s">
        <v>130</v>
      </c>
      <c r="C225" s="25" t="s">
        <v>80</v>
      </c>
      <c r="D225" s="25" t="s">
        <v>304</v>
      </c>
      <c r="E225" s="151"/>
      <c r="F225" s="151"/>
      <c r="G225" s="4"/>
    </row>
    <row r="226" spans="1:7" ht="20.100000000000001" customHeight="1">
      <c r="A226" s="523"/>
      <c r="B226" s="29" t="s">
        <v>131</v>
      </c>
      <c r="C226" s="25" t="s">
        <v>80</v>
      </c>
      <c r="D226" s="25" t="s">
        <v>304</v>
      </c>
      <c r="E226" s="151"/>
      <c r="F226" s="151"/>
      <c r="G226" s="4"/>
    </row>
    <row r="227" spans="1:7" ht="20.100000000000001" customHeight="1">
      <c r="A227" s="523" t="s">
        <v>132</v>
      </c>
      <c r="B227" s="29" t="s">
        <v>218</v>
      </c>
      <c r="C227" s="25" t="s">
        <v>305</v>
      </c>
      <c r="D227" s="25" t="s">
        <v>304</v>
      </c>
      <c r="E227" s="151"/>
      <c r="F227" s="151"/>
      <c r="G227" s="4"/>
    </row>
    <row r="228" spans="1:7" ht="20.100000000000001" customHeight="1">
      <c r="A228" s="523"/>
      <c r="B228" s="29" t="s">
        <v>133</v>
      </c>
      <c r="C228" s="25" t="s">
        <v>305</v>
      </c>
      <c r="D228" s="25" t="s">
        <v>304</v>
      </c>
      <c r="E228" s="151"/>
      <c r="F228" s="151"/>
      <c r="G228" s="4"/>
    </row>
    <row r="229" spans="1:7" ht="20.100000000000001" customHeight="1">
      <c r="A229" s="523"/>
      <c r="B229" s="29" t="s">
        <v>134</v>
      </c>
      <c r="C229" s="25" t="s">
        <v>5</v>
      </c>
      <c r="D229" s="25" t="s">
        <v>306</v>
      </c>
      <c r="E229" s="152">
        <v>363.9</v>
      </c>
      <c r="F229" s="153">
        <v>0</v>
      </c>
      <c r="G229" s="4"/>
    </row>
    <row r="230" spans="1:7" ht="20.100000000000001" customHeight="1">
      <c r="A230" s="523"/>
      <c r="B230" s="29" t="s">
        <v>39</v>
      </c>
      <c r="C230" s="25" t="s">
        <v>5</v>
      </c>
      <c r="D230" s="25" t="s">
        <v>306</v>
      </c>
      <c r="E230" s="152">
        <v>31130.9</v>
      </c>
      <c r="F230" s="153">
        <v>1.8000000000000002E-2</v>
      </c>
      <c r="G230" s="4"/>
    </row>
    <row r="231" spans="1:7" ht="20.100000000000001" customHeight="1">
      <c r="A231" s="523"/>
      <c r="B231" s="29" t="s">
        <v>135</v>
      </c>
      <c r="C231" s="25" t="s">
        <v>5</v>
      </c>
      <c r="D231" s="25" t="s">
        <v>306</v>
      </c>
      <c r="E231" s="152">
        <v>30525.7</v>
      </c>
      <c r="F231" s="153">
        <v>1.8000000000000002E-2</v>
      </c>
      <c r="G231" s="4"/>
    </row>
    <row r="232" spans="1:7" ht="20.100000000000001" customHeight="1">
      <c r="A232" s="523"/>
      <c r="B232" s="29" t="s">
        <v>6</v>
      </c>
      <c r="C232" s="25" t="s">
        <v>5</v>
      </c>
      <c r="D232" s="25" t="s">
        <v>306</v>
      </c>
      <c r="E232" s="152">
        <v>39200.300000000003</v>
      </c>
      <c r="F232" s="153">
        <v>2.3E-2</v>
      </c>
      <c r="G232" s="4"/>
    </row>
    <row r="233" spans="1:7" ht="20.100000000000001" customHeight="1">
      <c r="A233" s="523"/>
      <c r="B233" s="29" t="s">
        <v>136</v>
      </c>
      <c r="C233" s="25" t="s">
        <v>5</v>
      </c>
      <c r="D233" s="25" t="s">
        <v>306</v>
      </c>
      <c r="E233" s="152">
        <v>6821.3</v>
      </c>
      <c r="F233" s="153">
        <v>4.0000000000000001E-3</v>
      </c>
      <c r="G233" s="4"/>
    </row>
    <row r="234" spans="1:7" ht="20.100000000000001" customHeight="1">
      <c r="A234" s="523"/>
      <c r="B234" s="29" t="s">
        <v>10</v>
      </c>
      <c r="C234" s="25" t="s">
        <v>9</v>
      </c>
      <c r="D234" s="25" t="s">
        <v>306</v>
      </c>
      <c r="E234" s="152">
        <v>300253.59999999998</v>
      </c>
      <c r="F234" s="153">
        <v>0.17300000000000001</v>
      </c>
      <c r="G234" s="4"/>
    </row>
    <row r="235" spans="1:7" ht="20.100000000000001" customHeight="1">
      <c r="A235" s="523" t="s">
        <v>137</v>
      </c>
      <c r="B235" s="29" t="s">
        <v>38</v>
      </c>
      <c r="C235" s="25" t="s">
        <v>37</v>
      </c>
      <c r="D235" s="25" t="s">
        <v>304</v>
      </c>
      <c r="E235" s="151"/>
      <c r="F235" s="151"/>
      <c r="G235" s="4"/>
    </row>
    <row r="236" spans="1:7" ht="20.100000000000001" customHeight="1">
      <c r="A236" s="523"/>
      <c r="B236" s="29" t="s">
        <v>138</v>
      </c>
      <c r="C236" s="25" t="s">
        <v>82</v>
      </c>
      <c r="D236" s="25" t="s">
        <v>304</v>
      </c>
      <c r="E236" s="151"/>
      <c r="F236" s="151"/>
      <c r="G236" s="4"/>
    </row>
    <row r="237" spans="1:7" ht="20.100000000000001" customHeight="1">
      <c r="A237" s="523"/>
      <c r="B237" s="29" t="s">
        <v>14</v>
      </c>
      <c r="C237" s="25" t="s">
        <v>13</v>
      </c>
      <c r="D237" s="25" t="s">
        <v>304</v>
      </c>
      <c r="E237" s="151"/>
      <c r="F237" s="151"/>
      <c r="G237" s="4"/>
    </row>
    <row r="238" spans="1:7" ht="20.100000000000001" customHeight="1">
      <c r="A238" s="523" t="s">
        <v>154</v>
      </c>
      <c r="B238" s="29" t="s">
        <v>219</v>
      </c>
      <c r="C238" s="25" t="s">
        <v>25</v>
      </c>
      <c r="D238" s="25" t="s">
        <v>306</v>
      </c>
      <c r="E238" s="152">
        <v>1171.4000000000001</v>
      </c>
      <c r="F238" s="153">
        <v>1E-3</v>
      </c>
      <c r="G238" s="4"/>
    </row>
    <row r="239" spans="1:7" ht="20.100000000000001" customHeight="1">
      <c r="A239" s="523"/>
      <c r="B239" s="29" t="s">
        <v>26</v>
      </c>
      <c r="C239" s="25" t="s">
        <v>25</v>
      </c>
      <c r="D239" s="25" t="s">
        <v>306</v>
      </c>
      <c r="E239" s="152">
        <v>216951</v>
      </c>
      <c r="F239" s="153">
        <v>0.125</v>
      </c>
      <c r="G239" s="4"/>
    </row>
    <row r="240" spans="1:7" ht="20.100000000000001" customHeight="1">
      <c r="A240" s="523"/>
      <c r="B240" s="29" t="s">
        <v>140</v>
      </c>
      <c r="C240" s="25" t="s">
        <v>25</v>
      </c>
      <c r="D240" s="25" t="s">
        <v>306</v>
      </c>
      <c r="E240" s="152">
        <v>132614.79999999999</v>
      </c>
      <c r="F240" s="153">
        <v>7.6999999999999999E-2</v>
      </c>
      <c r="G240" s="4"/>
    </row>
    <row r="241" spans="1:7" ht="20.100000000000001" customHeight="1">
      <c r="A241" s="523"/>
      <c r="B241" s="29" t="s">
        <v>29</v>
      </c>
      <c r="C241" s="25" t="s">
        <v>25</v>
      </c>
      <c r="D241" s="25" t="s">
        <v>306</v>
      </c>
      <c r="E241" s="152">
        <v>166416.5</v>
      </c>
      <c r="F241" s="153">
        <v>9.6000000000000002E-2</v>
      </c>
      <c r="G241" s="4"/>
    </row>
    <row r="242" spans="1:7" ht="20.100000000000001" customHeight="1">
      <c r="A242" s="92" t="s">
        <v>141</v>
      </c>
      <c r="B242" s="99" t="s">
        <v>307</v>
      </c>
      <c r="C242" s="154"/>
      <c r="D242" s="155">
        <v>10</v>
      </c>
      <c r="E242" s="156">
        <v>925449.3</v>
      </c>
      <c r="F242" s="157">
        <v>0.53500000000000003</v>
      </c>
      <c r="G242" s="4"/>
    </row>
    <row r="243" spans="1:7" ht="54.2" customHeight="1">
      <c r="A243" s="491" t="s">
        <v>308</v>
      </c>
      <c r="B243" s="491"/>
      <c r="C243" s="491"/>
      <c r="D243" s="491"/>
      <c r="E243" s="491"/>
      <c r="F243" s="491"/>
    </row>
    <row r="244" spans="1:7" ht="60" customHeight="1">
      <c r="A244" s="524"/>
      <c r="B244" s="459"/>
      <c r="C244" s="459"/>
    </row>
    <row r="245" spans="1:7" ht="35.85" customHeight="1">
      <c r="A245" s="464" t="s">
        <v>309</v>
      </c>
      <c r="B245" s="464"/>
      <c r="C245" s="3" t="s">
        <v>310</v>
      </c>
      <c r="D245" s="20"/>
    </row>
    <row r="246" spans="1:7" ht="20.100000000000001" customHeight="1">
      <c r="A246" s="526" t="s">
        <v>311</v>
      </c>
      <c r="B246" s="526"/>
      <c r="C246" s="158">
        <v>860510.5</v>
      </c>
      <c r="D246" s="4"/>
    </row>
    <row r="247" spans="1:7" ht="20.100000000000001" customHeight="1">
      <c r="A247" s="525" t="s">
        <v>312</v>
      </c>
      <c r="B247" s="525"/>
      <c r="C247" s="159">
        <v>404412.7</v>
      </c>
      <c r="D247" s="4"/>
    </row>
    <row r="248" spans="1:7" ht="20.100000000000001" customHeight="1">
      <c r="A248" s="525" t="s">
        <v>313</v>
      </c>
      <c r="B248" s="525"/>
      <c r="C248" s="159">
        <v>777735.4</v>
      </c>
      <c r="D248" s="4"/>
    </row>
    <row r="249" spans="1:7" ht="20.100000000000001" customHeight="1">
      <c r="A249" s="525" t="s">
        <v>314</v>
      </c>
      <c r="B249" s="444"/>
      <c r="C249" s="159">
        <v>2906.4</v>
      </c>
      <c r="D249" s="4"/>
    </row>
    <row r="250" spans="1:7" ht="20.100000000000001" customHeight="1">
      <c r="A250" s="525" t="s">
        <v>315</v>
      </c>
      <c r="B250" s="525"/>
      <c r="C250" s="159">
        <v>6749</v>
      </c>
      <c r="D250" s="4"/>
    </row>
    <row r="251" spans="1:7" ht="20.100000000000001" customHeight="1">
      <c r="A251" s="525" t="s">
        <v>316</v>
      </c>
      <c r="B251" s="525"/>
      <c r="C251" s="159">
        <v>8118</v>
      </c>
      <c r="D251" s="160"/>
    </row>
    <row r="252" spans="1:7" ht="20.100000000000001" customHeight="1">
      <c r="A252" s="525" t="s">
        <v>317</v>
      </c>
      <c r="B252" s="444"/>
      <c r="C252" s="159">
        <v>20400</v>
      </c>
      <c r="D252" s="4"/>
    </row>
    <row r="253" spans="1:7" ht="20.100000000000001" customHeight="1">
      <c r="A253" s="527" t="s">
        <v>1026</v>
      </c>
      <c r="B253" s="444"/>
      <c r="C253" s="13" t="s">
        <v>318</v>
      </c>
      <c r="D253" s="4"/>
    </row>
    <row r="254" spans="1:7" ht="20.100000000000001" customHeight="1">
      <c r="A254" s="525" t="s">
        <v>319</v>
      </c>
      <c r="B254" s="444"/>
      <c r="C254" s="159">
        <v>6392.5</v>
      </c>
      <c r="D254" s="4"/>
    </row>
    <row r="255" spans="1:7" ht="20.100000000000001" customHeight="1">
      <c r="A255" s="525" t="s">
        <v>320</v>
      </c>
      <c r="B255" s="444"/>
      <c r="C255" s="159">
        <v>44480.5</v>
      </c>
      <c r="D255" s="4"/>
    </row>
    <row r="256" spans="1:7" ht="20.100000000000001" customHeight="1">
      <c r="A256" s="527" t="s">
        <v>1027</v>
      </c>
      <c r="B256" s="444"/>
      <c r="C256" s="13" t="s">
        <v>318</v>
      </c>
      <c r="D256" s="4"/>
    </row>
    <row r="257" spans="1:6" ht="20.100000000000001" customHeight="1">
      <c r="A257" s="527" t="s">
        <v>1028</v>
      </c>
      <c r="B257" s="444"/>
      <c r="C257" s="159">
        <v>214.1</v>
      </c>
      <c r="D257" s="4"/>
    </row>
    <row r="258" spans="1:6" ht="20.100000000000001" customHeight="1">
      <c r="A258" s="527" t="s">
        <v>1029</v>
      </c>
      <c r="B258" s="444"/>
      <c r="C258" s="13" t="s">
        <v>318</v>
      </c>
      <c r="D258" s="4"/>
    </row>
    <row r="259" spans="1:6" ht="20.100000000000001" customHeight="1">
      <c r="A259" s="527" t="s">
        <v>1030</v>
      </c>
      <c r="B259" s="444"/>
      <c r="C259" s="13" t="s">
        <v>318</v>
      </c>
      <c r="D259" s="4"/>
    </row>
    <row r="260" spans="1:6" ht="20.100000000000001" customHeight="1">
      <c r="A260" s="527" t="s">
        <v>1031</v>
      </c>
      <c r="B260" s="444"/>
      <c r="C260" s="13" t="s">
        <v>318</v>
      </c>
      <c r="D260" s="4"/>
    </row>
    <row r="261" spans="1:6" ht="20.100000000000001" customHeight="1">
      <c r="A261" s="528" t="s">
        <v>321</v>
      </c>
      <c r="B261" s="444"/>
      <c r="C261" s="161">
        <v>2131919.1</v>
      </c>
      <c r="D261" s="4"/>
    </row>
    <row r="262" spans="1:6" ht="54.2" customHeight="1">
      <c r="A262" s="518" t="s">
        <v>1041</v>
      </c>
      <c r="B262" s="491"/>
      <c r="C262" s="491"/>
      <c r="D262" s="162"/>
      <c r="E262" s="162"/>
      <c r="F262" s="162"/>
    </row>
  </sheetData>
  <sheetProtection algorithmName="SHA-512" hashValue="LxsbqdtAkTSqF8NwHTUSMe7YiAdBaEnm3NHqVTWJIDKZWxizgYOpEHOoWBPhGiCIEQ1GRQX1tuGgHINOkIKlbQ==" saltValue="jxIxouLlDXel1RUSX3RZsw==" spinCount="100000" sheet="1" objects="1" scenarios="1"/>
  <customSheetViews>
    <customSheetView guid="{5E62BE79-A4FD-4E7A-98EF-5A09C5274723}" showGridLines="0" showRuler="0">
      <selection activeCell="G11" sqref="G11"/>
      <pageMargins left="0.75" right="0.75" top="1" bottom="1" header="0.5" footer="0.5"/>
    </customSheetView>
  </customSheetViews>
  <mergeCells count="86">
    <mergeCell ref="A259:B259"/>
    <mergeCell ref="A258:B258"/>
    <mergeCell ref="A260:B260"/>
    <mergeCell ref="A261:B261"/>
    <mergeCell ref="A262:C262"/>
    <mergeCell ref="A253:B253"/>
    <mergeCell ref="A252:B252"/>
    <mergeCell ref="A254:B254"/>
    <mergeCell ref="A255:B255"/>
    <mergeCell ref="A257:B257"/>
    <mergeCell ref="A256:B256"/>
    <mergeCell ref="A248:B248"/>
    <mergeCell ref="A249:B249"/>
    <mergeCell ref="A251:B251"/>
    <mergeCell ref="A250:B250"/>
    <mergeCell ref="A243:F243"/>
    <mergeCell ref="A238:A241"/>
    <mergeCell ref="A222:F222"/>
    <mergeCell ref="A244:C244"/>
    <mergeCell ref="A245:B245"/>
    <mergeCell ref="A247:B247"/>
    <mergeCell ref="A246:B246"/>
    <mergeCell ref="A205:A209"/>
    <mergeCell ref="A225:A226"/>
    <mergeCell ref="A211:K211"/>
    <mergeCell ref="A227:A234"/>
    <mergeCell ref="A235:A237"/>
    <mergeCell ref="A185:A187"/>
    <mergeCell ref="A178:F178"/>
    <mergeCell ref="A182:F182"/>
    <mergeCell ref="A188:A198"/>
    <mergeCell ref="A199:A204"/>
    <mergeCell ref="A132:A142"/>
    <mergeCell ref="A143:A148"/>
    <mergeCell ref="A149:A153"/>
    <mergeCell ref="A155:AB155"/>
    <mergeCell ref="A158:F158"/>
    <mergeCell ref="A156:F156"/>
    <mergeCell ref="A103:A113"/>
    <mergeCell ref="A114:A119"/>
    <mergeCell ref="A120:A124"/>
    <mergeCell ref="A129:A131"/>
    <mergeCell ref="A126:F126"/>
    <mergeCell ref="A75:A80"/>
    <mergeCell ref="A81:A85"/>
    <mergeCell ref="A88:F88"/>
    <mergeCell ref="A87:J87"/>
    <mergeCell ref="A100:A102"/>
    <mergeCell ref="A97:F97"/>
    <mergeCell ref="A56:B56"/>
    <mergeCell ref="A58:G58"/>
    <mergeCell ref="A61:A63"/>
    <mergeCell ref="A57:B57"/>
    <mergeCell ref="A64:A74"/>
    <mergeCell ref="A51:B51"/>
    <mergeCell ref="A52:B52"/>
    <mergeCell ref="A53:B53"/>
    <mergeCell ref="A54:B54"/>
    <mergeCell ref="A55:B55"/>
    <mergeCell ref="A46:B46"/>
    <mergeCell ref="A47:B47"/>
    <mergeCell ref="A48:B48"/>
    <mergeCell ref="A49:B49"/>
    <mergeCell ref="A50:G50"/>
    <mergeCell ref="A41:B41"/>
    <mergeCell ref="A42:B42"/>
    <mergeCell ref="A44:B44"/>
    <mergeCell ref="A43:G43"/>
    <mergeCell ref="A45:B45"/>
    <mergeCell ref="A36:B36"/>
    <mergeCell ref="A37:B37"/>
    <mergeCell ref="A38:B38"/>
    <mergeCell ref="A39:B39"/>
    <mergeCell ref="A40:B40"/>
    <mergeCell ref="A34:B34"/>
    <mergeCell ref="A35:B35"/>
    <mergeCell ref="A7:A17"/>
    <mergeCell ref="A18:A23"/>
    <mergeCell ref="A24:A28"/>
    <mergeCell ref="A31:E31"/>
    <mergeCell ref="A30:Y30"/>
    <mergeCell ref="A1:C1"/>
    <mergeCell ref="A2:E2"/>
    <mergeCell ref="A4:A6"/>
    <mergeCell ref="A33:G33"/>
    <mergeCell ref="A32:B32"/>
  </mergeCells>
  <pageMargins left="0.75" right="0.75" top="1" bottom="1" header="0.5" footer="0.5"/>
  <ignoredErrors>
    <ignoredError sqref="C32:G32 B89:E89 B157:F157 B180:F18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57"/>
  <sheetViews>
    <sheetView showGridLines="0" showRuler="0" workbookViewId="0">
      <selection activeCell="F16" sqref="F16"/>
    </sheetView>
  </sheetViews>
  <sheetFormatPr baseColWidth="10" defaultColWidth="13.7109375" defaultRowHeight="12.75"/>
  <cols>
    <col min="1" max="1" width="40.140625" customWidth="1"/>
    <col min="2" max="8" width="19.5703125" customWidth="1"/>
  </cols>
  <sheetData>
    <row r="1" spans="1:9" ht="15.75">
      <c r="A1" s="494" t="s">
        <v>995</v>
      </c>
      <c r="B1" s="494"/>
      <c r="C1" s="494"/>
      <c r="D1" s="112"/>
      <c r="E1" s="112"/>
    </row>
    <row r="2" spans="1:9" ht="60" customHeight="1"/>
    <row r="3" spans="1:9" ht="77.45" customHeight="1">
      <c r="A3" s="2" t="s">
        <v>322</v>
      </c>
      <c r="B3" s="3" t="s">
        <v>118</v>
      </c>
      <c r="C3" s="3" t="s">
        <v>323</v>
      </c>
      <c r="D3" s="3" t="s">
        <v>324</v>
      </c>
      <c r="E3" s="3" t="s">
        <v>325</v>
      </c>
      <c r="F3" s="3" t="s">
        <v>326</v>
      </c>
      <c r="G3" s="428" t="s">
        <v>1054</v>
      </c>
      <c r="H3" s="3" t="s">
        <v>327</v>
      </c>
      <c r="I3" s="4"/>
    </row>
    <row r="4" spans="1:9" ht="20.100000000000001" customHeight="1">
      <c r="A4" s="493" t="s">
        <v>129</v>
      </c>
      <c r="B4" s="80" t="s">
        <v>80</v>
      </c>
      <c r="C4" s="163">
        <v>3473.8</v>
      </c>
      <c r="D4" s="163">
        <v>0</v>
      </c>
      <c r="E4" s="163">
        <v>3473.8</v>
      </c>
      <c r="F4" s="163">
        <v>79.2</v>
      </c>
      <c r="G4" s="163">
        <v>30.8</v>
      </c>
      <c r="H4" s="163">
        <v>3522.3</v>
      </c>
      <c r="I4" s="4"/>
    </row>
    <row r="5" spans="1:9" ht="20.100000000000001" customHeight="1">
      <c r="A5" s="493"/>
      <c r="B5" s="164" t="s">
        <v>130</v>
      </c>
      <c r="C5" s="165">
        <v>2357.4</v>
      </c>
      <c r="D5" s="166">
        <v>0</v>
      </c>
      <c r="E5" s="166">
        <v>2357.4</v>
      </c>
      <c r="F5" s="166">
        <v>64.5</v>
      </c>
      <c r="G5" s="166">
        <v>27.2</v>
      </c>
      <c r="H5" s="166">
        <v>2394.6999999999998</v>
      </c>
      <c r="I5" s="4"/>
    </row>
    <row r="6" spans="1:9" ht="20.100000000000001" customHeight="1">
      <c r="A6" s="493"/>
      <c r="B6" s="164" t="s">
        <v>131</v>
      </c>
      <c r="C6" s="165">
        <v>1116.4000000000001</v>
      </c>
      <c r="D6" s="166">
        <v>0</v>
      </c>
      <c r="E6" s="166">
        <v>1116.4000000000001</v>
      </c>
      <c r="F6" s="166">
        <v>14.7</v>
      </c>
      <c r="G6" s="166">
        <v>3.5</v>
      </c>
      <c r="H6" s="166">
        <v>1127.5999999999999</v>
      </c>
      <c r="I6" s="4"/>
    </row>
    <row r="7" spans="1:9" ht="20.100000000000001" customHeight="1">
      <c r="A7" s="493" t="s">
        <v>132</v>
      </c>
      <c r="B7" s="80" t="s">
        <v>81</v>
      </c>
      <c r="C7" s="163">
        <v>1267.5</v>
      </c>
      <c r="D7" s="163">
        <v>0</v>
      </c>
      <c r="E7" s="163">
        <v>1267.5</v>
      </c>
      <c r="F7" s="163">
        <v>0</v>
      </c>
      <c r="G7" s="163">
        <v>2.6</v>
      </c>
      <c r="H7" s="163">
        <v>1264.9000000000001</v>
      </c>
      <c r="I7" s="4"/>
    </row>
    <row r="8" spans="1:9" ht="20.100000000000001" customHeight="1">
      <c r="A8" s="493"/>
      <c r="B8" s="164" t="s">
        <v>133</v>
      </c>
      <c r="C8" s="165">
        <v>1267.5</v>
      </c>
      <c r="D8" s="166">
        <v>0</v>
      </c>
      <c r="E8" s="166">
        <v>1267.5</v>
      </c>
      <c r="F8" s="166">
        <v>0</v>
      </c>
      <c r="G8" s="166">
        <v>2.6</v>
      </c>
      <c r="H8" s="166">
        <v>1264.9000000000001</v>
      </c>
      <c r="I8" s="4"/>
    </row>
    <row r="9" spans="1:9" ht="20.100000000000001" customHeight="1">
      <c r="A9" s="493"/>
      <c r="B9" s="80" t="s">
        <v>5</v>
      </c>
      <c r="C9" s="163">
        <v>3741</v>
      </c>
      <c r="D9" s="167" t="s">
        <v>65</v>
      </c>
      <c r="E9" s="163">
        <v>3741</v>
      </c>
      <c r="F9" s="163">
        <v>57</v>
      </c>
      <c r="G9" s="167" t="s">
        <v>65</v>
      </c>
      <c r="H9" s="163">
        <v>3798</v>
      </c>
      <c r="I9" s="4"/>
    </row>
    <row r="10" spans="1:9" ht="20.100000000000001" customHeight="1">
      <c r="A10" s="493"/>
      <c r="B10" s="164" t="s">
        <v>39</v>
      </c>
      <c r="C10" s="165">
        <v>436</v>
      </c>
      <c r="D10" s="168" t="s">
        <v>65</v>
      </c>
      <c r="E10" s="166">
        <v>436</v>
      </c>
      <c r="F10" s="166">
        <v>5</v>
      </c>
      <c r="G10" s="168" t="s">
        <v>65</v>
      </c>
      <c r="H10" s="166">
        <v>441</v>
      </c>
      <c r="I10" s="4"/>
    </row>
    <row r="11" spans="1:9" ht="20.100000000000001" customHeight="1">
      <c r="A11" s="493"/>
      <c r="B11" s="164" t="s">
        <v>135</v>
      </c>
      <c r="C11" s="165">
        <v>95</v>
      </c>
      <c r="D11" s="168" t="s">
        <v>65</v>
      </c>
      <c r="E11" s="166">
        <v>95</v>
      </c>
      <c r="F11" s="166">
        <v>52</v>
      </c>
      <c r="G11" s="168" t="s">
        <v>65</v>
      </c>
      <c r="H11" s="166">
        <v>147</v>
      </c>
      <c r="I11" s="4"/>
    </row>
    <row r="12" spans="1:9" ht="20.100000000000001" customHeight="1">
      <c r="A12" s="493"/>
      <c r="B12" s="164" t="s">
        <v>6</v>
      </c>
      <c r="C12" s="165">
        <v>2555</v>
      </c>
      <c r="D12" s="168" t="s">
        <v>65</v>
      </c>
      <c r="E12" s="166">
        <v>2555</v>
      </c>
      <c r="F12" s="166">
        <v>0</v>
      </c>
      <c r="G12" s="168" t="s">
        <v>65</v>
      </c>
      <c r="H12" s="166">
        <v>2555</v>
      </c>
      <c r="I12" s="4"/>
    </row>
    <row r="13" spans="1:9" ht="20.100000000000001" customHeight="1">
      <c r="A13" s="493"/>
      <c r="B13" s="164" t="s">
        <v>136</v>
      </c>
      <c r="C13" s="165">
        <v>655</v>
      </c>
      <c r="D13" s="168" t="s">
        <v>65</v>
      </c>
      <c r="E13" s="166">
        <v>655</v>
      </c>
      <c r="F13" s="166">
        <v>0</v>
      </c>
      <c r="G13" s="168" t="s">
        <v>65</v>
      </c>
      <c r="H13" s="166">
        <v>655</v>
      </c>
      <c r="I13" s="4"/>
    </row>
    <row r="14" spans="1:9" ht="20.100000000000001" customHeight="1">
      <c r="A14" s="493"/>
      <c r="B14" s="80" t="s">
        <v>9</v>
      </c>
      <c r="C14" s="163">
        <v>3928</v>
      </c>
      <c r="D14" s="167" t="s">
        <v>65</v>
      </c>
      <c r="E14" s="163">
        <v>3928</v>
      </c>
      <c r="F14" s="163">
        <v>181</v>
      </c>
      <c r="G14" s="167" t="s">
        <v>65</v>
      </c>
      <c r="H14" s="163">
        <v>4109</v>
      </c>
      <c r="I14" s="4"/>
    </row>
    <row r="15" spans="1:9" ht="20.100000000000001" customHeight="1">
      <c r="A15" s="493"/>
      <c r="B15" s="169" t="s">
        <v>10</v>
      </c>
      <c r="C15" s="165">
        <v>3928</v>
      </c>
      <c r="D15" s="168" t="s">
        <v>65</v>
      </c>
      <c r="E15" s="166">
        <v>3928</v>
      </c>
      <c r="F15" s="166">
        <v>181</v>
      </c>
      <c r="G15" s="168" t="s">
        <v>65</v>
      </c>
      <c r="H15" s="166">
        <v>4109</v>
      </c>
      <c r="I15" s="4"/>
    </row>
    <row r="16" spans="1:9" ht="20.100000000000001" customHeight="1">
      <c r="A16" s="493" t="s">
        <v>137</v>
      </c>
      <c r="B16" s="80" t="s">
        <v>37</v>
      </c>
      <c r="C16" s="163">
        <v>403</v>
      </c>
      <c r="D16" s="167" t="s">
        <v>65</v>
      </c>
      <c r="E16" s="163">
        <v>403</v>
      </c>
      <c r="F16" s="163">
        <v>25</v>
      </c>
      <c r="G16" s="167" t="s">
        <v>65</v>
      </c>
      <c r="H16" s="163">
        <v>428</v>
      </c>
      <c r="I16" s="4"/>
    </row>
    <row r="17" spans="1:9" ht="20.100000000000001" customHeight="1">
      <c r="A17" s="493"/>
      <c r="B17" s="169" t="s">
        <v>38</v>
      </c>
      <c r="C17" s="166">
        <v>403</v>
      </c>
      <c r="D17" s="168" t="s">
        <v>65</v>
      </c>
      <c r="E17" s="166">
        <v>403</v>
      </c>
      <c r="F17" s="166">
        <v>25</v>
      </c>
      <c r="G17" s="168" t="s">
        <v>65</v>
      </c>
      <c r="H17" s="166">
        <v>428</v>
      </c>
      <c r="I17" s="4"/>
    </row>
    <row r="18" spans="1:9" ht="20.100000000000001" customHeight="1">
      <c r="A18" s="493"/>
      <c r="B18" s="80" t="s">
        <v>82</v>
      </c>
      <c r="C18" s="163">
        <v>1374.5</v>
      </c>
      <c r="D18" s="163">
        <v>-479.2</v>
      </c>
      <c r="E18" s="163">
        <v>895.3</v>
      </c>
      <c r="F18" s="163">
        <v>389.7</v>
      </c>
      <c r="G18" s="163">
        <v>15.8</v>
      </c>
      <c r="H18" s="163">
        <v>1269.2</v>
      </c>
      <c r="I18" s="4"/>
    </row>
    <row r="19" spans="1:9" ht="20.100000000000001" customHeight="1">
      <c r="A19" s="493"/>
      <c r="B19" s="169" t="s">
        <v>138</v>
      </c>
      <c r="C19" s="165">
        <v>1374.5</v>
      </c>
      <c r="D19" s="166">
        <v>-479.2</v>
      </c>
      <c r="E19" s="166">
        <v>895.3</v>
      </c>
      <c r="F19" s="166">
        <v>389.7</v>
      </c>
      <c r="G19" s="166">
        <v>15.8</v>
      </c>
      <c r="H19" s="166">
        <v>1269.2</v>
      </c>
      <c r="I19" s="4"/>
    </row>
    <row r="20" spans="1:9" ht="20.100000000000001" customHeight="1">
      <c r="A20" s="493"/>
      <c r="B20" s="80" t="s">
        <v>13</v>
      </c>
      <c r="C20" s="163">
        <v>3988.9</v>
      </c>
      <c r="D20" s="163">
        <v>0</v>
      </c>
      <c r="E20" s="163">
        <v>3988.9</v>
      </c>
      <c r="F20" s="163">
        <v>83.7</v>
      </c>
      <c r="G20" s="163">
        <v>58.3</v>
      </c>
      <c r="H20" s="163">
        <v>4014.3</v>
      </c>
      <c r="I20" s="4"/>
    </row>
    <row r="21" spans="1:9" ht="20.100000000000001" customHeight="1">
      <c r="A21" s="493"/>
      <c r="B21" s="169" t="s">
        <v>14</v>
      </c>
      <c r="C21" s="165">
        <v>3988.9</v>
      </c>
      <c r="D21" s="166">
        <v>0</v>
      </c>
      <c r="E21" s="166">
        <v>3988.9</v>
      </c>
      <c r="F21" s="166">
        <v>83.7</v>
      </c>
      <c r="G21" s="166">
        <v>58.3</v>
      </c>
      <c r="H21" s="166">
        <v>4014.3</v>
      </c>
      <c r="I21" s="4"/>
    </row>
    <row r="22" spans="1:9" ht="20.100000000000001" customHeight="1">
      <c r="A22" s="493" t="s">
        <v>154</v>
      </c>
      <c r="B22" s="80" t="s">
        <v>25</v>
      </c>
      <c r="C22" s="163">
        <v>8690.7000000000007</v>
      </c>
      <c r="D22" s="163">
        <v>-15.3</v>
      </c>
      <c r="E22" s="163">
        <v>8675.4</v>
      </c>
      <c r="F22" s="163">
        <v>54.5</v>
      </c>
      <c r="G22" s="163">
        <v>41.2</v>
      </c>
      <c r="H22" s="163">
        <v>8688.7999999999993</v>
      </c>
      <c r="I22" s="4"/>
    </row>
    <row r="23" spans="1:9" ht="20.100000000000001" customHeight="1">
      <c r="A23" s="493"/>
      <c r="B23" s="164" t="s">
        <v>26</v>
      </c>
      <c r="C23" s="165">
        <v>4138.3</v>
      </c>
      <c r="D23" s="166">
        <v>-15.3</v>
      </c>
      <c r="E23" s="166">
        <v>4123</v>
      </c>
      <c r="F23" s="166">
        <v>0</v>
      </c>
      <c r="G23" s="166">
        <v>34.200000000000003</v>
      </c>
      <c r="H23" s="166">
        <v>4088.8</v>
      </c>
      <c r="I23" s="4"/>
    </row>
    <row r="24" spans="1:9" ht="20.100000000000001" customHeight="1">
      <c r="A24" s="493"/>
      <c r="B24" s="164" t="s">
        <v>140</v>
      </c>
      <c r="C24" s="165">
        <v>2963.1</v>
      </c>
      <c r="D24" s="166">
        <v>0</v>
      </c>
      <c r="E24" s="166">
        <v>2963.1</v>
      </c>
      <c r="F24" s="166">
        <v>37</v>
      </c>
      <c r="G24" s="166">
        <v>7</v>
      </c>
      <c r="H24" s="166">
        <v>2993.1</v>
      </c>
      <c r="I24" s="4"/>
    </row>
    <row r="25" spans="1:9" ht="20.100000000000001" customHeight="1">
      <c r="A25" s="493"/>
      <c r="B25" s="164" t="s">
        <v>29</v>
      </c>
      <c r="C25" s="165">
        <v>1589.3</v>
      </c>
      <c r="D25" s="166">
        <v>0</v>
      </c>
      <c r="E25" s="166">
        <v>1589.3</v>
      </c>
      <c r="F25" s="166">
        <v>17.5</v>
      </c>
      <c r="G25" s="166">
        <v>0</v>
      </c>
      <c r="H25" s="166">
        <v>1606.8</v>
      </c>
      <c r="I25" s="4"/>
    </row>
    <row r="26" spans="1:9" ht="20.100000000000001" customHeight="1">
      <c r="A26" s="65" t="s">
        <v>141</v>
      </c>
      <c r="B26" s="87" t="s">
        <v>85</v>
      </c>
      <c r="C26" s="163">
        <v>26867.4</v>
      </c>
      <c r="D26" s="163">
        <v>-494.5</v>
      </c>
      <c r="E26" s="163">
        <v>26372.9</v>
      </c>
      <c r="F26" s="163">
        <v>870.1</v>
      </c>
      <c r="G26" s="163">
        <v>148.6</v>
      </c>
      <c r="H26" s="163">
        <v>27094.400000000001</v>
      </c>
      <c r="I26" s="4"/>
    </row>
    <row r="27" spans="1:9" ht="42.6" customHeight="1">
      <c r="A27" s="480" t="s">
        <v>328</v>
      </c>
      <c r="B27" s="480"/>
      <c r="C27" s="480"/>
      <c r="D27" s="480"/>
      <c r="E27" s="480"/>
      <c r="F27" s="480"/>
      <c r="G27" s="480"/>
      <c r="H27" s="480"/>
    </row>
    <row r="28" spans="1:9" ht="60" customHeight="1">
      <c r="D28" s="377"/>
    </row>
    <row r="29" spans="1:9" ht="35.85" customHeight="1">
      <c r="A29" s="2" t="s">
        <v>329</v>
      </c>
      <c r="B29" s="91">
        <v>2015</v>
      </c>
      <c r="C29" s="91">
        <v>2016</v>
      </c>
      <c r="D29" s="91">
        <v>2017</v>
      </c>
      <c r="E29" s="91">
        <v>2018</v>
      </c>
      <c r="F29" s="79">
        <v>2019</v>
      </c>
      <c r="G29" s="4"/>
    </row>
    <row r="30" spans="1:9" ht="27.75" customHeight="1">
      <c r="A30" s="79" t="s">
        <v>330</v>
      </c>
      <c r="B30" s="172">
        <v>31.93</v>
      </c>
      <c r="C30" s="172">
        <v>31.64</v>
      </c>
      <c r="D30" s="172">
        <v>33.119999999999997</v>
      </c>
      <c r="E30" s="172">
        <v>34.18</v>
      </c>
      <c r="F30" s="171">
        <v>27.09</v>
      </c>
      <c r="G30" s="4"/>
    </row>
    <row r="31" spans="1:9" ht="16.5" customHeight="1">
      <c r="A31" s="480" t="s">
        <v>331</v>
      </c>
      <c r="B31" s="480"/>
      <c r="C31" s="480"/>
      <c r="D31" s="480"/>
      <c r="E31" s="480"/>
      <c r="F31" s="480"/>
    </row>
    <row r="32" spans="1:9" ht="60" customHeight="1">
      <c r="A32" s="394"/>
      <c r="B32" s="394"/>
      <c r="C32" s="394"/>
      <c r="D32" s="419"/>
      <c r="E32" s="419"/>
      <c r="F32" s="419"/>
    </row>
    <row r="33" spans="1:4" ht="26.65" customHeight="1">
      <c r="A33" s="2" t="s">
        <v>332</v>
      </c>
      <c r="B33" s="3" t="s">
        <v>333</v>
      </c>
      <c r="C33" s="3" t="s">
        <v>334</v>
      </c>
      <c r="D33" s="4"/>
    </row>
    <row r="34" spans="1:4" ht="20.100000000000001" customHeight="1">
      <c r="A34" s="529" t="s">
        <v>129</v>
      </c>
      <c r="B34" s="80" t="s">
        <v>80</v>
      </c>
      <c r="C34" s="173">
        <v>62257</v>
      </c>
      <c r="D34" s="4"/>
    </row>
    <row r="35" spans="1:4" ht="20.100000000000001" customHeight="1">
      <c r="A35" s="530"/>
      <c r="B35" s="164" t="s">
        <v>130</v>
      </c>
      <c r="C35" s="174">
        <v>55532</v>
      </c>
      <c r="D35" s="4"/>
    </row>
    <row r="36" spans="1:4" ht="20.100000000000001" customHeight="1">
      <c r="A36" s="531"/>
      <c r="B36" s="164" t="s">
        <v>131</v>
      </c>
      <c r="C36" s="174">
        <v>6725</v>
      </c>
      <c r="D36" s="4"/>
    </row>
    <row r="37" spans="1:4" ht="20.100000000000001" customHeight="1">
      <c r="A37" s="529" t="s">
        <v>132</v>
      </c>
      <c r="B37" s="80" t="s">
        <v>81</v>
      </c>
      <c r="C37" s="173">
        <v>2431</v>
      </c>
      <c r="D37" s="4"/>
    </row>
    <row r="38" spans="1:4" ht="20.100000000000001" customHeight="1">
      <c r="A38" s="530"/>
      <c r="B38" s="164" t="s">
        <v>133</v>
      </c>
      <c r="C38" s="174">
        <v>2431</v>
      </c>
      <c r="D38" s="4"/>
    </row>
    <row r="39" spans="1:4" ht="20.100000000000001" customHeight="1">
      <c r="A39" s="530"/>
      <c r="B39" s="80" t="s">
        <v>5</v>
      </c>
      <c r="C39" s="173">
        <v>77166</v>
      </c>
      <c r="D39" s="4"/>
    </row>
    <row r="40" spans="1:4" ht="20.100000000000001" customHeight="1">
      <c r="A40" s="530"/>
      <c r="B40" s="164" t="s">
        <v>39</v>
      </c>
      <c r="C40" s="174">
        <v>949</v>
      </c>
      <c r="D40" s="4"/>
    </row>
    <row r="41" spans="1:4" ht="20.100000000000001" customHeight="1">
      <c r="A41" s="530"/>
      <c r="B41" s="164" t="s">
        <v>135</v>
      </c>
      <c r="C41" s="174">
        <v>65189</v>
      </c>
      <c r="D41" s="4"/>
    </row>
    <row r="42" spans="1:4" ht="20.100000000000001" customHeight="1">
      <c r="A42" s="530"/>
      <c r="B42" s="164" t="s">
        <v>6</v>
      </c>
      <c r="C42" s="174">
        <v>7625</v>
      </c>
      <c r="D42" s="4"/>
    </row>
    <row r="43" spans="1:4" ht="20.100000000000001" customHeight="1">
      <c r="A43" s="530"/>
      <c r="B43" s="164" t="s">
        <v>136</v>
      </c>
      <c r="C43" s="174">
        <v>3403</v>
      </c>
      <c r="D43" s="4"/>
    </row>
    <row r="44" spans="1:4" ht="20.100000000000001" customHeight="1">
      <c r="A44" s="530"/>
      <c r="B44" s="80" t="s">
        <v>9</v>
      </c>
      <c r="C44" s="173">
        <v>88741</v>
      </c>
      <c r="D44" s="4"/>
    </row>
    <row r="45" spans="1:4" ht="20.100000000000001" customHeight="1">
      <c r="A45" s="531"/>
      <c r="B45" s="164" t="s">
        <v>10</v>
      </c>
      <c r="C45" s="174">
        <v>88741</v>
      </c>
      <c r="D45" s="4"/>
    </row>
    <row r="46" spans="1:4" ht="20.100000000000001" customHeight="1">
      <c r="A46" s="529" t="s">
        <v>137</v>
      </c>
      <c r="B46" s="80" t="s">
        <v>37</v>
      </c>
      <c r="C46" s="173">
        <v>26891</v>
      </c>
      <c r="D46" s="4"/>
    </row>
    <row r="47" spans="1:4" ht="20.100000000000001" customHeight="1">
      <c r="A47" s="530"/>
      <c r="B47" s="164" t="s">
        <v>38</v>
      </c>
      <c r="C47" s="174">
        <v>26891</v>
      </c>
      <c r="D47" s="4"/>
    </row>
    <row r="48" spans="1:4" ht="20.100000000000001" customHeight="1">
      <c r="A48" s="530"/>
      <c r="B48" s="80" t="s">
        <v>82</v>
      </c>
      <c r="C48" s="173">
        <v>25916</v>
      </c>
      <c r="D48" s="4"/>
    </row>
    <row r="49" spans="1:5" ht="20.100000000000001" customHeight="1">
      <c r="A49" s="530"/>
      <c r="B49" s="164" t="s">
        <v>138</v>
      </c>
      <c r="C49" s="174">
        <v>25916</v>
      </c>
      <c r="D49" s="4"/>
    </row>
    <row r="50" spans="1:5" ht="20.100000000000001" customHeight="1">
      <c r="A50" s="530"/>
      <c r="B50" s="80" t="s">
        <v>13</v>
      </c>
      <c r="C50" s="173">
        <v>121810</v>
      </c>
      <c r="D50" s="4"/>
    </row>
    <row r="51" spans="1:5" ht="20.100000000000001" customHeight="1">
      <c r="A51" s="531"/>
      <c r="B51" s="164" t="s">
        <v>14</v>
      </c>
      <c r="C51" s="174">
        <v>121810</v>
      </c>
      <c r="D51" s="4"/>
    </row>
    <row r="52" spans="1:5" ht="20.100000000000001" customHeight="1">
      <c r="A52" s="529" t="s">
        <v>154</v>
      </c>
      <c r="B52" s="80" t="s">
        <v>25</v>
      </c>
      <c r="C52" s="173">
        <v>47369</v>
      </c>
      <c r="D52" s="4"/>
    </row>
    <row r="53" spans="1:5" ht="20.100000000000001" customHeight="1">
      <c r="A53" s="530"/>
      <c r="B53" s="164" t="s">
        <v>26</v>
      </c>
      <c r="C53" s="174">
        <v>9642</v>
      </c>
      <c r="D53" s="4"/>
    </row>
    <row r="54" spans="1:5" ht="20.100000000000001" customHeight="1">
      <c r="A54" s="530"/>
      <c r="B54" s="164" t="s">
        <v>140</v>
      </c>
      <c r="C54" s="174">
        <v>33772</v>
      </c>
      <c r="D54" s="4"/>
    </row>
    <row r="55" spans="1:5" ht="20.100000000000001" customHeight="1">
      <c r="A55" s="531"/>
      <c r="B55" s="164" t="s">
        <v>29</v>
      </c>
      <c r="C55" s="174">
        <v>3955</v>
      </c>
      <c r="D55" s="4"/>
    </row>
    <row r="56" spans="1:5" ht="20.100000000000001" customHeight="1">
      <c r="A56" s="86" t="s">
        <v>141</v>
      </c>
      <c r="B56" s="87" t="s">
        <v>85</v>
      </c>
      <c r="C56" s="173">
        <v>452581</v>
      </c>
      <c r="D56" s="4"/>
    </row>
    <row r="57" spans="1:5" ht="35.85" customHeight="1">
      <c r="A57" s="491" t="s">
        <v>335</v>
      </c>
      <c r="B57" s="491"/>
      <c r="C57" s="491"/>
      <c r="D57" s="35"/>
      <c r="E57" s="35"/>
    </row>
  </sheetData>
  <sheetProtection algorithmName="SHA-512" hashValue="YX4NPGFMr6rb5acK/Mod0AZQgPsH+Ov4R0wbW8FHkVBKI9WevGVM+yjJdnbIuXumCEWMQyeIzikn/DXxHIeg6Q==" saltValue="zZ8PyzTQBIms/quE5BE0uA==" spinCount="100000" sheet="1" objects="1" scenarios="1"/>
  <customSheetViews>
    <customSheetView guid="{5E62BE79-A4FD-4E7A-98EF-5A09C5274723}" showGridLines="0" showRuler="0">
      <selection activeCell="G3" sqref="G3"/>
      <pageMargins left="0.75" right="0.75" top="1" bottom="1" header="0.5" footer="0.5"/>
    </customSheetView>
  </customSheetViews>
  <mergeCells count="12">
    <mergeCell ref="A57:C57"/>
    <mergeCell ref="A52:A55"/>
    <mergeCell ref="A27:H27"/>
    <mergeCell ref="A31:F31"/>
    <mergeCell ref="A34:A36"/>
    <mergeCell ref="A37:A45"/>
    <mergeCell ref="A46:A51"/>
    <mergeCell ref="A1:C1"/>
    <mergeCell ref="A4:A6"/>
    <mergeCell ref="A7:A15"/>
    <mergeCell ref="A16:A21"/>
    <mergeCell ref="A22:A2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J32"/>
  <sheetViews>
    <sheetView showGridLines="0" showRuler="0" workbookViewId="0">
      <selection activeCell="E10" sqref="E10"/>
    </sheetView>
  </sheetViews>
  <sheetFormatPr baseColWidth="10" defaultColWidth="13.7109375" defaultRowHeight="12.75"/>
  <cols>
    <col min="1" max="1" width="26" customWidth="1"/>
    <col min="2" max="2" width="20.85546875" customWidth="1"/>
    <col min="3" max="6" width="13.5703125" customWidth="1"/>
    <col min="7" max="7" width="14.140625" customWidth="1"/>
    <col min="8" max="9" width="13.5703125" customWidth="1"/>
  </cols>
  <sheetData>
    <row r="1" spans="1:10" ht="15.75">
      <c r="A1" s="494" t="s">
        <v>996</v>
      </c>
      <c r="B1" s="494"/>
      <c r="C1" s="494"/>
      <c r="D1" s="494"/>
      <c r="E1" s="494"/>
      <c r="F1" s="84"/>
      <c r="G1" s="84"/>
    </row>
    <row r="2" spans="1:10" ht="27.6" customHeight="1"/>
    <row r="3" spans="1:10" ht="27.6" customHeight="1"/>
    <row r="4" spans="1:10" ht="30" customHeight="1">
      <c r="A4" s="532" t="s">
        <v>336</v>
      </c>
      <c r="B4" s="532"/>
      <c r="C4" s="91">
        <v>2015</v>
      </c>
      <c r="D4" s="91">
        <v>2016</v>
      </c>
      <c r="E4" s="91">
        <v>2017</v>
      </c>
      <c r="F4" s="91">
        <v>2018</v>
      </c>
      <c r="G4" s="91">
        <v>2019</v>
      </c>
      <c r="H4" s="4"/>
    </row>
    <row r="5" spans="1:10" ht="20.100000000000001" customHeight="1">
      <c r="A5" s="533" t="s">
        <v>337</v>
      </c>
      <c r="B5" s="533"/>
      <c r="C5" s="176">
        <v>49.2</v>
      </c>
      <c r="D5" s="176">
        <v>57.8</v>
      </c>
      <c r="E5" s="176">
        <v>68.599999999999994</v>
      </c>
      <c r="F5" s="176">
        <v>59.1</v>
      </c>
      <c r="G5" s="177">
        <v>47.3</v>
      </c>
      <c r="H5" s="4"/>
    </row>
    <row r="6" spans="1:10" ht="25.9" customHeight="1">
      <c r="A6" s="481" t="s">
        <v>338</v>
      </c>
      <c r="B6" s="447"/>
      <c r="C6" s="447"/>
      <c r="D6" s="447"/>
      <c r="E6" s="447"/>
      <c r="F6" s="447"/>
      <c r="G6" s="447"/>
    </row>
    <row r="7" spans="1:10" ht="60" customHeight="1"/>
    <row r="8" spans="1:10" ht="70.900000000000006" customHeight="1">
      <c r="A8" s="175" t="s">
        <v>339</v>
      </c>
      <c r="B8" s="3" t="s">
        <v>118</v>
      </c>
      <c r="C8" s="79" t="s">
        <v>340</v>
      </c>
      <c r="D8" s="79" t="s">
        <v>341</v>
      </c>
      <c r="E8" s="79" t="s">
        <v>342</v>
      </c>
      <c r="F8" s="79" t="s">
        <v>343</v>
      </c>
      <c r="G8" s="79" t="s">
        <v>344</v>
      </c>
      <c r="H8" s="79" t="s">
        <v>345</v>
      </c>
      <c r="I8" s="79" t="s">
        <v>346</v>
      </c>
      <c r="J8" s="89"/>
    </row>
    <row r="9" spans="1:10" ht="20.100000000000001" customHeight="1">
      <c r="A9" s="493" t="s">
        <v>129</v>
      </c>
      <c r="B9" s="80" t="s">
        <v>80</v>
      </c>
      <c r="C9" s="178">
        <v>0</v>
      </c>
      <c r="D9" s="178">
        <v>0</v>
      </c>
      <c r="E9" s="178">
        <v>0</v>
      </c>
      <c r="F9" s="178">
        <v>0</v>
      </c>
      <c r="G9" s="178">
        <v>0</v>
      </c>
      <c r="H9" s="178">
        <v>0</v>
      </c>
      <c r="I9" s="87"/>
      <c r="J9" s="4"/>
    </row>
    <row r="10" spans="1:10" ht="20.100000000000001" customHeight="1">
      <c r="A10" s="493"/>
      <c r="B10" s="82" t="s">
        <v>130</v>
      </c>
      <c r="C10" s="179">
        <v>0</v>
      </c>
      <c r="D10" s="179">
        <v>0</v>
      </c>
      <c r="E10" s="179">
        <v>0</v>
      </c>
      <c r="F10" s="179">
        <v>0</v>
      </c>
      <c r="G10" s="179">
        <v>0</v>
      </c>
      <c r="H10" s="179">
        <v>0</v>
      </c>
      <c r="I10" s="180" t="s">
        <v>306</v>
      </c>
      <c r="J10" s="89"/>
    </row>
    <row r="11" spans="1:10" ht="20.100000000000001" customHeight="1">
      <c r="A11" s="493"/>
      <c r="B11" s="82" t="s">
        <v>131</v>
      </c>
      <c r="C11" s="179">
        <v>0</v>
      </c>
      <c r="D11" s="179">
        <v>0</v>
      </c>
      <c r="E11" s="179">
        <v>0</v>
      </c>
      <c r="F11" s="179">
        <v>0</v>
      </c>
      <c r="G11" s="179">
        <v>0</v>
      </c>
      <c r="H11" s="179">
        <v>0</v>
      </c>
      <c r="I11" s="180" t="s">
        <v>306</v>
      </c>
      <c r="J11" s="89"/>
    </row>
    <row r="12" spans="1:10" ht="20.100000000000001" customHeight="1">
      <c r="A12" s="493" t="s">
        <v>132</v>
      </c>
      <c r="B12" s="80" t="s">
        <v>81</v>
      </c>
      <c r="C12" s="178">
        <v>0</v>
      </c>
      <c r="D12" s="178">
        <v>0</v>
      </c>
      <c r="E12" s="178">
        <v>0</v>
      </c>
      <c r="F12" s="178">
        <v>1</v>
      </c>
      <c r="G12" s="178">
        <v>0</v>
      </c>
      <c r="H12" s="178">
        <v>0</v>
      </c>
      <c r="I12" s="87"/>
      <c r="J12" s="4"/>
    </row>
    <row r="13" spans="1:10" ht="20.100000000000001" customHeight="1">
      <c r="A13" s="493"/>
      <c r="B13" s="82" t="s">
        <v>133</v>
      </c>
      <c r="C13" s="179">
        <v>0</v>
      </c>
      <c r="D13" s="179">
        <v>0</v>
      </c>
      <c r="E13" s="179">
        <v>0</v>
      </c>
      <c r="F13" s="179">
        <v>1</v>
      </c>
      <c r="G13" s="179">
        <v>0</v>
      </c>
      <c r="H13" s="179">
        <v>0</v>
      </c>
      <c r="I13" s="180" t="s">
        <v>306</v>
      </c>
      <c r="J13" s="89"/>
    </row>
    <row r="14" spans="1:10" ht="20.100000000000001" customHeight="1">
      <c r="A14" s="493"/>
      <c r="B14" s="80" t="s">
        <v>5</v>
      </c>
      <c r="C14" s="178">
        <v>0</v>
      </c>
      <c r="D14" s="178">
        <v>0</v>
      </c>
      <c r="E14" s="178">
        <v>0</v>
      </c>
      <c r="F14" s="178">
        <v>2</v>
      </c>
      <c r="G14" s="178">
        <v>2</v>
      </c>
      <c r="H14" s="178">
        <v>0</v>
      </c>
      <c r="I14" s="87"/>
      <c r="J14" s="4"/>
    </row>
    <row r="15" spans="1:10" ht="20.100000000000001" customHeight="1">
      <c r="A15" s="493"/>
      <c r="B15" s="82" t="s">
        <v>39</v>
      </c>
      <c r="C15" s="179">
        <v>0</v>
      </c>
      <c r="D15" s="179">
        <v>0</v>
      </c>
      <c r="E15" s="179">
        <v>0</v>
      </c>
      <c r="F15" s="179">
        <v>0</v>
      </c>
      <c r="G15" s="179">
        <v>0</v>
      </c>
      <c r="H15" s="179">
        <v>0</v>
      </c>
      <c r="I15" s="180" t="s">
        <v>306</v>
      </c>
      <c r="J15" s="89"/>
    </row>
    <row r="16" spans="1:10" ht="20.100000000000001" customHeight="1">
      <c r="A16" s="493"/>
      <c r="B16" s="82" t="s">
        <v>135</v>
      </c>
      <c r="C16" s="179">
        <v>0</v>
      </c>
      <c r="D16" s="179">
        <v>0</v>
      </c>
      <c r="E16" s="179">
        <v>0</v>
      </c>
      <c r="F16" s="179">
        <v>0</v>
      </c>
      <c r="G16" s="179">
        <v>0</v>
      </c>
      <c r="H16" s="179">
        <v>0</v>
      </c>
      <c r="I16" s="180" t="s">
        <v>306</v>
      </c>
      <c r="J16" s="89"/>
    </row>
    <row r="17" spans="1:10" ht="20.100000000000001" customHeight="1">
      <c r="A17" s="493"/>
      <c r="B17" s="82" t="s">
        <v>6</v>
      </c>
      <c r="C17" s="179">
        <v>0</v>
      </c>
      <c r="D17" s="179">
        <v>0</v>
      </c>
      <c r="E17" s="179">
        <v>0</v>
      </c>
      <c r="F17" s="179">
        <v>1</v>
      </c>
      <c r="G17" s="179">
        <v>1</v>
      </c>
      <c r="H17" s="179">
        <v>0</v>
      </c>
      <c r="I17" s="180" t="s">
        <v>306</v>
      </c>
      <c r="J17" s="89"/>
    </row>
    <row r="18" spans="1:10" ht="20.100000000000001" customHeight="1">
      <c r="A18" s="493"/>
      <c r="B18" s="82" t="s">
        <v>136</v>
      </c>
      <c r="C18" s="179">
        <v>0</v>
      </c>
      <c r="D18" s="179">
        <v>0</v>
      </c>
      <c r="E18" s="179">
        <v>0</v>
      </c>
      <c r="F18" s="179">
        <v>1</v>
      </c>
      <c r="G18" s="179">
        <v>1</v>
      </c>
      <c r="H18" s="179">
        <v>0</v>
      </c>
      <c r="I18" s="180" t="s">
        <v>306</v>
      </c>
      <c r="J18" s="89"/>
    </row>
    <row r="19" spans="1:10" ht="20.100000000000001" customHeight="1">
      <c r="A19" s="493"/>
      <c r="B19" s="80" t="s">
        <v>9</v>
      </c>
      <c r="C19" s="178">
        <v>0</v>
      </c>
      <c r="D19" s="178">
        <v>0</v>
      </c>
      <c r="E19" s="178">
        <v>0</v>
      </c>
      <c r="F19" s="178">
        <v>0</v>
      </c>
      <c r="G19" s="178">
        <v>3</v>
      </c>
      <c r="H19" s="178">
        <v>0</v>
      </c>
      <c r="I19" s="181"/>
      <c r="J19" s="4"/>
    </row>
    <row r="20" spans="1:10" ht="20.100000000000001" customHeight="1">
      <c r="A20" s="493"/>
      <c r="B20" s="85" t="s">
        <v>10</v>
      </c>
      <c r="C20" s="179">
        <v>0</v>
      </c>
      <c r="D20" s="179">
        <v>0</v>
      </c>
      <c r="E20" s="179">
        <v>0</v>
      </c>
      <c r="F20" s="179">
        <v>0</v>
      </c>
      <c r="G20" s="179">
        <v>3</v>
      </c>
      <c r="H20" s="179">
        <v>0</v>
      </c>
      <c r="I20" s="180" t="s">
        <v>306</v>
      </c>
      <c r="J20" s="89"/>
    </row>
    <row r="21" spans="1:10" ht="20.100000000000001" customHeight="1">
      <c r="A21" s="493" t="s">
        <v>137</v>
      </c>
      <c r="B21" s="80" t="s">
        <v>37</v>
      </c>
      <c r="C21" s="178">
        <v>0</v>
      </c>
      <c r="D21" s="178">
        <v>0</v>
      </c>
      <c r="E21" s="178">
        <v>0</v>
      </c>
      <c r="F21" s="178">
        <v>0</v>
      </c>
      <c r="G21" s="178">
        <v>0</v>
      </c>
      <c r="H21" s="178">
        <v>0</v>
      </c>
      <c r="I21" s="181"/>
      <c r="J21" s="4"/>
    </row>
    <row r="22" spans="1:10" ht="20.100000000000001" customHeight="1">
      <c r="A22" s="493"/>
      <c r="B22" s="85" t="s">
        <v>38</v>
      </c>
      <c r="C22" s="179">
        <v>0</v>
      </c>
      <c r="D22" s="179">
        <v>0</v>
      </c>
      <c r="E22" s="179">
        <v>0</v>
      </c>
      <c r="F22" s="179">
        <v>0</v>
      </c>
      <c r="G22" s="179">
        <v>0</v>
      </c>
      <c r="H22" s="179">
        <v>0</v>
      </c>
      <c r="I22" s="180" t="s">
        <v>306</v>
      </c>
      <c r="J22" s="89"/>
    </row>
    <row r="23" spans="1:10" ht="20.100000000000001" customHeight="1">
      <c r="A23" s="493"/>
      <c r="B23" s="80" t="s">
        <v>82</v>
      </c>
      <c r="C23" s="178">
        <v>0</v>
      </c>
      <c r="D23" s="178">
        <v>0</v>
      </c>
      <c r="E23" s="178">
        <v>0</v>
      </c>
      <c r="F23" s="178">
        <v>0</v>
      </c>
      <c r="G23" s="178">
        <v>0</v>
      </c>
      <c r="H23" s="178">
        <v>0</v>
      </c>
      <c r="I23" s="181"/>
      <c r="J23" s="4"/>
    </row>
    <row r="24" spans="1:10" ht="20.100000000000001" customHeight="1">
      <c r="A24" s="493"/>
      <c r="B24" s="85" t="s">
        <v>138</v>
      </c>
      <c r="C24" s="179">
        <v>0</v>
      </c>
      <c r="D24" s="179">
        <v>0</v>
      </c>
      <c r="E24" s="179">
        <v>0</v>
      </c>
      <c r="F24" s="179">
        <v>0</v>
      </c>
      <c r="G24" s="179">
        <v>0</v>
      </c>
      <c r="H24" s="179">
        <v>0</v>
      </c>
      <c r="I24" s="182" t="s">
        <v>306</v>
      </c>
      <c r="J24" s="4"/>
    </row>
    <row r="25" spans="1:10" ht="20.100000000000001" customHeight="1">
      <c r="A25" s="493"/>
      <c r="B25" s="80" t="s">
        <v>13</v>
      </c>
      <c r="C25" s="178">
        <v>0</v>
      </c>
      <c r="D25" s="178">
        <v>0</v>
      </c>
      <c r="E25" s="178">
        <v>0</v>
      </c>
      <c r="F25" s="178">
        <v>0</v>
      </c>
      <c r="G25" s="178">
        <v>0</v>
      </c>
      <c r="H25" s="178">
        <v>0</v>
      </c>
      <c r="I25" s="181"/>
      <c r="J25" s="89"/>
    </row>
    <row r="26" spans="1:10" ht="20.100000000000001" customHeight="1">
      <c r="A26" s="493"/>
      <c r="B26" s="85" t="s">
        <v>14</v>
      </c>
      <c r="C26" s="179">
        <v>0</v>
      </c>
      <c r="D26" s="179">
        <v>0</v>
      </c>
      <c r="E26" s="179">
        <v>0</v>
      </c>
      <c r="F26" s="179">
        <v>0</v>
      </c>
      <c r="G26" s="179">
        <v>0</v>
      </c>
      <c r="H26" s="179">
        <v>0</v>
      </c>
      <c r="I26" s="180" t="s">
        <v>306</v>
      </c>
      <c r="J26" s="89"/>
    </row>
    <row r="27" spans="1:10" ht="20.100000000000001" customHeight="1">
      <c r="A27" s="493" t="s">
        <v>154</v>
      </c>
      <c r="B27" s="80" t="s">
        <v>25</v>
      </c>
      <c r="C27" s="178">
        <v>1</v>
      </c>
      <c r="D27" s="178">
        <v>0</v>
      </c>
      <c r="E27" s="178">
        <v>0</v>
      </c>
      <c r="F27" s="178">
        <v>2</v>
      </c>
      <c r="G27" s="178">
        <v>1</v>
      </c>
      <c r="H27" s="178">
        <v>0</v>
      </c>
      <c r="I27" s="87"/>
      <c r="J27" s="4"/>
    </row>
    <row r="28" spans="1:10" ht="20.100000000000001" customHeight="1">
      <c r="A28" s="493"/>
      <c r="B28" s="82" t="s">
        <v>26</v>
      </c>
      <c r="C28" s="179">
        <v>1</v>
      </c>
      <c r="D28" s="179">
        <v>0</v>
      </c>
      <c r="E28" s="179">
        <v>0</v>
      </c>
      <c r="F28" s="179">
        <v>2</v>
      </c>
      <c r="G28" s="179">
        <v>1</v>
      </c>
      <c r="H28" s="179">
        <v>0</v>
      </c>
      <c r="I28" s="180" t="s">
        <v>306</v>
      </c>
      <c r="J28" s="89"/>
    </row>
    <row r="29" spans="1:10" ht="20.100000000000001" customHeight="1">
      <c r="A29" s="493"/>
      <c r="B29" s="82" t="s">
        <v>29</v>
      </c>
      <c r="C29" s="179">
        <v>0</v>
      </c>
      <c r="D29" s="383"/>
      <c r="E29" s="179">
        <v>0</v>
      </c>
      <c r="F29" s="179">
        <v>0</v>
      </c>
      <c r="G29" s="179">
        <v>0</v>
      </c>
      <c r="H29" s="179">
        <v>0</v>
      </c>
      <c r="I29" s="180" t="s">
        <v>306</v>
      </c>
      <c r="J29" s="89"/>
    </row>
    <row r="30" spans="1:10" ht="20.100000000000001" customHeight="1">
      <c r="A30" s="65" t="s">
        <v>141</v>
      </c>
      <c r="B30" s="87" t="s">
        <v>85</v>
      </c>
      <c r="C30" s="178">
        <v>1</v>
      </c>
      <c r="D30" s="178">
        <v>0</v>
      </c>
      <c r="E30" s="178">
        <v>0</v>
      </c>
      <c r="F30" s="178">
        <v>5</v>
      </c>
      <c r="G30" s="178">
        <v>6</v>
      </c>
      <c r="H30" s="178">
        <v>0</v>
      </c>
      <c r="I30" s="178"/>
      <c r="J30" s="4"/>
    </row>
    <row r="31" spans="1:10" ht="49.15" customHeight="1">
      <c r="A31" s="480" t="s">
        <v>347</v>
      </c>
      <c r="B31" s="480"/>
      <c r="C31" s="480"/>
      <c r="D31" s="480"/>
      <c r="E31" s="480"/>
      <c r="F31" s="480"/>
      <c r="G31" s="480"/>
      <c r="H31" s="480"/>
      <c r="I31" s="480"/>
    </row>
    <row r="32" spans="1:10" ht="120.75" customHeight="1"/>
  </sheetData>
  <sheetProtection algorithmName="SHA-512" hashValue="N/LNsWgnawe7U8WggM8b8M+VQa0cRn0Flb+W3cvrEQNOSQg5e71V+DEdbnRkAvyb44gdGQzbkEbqwjwoniRFtg==" saltValue="P3c7P4M11wi8vLCFcgp+6g==" spinCount="100000" sheet="1" objects="1" scenarios="1"/>
  <customSheetViews>
    <customSheetView guid="{5E62BE79-A4FD-4E7A-98EF-5A09C5274723}" showGridLines="0" showRuler="0">
      <selection activeCell="I8" sqref="I8"/>
      <pageMargins left="0.75" right="0.75" top="1" bottom="1" header="0.5" footer="0.5"/>
    </customSheetView>
  </customSheetViews>
  <mergeCells count="9">
    <mergeCell ref="A1:E1"/>
    <mergeCell ref="A4:B4"/>
    <mergeCell ref="A5:B5"/>
    <mergeCell ref="A6:G6"/>
    <mergeCell ref="A31:I31"/>
    <mergeCell ref="A9:A11"/>
    <mergeCell ref="A12:A20"/>
    <mergeCell ref="A21:A26"/>
    <mergeCell ref="A27:A2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X50"/>
  <sheetViews>
    <sheetView showGridLines="0" showRuler="0" topLeftCell="M1" workbookViewId="0">
      <selection activeCell="Q20" sqref="Q20"/>
    </sheetView>
  </sheetViews>
  <sheetFormatPr baseColWidth="10" defaultColWidth="13.7109375" defaultRowHeight="12.75"/>
  <cols>
    <col min="1" max="1" width="0" hidden="1"/>
    <col min="2" max="2" width="28.85546875" hidden="1" customWidth="1"/>
    <col min="3" max="12" width="0" hidden="1"/>
    <col min="13" max="13" width="25.7109375" customWidth="1"/>
    <col min="14" max="14" width="28.85546875" customWidth="1"/>
  </cols>
  <sheetData>
    <row r="1" spans="1:24" ht="19.149999999999999" customHeight="1">
      <c r="M1" s="494" t="s">
        <v>997</v>
      </c>
      <c r="N1" s="494"/>
      <c r="O1" s="494"/>
      <c r="P1" s="494"/>
      <c r="Q1" s="494"/>
    </row>
    <row r="2" spans="1:24" ht="60" customHeight="1"/>
    <row r="3" spans="1:24" ht="46.7" customHeight="1">
      <c r="A3" s="13"/>
      <c r="B3" s="184" t="s">
        <v>348</v>
      </c>
      <c r="C3" s="185" t="s">
        <v>349</v>
      </c>
      <c r="D3" s="185" t="s">
        <v>350</v>
      </c>
      <c r="E3" s="185" t="s">
        <v>351</v>
      </c>
      <c r="F3" s="185" t="s">
        <v>352</v>
      </c>
      <c r="G3" s="185" t="s">
        <v>353</v>
      </c>
      <c r="H3" s="185" t="s">
        <v>354</v>
      </c>
      <c r="I3" s="185" t="s">
        <v>355</v>
      </c>
      <c r="J3" s="185" t="s">
        <v>356</v>
      </c>
      <c r="K3" s="185" t="s">
        <v>357</v>
      </c>
      <c r="L3" s="186"/>
      <c r="M3" s="2" t="s">
        <v>358</v>
      </c>
      <c r="N3" s="3" t="s">
        <v>118</v>
      </c>
      <c r="O3" s="387" t="s">
        <v>349</v>
      </c>
      <c r="P3" s="387" t="s">
        <v>359</v>
      </c>
      <c r="Q3" s="387" t="s">
        <v>351</v>
      </c>
      <c r="R3" s="387" t="s">
        <v>352</v>
      </c>
      <c r="S3" s="387" t="s">
        <v>353</v>
      </c>
      <c r="T3" s="387" t="s">
        <v>354</v>
      </c>
      <c r="U3" s="387" t="s">
        <v>355</v>
      </c>
      <c r="V3" s="387" t="s">
        <v>360</v>
      </c>
      <c r="W3" s="388" t="s">
        <v>361</v>
      </c>
      <c r="X3" s="4"/>
    </row>
    <row r="4" spans="1:24" ht="20.100000000000001" customHeight="1">
      <c r="A4" s="13"/>
      <c r="B4" s="187" t="s">
        <v>362</v>
      </c>
      <c r="C4" s="535" t="s">
        <v>149</v>
      </c>
      <c r="D4" s="521"/>
      <c r="E4" s="521"/>
      <c r="F4" s="522"/>
      <c r="G4" s="535" t="s">
        <v>363</v>
      </c>
      <c r="H4" s="521"/>
      <c r="I4" s="521"/>
      <c r="J4" s="521"/>
      <c r="K4" s="522"/>
      <c r="L4" s="186"/>
      <c r="M4" s="188" t="s">
        <v>364</v>
      </c>
      <c r="N4" s="385"/>
      <c r="O4" s="540" t="s">
        <v>146</v>
      </c>
      <c r="P4" s="540"/>
      <c r="Q4" s="540"/>
      <c r="R4" s="540"/>
      <c r="S4" s="540"/>
      <c r="T4" s="540" t="s">
        <v>365</v>
      </c>
      <c r="U4" s="540"/>
      <c r="V4" s="540"/>
      <c r="W4" s="540"/>
      <c r="X4" s="14"/>
    </row>
    <row r="5" spans="1:24" ht="20.100000000000001" customHeight="1">
      <c r="A5" s="534" t="s">
        <v>129</v>
      </c>
      <c r="B5" s="187" t="s">
        <v>80</v>
      </c>
      <c r="C5" s="13"/>
      <c r="D5" s="13"/>
      <c r="E5" s="13"/>
      <c r="F5" s="13"/>
      <c r="G5" s="190"/>
      <c r="H5" s="13"/>
      <c r="I5" s="13"/>
      <c r="J5" s="13"/>
      <c r="K5" s="13"/>
      <c r="L5" s="186"/>
      <c r="M5" s="493" t="s">
        <v>129</v>
      </c>
      <c r="N5" s="385" t="s">
        <v>80</v>
      </c>
      <c r="O5" s="390">
        <v>20.34</v>
      </c>
      <c r="P5" s="390">
        <v>3.98</v>
      </c>
      <c r="Q5" s="390">
        <v>14.8</v>
      </c>
      <c r="R5" s="390">
        <v>9.35</v>
      </c>
      <c r="S5" s="390">
        <v>1.1100000000000001</v>
      </c>
      <c r="T5" s="390">
        <v>1.94</v>
      </c>
      <c r="U5" s="390">
        <v>1.34</v>
      </c>
      <c r="V5" s="390">
        <v>0</v>
      </c>
      <c r="W5" s="390">
        <v>0</v>
      </c>
      <c r="X5" s="14"/>
    </row>
    <row r="6" spans="1:24" ht="20.100000000000001" customHeight="1">
      <c r="A6" s="534"/>
      <c r="B6" s="192" t="s">
        <v>130</v>
      </c>
      <c r="C6" s="193">
        <v>9972</v>
      </c>
      <c r="D6" s="193">
        <v>2022</v>
      </c>
      <c r="E6" s="193">
        <v>5743</v>
      </c>
      <c r="F6" s="193">
        <v>9350</v>
      </c>
      <c r="G6" s="193">
        <v>696.6</v>
      </c>
      <c r="H6" s="193">
        <v>1394.6</v>
      </c>
      <c r="I6" s="193">
        <v>681.5</v>
      </c>
      <c r="J6" s="193">
        <v>0</v>
      </c>
      <c r="K6" s="193">
        <v>0</v>
      </c>
      <c r="L6" s="186"/>
      <c r="M6" s="493"/>
      <c r="N6" s="386" t="s">
        <v>130</v>
      </c>
      <c r="O6" s="391">
        <v>9.9700000000000006</v>
      </c>
      <c r="P6" s="391">
        <v>2.02</v>
      </c>
      <c r="Q6" s="391">
        <v>5.74</v>
      </c>
      <c r="R6" s="391">
        <v>9.35</v>
      </c>
      <c r="S6" s="391">
        <v>0.7</v>
      </c>
      <c r="T6" s="391">
        <v>1.39</v>
      </c>
      <c r="U6" s="391">
        <v>0.68</v>
      </c>
      <c r="V6" s="391">
        <v>0</v>
      </c>
      <c r="W6" s="391">
        <v>0</v>
      </c>
      <c r="X6" s="14"/>
    </row>
    <row r="7" spans="1:24" ht="20.100000000000001" customHeight="1">
      <c r="A7" s="534"/>
      <c r="B7" s="192" t="s">
        <v>131</v>
      </c>
      <c r="C7" s="193">
        <v>10370</v>
      </c>
      <c r="D7" s="193">
        <v>1964</v>
      </c>
      <c r="E7" s="193">
        <v>9056</v>
      </c>
      <c r="F7" s="193">
        <v>0</v>
      </c>
      <c r="G7" s="193">
        <v>406.3</v>
      </c>
      <c r="H7" s="193">
        <v>548</v>
      </c>
      <c r="I7" s="193">
        <v>662.1</v>
      </c>
      <c r="J7" s="193">
        <v>0</v>
      </c>
      <c r="K7" s="193">
        <v>0</v>
      </c>
      <c r="L7" s="186"/>
      <c r="M7" s="493"/>
      <c r="N7" s="386" t="s">
        <v>131</v>
      </c>
      <c r="O7" s="391">
        <v>10.37</v>
      </c>
      <c r="P7" s="391">
        <v>1.96</v>
      </c>
      <c r="Q7" s="391">
        <v>9.06</v>
      </c>
      <c r="R7" s="391">
        <v>0</v>
      </c>
      <c r="S7" s="391">
        <v>0.41</v>
      </c>
      <c r="T7" s="391">
        <v>0.55000000000000004</v>
      </c>
      <c r="U7" s="391">
        <v>0.66</v>
      </c>
      <c r="V7" s="391">
        <v>0</v>
      </c>
      <c r="W7" s="391">
        <v>0</v>
      </c>
      <c r="X7" s="14"/>
    </row>
    <row r="8" spans="1:24" ht="20.100000000000001" customHeight="1">
      <c r="A8" s="536" t="s">
        <v>132</v>
      </c>
      <c r="B8" s="187" t="s">
        <v>366</v>
      </c>
      <c r="C8" s="190"/>
      <c r="D8" s="190"/>
      <c r="E8" s="190"/>
      <c r="F8" s="190"/>
      <c r="G8" s="190"/>
      <c r="H8" s="190"/>
      <c r="I8" s="190"/>
      <c r="J8" s="190"/>
      <c r="K8" s="190"/>
      <c r="L8" s="186"/>
      <c r="M8" s="493" t="s">
        <v>132</v>
      </c>
      <c r="N8" s="385" t="s">
        <v>81</v>
      </c>
      <c r="O8" s="390">
        <v>0.8</v>
      </c>
      <c r="P8" s="390">
        <v>4.41</v>
      </c>
      <c r="Q8" s="390">
        <v>90.4</v>
      </c>
      <c r="R8" s="390">
        <v>0</v>
      </c>
      <c r="S8" s="390">
        <v>0.63</v>
      </c>
      <c r="T8" s="390">
        <v>6.62</v>
      </c>
      <c r="U8" s="390">
        <v>1.61</v>
      </c>
      <c r="V8" s="390">
        <v>0</v>
      </c>
      <c r="W8" s="390">
        <v>0</v>
      </c>
      <c r="X8" s="14"/>
    </row>
    <row r="9" spans="1:24" ht="20.100000000000001" customHeight="1">
      <c r="A9" s="536"/>
      <c r="B9" s="192" t="s">
        <v>133</v>
      </c>
      <c r="C9" s="193">
        <v>799.4</v>
      </c>
      <c r="D9" s="193">
        <v>4408.8999999999996</v>
      </c>
      <c r="E9" s="193">
        <v>90397.5</v>
      </c>
      <c r="F9" s="193">
        <v>0</v>
      </c>
      <c r="G9" s="193">
        <v>630.79999999999995</v>
      </c>
      <c r="H9" s="193">
        <v>6616</v>
      </c>
      <c r="I9" s="193">
        <v>1611.5</v>
      </c>
      <c r="J9" s="193">
        <v>0</v>
      </c>
      <c r="K9" s="193">
        <v>0.2</v>
      </c>
      <c r="L9" s="186"/>
      <c r="M9" s="493"/>
      <c r="N9" s="192" t="s">
        <v>133</v>
      </c>
      <c r="O9" s="389">
        <v>0.8</v>
      </c>
      <c r="P9" s="389">
        <v>4.41</v>
      </c>
      <c r="Q9" s="389">
        <v>90.4</v>
      </c>
      <c r="R9" s="389">
        <v>0</v>
      </c>
      <c r="S9" s="389">
        <v>0.63</v>
      </c>
      <c r="T9" s="389">
        <v>6.62</v>
      </c>
      <c r="U9" s="389">
        <v>1.61</v>
      </c>
      <c r="V9" s="389">
        <v>0</v>
      </c>
      <c r="W9" s="389">
        <v>0</v>
      </c>
      <c r="X9" s="4"/>
    </row>
    <row r="10" spans="1:24" ht="20.100000000000001" customHeight="1">
      <c r="A10" s="536"/>
      <c r="B10" s="187" t="s">
        <v>5</v>
      </c>
      <c r="C10" s="190"/>
      <c r="D10" s="13"/>
      <c r="E10" s="13"/>
      <c r="F10" s="13"/>
      <c r="G10" s="190"/>
      <c r="H10" s="13"/>
      <c r="I10" s="190"/>
      <c r="J10" s="190"/>
      <c r="K10" s="190"/>
      <c r="L10" s="186"/>
      <c r="M10" s="493"/>
      <c r="N10" s="189" t="s">
        <v>5</v>
      </c>
      <c r="O10" s="191">
        <v>7.05</v>
      </c>
      <c r="P10" s="191">
        <v>2.63</v>
      </c>
      <c r="Q10" s="191">
        <v>12.1</v>
      </c>
      <c r="R10" s="191">
        <v>42.18</v>
      </c>
      <c r="S10" s="191">
        <v>2.63</v>
      </c>
      <c r="T10" s="191">
        <v>1.53</v>
      </c>
      <c r="U10" s="191">
        <v>33.270000000000003</v>
      </c>
      <c r="V10" s="191">
        <v>7.0000000000000007E-2</v>
      </c>
      <c r="W10" s="191">
        <v>0.23</v>
      </c>
      <c r="X10" s="4"/>
    </row>
    <row r="11" spans="1:24" ht="20.100000000000001" customHeight="1">
      <c r="A11" s="536"/>
      <c r="B11" s="192" t="s">
        <v>367</v>
      </c>
      <c r="C11" s="193">
        <v>3591.7</v>
      </c>
      <c r="D11" s="193">
        <v>1298</v>
      </c>
      <c r="E11" s="193">
        <v>3517.2</v>
      </c>
      <c r="F11" s="193">
        <v>24185.9</v>
      </c>
      <c r="G11" s="193">
        <v>914.9</v>
      </c>
      <c r="H11" s="193">
        <v>386.7</v>
      </c>
      <c r="I11" s="193">
        <v>0</v>
      </c>
      <c r="J11" s="193">
        <v>47.3</v>
      </c>
      <c r="K11" s="193">
        <v>232.1</v>
      </c>
      <c r="L11" s="186"/>
      <c r="M11" s="493"/>
      <c r="N11" s="192" t="s">
        <v>39</v>
      </c>
      <c r="O11" s="194">
        <v>3.59</v>
      </c>
      <c r="P11" s="194">
        <v>1.3</v>
      </c>
      <c r="Q11" s="194">
        <v>3.52</v>
      </c>
      <c r="R11" s="194">
        <v>24.19</v>
      </c>
      <c r="S11" s="194">
        <v>0.91</v>
      </c>
      <c r="T11" s="194">
        <v>0.39</v>
      </c>
      <c r="U11" s="194">
        <v>0</v>
      </c>
      <c r="V11" s="194">
        <v>0.05</v>
      </c>
      <c r="W11" s="194">
        <v>0.23</v>
      </c>
      <c r="X11" s="4"/>
    </row>
    <row r="12" spans="1:24" ht="20.100000000000001" customHeight="1">
      <c r="A12" s="536"/>
      <c r="B12" s="192" t="s">
        <v>135</v>
      </c>
      <c r="C12" s="193">
        <v>233.1</v>
      </c>
      <c r="D12" s="193">
        <v>74</v>
      </c>
      <c r="E12" s="193">
        <v>156.5</v>
      </c>
      <c r="F12" s="193">
        <v>87</v>
      </c>
      <c r="G12" s="193">
        <v>276.89999999999998</v>
      </c>
      <c r="H12" s="193">
        <v>244.2</v>
      </c>
      <c r="I12" s="193">
        <v>21.9</v>
      </c>
      <c r="J12" s="193">
        <v>0</v>
      </c>
      <c r="K12" s="193">
        <v>1</v>
      </c>
      <c r="L12" s="186"/>
      <c r="M12" s="493"/>
      <c r="N12" s="192" t="s">
        <v>135</v>
      </c>
      <c r="O12" s="194">
        <v>0.23</v>
      </c>
      <c r="P12" s="194">
        <v>7.0000000000000007E-2</v>
      </c>
      <c r="Q12" s="194">
        <v>0.16</v>
      </c>
      <c r="R12" s="194">
        <v>0.09</v>
      </c>
      <c r="S12" s="194">
        <v>0.28000000000000003</v>
      </c>
      <c r="T12" s="194">
        <v>0.24</v>
      </c>
      <c r="U12" s="194">
        <v>0.02</v>
      </c>
      <c r="V12" s="194">
        <v>0</v>
      </c>
      <c r="W12" s="194">
        <v>0</v>
      </c>
      <c r="X12" s="4"/>
    </row>
    <row r="13" spans="1:24" ht="20.100000000000001" customHeight="1">
      <c r="A13" s="536"/>
      <c r="B13" s="192" t="s">
        <v>6</v>
      </c>
      <c r="C13" s="193">
        <v>2295</v>
      </c>
      <c r="D13" s="193">
        <v>733</v>
      </c>
      <c r="E13" s="193">
        <v>3265</v>
      </c>
      <c r="F13" s="193">
        <v>8520</v>
      </c>
      <c r="G13" s="193">
        <v>1035.9000000000001</v>
      </c>
      <c r="H13" s="193">
        <v>614.70000000000005</v>
      </c>
      <c r="I13" s="193">
        <v>0</v>
      </c>
      <c r="J13" s="193">
        <v>0</v>
      </c>
      <c r="K13" s="193">
        <v>0.4</v>
      </c>
      <c r="L13" s="186"/>
      <c r="M13" s="493"/>
      <c r="N13" s="192" t="s">
        <v>6</v>
      </c>
      <c r="O13" s="194">
        <v>2.2999999999999998</v>
      </c>
      <c r="P13" s="194">
        <v>0.73</v>
      </c>
      <c r="Q13" s="194">
        <v>3.27</v>
      </c>
      <c r="R13" s="194">
        <v>8.52</v>
      </c>
      <c r="S13" s="194">
        <v>1.04</v>
      </c>
      <c r="T13" s="194">
        <v>0.61</v>
      </c>
      <c r="U13" s="194">
        <v>0</v>
      </c>
      <c r="V13" s="194">
        <v>0</v>
      </c>
      <c r="W13" s="194">
        <v>0</v>
      </c>
      <c r="X13" s="4"/>
    </row>
    <row r="14" spans="1:24" ht="20.100000000000001" customHeight="1">
      <c r="A14" s="536"/>
      <c r="B14" s="192" t="s">
        <v>136</v>
      </c>
      <c r="C14" s="193">
        <v>925.2</v>
      </c>
      <c r="D14" s="193">
        <v>525.70000000000005</v>
      </c>
      <c r="E14" s="193">
        <v>5760.1</v>
      </c>
      <c r="F14" s="193">
        <v>9375</v>
      </c>
      <c r="G14" s="193">
        <v>404.4</v>
      </c>
      <c r="H14" s="193">
        <v>290.39999999999998</v>
      </c>
      <c r="I14" s="193">
        <v>33246.1</v>
      </c>
      <c r="J14" s="193">
        <v>19.3</v>
      </c>
      <c r="K14" s="193">
        <v>0.2</v>
      </c>
      <c r="L14" s="186"/>
      <c r="M14" s="493"/>
      <c r="N14" s="192" t="s">
        <v>136</v>
      </c>
      <c r="O14" s="194">
        <v>0.93</v>
      </c>
      <c r="P14" s="194">
        <v>0.53</v>
      </c>
      <c r="Q14" s="194">
        <v>5.76</v>
      </c>
      <c r="R14" s="194">
        <v>9.3800000000000008</v>
      </c>
      <c r="S14" s="194">
        <v>0.4</v>
      </c>
      <c r="T14" s="194">
        <v>0.28999999999999998</v>
      </c>
      <c r="U14" s="194">
        <v>33.25</v>
      </c>
      <c r="V14" s="194">
        <v>0.02</v>
      </c>
      <c r="W14" s="194">
        <v>0</v>
      </c>
      <c r="X14" s="4"/>
    </row>
    <row r="15" spans="1:24" ht="20.100000000000001" customHeight="1">
      <c r="A15" s="536"/>
      <c r="B15" s="187" t="s">
        <v>9</v>
      </c>
      <c r="C15" s="190"/>
      <c r="D15" s="13"/>
      <c r="E15" s="13"/>
      <c r="F15" s="13"/>
      <c r="G15" s="190"/>
      <c r="H15" s="13"/>
      <c r="I15" s="190"/>
      <c r="J15" s="190"/>
      <c r="K15" s="190"/>
      <c r="L15" s="186"/>
      <c r="M15" s="493"/>
      <c r="N15" s="189" t="s">
        <v>9</v>
      </c>
      <c r="O15" s="191">
        <v>11.43</v>
      </c>
      <c r="P15" s="191">
        <v>10.32</v>
      </c>
      <c r="Q15" s="191">
        <v>14.22</v>
      </c>
      <c r="R15" s="191">
        <v>0</v>
      </c>
      <c r="S15" s="191">
        <v>1.9</v>
      </c>
      <c r="T15" s="191">
        <v>1.52</v>
      </c>
      <c r="U15" s="191">
        <v>0</v>
      </c>
      <c r="V15" s="191">
        <v>0</v>
      </c>
      <c r="W15" s="191">
        <v>0</v>
      </c>
      <c r="X15" s="4"/>
    </row>
    <row r="16" spans="1:24" ht="20.100000000000001" customHeight="1">
      <c r="A16" s="536"/>
      <c r="B16" s="429" t="s">
        <v>10</v>
      </c>
      <c r="C16" s="193">
        <v>11426.3</v>
      </c>
      <c r="D16" s="193">
        <v>10323.700000000001</v>
      </c>
      <c r="E16" s="193">
        <v>14222.9</v>
      </c>
      <c r="F16" s="193">
        <v>0</v>
      </c>
      <c r="G16" s="193">
        <v>1899.3</v>
      </c>
      <c r="H16" s="193">
        <v>1517.3</v>
      </c>
      <c r="I16" s="193">
        <v>0</v>
      </c>
      <c r="J16" s="193">
        <v>0</v>
      </c>
      <c r="K16" s="193">
        <v>0</v>
      </c>
      <c r="L16" s="186"/>
      <c r="M16" s="493"/>
      <c r="N16" s="192" t="s">
        <v>10</v>
      </c>
      <c r="O16" s="194">
        <v>11.43</v>
      </c>
      <c r="P16" s="194">
        <v>10.32</v>
      </c>
      <c r="Q16" s="194">
        <v>14.22</v>
      </c>
      <c r="R16" s="194">
        <v>0</v>
      </c>
      <c r="S16" s="194">
        <v>1.9</v>
      </c>
      <c r="T16" s="194">
        <v>1.52</v>
      </c>
      <c r="U16" s="194">
        <v>0</v>
      </c>
      <c r="V16" s="194">
        <v>0</v>
      </c>
      <c r="W16" s="194">
        <v>0</v>
      </c>
      <c r="X16" s="4"/>
    </row>
    <row r="17" spans="1:24" ht="20.100000000000001" customHeight="1">
      <c r="A17" s="537" t="s">
        <v>137</v>
      </c>
      <c r="B17" s="187" t="s">
        <v>37</v>
      </c>
      <c r="C17" s="190"/>
      <c r="D17" s="13"/>
      <c r="E17" s="13"/>
      <c r="F17" s="13"/>
      <c r="G17" s="190"/>
      <c r="H17" s="13"/>
      <c r="I17" s="190"/>
      <c r="J17" s="190"/>
      <c r="K17" s="190"/>
      <c r="L17" s="186"/>
      <c r="M17" s="493" t="s">
        <v>137</v>
      </c>
      <c r="N17" s="189" t="s">
        <v>37</v>
      </c>
      <c r="O17" s="191">
        <v>2.61</v>
      </c>
      <c r="P17" s="191">
        <v>1.1499999999999999</v>
      </c>
      <c r="Q17" s="191">
        <v>1.58</v>
      </c>
      <c r="R17" s="191">
        <v>8.2100000000000009</v>
      </c>
      <c r="S17" s="191">
        <v>0.3</v>
      </c>
      <c r="T17" s="191">
        <v>0.32</v>
      </c>
      <c r="U17" s="191">
        <v>0</v>
      </c>
      <c r="V17" s="191">
        <v>0</v>
      </c>
      <c r="W17" s="191">
        <v>0</v>
      </c>
      <c r="X17" s="4"/>
    </row>
    <row r="18" spans="1:24" ht="20.100000000000001" customHeight="1">
      <c r="A18" s="537"/>
      <c r="B18" s="195" t="s">
        <v>38</v>
      </c>
      <c r="C18" s="193">
        <v>2610.5</v>
      </c>
      <c r="D18" s="193">
        <v>1151.3</v>
      </c>
      <c r="E18" s="193">
        <v>1579.4</v>
      </c>
      <c r="F18" s="193">
        <v>8212.6</v>
      </c>
      <c r="G18" s="193">
        <v>304.2</v>
      </c>
      <c r="H18" s="193">
        <v>315.60000000000002</v>
      </c>
      <c r="I18" s="193">
        <v>0</v>
      </c>
      <c r="J18" s="193">
        <v>0</v>
      </c>
      <c r="K18" s="193">
        <v>0</v>
      </c>
      <c r="L18" s="186"/>
      <c r="M18" s="493"/>
      <c r="N18" s="192" t="s">
        <v>38</v>
      </c>
      <c r="O18" s="194">
        <v>2.61</v>
      </c>
      <c r="P18" s="194">
        <v>1.1499999999999999</v>
      </c>
      <c r="Q18" s="194">
        <v>1.58</v>
      </c>
      <c r="R18" s="194">
        <v>8.2100000000000009</v>
      </c>
      <c r="S18" s="194">
        <v>0.3</v>
      </c>
      <c r="T18" s="194">
        <v>0.32</v>
      </c>
      <c r="U18" s="194">
        <v>0</v>
      </c>
      <c r="V18" s="194">
        <v>0</v>
      </c>
      <c r="W18" s="194">
        <v>0</v>
      </c>
      <c r="X18" s="4"/>
    </row>
    <row r="19" spans="1:24" ht="20.100000000000001" customHeight="1">
      <c r="A19" s="537"/>
      <c r="B19" s="187" t="s">
        <v>82</v>
      </c>
      <c r="C19" s="190"/>
      <c r="D19" s="13"/>
      <c r="E19" s="13"/>
      <c r="F19" s="13"/>
      <c r="G19" s="190"/>
      <c r="H19" s="13"/>
      <c r="I19" s="13"/>
      <c r="J19" s="13"/>
      <c r="K19" s="13"/>
      <c r="L19" s="186"/>
      <c r="M19" s="493"/>
      <c r="N19" s="189" t="s">
        <v>82</v>
      </c>
      <c r="O19" s="191">
        <v>8.7799999999999994</v>
      </c>
      <c r="P19" s="191">
        <v>2.88</v>
      </c>
      <c r="Q19" s="191">
        <v>17.28</v>
      </c>
      <c r="R19" s="191">
        <v>0</v>
      </c>
      <c r="S19" s="191">
        <v>0.74</v>
      </c>
      <c r="T19" s="191">
        <v>0.93</v>
      </c>
      <c r="U19" s="191">
        <v>1.89</v>
      </c>
      <c r="V19" s="191">
        <v>0</v>
      </c>
      <c r="W19" s="191">
        <v>0</v>
      </c>
      <c r="X19" s="4"/>
    </row>
    <row r="20" spans="1:24" ht="20.100000000000001" customHeight="1">
      <c r="A20" s="537"/>
      <c r="B20" s="195" t="s">
        <v>138</v>
      </c>
      <c r="C20" s="193">
        <v>8782</v>
      </c>
      <c r="D20" s="193">
        <v>2878</v>
      </c>
      <c r="E20" s="193">
        <v>17275</v>
      </c>
      <c r="F20" s="193">
        <v>0</v>
      </c>
      <c r="G20" s="193">
        <v>735.6</v>
      </c>
      <c r="H20" s="194">
        <v>931.7</v>
      </c>
      <c r="I20" s="193">
        <v>1893</v>
      </c>
      <c r="J20" s="193">
        <v>0</v>
      </c>
      <c r="K20" s="193">
        <v>0.2</v>
      </c>
      <c r="L20" s="186"/>
      <c r="M20" s="493"/>
      <c r="N20" s="192" t="s">
        <v>138</v>
      </c>
      <c r="O20" s="194">
        <v>8.7799999999999994</v>
      </c>
      <c r="P20" s="194">
        <v>2.88</v>
      </c>
      <c r="Q20" s="194">
        <v>17.28</v>
      </c>
      <c r="R20" s="194">
        <v>0</v>
      </c>
      <c r="S20" s="194">
        <v>0.74</v>
      </c>
      <c r="T20" s="194">
        <v>0.93</v>
      </c>
      <c r="U20" s="194">
        <v>1.89</v>
      </c>
      <c r="V20" s="194">
        <v>0</v>
      </c>
      <c r="W20" s="194">
        <v>0</v>
      </c>
      <c r="X20" s="4"/>
    </row>
    <row r="21" spans="1:24" ht="20.100000000000001" customHeight="1">
      <c r="A21" s="537"/>
      <c r="B21" s="187" t="s">
        <v>13</v>
      </c>
      <c r="C21" s="190"/>
      <c r="D21" s="13"/>
      <c r="E21" s="190"/>
      <c r="F21" s="13"/>
      <c r="G21" s="190"/>
      <c r="H21" s="13"/>
      <c r="I21" s="13"/>
      <c r="J21" s="13"/>
      <c r="K21" s="13"/>
      <c r="L21" s="186"/>
      <c r="M21" s="493"/>
      <c r="N21" s="189" t="s">
        <v>13</v>
      </c>
      <c r="O21" s="191">
        <v>12.43</v>
      </c>
      <c r="P21" s="191">
        <v>11.87</v>
      </c>
      <c r="Q21" s="191">
        <v>111.11</v>
      </c>
      <c r="R21" s="191">
        <v>0.02</v>
      </c>
      <c r="S21" s="191">
        <v>1.2</v>
      </c>
      <c r="T21" s="191">
        <v>1.1599999999999999</v>
      </c>
      <c r="U21" s="191">
        <v>1.33</v>
      </c>
      <c r="V21" s="191">
        <v>3.26</v>
      </c>
      <c r="W21" s="191">
        <v>0</v>
      </c>
      <c r="X21" s="4"/>
    </row>
    <row r="22" spans="1:24" ht="20.100000000000001" customHeight="1">
      <c r="A22" s="537"/>
      <c r="B22" s="195" t="s">
        <v>14</v>
      </c>
      <c r="C22" s="193">
        <v>12429</v>
      </c>
      <c r="D22" s="193">
        <v>11872</v>
      </c>
      <c r="E22" s="193">
        <v>111108</v>
      </c>
      <c r="F22" s="193">
        <v>20.6</v>
      </c>
      <c r="G22" s="193">
        <v>1202.2</v>
      </c>
      <c r="H22" s="193">
        <v>1163</v>
      </c>
      <c r="I22" s="193">
        <v>1331</v>
      </c>
      <c r="J22" s="193">
        <v>3256</v>
      </c>
      <c r="K22" s="193">
        <v>1.4</v>
      </c>
      <c r="L22" s="186"/>
      <c r="M22" s="493"/>
      <c r="N22" s="192" t="s">
        <v>14</v>
      </c>
      <c r="O22" s="194">
        <v>12.43</v>
      </c>
      <c r="P22" s="194">
        <v>11.87</v>
      </c>
      <c r="Q22" s="194">
        <v>111.11</v>
      </c>
      <c r="R22" s="194">
        <v>0.02</v>
      </c>
      <c r="S22" s="194">
        <v>1.2</v>
      </c>
      <c r="T22" s="194">
        <v>1.1599999999999999</v>
      </c>
      <c r="U22" s="194">
        <v>1.33</v>
      </c>
      <c r="V22" s="194">
        <v>3.26</v>
      </c>
      <c r="W22" s="194">
        <v>0</v>
      </c>
      <c r="X22" s="4"/>
    </row>
    <row r="23" spans="1:24" ht="20.100000000000001" customHeight="1">
      <c r="A23" s="538" t="s">
        <v>154</v>
      </c>
      <c r="B23" s="187" t="s">
        <v>25</v>
      </c>
      <c r="C23" s="190"/>
      <c r="D23" s="13"/>
      <c r="E23" s="13"/>
      <c r="F23" s="13"/>
      <c r="G23" s="190"/>
      <c r="H23" s="13"/>
      <c r="I23" s="13"/>
      <c r="J23" s="13"/>
      <c r="K23" s="13"/>
      <c r="L23" s="186"/>
      <c r="M23" s="493" t="s">
        <v>139</v>
      </c>
      <c r="N23" s="189" t="s">
        <v>25</v>
      </c>
      <c r="O23" s="191">
        <v>20.74</v>
      </c>
      <c r="P23" s="191">
        <v>10.02</v>
      </c>
      <c r="Q23" s="191">
        <v>22.96</v>
      </c>
      <c r="R23" s="191">
        <v>3.36</v>
      </c>
      <c r="S23" s="191">
        <v>1.83</v>
      </c>
      <c r="T23" s="191">
        <v>2.36</v>
      </c>
      <c r="U23" s="191">
        <v>2.1</v>
      </c>
      <c r="V23" s="191">
        <v>21.13</v>
      </c>
      <c r="W23" s="191">
        <v>0</v>
      </c>
      <c r="X23" s="4"/>
    </row>
    <row r="24" spans="1:24" ht="20.100000000000001" customHeight="1">
      <c r="A24" s="538"/>
      <c r="B24" s="192" t="s">
        <v>26</v>
      </c>
      <c r="C24" s="193">
        <v>19408</v>
      </c>
      <c r="D24" s="193">
        <v>9013</v>
      </c>
      <c r="E24" s="193">
        <v>21300</v>
      </c>
      <c r="F24" s="193">
        <v>0</v>
      </c>
      <c r="G24" s="193">
        <v>1398.4</v>
      </c>
      <c r="H24" s="193">
        <v>1997.3</v>
      </c>
      <c r="I24" s="193">
        <v>1867.6</v>
      </c>
      <c r="J24" s="193">
        <v>19138.2</v>
      </c>
      <c r="K24" s="193">
        <v>0</v>
      </c>
      <c r="L24" s="186"/>
      <c r="M24" s="493"/>
      <c r="N24" s="192" t="s">
        <v>26</v>
      </c>
      <c r="O24" s="194">
        <v>19.41</v>
      </c>
      <c r="P24" s="194">
        <v>9.01</v>
      </c>
      <c r="Q24" s="194">
        <v>21.3</v>
      </c>
      <c r="R24" s="194">
        <v>0</v>
      </c>
      <c r="S24" s="194">
        <v>1.4</v>
      </c>
      <c r="T24" s="194">
        <v>2</v>
      </c>
      <c r="U24" s="194">
        <v>1.87</v>
      </c>
      <c r="V24" s="194">
        <v>19.14</v>
      </c>
      <c r="W24" s="194">
        <v>0</v>
      </c>
      <c r="X24" s="4"/>
    </row>
    <row r="25" spans="1:24" ht="20.100000000000001" customHeight="1">
      <c r="A25" s="538"/>
      <c r="B25" s="192" t="s">
        <v>29</v>
      </c>
      <c r="C25" s="193">
        <v>1328</v>
      </c>
      <c r="D25" s="193">
        <v>1013</v>
      </c>
      <c r="E25" s="193">
        <v>1660</v>
      </c>
      <c r="F25" s="193">
        <v>3360</v>
      </c>
      <c r="G25" s="193">
        <v>425.2</v>
      </c>
      <c r="H25" s="193">
        <v>357</v>
      </c>
      <c r="I25" s="193">
        <v>230.1</v>
      </c>
      <c r="J25" s="193">
        <v>1994.9</v>
      </c>
      <c r="K25" s="193">
        <v>0</v>
      </c>
      <c r="L25" s="186"/>
      <c r="M25" s="493"/>
      <c r="N25" s="192" t="s">
        <v>29</v>
      </c>
      <c r="O25" s="194">
        <v>1.33</v>
      </c>
      <c r="P25" s="194">
        <v>1.01</v>
      </c>
      <c r="Q25" s="194">
        <v>1.66</v>
      </c>
      <c r="R25" s="194">
        <v>3.36</v>
      </c>
      <c r="S25" s="194">
        <v>0.43</v>
      </c>
      <c r="T25" s="194">
        <v>0.36</v>
      </c>
      <c r="U25" s="194">
        <v>0.23</v>
      </c>
      <c r="V25" s="194">
        <v>1.99</v>
      </c>
      <c r="W25" s="194">
        <v>0</v>
      </c>
      <c r="X25" s="4"/>
    </row>
    <row r="26" spans="1:24" ht="20.100000000000001" customHeight="1">
      <c r="A26" s="196" t="s">
        <v>142</v>
      </c>
      <c r="B26" s="18" t="s">
        <v>85</v>
      </c>
      <c r="C26" s="193">
        <v>84170.2</v>
      </c>
      <c r="D26" s="193">
        <v>47276.6</v>
      </c>
      <c r="E26" s="193">
        <v>285040.5</v>
      </c>
      <c r="F26" s="193">
        <v>63111</v>
      </c>
      <c r="G26" s="193">
        <v>10330.6</v>
      </c>
      <c r="H26" s="193">
        <v>16376.5</v>
      </c>
      <c r="I26" s="193">
        <v>41544.800000000003</v>
      </c>
      <c r="J26" s="193">
        <v>24455.599999999999</v>
      </c>
      <c r="K26" s="193">
        <v>235.4</v>
      </c>
      <c r="L26" s="186"/>
      <c r="M26" s="65" t="s">
        <v>141</v>
      </c>
      <c r="N26" s="12" t="s">
        <v>85</v>
      </c>
      <c r="O26" s="197">
        <v>84.17</v>
      </c>
      <c r="P26" s="198">
        <v>47.26</v>
      </c>
      <c r="Q26" s="198">
        <v>285.06</v>
      </c>
      <c r="R26" s="198">
        <v>63.12</v>
      </c>
      <c r="S26" s="198">
        <v>10.34</v>
      </c>
      <c r="T26" s="198">
        <v>16.38</v>
      </c>
      <c r="U26" s="197">
        <v>41.54</v>
      </c>
      <c r="V26" s="197">
        <v>24.46</v>
      </c>
      <c r="W26" s="197">
        <v>0.24</v>
      </c>
      <c r="X26" s="4"/>
    </row>
    <row r="27" spans="1:24" ht="46.7" customHeight="1">
      <c r="A27" s="24"/>
      <c r="B27" s="24"/>
      <c r="C27" s="24"/>
      <c r="D27" s="24"/>
      <c r="E27" s="24"/>
      <c r="F27" s="24"/>
      <c r="G27" s="24"/>
      <c r="H27" s="24"/>
      <c r="I27" s="24"/>
      <c r="J27" s="24"/>
      <c r="K27" s="24"/>
      <c r="M27" s="480" t="s">
        <v>368</v>
      </c>
      <c r="N27" s="480"/>
      <c r="O27" s="480"/>
      <c r="P27" s="539"/>
      <c r="Q27" s="539"/>
      <c r="R27" s="539"/>
      <c r="S27" s="539"/>
      <c r="T27" s="539"/>
      <c r="U27" s="480"/>
      <c r="V27" s="480"/>
      <c r="W27" s="480"/>
    </row>
    <row r="28" spans="1:24" ht="60" customHeight="1"/>
    <row r="29" spans="1:24" ht="36.6" customHeight="1">
      <c r="M29" s="2" t="s">
        <v>369</v>
      </c>
      <c r="N29" s="3" t="s">
        <v>145</v>
      </c>
      <c r="O29" s="53">
        <v>2015</v>
      </c>
      <c r="P29" s="53">
        <v>2016</v>
      </c>
      <c r="Q29" s="53">
        <v>2017</v>
      </c>
      <c r="R29" s="53">
        <v>2018</v>
      </c>
      <c r="S29" s="53">
        <v>2019</v>
      </c>
      <c r="T29" s="4"/>
      <c r="U29" s="14"/>
    </row>
    <row r="30" spans="1:24" ht="20.100000000000001" customHeight="1">
      <c r="A30" s="14"/>
      <c r="B30" s="14"/>
      <c r="C30" s="14"/>
      <c r="D30" s="14"/>
      <c r="E30" s="14"/>
      <c r="F30" s="14"/>
      <c r="G30" s="14"/>
      <c r="H30" s="14"/>
      <c r="I30" s="14"/>
      <c r="M30" s="13" t="s">
        <v>349</v>
      </c>
      <c r="N30" s="5" t="s">
        <v>146</v>
      </c>
      <c r="O30" s="199">
        <v>102.7</v>
      </c>
      <c r="P30" s="199">
        <v>83.2</v>
      </c>
      <c r="Q30" s="199">
        <v>97.9</v>
      </c>
      <c r="R30" s="199">
        <v>103.1</v>
      </c>
      <c r="S30" s="200">
        <v>84.17</v>
      </c>
      <c r="T30" s="4"/>
      <c r="U30" s="14"/>
    </row>
    <row r="31" spans="1:24" ht="20.100000000000001" customHeight="1">
      <c r="A31" s="14"/>
      <c r="B31" s="14"/>
      <c r="C31" s="14"/>
      <c r="D31" s="14"/>
      <c r="E31" s="14"/>
      <c r="F31" s="14"/>
      <c r="G31" s="14"/>
      <c r="H31" s="14"/>
      <c r="I31" s="14"/>
      <c r="M31" s="13" t="s">
        <v>370</v>
      </c>
      <c r="N31" s="5" t="s">
        <v>146</v>
      </c>
      <c r="O31" s="199">
        <v>49.2</v>
      </c>
      <c r="P31" s="199">
        <v>57.8</v>
      </c>
      <c r="Q31" s="199">
        <v>68.599999999999994</v>
      </c>
      <c r="R31" s="199">
        <v>59.1</v>
      </c>
      <c r="S31" s="200">
        <v>47.26</v>
      </c>
      <c r="T31" s="4"/>
      <c r="U31" s="14"/>
    </row>
    <row r="32" spans="1:24" ht="20.100000000000001" customHeight="1">
      <c r="A32" s="14"/>
      <c r="B32" s="14"/>
      <c r="C32" s="14"/>
      <c r="D32" s="14"/>
      <c r="E32" s="14"/>
      <c r="F32" s="14"/>
      <c r="G32" s="14"/>
      <c r="H32" s="14"/>
      <c r="I32" s="14"/>
      <c r="M32" s="13" t="s">
        <v>351</v>
      </c>
      <c r="N32" s="5" t="s">
        <v>146</v>
      </c>
      <c r="O32" s="199">
        <v>515.79999999999995</v>
      </c>
      <c r="P32" s="199">
        <v>513.1</v>
      </c>
      <c r="Q32" s="199">
        <v>513.5</v>
      </c>
      <c r="R32" s="199">
        <v>473.8</v>
      </c>
      <c r="S32" s="200">
        <v>285.06</v>
      </c>
      <c r="T32" s="4"/>
      <c r="U32" s="14"/>
    </row>
    <row r="33" spans="1:21" ht="20.100000000000001" customHeight="1">
      <c r="A33" s="14"/>
      <c r="B33" s="14"/>
      <c r="C33" s="14"/>
      <c r="D33" s="14"/>
      <c r="E33" s="14"/>
      <c r="F33" s="14"/>
      <c r="G33" s="14"/>
      <c r="H33" s="14"/>
      <c r="I33" s="14"/>
      <c r="M33" s="13" t="s">
        <v>352</v>
      </c>
      <c r="N33" s="5" t="s">
        <v>146</v>
      </c>
      <c r="O33" s="199">
        <v>72.8</v>
      </c>
      <c r="P33" s="199">
        <v>65.099999999999994</v>
      </c>
      <c r="Q33" s="199">
        <v>71.2</v>
      </c>
      <c r="R33" s="199">
        <v>78.099999999999994</v>
      </c>
      <c r="S33" s="200">
        <v>63.12</v>
      </c>
      <c r="T33" s="4"/>
      <c r="U33" s="14"/>
    </row>
    <row r="34" spans="1:21" ht="20.100000000000001" customHeight="1">
      <c r="A34" s="14"/>
      <c r="B34" s="14"/>
      <c r="C34" s="14"/>
      <c r="D34" s="14"/>
      <c r="E34" s="14"/>
      <c r="F34" s="14"/>
      <c r="G34" s="14"/>
      <c r="H34" s="14"/>
      <c r="I34" s="14"/>
      <c r="M34" s="13" t="s">
        <v>353</v>
      </c>
      <c r="N34" s="5" t="s">
        <v>146</v>
      </c>
      <c r="O34" s="199">
        <v>12.2</v>
      </c>
      <c r="P34" s="199">
        <v>9.1999999999999993</v>
      </c>
      <c r="Q34" s="199">
        <v>10</v>
      </c>
      <c r="R34" s="199">
        <v>8.1</v>
      </c>
      <c r="S34" s="200">
        <v>10.34</v>
      </c>
      <c r="T34" s="4"/>
      <c r="U34" s="14"/>
    </row>
    <row r="35" spans="1:21" ht="20.100000000000001" customHeight="1">
      <c r="B35" s="14"/>
      <c r="C35" s="14"/>
      <c r="D35" s="14"/>
      <c r="E35" s="14"/>
      <c r="F35" s="14"/>
      <c r="G35" s="14"/>
      <c r="H35" s="14"/>
      <c r="I35" s="14"/>
      <c r="M35" s="13" t="s">
        <v>354</v>
      </c>
      <c r="N35" s="5" t="s">
        <v>371</v>
      </c>
      <c r="O35" s="199">
        <v>11.1</v>
      </c>
      <c r="P35" s="199">
        <v>12.5</v>
      </c>
      <c r="Q35" s="199">
        <v>12.1</v>
      </c>
      <c r="R35" s="199">
        <v>12.3</v>
      </c>
      <c r="S35" s="200">
        <v>16.38</v>
      </c>
      <c r="T35" s="4"/>
      <c r="U35" s="14"/>
    </row>
    <row r="36" spans="1:21" ht="20.100000000000001" customHeight="1">
      <c r="A36" s="14"/>
      <c r="B36" s="14"/>
      <c r="C36" s="14"/>
      <c r="D36" s="14"/>
      <c r="E36" s="14"/>
      <c r="F36" s="14"/>
      <c r="G36" s="14"/>
      <c r="H36" s="14"/>
      <c r="I36" s="14"/>
      <c r="M36" s="13" t="s">
        <v>355</v>
      </c>
      <c r="N36" s="5" t="s">
        <v>371</v>
      </c>
      <c r="O36" s="199">
        <v>6.3</v>
      </c>
      <c r="P36" s="199">
        <v>7</v>
      </c>
      <c r="Q36" s="199">
        <v>12.1</v>
      </c>
      <c r="R36" s="199">
        <v>10.7</v>
      </c>
      <c r="S36" s="200">
        <v>41.54</v>
      </c>
      <c r="T36" s="4"/>
      <c r="U36" s="14"/>
    </row>
    <row r="37" spans="1:21" ht="20.100000000000001" customHeight="1">
      <c r="A37" s="14"/>
      <c r="B37" s="14"/>
      <c r="C37" s="14"/>
      <c r="D37" s="14"/>
      <c r="E37" s="14"/>
      <c r="F37" s="14"/>
      <c r="G37" s="14"/>
      <c r="H37" s="14"/>
      <c r="I37" s="14"/>
      <c r="M37" s="13" t="s">
        <v>372</v>
      </c>
      <c r="N37" s="5" t="s">
        <v>371</v>
      </c>
      <c r="O37" s="199">
        <v>65.400000000000006</v>
      </c>
      <c r="P37" s="199">
        <v>78</v>
      </c>
      <c r="Q37" s="199">
        <v>78.7</v>
      </c>
      <c r="R37" s="199">
        <v>81.400000000000006</v>
      </c>
      <c r="S37" s="200">
        <v>24.46</v>
      </c>
      <c r="T37" s="4"/>
      <c r="U37" s="14"/>
    </row>
    <row r="38" spans="1:21" ht="20.100000000000001" customHeight="1">
      <c r="A38" s="14"/>
      <c r="B38" s="14"/>
      <c r="C38" s="14"/>
      <c r="D38" s="14"/>
      <c r="E38" s="14"/>
      <c r="F38" s="14"/>
      <c r="G38" s="14"/>
      <c r="H38" s="14"/>
      <c r="I38" s="14"/>
      <c r="M38" s="13" t="s">
        <v>373</v>
      </c>
      <c r="N38" s="5" t="s">
        <v>371</v>
      </c>
      <c r="O38" s="201" t="s">
        <v>65</v>
      </c>
      <c r="P38" s="201" t="s">
        <v>65</v>
      </c>
      <c r="Q38" s="201" t="s">
        <v>65</v>
      </c>
      <c r="R38" s="201" t="s">
        <v>65</v>
      </c>
      <c r="S38" s="200">
        <v>0.24</v>
      </c>
      <c r="T38" s="4"/>
      <c r="U38" s="14"/>
    </row>
    <row r="39" spans="1:21" ht="87" customHeight="1">
      <c r="A39" s="14"/>
      <c r="B39" s="14"/>
      <c r="C39" s="14"/>
      <c r="D39" s="14"/>
      <c r="E39" s="14"/>
      <c r="F39" s="14"/>
      <c r="G39" s="14"/>
      <c r="H39" s="14"/>
      <c r="I39" s="14"/>
      <c r="M39" s="480" t="s">
        <v>374</v>
      </c>
      <c r="N39" s="480"/>
      <c r="O39" s="480"/>
      <c r="P39" s="480"/>
      <c r="Q39" s="480"/>
      <c r="R39" s="480"/>
      <c r="S39" s="480"/>
    </row>
    <row r="40" spans="1:21">
      <c r="A40" s="14"/>
      <c r="B40" s="14"/>
      <c r="C40" s="14"/>
      <c r="D40" s="14"/>
      <c r="E40" s="14"/>
      <c r="F40" s="14"/>
      <c r="G40" s="14"/>
      <c r="H40" s="14"/>
      <c r="I40" s="14"/>
    </row>
    <row r="41" spans="1:21">
      <c r="A41" s="14"/>
      <c r="B41" s="14"/>
      <c r="C41" s="14"/>
      <c r="D41" s="14"/>
      <c r="E41" s="14"/>
      <c r="F41" s="14"/>
      <c r="H41" s="14"/>
      <c r="I41" s="14"/>
    </row>
    <row r="42" spans="1:21">
      <c r="A42" s="14"/>
      <c r="B42" s="14"/>
      <c r="C42" s="14"/>
      <c r="D42" s="14"/>
      <c r="E42" s="14"/>
      <c r="F42" s="14"/>
      <c r="H42" s="14"/>
      <c r="I42" s="14"/>
    </row>
    <row r="43" spans="1:21">
      <c r="A43" s="14"/>
      <c r="B43" s="14"/>
      <c r="C43" s="14"/>
      <c r="D43" s="14"/>
      <c r="E43" s="14"/>
      <c r="F43" s="14"/>
      <c r="H43" s="14"/>
      <c r="I43" s="14"/>
    </row>
    <row r="44" spans="1:21">
      <c r="A44" s="14"/>
      <c r="B44" s="14"/>
      <c r="C44" s="14"/>
      <c r="D44" s="14"/>
      <c r="E44" s="14"/>
      <c r="F44" s="14"/>
      <c r="H44" s="14"/>
      <c r="I44" s="14"/>
    </row>
    <row r="45" spans="1:21">
      <c r="A45" s="14"/>
      <c r="B45" s="14"/>
      <c r="C45" s="14"/>
      <c r="D45" s="14"/>
      <c r="E45" s="14"/>
      <c r="F45" s="14"/>
      <c r="H45" s="14"/>
      <c r="I45" s="14"/>
    </row>
    <row r="46" spans="1:21">
      <c r="A46" s="14"/>
      <c r="B46" s="14"/>
      <c r="C46" s="14"/>
      <c r="D46" s="14"/>
      <c r="E46" s="14"/>
      <c r="F46" s="14"/>
      <c r="H46" s="14"/>
      <c r="I46" s="14"/>
    </row>
    <row r="47" spans="1:21">
      <c r="A47" s="14"/>
      <c r="B47" s="14"/>
      <c r="C47" s="14"/>
      <c r="D47" s="14"/>
      <c r="E47" s="14"/>
      <c r="F47" s="14"/>
      <c r="H47" s="14"/>
      <c r="I47" s="14"/>
    </row>
    <row r="48" spans="1:21">
      <c r="A48" s="14"/>
      <c r="B48" s="14"/>
      <c r="C48" s="14"/>
      <c r="D48" s="14"/>
      <c r="E48" s="14"/>
      <c r="F48" s="14"/>
      <c r="H48" s="14"/>
      <c r="I48" s="14"/>
    </row>
    <row r="49" spans="1:9">
      <c r="A49" s="14"/>
      <c r="B49" s="14"/>
      <c r="C49" s="14"/>
      <c r="D49" s="14"/>
      <c r="E49" s="14"/>
      <c r="F49" s="14"/>
      <c r="H49" s="14"/>
      <c r="I49" s="14"/>
    </row>
    <row r="50" spans="1:9">
      <c r="A50" s="14"/>
      <c r="B50" s="14"/>
      <c r="C50" s="14"/>
      <c r="D50" s="14"/>
      <c r="E50" s="14"/>
      <c r="F50" s="14"/>
      <c r="H50" s="14"/>
      <c r="I50" s="14"/>
    </row>
  </sheetData>
  <sheetProtection algorithmName="SHA-512" hashValue="pCvwYItLWzbObelgQY0csfb2I6pwyESFvL982LxGD7iSJIT6nK3t4PwL3BEtnl6jsPOIhAs4CSWNG3Y7EgI01g==" saltValue="bdAnPXswFxxa76zhDZTAzQ==" spinCount="100000" sheet="1" objects="1" scenarios="1"/>
  <customSheetViews>
    <customSheetView guid="{5E62BE79-A4FD-4E7A-98EF-5A09C5274723}" showGridLines="0" hiddenColumns="1" showRuler="0" topLeftCell="M1">
      <selection activeCell="B16" sqref="B16"/>
      <pageMargins left="0.75" right="0.75" top="1" bottom="1" header="0.5" footer="0.5"/>
    </customSheetView>
  </customSheetViews>
  <mergeCells count="15">
    <mergeCell ref="M27:W27"/>
    <mergeCell ref="T4:W4"/>
    <mergeCell ref="O4:S4"/>
    <mergeCell ref="M39:S39"/>
    <mergeCell ref="M8:M16"/>
    <mergeCell ref="A8:A16"/>
    <mergeCell ref="A17:A22"/>
    <mergeCell ref="A23:A25"/>
    <mergeCell ref="M23:M25"/>
    <mergeCell ref="M17:M22"/>
    <mergeCell ref="A5:A7"/>
    <mergeCell ref="C4:F4"/>
    <mergeCell ref="M1:Q1"/>
    <mergeCell ref="M5:M7"/>
    <mergeCell ref="G4:K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42"/>
  <sheetViews>
    <sheetView showGridLines="0" showRuler="0" workbookViewId="0">
      <selection activeCell="I14" sqref="I14"/>
    </sheetView>
  </sheetViews>
  <sheetFormatPr baseColWidth="10" defaultColWidth="13.7109375" defaultRowHeight="12.75"/>
  <cols>
    <col min="1" max="1" width="41.85546875" customWidth="1"/>
    <col min="2" max="5" width="14.85546875" customWidth="1"/>
  </cols>
  <sheetData>
    <row r="1" spans="1:7" ht="22.5" customHeight="1">
      <c r="A1" s="494" t="s">
        <v>998</v>
      </c>
      <c r="B1" s="494"/>
      <c r="C1" s="494"/>
      <c r="D1" s="494"/>
      <c r="E1" s="494"/>
    </row>
    <row r="2" spans="1:7" ht="60" customHeight="1">
      <c r="A2" s="123"/>
    </row>
    <row r="3" spans="1:7" ht="34.15" customHeight="1">
      <c r="A3" s="2" t="s">
        <v>375</v>
      </c>
      <c r="B3" s="91">
        <v>2015</v>
      </c>
      <c r="C3" s="91">
        <v>2016</v>
      </c>
      <c r="D3" s="91">
        <v>2017</v>
      </c>
      <c r="E3" s="91">
        <v>2018</v>
      </c>
      <c r="F3" s="202">
        <v>2019</v>
      </c>
      <c r="G3" s="4"/>
    </row>
    <row r="4" spans="1:7" ht="20.100000000000001" customHeight="1">
      <c r="A4" s="63" t="s">
        <v>376</v>
      </c>
      <c r="B4" s="203">
        <v>43</v>
      </c>
      <c r="C4" s="203">
        <v>81</v>
      </c>
      <c r="D4" s="203">
        <v>78</v>
      </c>
      <c r="E4" s="203">
        <v>50</v>
      </c>
      <c r="F4" s="204">
        <v>647</v>
      </c>
      <c r="G4" s="4"/>
    </row>
    <row r="5" spans="1:7" ht="20.100000000000001" customHeight="1">
      <c r="A5" s="63" t="s">
        <v>377</v>
      </c>
      <c r="B5" s="203">
        <v>0</v>
      </c>
      <c r="C5" s="203">
        <v>0</v>
      </c>
      <c r="D5" s="203">
        <v>1</v>
      </c>
      <c r="E5" s="203">
        <v>0</v>
      </c>
      <c r="F5" s="204">
        <v>3</v>
      </c>
      <c r="G5" s="4"/>
    </row>
    <row r="6" spans="1:7" ht="20.100000000000001" customHeight="1">
      <c r="A6" s="63" t="s">
        <v>378</v>
      </c>
      <c r="B6" s="203">
        <v>43</v>
      </c>
      <c r="C6" s="203">
        <v>81</v>
      </c>
      <c r="D6" s="203">
        <v>79</v>
      </c>
      <c r="E6" s="203">
        <v>0</v>
      </c>
      <c r="F6" s="204">
        <v>650</v>
      </c>
      <c r="G6" s="4"/>
    </row>
    <row r="7" spans="1:7" ht="20.100000000000001" customHeight="1">
      <c r="A7" s="63" t="s">
        <v>379</v>
      </c>
      <c r="B7" s="203">
        <v>41</v>
      </c>
      <c r="C7" s="203">
        <v>77</v>
      </c>
      <c r="D7" s="203">
        <v>77</v>
      </c>
      <c r="E7" s="203">
        <v>2</v>
      </c>
      <c r="F7" s="204">
        <v>34</v>
      </c>
      <c r="G7" s="4"/>
    </row>
    <row r="8" spans="1:7" ht="20.100000000000001" customHeight="1">
      <c r="A8" s="63" t="s">
        <v>380</v>
      </c>
      <c r="B8" s="203">
        <v>1</v>
      </c>
      <c r="C8" s="203">
        <v>2</v>
      </c>
      <c r="D8" s="203">
        <v>0</v>
      </c>
      <c r="E8" s="203">
        <v>0</v>
      </c>
      <c r="F8" s="204">
        <v>0</v>
      </c>
      <c r="G8" s="4"/>
    </row>
    <row r="9" spans="1:7" ht="20.100000000000001" customHeight="1">
      <c r="A9" s="423" t="s">
        <v>1042</v>
      </c>
      <c r="B9" s="203">
        <v>1</v>
      </c>
      <c r="C9" s="203">
        <v>1</v>
      </c>
      <c r="D9" s="203">
        <v>0</v>
      </c>
      <c r="E9" s="203">
        <v>0</v>
      </c>
      <c r="F9" s="204">
        <v>4</v>
      </c>
      <c r="G9" s="4"/>
    </row>
    <row r="10" spans="1:7" ht="20.100000000000001" customHeight="1">
      <c r="A10" s="63" t="s">
        <v>381</v>
      </c>
      <c r="B10" s="203">
        <v>0</v>
      </c>
      <c r="C10" s="203">
        <v>0</v>
      </c>
      <c r="D10" s="203">
        <v>2</v>
      </c>
      <c r="E10" s="203">
        <v>0</v>
      </c>
      <c r="F10" s="204">
        <v>0</v>
      </c>
      <c r="G10" s="4"/>
    </row>
    <row r="11" spans="1:7" ht="20.100000000000001" customHeight="1">
      <c r="A11" s="63" t="s">
        <v>382</v>
      </c>
      <c r="B11" s="203">
        <v>0</v>
      </c>
      <c r="C11" s="203">
        <v>1</v>
      </c>
      <c r="D11" s="203">
        <v>0</v>
      </c>
      <c r="E11" s="203">
        <v>0</v>
      </c>
      <c r="F11" s="204">
        <v>4</v>
      </c>
      <c r="G11" s="4"/>
    </row>
    <row r="12" spans="1:7" ht="19.5" customHeight="1">
      <c r="A12" s="480" t="s">
        <v>383</v>
      </c>
      <c r="B12" s="480"/>
      <c r="C12" s="480"/>
      <c r="D12" s="480"/>
      <c r="E12" s="480"/>
      <c r="F12" s="480"/>
    </row>
    <row r="13" spans="1:7" ht="60" customHeight="1"/>
    <row r="14" spans="1:7" ht="32.450000000000003" customHeight="1">
      <c r="A14" s="12" t="s">
        <v>384</v>
      </c>
      <c r="B14" s="91">
        <v>2015</v>
      </c>
      <c r="C14" s="91">
        <v>2016</v>
      </c>
      <c r="D14" s="91">
        <v>2017</v>
      </c>
      <c r="E14" s="91">
        <v>2018</v>
      </c>
      <c r="F14" s="202">
        <v>2019</v>
      </c>
      <c r="G14" s="4"/>
    </row>
    <row r="15" spans="1:7" ht="20.100000000000001" customHeight="1">
      <c r="A15" s="63" t="s">
        <v>385</v>
      </c>
      <c r="B15" s="205">
        <v>582</v>
      </c>
      <c r="C15" s="205">
        <v>2500</v>
      </c>
      <c r="D15" s="205">
        <v>3406</v>
      </c>
      <c r="E15" s="205">
        <v>5768</v>
      </c>
      <c r="F15" s="174">
        <v>4745</v>
      </c>
      <c r="G15" s="4"/>
    </row>
    <row r="16" spans="1:7" ht="20.100000000000001" customHeight="1">
      <c r="A16" s="63" t="s">
        <v>386</v>
      </c>
      <c r="B16" s="206">
        <v>0.01</v>
      </c>
      <c r="C16" s="206">
        <v>1.7</v>
      </c>
      <c r="D16" s="206">
        <v>0</v>
      </c>
      <c r="E16" s="206">
        <v>0</v>
      </c>
      <c r="F16" s="200">
        <v>0</v>
      </c>
      <c r="G16" s="4"/>
    </row>
    <row r="17" spans="1:7" ht="20.100000000000001" customHeight="1">
      <c r="A17" s="63" t="s">
        <v>387</v>
      </c>
      <c r="B17" s="203">
        <v>2</v>
      </c>
      <c r="C17" s="203">
        <v>2</v>
      </c>
      <c r="D17" s="203">
        <v>0</v>
      </c>
      <c r="E17" s="203">
        <v>0</v>
      </c>
      <c r="F17" s="207">
        <v>1</v>
      </c>
      <c r="G17" s="4"/>
    </row>
    <row r="18" spans="1:7" ht="20.100000000000001" customHeight="1">
      <c r="A18" s="63" t="s">
        <v>388</v>
      </c>
      <c r="B18" s="203">
        <v>0</v>
      </c>
      <c r="C18" s="203">
        <v>0</v>
      </c>
      <c r="D18" s="203">
        <v>0</v>
      </c>
      <c r="E18" s="203">
        <v>0</v>
      </c>
      <c r="F18" s="207">
        <v>0</v>
      </c>
      <c r="G18" s="4"/>
    </row>
    <row r="19" spans="1:7" ht="20.100000000000001" customHeight="1">
      <c r="A19" s="63" t="s">
        <v>389</v>
      </c>
      <c r="B19" s="203">
        <v>0</v>
      </c>
      <c r="C19" s="203">
        <v>31</v>
      </c>
      <c r="D19" s="203">
        <v>0</v>
      </c>
      <c r="E19" s="203">
        <v>0</v>
      </c>
      <c r="F19" s="207">
        <v>46</v>
      </c>
      <c r="G19" s="4"/>
    </row>
    <row r="20" spans="1:7" ht="45.75" customHeight="1">
      <c r="A20" s="480" t="s">
        <v>390</v>
      </c>
      <c r="B20" s="480"/>
      <c r="C20" s="480"/>
      <c r="D20" s="480"/>
      <c r="E20" s="480"/>
      <c r="F20" s="480"/>
    </row>
    <row r="25" spans="1:7" ht="37.5" customHeight="1">
      <c r="B25" s="35"/>
      <c r="C25" s="35"/>
      <c r="D25" s="35"/>
    </row>
    <row r="26" spans="1:7" ht="37.5" customHeight="1">
      <c r="B26" s="35"/>
      <c r="C26" s="35"/>
      <c r="D26" s="382"/>
    </row>
    <row r="27" spans="1:7" ht="37.5" customHeight="1">
      <c r="B27" s="35"/>
      <c r="C27" s="35"/>
      <c r="D27" s="35"/>
    </row>
    <row r="28" spans="1:7" ht="37.5" customHeight="1">
      <c r="B28" s="35"/>
      <c r="C28" s="35"/>
      <c r="D28" s="35"/>
    </row>
    <row r="29" spans="1:7" ht="120.75" customHeight="1">
      <c r="B29" s="35"/>
      <c r="C29" s="35"/>
      <c r="D29" s="35"/>
    </row>
    <row r="30" spans="1:7" ht="37.5" customHeight="1">
      <c r="B30" s="35"/>
      <c r="C30" s="35"/>
      <c r="D30" s="35"/>
    </row>
    <row r="31" spans="1:7" ht="37.5" customHeight="1">
      <c r="B31" s="35"/>
      <c r="C31" s="35"/>
      <c r="D31" s="35"/>
    </row>
    <row r="32" spans="1:7" ht="37.5" customHeight="1">
      <c r="B32" s="35"/>
      <c r="C32" s="35"/>
      <c r="D32" s="35"/>
    </row>
    <row r="33" spans="2:4" ht="37.5" customHeight="1">
      <c r="B33" s="35"/>
      <c r="C33" s="35"/>
      <c r="D33" s="35"/>
    </row>
    <row r="34" spans="2:4" ht="37.5" customHeight="1">
      <c r="B34" s="35"/>
      <c r="C34" s="35"/>
      <c r="D34" s="35"/>
    </row>
    <row r="35" spans="2:4" ht="37.5" customHeight="1">
      <c r="B35" s="35"/>
      <c r="C35" s="35"/>
      <c r="D35" s="35"/>
    </row>
    <row r="36" spans="2:4" ht="37.5" customHeight="1">
      <c r="B36" s="35"/>
      <c r="C36" s="35"/>
      <c r="D36" s="35"/>
    </row>
    <row r="37" spans="2:4" ht="37.5" customHeight="1">
      <c r="B37" s="35"/>
      <c r="C37" s="35"/>
      <c r="D37" s="35"/>
    </row>
    <row r="38" spans="2:4" ht="37.5" customHeight="1">
      <c r="B38" s="35"/>
      <c r="C38" s="35"/>
      <c r="D38" s="35"/>
    </row>
    <row r="39" spans="2:4" ht="37.5" customHeight="1">
      <c r="B39" s="35"/>
      <c r="C39" s="35"/>
      <c r="D39" s="35"/>
    </row>
    <row r="40" spans="2:4" ht="37.5" customHeight="1">
      <c r="B40" s="35"/>
      <c r="C40" s="35"/>
      <c r="D40" s="35"/>
    </row>
    <row r="41" spans="2:4" ht="37.5" customHeight="1">
      <c r="B41" s="35"/>
      <c r="C41" s="35"/>
      <c r="D41" s="35"/>
    </row>
    <row r="42" spans="2:4" ht="37.5" customHeight="1">
      <c r="B42" s="35"/>
      <c r="C42" s="35"/>
      <c r="D42" s="35"/>
    </row>
  </sheetData>
  <sheetProtection algorithmName="SHA-512" hashValue="ztEePiw0vq1q/6fkN0Y+gAHYi1AhYRKpopjceItEB5NVG9VlLg+5rnEc8yII8G1Dg8IZjHCaQ6HQt5JECn9F5w==" saltValue="XGeBISYVKAqCqkdCXmrj5A==" spinCount="100000" sheet="1" objects="1" scenarios="1"/>
  <customSheetViews>
    <customSheetView guid="{5E62BE79-A4FD-4E7A-98EF-5A09C5274723}" showGridLines="0" showRuler="0">
      <selection activeCell="I14" sqref="I14"/>
      <pageMargins left="0.75" right="0.75" top="1" bottom="1" header="0.5" footer="0.5"/>
    </customSheetView>
  </customSheetViews>
  <mergeCells count="3">
    <mergeCell ref="A1:E1"/>
    <mergeCell ref="A12:F12"/>
    <mergeCell ref="A20:F2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H41"/>
  <sheetViews>
    <sheetView showGridLines="0" showRuler="0" topLeftCell="A17" workbookViewId="0">
      <selection activeCell="F29" sqref="F29"/>
    </sheetView>
  </sheetViews>
  <sheetFormatPr baseColWidth="10" defaultColWidth="13.7109375" defaultRowHeight="12.75"/>
  <cols>
    <col min="1" max="1" width="27.42578125" customWidth="1"/>
    <col min="2" max="2" width="23" customWidth="1"/>
    <col min="8" max="8" width="30.85546875" customWidth="1"/>
  </cols>
  <sheetData>
    <row r="1" spans="1:8" ht="20.85" customHeight="1">
      <c r="A1" s="494" t="s">
        <v>999</v>
      </c>
      <c r="B1" s="494"/>
      <c r="C1" s="494"/>
      <c r="D1" s="494"/>
      <c r="E1" s="494"/>
    </row>
    <row r="2" spans="1:8" ht="60" customHeight="1">
      <c r="A2" s="544"/>
      <c r="B2" s="544"/>
      <c r="C2" s="544"/>
      <c r="D2" s="544"/>
      <c r="E2" s="544"/>
    </row>
    <row r="3" spans="1:8" ht="29.1" customHeight="1">
      <c r="A3" s="466" t="s">
        <v>391</v>
      </c>
      <c r="B3" s="543" t="s">
        <v>118</v>
      </c>
      <c r="C3" s="542" t="s">
        <v>392</v>
      </c>
      <c r="D3" s="444"/>
      <c r="E3" s="444"/>
      <c r="F3" s="533" t="s">
        <v>393</v>
      </c>
      <c r="G3" s="533" t="s">
        <v>394</v>
      </c>
      <c r="H3" s="4"/>
    </row>
    <row r="4" spans="1:8" ht="42.6" customHeight="1">
      <c r="A4" s="466"/>
      <c r="B4" s="543"/>
      <c r="C4" s="79" t="s">
        <v>395</v>
      </c>
      <c r="D4" s="79" t="s">
        <v>396</v>
      </c>
      <c r="E4" s="79" t="s">
        <v>397</v>
      </c>
      <c r="F4" s="533"/>
      <c r="G4" s="533"/>
      <c r="H4" s="4"/>
    </row>
    <row r="5" spans="1:8" ht="20.100000000000001" customHeight="1">
      <c r="A5" s="493" t="s">
        <v>129</v>
      </c>
      <c r="B5" s="208" t="s">
        <v>80</v>
      </c>
      <c r="C5" s="209">
        <v>14827702</v>
      </c>
      <c r="D5" s="209">
        <v>0</v>
      </c>
      <c r="E5" s="209">
        <v>0</v>
      </c>
      <c r="F5" s="209">
        <v>14827702</v>
      </c>
      <c r="G5" s="209">
        <v>14827702</v>
      </c>
      <c r="H5" s="4"/>
    </row>
    <row r="6" spans="1:8" ht="20.100000000000001" customHeight="1">
      <c r="A6" s="493"/>
      <c r="B6" s="82" t="s">
        <v>130</v>
      </c>
      <c r="C6" s="210">
        <v>6735609</v>
      </c>
      <c r="D6" s="210">
        <v>0</v>
      </c>
      <c r="E6" s="210">
        <v>0</v>
      </c>
      <c r="F6" s="210">
        <v>6735609</v>
      </c>
      <c r="G6" s="210">
        <v>6735609</v>
      </c>
      <c r="H6" s="4"/>
    </row>
    <row r="7" spans="1:8" ht="20.100000000000001" customHeight="1">
      <c r="A7" s="493"/>
      <c r="B7" s="82" t="s">
        <v>131</v>
      </c>
      <c r="C7" s="210">
        <v>8092093</v>
      </c>
      <c r="D7" s="210">
        <v>0</v>
      </c>
      <c r="E7" s="210">
        <v>0</v>
      </c>
      <c r="F7" s="210">
        <v>8092093</v>
      </c>
      <c r="G7" s="210">
        <v>8092093</v>
      </c>
      <c r="H7" s="4"/>
    </row>
    <row r="8" spans="1:8" ht="20.100000000000001" customHeight="1">
      <c r="A8" s="493" t="s">
        <v>132</v>
      </c>
      <c r="B8" s="80" t="s">
        <v>81</v>
      </c>
      <c r="C8" s="209">
        <v>1492650</v>
      </c>
      <c r="D8" s="209">
        <v>0</v>
      </c>
      <c r="E8" s="209">
        <v>0</v>
      </c>
      <c r="F8" s="209">
        <v>1492650</v>
      </c>
      <c r="G8" s="209">
        <v>1492650</v>
      </c>
      <c r="H8" s="4"/>
    </row>
    <row r="9" spans="1:8" ht="20.100000000000001" customHeight="1">
      <c r="A9" s="493"/>
      <c r="B9" s="82" t="s">
        <v>133</v>
      </c>
      <c r="C9" s="210">
        <v>1492650</v>
      </c>
      <c r="D9" s="210">
        <v>0</v>
      </c>
      <c r="E9" s="210">
        <v>0</v>
      </c>
      <c r="F9" s="210">
        <v>1492650</v>
      </c>
      <c r="G9" s="210">
        <v>1492650</v>
      </c>
      <c r="H9" s="4"/>
    </row>
    <row r="10" spans="1:8" ht="20.100000000000001" customHeight="1">
      <c r="A10" s="493"/>
      <c r="B10" s="80" t="s">
        <v>5</v>
      </c>
      <c r="C10" s="211" t="s">
        <v>65</v>
      </c>
      <c r="D10" s="211" t="s">
        <v>65</v>
      </c>
      <c r="E10" s="211" t="s">
        <v>65</v>
      </c>
      <c r="F10" s="211" t="s">
        <v>65</v>
      </c>
      <c r="G10" s="209">
        <v>6420250</v>
      </c>
      <c r="H10" s="4"/>
    </row>
    <row r="11" spans="1:8" ht="20.100000000000001" customHeight="1">
      <c r="A11" s="444"/>
      <c r="B11" s="82" t="s">
        <v>134</v>
      </c>
      <c r="C11" s="170" t="s">
        <v>65</v>
      </c>
      <c r="D11" s="170" t="s">
        <v>65</v>
      </c>
      <c r="E11" s="170" t="s">
        <v>65</v>
      </c>
      <c r="F11" s="170" t="s">
        <v>65</v>
      </c>
      <c r="G11" s="210">
        <v>0</v>
      </c>
      <c r="H11" s="4"/>
    </row>
    <row r="12" spans="1:8" ht="20.100000000000001" customHeight="1">
      <c r="A12" s="493"/>
      <c r="B12" s="82" t="s">
        <v>39</v>
      </c>
      <c r="C12" s="170" t="s">
        <v>65</v>
      </c>
      <c r="D12" s="170" t="s">
        <v>65</v>
      </c>
      <c r="E12" s="170" t="s">
        <v>65</v>
      </c>
      <c r="F12" s="170" t="s">
        <v>65</v>
      </c>
      <c r="G12" s="210">
        <v>2102246</v>
      </c>
      <c r="H12" s="4"/>
    </row>
    <row r="13" spans="1:8" ht="20.100000000000001" customHeight="1">
      <c r="A13" s="493"/>
      <c r="B13" s="82" t="s">
        <v>135</v>
      </c>
      <c r="C13" s="170" t="s">
        <v>65</v>
      </c>
      <c r="D13" s="170" t="s">
        <v>65</v>
      </c>
      <c r="E13" s="170" t="s">
        <v>65</v>
      </c>
      <c r="F13" s="170" t="s">
        <v>65</v>
      </c>
      <c r="G13" s="210">
        <v>185163</v>
      </c>
      <c r="H13" s="4"/>
    </row>
    <row r="14" spans="1:8" ht="20.100000000000001" customHeight="1">
      <c r="A14" s="493"/>
      <c r="B14" s="82" t="s">
        <v>6</v>
      </c>
      <c r="C14" s="170" t="s">
        <v>65</v>
      </c>
      <c r="D14" s="170" t="s">
        <v>65</v>
      </c>
      <c r="E14" s="170" t="s">
        <v>65</v>
      </c>
      <c r="F14" s="170" t="s">
        <v>65</v>
      </c>
      <c r="G14" s="210">
        <v>3744511</v>
      </c>
      <c r="H14" s="4"/>
    </row>
    <row r="15" spans="1:8" ht="20.100000000000001" customHeight="1">
      <c r="A15" s="493"/>
      <c r="B15" s="82" t="s">
        <v>136</v>
      </c>
      <c r="C15" s="170" t="s">
        <v>65</v>
      </c>
      <c r="D15" s="170" t="s">
        <v>65</v>
      </c>
      <c r="E15" s="170" t="s">
        <v>65</v>
      </c>
      <c r="F15" s="170" t="s">
        <v>65</v>
      </c>
      <c r="G15" s="210">
        <v>388330</v>
      </c>
      <c r="H15" s="4"/>
    </row>
    <row r="16" spans="1:8" ht="20.100000000000001" customHeight="1">
      <c r="A16" s="493"/>
      <c r="B16" s="80" t="s">
        <v>9</v>
      </c>
      <c r="C16" s="211" t="s">
        <v>65</v>
      </c>
      <c r="D16" s="211" t="s">
        <v>65</v>
      </c>
      <c r="E16" s="211" t="s">
        <v>65</v>
      </c>
      <c r="F16" s="211" t="s">
        <v>65</v>
      </c>
      <c r="G16" s="209">
        <v>22604780</v>
      </c>
      <c r="H16" s="4"/>
    </row>
    <row r="17" spans="1:8" ht="20.100000000000001" customHeight="1">
      <c r="A17" s="493"/>
      <c r="B17" s="82" t="s">
        <v>10</v>
      </c>
      <c r="C17" s="170" t="s">
        <v>65</v>
      </c>
      <c r="D17" s="170" t="s">
        <v>65</v>
      </c>
      <c r="E17" s="170" t="s">
        <v>65</v>
      </c>
      <c r="F17" s="170" t="s">
        <v>65</v>
      </c>
      <c r="G17" s="210">
        <v>22604780</v>
      </c>
      <c r="H17" s="4"/>
    </row>
    <row r="18" spans="1:8" ht="20.100000000000001" customHeight="1">
      <c r="A18" s="493" t="s">
        <v>137</v>
      </c>
      <c r="B18" s="80" t="s">
        <v>37</v>
      </c>
      <c r="C18" s="211" t="s">
        <v>65</v>
      </c>
      <c r="D18" s="211" t="s">
        <v>65</v>
      </c>
      <c r="E18" s="211" t="s">
        <v>65</v>
      </c>
      <c r="F18" s="211" t="s">
        <v>65</v>
      </c>
      <c r="G18" s="209">
        <v>1253382</v>
      </c>
      <c r="H18" s="4"/>
    </row>
    <row r="19" spans="1:8" ht="20.100000000000001" customHeight="1">
      <c r="A19" s="493"/>
      <c r="B19" s="82" t="s">
        <v>38</v>
      </c>
      <c r="C19" s="170" t="s">
        <v>65</v>
      </c>
      <c r="D19" s="170" t="s">
        <v>65</v>
      </c>
      <c r="E19" s="170" t="s">
        <v>65</v>
      </c>
      <c r="F19" s="170" t="s">
        <v>65</v>
      </c>
      <c r="G19" s="210">
        <v>1253382</v>
      </c>
      <c r="H19" s="4"/>
    </row>
    <row r="20" spans="1:8" ht="20.100000000000001" customHeight="1">
      <c r="A20" s="493"/>
      <c r="B20" s="80" t="s">
        <v>82</v>
      </c>
      <c r="C20" s="209">
        <v>14698549</v>
      </c>
      <c r="D20" s="209">
        <v>0</v>
      </c>
      <c r="E20" s="209">
        <v>0</v>
      </c>
      <c r="F20" s="209">
        <v>14698549</v>
      </c>
      <c r="G20" s="209">
        <v>14698549</v>
      </c>
      <c r="H20" s="4"/>
    </row>
    <row r="21" spans="1:8" ht="20.100000000000001" customHeight="1">
      <c r="A21" s="493"/>
      <c r="B21" s="82" t="s">
        <v>138</v>
      </c>
      <c r="C21" s="210">
        <v>14698549</v>
      </c>
      <c r="D21" s="210">
        <v>0</v>
      </c>
      <c r="E21" s="210">
        <v>0</v>
      </c>
      <c r="F21" s="210">
        <v>14698549</v>
      </c>
      <c r="G21" s="210">
        <v>14698549</v>
      </c>
      <c r="H21" s="4"/>
    </row>
    <row r="22" spans="1:8" ht="20.100000000000001" customHeight="1">
      <c r="A22" s="493"/>
      <c r="B22" s="80" t="s">
        <v>13</v>
      </c>
      <c r="C22" s="209">
        <v>4750998</v>
      </c>
      <c r="D22" s="209">
        <v>0</v>
      </c>
      <c r="E22" s="209">
        <v>0</v>
      </c>
      <c r="F22" s="209">
        <v>4750998</v>
      </c>
      <c r="G22" s="209">
        <v>4750998</v>
      </c>
      <c r="H22" s="4"/>
    </row>
    <row r="23" spans="1:8" ht="20.100000000000001" customHeight="1">
      <c r="A23" s="493"/>
      <c r="B23" s="82" t="s">
        <v>14</v>
      </c>
      <c r="C23" s="210">
        <v>4750998</v>
      </c>
      <c r="D23" s="210">
        <v>0</v>
      </c>
      <c r="E23" s="210">
        <v>0</v>
      </c>
      <c r="F23" s="210">
        <v>4750998</v>
      </c>
      <c r="G23" s="210">
        <v>4750998</v>
      </c>
      <c r="H23" s="4"/>
    </row>
    <row r="24" spans="1:8" ht="20.100000000000001" customHeight="1">
      <c r="A24" s="493" t="s">
        <v>154</v>
      </c>
      <c r="B24" s="80" t="s">
        <v>25</v>
      </c>
      <c r="C24" s="209">
        <v>54104250</v>
      </c>
      <c r="D24" s="209">
        <v>10528</v>
      </c>
      <c r="E24" s="209">
        <v>560409</v>
      </c>
      <c r="F24" s="209">
        <v>54675187</v>
      </c>
      <c r="G24" s="209">
        <v>54675187</v>
      </c>
      <c r="H24" s="4"/>
    </row>
    <row r="25" spans="1:8" ht="20.100000000000001" customHeight="1">
      <c r="A25" s="493"/>
      <c r="B25" s="82" t="s">
        <v>26</v>
      </c>
      <c r="C25" s="210">
        <v>39628538</v>
      </c>
      <c r="D25" s="210">
        <v>0</v>
      </c>
      <c r="E25" s="210">
        <v>0</v>
      </c>
      <c r="F25" s="210">
        <v>39628538</v>
      </c>
      <c r="G25" s="210">
        <v>39628538</v>
      </c>
      <c r="H25" s="4"/>
    </row>
    <row r="26" spans="1:8" ht="20.100000000000001" customHeight="1">
      <c r="A26" s="493"/>
      <c r="B26" s="82" t="s">
        <v>140</v>
      </c>
      <c r="C26" s="210">
        <v>12450757</v>
      </c>
      <c r="D26" s="210">
        <v>0</v>
      </c>
      <c r="E26" s="210">
        <v>0</v>
      </c>
      <c r="F26" s="210">
        <v>12450757</v>
      </c>
      <c r="G26" s="210">
        <v>12450757</v>
      </c>
      <c r="H26" s="4"/>
    </row>
    <row r="27" spans="1:8" ht="20.100000000000001" customHeight="1">
      <c r="A27" s="493"/>
      <c r="B27" s="82" t="s">
        <v>29</v>
      </c>
      <c r="C27" s="210">
        <v>2024954</v>
      </c>
      <c r="D27" s="210">
        <v>10528</v>
      </c>
      <c r="E27" s="210">
        <v>560409</v>
      </c>
      <c r="F27" s="210">
        <v>2595891</v>
      </c>
      <c r="G27" s="210">
        <v>2595891</v>
      </c>
      <c r="H27" s="4"/>
    </row>
    <row r="28" spans="1:8" ht="20.100000000000001" customHeight="1">
      <c r="A28" s="529" t="s">
        <v>398</v>
      </c>
      <c r="B28" s="87" t="s">
        <v>399</v>
      </c>
      <c r="C28" s="209">
        <v>89874149</v>
      </c>
      <c r="D28" s="381"/>
      <c r="E28" s="209">
        <v>560409</v>
      </c>
      <c r="F28" s="209">
        <v>90445086</v>
      </c>
      <c r="G28" s="209">
        <v>90445086</v>
      </c>
      <c r="H28" s="4"/>
    </row>
    <row r="29" spans="1:8" ht="20.100000000000001" customHeight="1">
      <c r="A29" s="530"/>
      <c r="B29" s="87" t="s">
        <v>400</v>
      </c>
      <c r="C29" s="211" t="s">
        <v>65</v>
      </c>
      <c r="D29" s="211" t="s">
        <v>65</v>
      </c>
      <c r="E29" s="211" t="s">
        <v>65</v>
      </c>
      <c r="F29" s="211" t="s">
        <v>65</v>
      </c>
      <c r="G29" s="209">
        <v>30278412</v>
      </c>
      <c r="H29" s="4"/>
    </row>
    <row r="30" spans="1:8" ht="20.100000000000001" customHeight="1">
      <c r="A30" s="531"/>
      <c r="B30" s="87" t="s">
        <v>401</v>
      </c>
      <c r="C30" s="211" t="s">
        <v>65</v>
      </c>
      <c r="D30" s="211" t="s">
        <v>65</v>
      </c>
      <c r="E30" s="211" t="s">
        <v>65</v>
      </c>
      <c r="F30" s="211" t="s">
        <v>65</v>
      </c>
      <c r="G30" s="209">
        <v>120723498</v>
      </c>
      <c r="H30" s="89"/>
    </row>
    <row r="31" spans="1:8" ht="55.5" customHeight="1">
      <c r="A31" s="541" t="s">
        <v>1056</v>
      </c>
      <c r="B31" s="480"/>
      <c r="C31" s="480"/>
      <c r="D31" s="480"/>
      <c r="E31" s="480"/>
      <c r="F31" s="480"/>
      <c r="G31" s="480"/>
    </row>
    <row r="32" spans="1:8" ht="60" customHeight="1">
      <c r="A32" s="420"/>
      <c r="B32" s="420"/>
      <c r="C32" s="420"/>
      <c r="D32" s="420"/>
      <c r="E32" s="420"/>
      <c r="F32" s="420"/>
      <c r="G32" s="419"/>
    </row>
    <row r="33" spans="1:7" ht="39.950000000000003" customHeight="1">
      <c r="A33" s="2" t="s">
        <v>402</v>
      </c>
      <c r="B33" s="212">
        <v>2015</v>
      </c>
      <c r="C33" s="212">
        <v>2016</v>
      </c>
      <c r="D33" s="212">
        <v>2017</v>
      </c>
      <c r="E33" s="212">
        <v>2018</v>
      </c>
      <c r="F33" s="212">
        <v>2019</v>
      </c>
      <c r="G33" s="4"/>
    </row>
    <row r="34" spans="1:7" ht="20.100000000000001" customHeight="1">
      <c r="A34" s="5" t="s">
        <v>403</v>
      </c>
      <c r="B34" s="213">
        <v>340.1</v>
      </c>
      <c r="C34" s="213">
        <v>335.9</v>
      </c>
      <c r="D34" s="213">
        <v>346</v>
      </c>
      <c r="E34" s="214">
        <v>299.7</v>
      </c>
      <c r="F34" s="215">
        <v>320600000</v>
      </c>
      <c r="G34" s="4"/>
    </row>
    <row r="35" spans="1:7" ht="20.100000000000001" customHeight="1">
      <c r="A35" s="5" t="s">
        <v>404</v>
      </c>
      <c r="B35" s="213">
        <v>135.9</v>
      </c>
      <c r="C35" s="213">
        <v>96.8</v>
      </c>
      <c r="D35" s="213">
        <v>110.9</v>
      </c>
      <c r="E35" s="213">
        <v>112.1</v>
      </c>
      <c r="F35" s="216">
        <v>120700000</v>
      </c>
      <c r="G35" s="4"/>
    </row>
    <row r="36" spans="1:7" ht="31.5" customHeight="1">
      <c r="A36" s="541" t="s">
        <v>1057</v>
      </c>
      <c r="B36" s="480"/>
      <c r="C36" s="480"/>
      <c r="D36" s="480"/>
      <c r="E36" s="480"/>
      <c r="F36" s="480"/>
    </row>
    <row r="37" spans="1:7" ht="60" customHeight="1"/>
    <row r="38" spans="1:7" ht="34.15" customHeight="1">
      <c r="A38" s="545" t="s">
        <v>405</v>
      </c>
      <c r="B38" s="489"/>
      <c r="C38" s="489"/>
      <c r="D38" s="489"/>
      <c r="E38" s="489"/>
      <c r="F38" s="490"/>
      <c r="G38" s="4"/>
    </row>
    <row r="39" spans="1:7" ht="75.75" customHeight="1">
      <c r="A39" s="546" t="s">
        <v>406</v>
      </c>
      <c r="B39" s="547"/>
      <c r="C39" s="547"/>
      <c r="D39" s="547"/>
      <c r="E39" s="547"/>
      <c r="F39" s="548"/>
      <c r="G39" s="4"/>
    </row>
    <row r="40" spans="1:7" ht="75.75" customHeight="1">
      <c r="A40" s="546" t="s">
        <v>407</v>
      </c>
      <c r="B40" s="547"/>
      <c r="C40" s="547"/>
      <c r="D40" s="547"/>
      <c r="E40" s="547"/>
      <c r="F40" s="548"/>
      <c r="G40" s="4"/>
    </row>
    <row r="41" spans="1:7" ht="72.599999999999994" customHeight="1">
      <c r="A41" s="541" t="s">
        <v>1055</v>
      </c>
      <c r="B41" s="480"/>
      <c r="C41" s="480"/>
      <c r="D41" s="480"/>
      <c r="E41" s="480"/>
      <c r="F41" s="480"/>
    </row>
  </sheetData>
  <sheetProtection algorithmName="SHA-512" hashValue="qXi8yHDIMEyYDuVrIQkr8wZWVkm54SFDFs6d6KlvxFfU3GrBliR+JzeWf+Eyu0rqE8vSQmLe2k7Mp42tIC56yw==" saltValue="sguSv/BNS+KfNkrADwmRfQ==" spinCount="100000" sheet="1" objects="1" scenarios="1"/>
  <customSheetViews>
    <customSheetView guid="{5E62BE79-A4FD-4E7A-98EF-5A09C5274723}" showGridLines="0" showRuler="0" topLeftCell="A17">
      <selection activeCell="A36" sqref="A36:F36"/>
      <pageMargins left="0.75" right="0.75" top="1" bottom="1" header="0.5" footer="0.5"/>
    </customSheetView>
  </customSheetViews>
  <mergeCells count="18">
    <mergeCell ref="A38:F38"/>
    <mergeCell ref="A8:A17"/>
    <mergeCell ref="A41:F41"/>
    <mergeCell ref="A40:F40"/>
    <mergeCell ref="A39:F39"/>
    <mergeCell ref="A18:A23"/>
    <mergeCell ref="A24:A27"/>
    <mergeCell ref="A28:A30"/>
    <mergeCell ref="A5:A7"/>
    <mergeCell ref="A31:G31"/>
    <mergeCell ref="C3:E3"/>
    <mergeCell ref="A36:F36"/>
    <mergeCell ref="A1:E1"/>
    <mergeCell ref="B3:B4"/>
    <mergeCell ref="A3:A4"/>
    <mergeCell ref="A2:E2"/>
    <mergeCell ref="G3:G4"/>
    <mergeCell ref="F3:F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K216"/>
  <sheetViews>
    <sheetView showGridLines="0" tabSelected="1" showRuler="0" workbookViewId="0">
      <selection activeCell="C23" sqref="C23"/>
    </sheetView>
  </sheetViews>
  <sheetFormatPr baseColWidth="10" defaultColWidth="13.7109375" defaultRowHeight="12.75"/>
  <cols>
    <col min="1" max="1" width="43.140625" customWidth="1"/>
    <col min="2" max="2" width="26.140625" customWidth="1"/>
    <col min="3" max="5" width="23.7109375" customWidth="1"/>
    <col min="6" max="10" width="25.5703125" customWidth="1"/>
  </cols>
  <sheetData>
    <row r="1" spans="1:11" ht="20.100000000000001" customHeight="1">
      <c r="A1" s="494" t="s">
        <v>1000</v>
      </c>
      <c r="B1" s="494"/>
      <c r="C1" s="494"/>
      <c r="D1" s="494"/>
      <c r="E1" s="494"/>
    </row>
    <row r="2" spans="1:11" ht="60" customHeight="1"/>
    <row r="3" spans="1:11" ht="62.45" customHeight="1">
      <c r="A3" s="2" t="s">
        <v>408</v>
      </c>
      <c r="B3" s="3" t="s">
        <v>118</v>
      </c>
      <c r="C3" s="3" t="s">
        <v>409</v>
      </c>
      <c r="D3" s="3" t="s">
        <v>410</v>
      </c>
      <c r="E3" s="3" t="s">
        <v>411</v>
      </c>
      <c r="F3" s="3" t="s">
        <v>412</v>
      </c>
      <c r="G3" s="3" t="s">
        <v>413</v>
      </c>
      <c r="H3" s="3" t="s">
        <v>414</v>
      </c>
      <c r="I3" s="3" t="s">
        <v>415</v>
      </c>
      <c r="J3" s="3" t="s">
        <v>416</v>
      </c>
      <c r="K3" s="4"/>
    </row>
    <row r="4" spans="1:11" ht="20.100000000000001" customHeight="1">
      <c r="A4" s="493" t="s">
        <v>129</v>
      </c>
      <c r="B4" s="217" t="s">
        <v>80</v>
      </c>
      <c r="C4" s="209">
        <v>18640</v>
      </c>
      <c r="D4" s="209">
        <v>4338</v>
      </c>
      <c r="E4" s="209">
        <v>14302</v>
      </c>
      <c r="F4" s="209">
        <v>14978</v>
      </c>
      <c r="G4" s="209">
        <v>29280</v>
      </c>
      <c r="H4" s="218">
        <v>0.51200000000000001</v>
      </c>
      <c r="I4" s="191">
        <v>13.43</v>
      </c>
      <c r="J4" s="191">
        <v>0.9</v>
      </c>
      <c r="K4" s="4"/>
    </row>
    <row r="5" spans="1:11" ht="20.100000000000001" customHeight="1">
      <c r="A5" s="493"/>
      <c r="B5" s="219" t="s">
        <v>130</v>
      </c>
      <c r="C5" s="220">
        <v>7886</v>
      </c>
      <c r="D5" s="220">
        <v>2659</v>
      </c>
      <c r="E5" s="220">
        <v>5227</v>
      </c>
      <c r="F5" s="220">
        <v>6144</v>
      </c>
      <c r="G5" s="220">
        <v>11371</v>
      </c>
      <c r="H5" s="221">
        <v>0.54</v>
      </c>
      <c r="I5" s="222">
        <v>8.1300000000000008</v>
      </c>
      <c r="J5" s="222">
        <v>0.72</v>
      </c>
      <c r="K5" s="4"/>
    </row>
    <row r="6" spans="1:11" ht="20.100000000000001" customHeight="1">
      <c r="A6" s="493"/>
      <c r="B6" s="219" t="s">
        <v>131</v>
      </c>
      <c r="C6" s="220">
        <v>10754</v>
      </c>
      <c r="D6" s="220">
        <v>1679</v>
      </c>
      <c r="E6" s="220">
        <v>9076</v>
      </c>
      <c r="F6" s="220">
        <v>8834</v>
      </c>
      <c r="G6" s="220">
        <v>17910</v>
      </c>
      <c r="H6" s="221">
        <v>0.49299999999999999</v>
      </c>
      <c r="I6" s="222">
        <v>21.51</v>
      </c>
      <c r="J6" s="222">
        <v>1.05</v>
      </c>
      <c r="K6" s="4"/>
    </row>
    <row r="7" spans="1:11" ht="20.100000000000001" customHeight="1">
      <c r="A7" s="493" t="s">
        <v>132</v>
      </c>
      <c r="B7" s="217" t="s">
        <v>81</v>
      </c>
      <c r="C7" s="209">
        <v>2875</v>
      </c>
      <c r="D7" s="209">
        <v>111</v>
      </c>
      <c r="E7" s="209">
        <v>2764</v>
      </c>
      <c r="F7" s="209">
        <v>48486</v>
      </c>
      <c r="G7" s="209">
        <v>51250</v>
      </c>
      <c r="H7" s="223">
        <v>0.95000000000000007</v>
      </c>
      <c r="I7" s="191">
        <v>8.58</v>
      </c>
      <c r="J7" s="191">
        <v>0.12</v>
      </c>
      <c r="K7" s="4"/>
    </row>
    <row r="8" spans="1:11" ht="20.100000000000001" customHeight="1">
      <c r="A8" s="493"/>
      <c r="B8" s="219" t="s">
        <v>133</v>
      </c>
      <c r="C8" s="220">
        <v>2875</v>
      </c>
      <c r="D8" s="220">
        <v>111</v>
      </c>
      <c r="E8" s="220">
        <v>2764</v>
      </c>
      <c r="F8" s="220">
        <v>48486</v>
      </c>
      <c r="G8" s="220">
        <v>51250</v>
      </c>
      <c r="H8" s="221">
        <v>0.94599999999999995</v>
      </c>
      <c r="I8" s="194">
        <v>8.58</v>
      </c>
      <c r="J8" s="194">
        <v>0.12</v>
      </c>
      <c r="K8" s="4"/>
    </row>
    <row r="9" spans="1:11" ht="20.100000000000001" customHeight="1">
      <c r="A9" s="493"/>
      <c r="B9" s="217" t="s">
        <v>5</v>
      </c>
      <c r="C9" s="209">
        <v>17688</v>
      </c>
      <c r="D9" s="209">
        <v>11749</v>
      </c>
      <c r="E9" s="209">
        <v>5939</v>
      </c>
      <c r="F9" s="209">
        <v>17105</v>
      </c>
      <c r="G9" s="209">
        <v>23044</v>
      </c>
      <c r="H9" s="218">
        <v>0.74199999999999999</v>
      </c>
      <c r="I9" s="191">
        <v>7.21</v>
      </c>
      <c r="J9" s="191">
        <v>1.1499999999999999</v>
      </c>
      <c r="K9" s="4"/>
    </row>
    <row r="10" spans="1:11" ht="20.100000000000001" customHeight="1">
      <c r="A10" s="493"/>
      <c r="B10" s="219" t="s">
        <v>39</v>
      </c>
      <c r="C10" s="220">
        <v>3341</v>
      </c>
      <c r="D10" s="220">
        <v>2451</v>
      </c>
      <c r="E10" s="220">
        <v>890</v>
      </c>
      <c r="F10" s="220">
        <v>5199</v>
      </c>
      <c r="G10" s="220">
        <v>6089</v>
      </c>
      <c r="H10" s="221">
        <v>0.85400000000000009</v>
      </c>
      <c r="I10" s="194">
        <v>2.62</v>
      </c>
      <c r="J10" s="194">
        <v>0.54</v>
      </c>
      <c r="K10" s="4"/>
    </row>
    <row r="11" spans="1:11" ht="20.100000000000001" customHeight="1">
      <c r="A11" s="493"/>
      <c r="B11" s="219" t="s">
        <v>135</v>
      </c>
      <c r="C11" s="220">
        <v>2115</v>
      </c>
      <c r="D11" s="220">
        <v>2098</v>
      </c>
      <c r="E11" s="220">
        <v>17</v>
      </c>
      <c r="F11" s="220">
        <v>679</v>
      </c>
      <c r="G11" s="220">
        <v>696</v>
      </c>
      <c r="H11" s="221">
        <v>0.97599999999999998</v>
      </c>
      <c r="I11" s="194">
        <v>0.53</v>
      </c>
      <c r="J11" s="194">
        <v>0</v>
      </c>
      <c r="K11" s="4"/>
    </row>
    <row r="12" spans="1:11" ht="20.100000000000001" customHeight="1">
      <c r="A12" s="493"/>
      <c r="B12" s="219" t="s">
        <v>417</v>
      </c>
      <c r="C12" s="220">
        <v>7779</v>
      </c>
      <c r="D12" s="220">
        <v>4590</v>
      </c>
      <c r="E12" s="220">
        <v>3189</v>
      </c>
      <c r="F12" s="220">
        <v>8539</v>
      </c>
      <c r="G12" s="220">
        <v>11728</v>
      </c>
      <c r="H12" s="221">
        <v>0.72799999999999998</v>
      </c>
      <c r="I12" s="194">
        <v>11.01</v>
      </c>
      <c r="J12" s="194">
        <v>1.06</v>
      </c>
      <c r="K12" s="4"/>
    </row>
    <row r="13" spans="1:11" ht="20.100000000000001" customHeight="1">
      <c r="A13" s="493"/>
      <c r="B13" s="219" t="s">
        <v>136</v>
      </c>
      <c r="C13" s="220">
        <v>4453</v>
      </c>
      <c r="D13" s="220">
        <v>2610</v>
      </c>
      <c r="E13" s="220">
        <v>1843</v>
      </c>
      <c r="F13" s="220">
        <v>2688</v>
      </c>
      <c r="G13" s="220">
        <v>4531</v>
      </c>
      <c r="H13" s="221">
        <v>0.59299999999999997</v>
      </c>
      <c r="I13" s="194">
        <v>11.39</v>
      </c>
      <c r="J13" s="194">
        <v>3.66</v>
      </c>
      <c r="K13" s="4"/>
    </row>
    <row r="14" spans="1:11" ht="20.100000000000001" customHeight="1">
      <c r="A14" s="493"/>
      <c r="B14" s="217" t="s">
        <v>9</v>
      </c>
      <c r="C14" s="209">
        <v>28326</v>
      </c>
      <c r="D14" s="209">
        <v>219</v>
      </c>
      <c r="E14" s="209">
        <v>28107</v>
      </c>
      <c r="F14" s="209">
        <v>44466</v>
      </c>
      <c r="G14" s="209">
        <v>72573</v>
      </c>
      <c r="H14" s="218">
        <v>0.61299999999999999</v>
      </c>
      <c r="I14" s="191">
        <v>34.270000000000003</v>
      </c>
      <c r="J14" s="191">
        <v>1.87</v>
      </c>
      <c r="K14" s="4"/>
    </row>
    <row r="15" spans="1:11" ht="20.100000000000001" customHeight="1">
      <c r="A15" s="493"/>
      <c r="B15" s="224" t="s">
        <v>10</v>
      </c>
      <c r="C15" s="220">
        <v>28326</v>
      </c>
      <c r="D15" s="220">
        <v>219</v>
      </c>
      <c r="E15" s="220">
        <v>28107</v>
      </c>
      <c r="F15" s="220">
        <v>44466</v>
      </c>
      <c r="G15" s="220">
        <v>72573</v>
      </c>
      <c r="H15" s="221">
        <v>0.61299999999999999</v>
      </c>
      <c r="I15" s="194">
        <v>34.270000000000003</v>
      </c>
      <c r="J15" s="194">
        <v>1.87</v>
      </c>
      <c r="K15" s="4"/>
    </row>
    <row r="16" spans="1:11" ht="20.100000000000001" customHeight="1">
      <c r="A16" s="493" t="s">
        <v>137</v>
      </c>
      <c r="B16" s="217" t="s">
        <v>37</v>
      </c>
      <c r="C16" s="209">
        <v>1027</v>
      </c>
      <c r="D16" s="209">
        <v>0</v>
      </c>
      <c r="E16" s="209">
        <v>1027</v>
      </c>
      <c r="F16" s="209">
        <v>2237</v>
      </c>
      <c r="G16" s="209">
        <v>3264</v>
      </c>
      <c r="H16" s="218">
        <v>0.68500000000000005</v>
      </c>
      <c r="I16" s="191">
        <v>2.2799999999999998</v>
      </c>
      <c r="J16" s="191">
        <v>1.06</v>
      </c>
      <c r="K16" s="4"/>
    </row>
    <row r="17" spans="1:11" ht="20.100000000000001" customHeight="1">
      <c r="A17" s="493"/>
      <c r="B17" s="224" t="s">
        <v>38</v>
      </c>
      <c r="C17" s="220">
        <v>1027</v>
      </c>
      <c r="D17" s="220">
        <v>0</v>
      </c>
      <c r="E17" s="220">
        <v>1027</v>
      </c>
      <c r="F17" s="220">
        <v>2237</v>
      </c>
      <c r="G17" s="220">
        <v>3264</v>
      </c>
      <c r="H17" s="221">
        <v>0.68500000000000005</v>
      </c>
      <c r="I17" s="194">
        <v>2.2799999999999998</v>
      </c>
      <c r="J17" s="194">
        <v>1.06</v>
      </c>
      <c r="K17" s="4"/>
    </row>
    <row r="18" spans="1:11" ht="20.100000000000001" customHeight="1">
      <c r="A18" s="493"/>
      <c r="B18" s="217" t="s">
        <v>82</v>
      </c>
      <c r="C18" s="209">
        <v>39657</v>
      </c>
      <c r="D18" s="209">
        <v>37000</v>
      </c>
      <c r="E18" s="209">
        <v>2657</v>
      </c>
      <c r="F18" s="209">
        <v>14758</v>
      </c>
      <c r="G18" s="209">
        <v>17415</v>
      </c>
      <c r="H18" s="218">
        <v>0.84700000000000009</v>
      </c>
      <c r="I18" s="191">
        <v>5.07</v>
      </c>
      <c r="J18" s="191">
        <v>0.16</v>
      </c>
      <c r="K18" s="4"/>
    </row>
    <row r="19" spans="1:11" ht="20.100000000000001" customHeight="1">
      <c r="A19" s="493"/>
      <c r="B19" s="224" t="s">
        <v>138</v>
      </c>
      <c r="C19" s="220">
        <v>39657</v>
      </c>
      <c r="D19" s="220">
        <v>37000</v>
      </c>
      <c r="E19" s="220">
        <v>2657</v>
      </c>
      <c r="F19" s="220">
        <v>14758</v>
      </c>
      <c r="G19" s="220">
        <v>17415</v>
      </c>
      <c r="H19" s="221">
        <v>0.84700000000000009</v>
      </c>
      <c r="I19" s="194">
        <v>5.07</v>
      </c>
      <c r="J19" s="194">
        <v>0.16</v>
      </c>
      <c r="K19" s="4"/>
    </row>
    <row r="20" spans="1:11" ht="20.100000000000001" customHeight="1">
      <c r="A20" s="493"/>
      <c r="B20" s="217" t="s">
        <v>13</v>
      </c>
      <c r="C20" s="209">
        <v>56006</v>
      </c>
      <c r="D20" s="209">
        <v>34087</v>
      </c>
      <c r="E20" s="209">
        <v>21919</v>
      </c>
      <c r="F20" s="209">
        <v>47468</v>
      </c>
      <c r="G20" s="209">
        <v>69387</v>
      </c>
      <c r="H20" s="218">
        <v>0.68400000000000005</v>
      </c>
      <c r="I20" s="191">
        <v>41.59</v>
      </c>
      <c r="J20" s="191">
        <v>0.55000000000000004</v>
      </c>
      <c r="K20" s="4"/>
    </row>
    <row r="21" spans="1:11" ht="20.100000000000001" customHeight="1">
      <c r="A21" s="493"/>
      <c r="B21" s="224" t="s">
        <v>14</v>
      </c>
      <c r="C21" s="220">
        <v>56006</v>
      </c>
      <c r="D21" s="220">
        <v>34087</v>
      </c>
      <c r="E21" s="220">
        <v>21919</v>
      </c>
      <c r="F21" s="220">
        <v>47468</v>
      </c>
      <c r="G21" s="220">
        <v>69387</v>
      </c>
      <c r="H21" s="221">
        <v>0.68400000000000005</v>
      </c>
      <c r="I21" s="194">
        <v>41.59</v>
      </c>
      <c r="J21" s="194">
        <v>0.55000000000000004</v>
      </c>
      <c r="K21" s="4"/>
    </row>
    <row r="22" spans="1:11" ht="20.100000000000001" customHeight="1">
      <c r="A22" s="493" t="s">
        <v>154</v>
      </c>
      <c r="B22" s="217" t="s">
        <v>25</v>
      </c>
      <c r="C22" s="209">
        <v>34329</v>
      </c>
      <c r="D22" s="209">
        <v>4632</v>
      </c>
      <c r="E22" s="209">
        <v>29697</v>
      </c>
      <c r="F22" s="209">
        <v>73713</v>
      </c>
      <c r="G22" s="209">
        <v>103410</v>
      </c>
      <c r="H22" s="218">
        <v>0.71299999999999997</v>
      </c>
      <c r="I22" s="191">
        <v>16.45</v>
      </c>
      <c r="J22" s="191">
        <v>0.55000000000000004</v>
      </c>
      <c r="K22" s="4"/>
    </row>
    <row r="23" spans="1:11" ht="20.100000000000001" customHeight="1">
      <c r="A23" s="493"/>
      <c r="B23" s="219" t="s">
        <v>26</v>
      </c>
      <c r="C23" s="220">
        <v>21787</v>
      </c>
      <c r="D23" s="220">
        <v>0</v>
      </c>
      <c r="E23" s="220">
        <v>21787</v>
      </c>
      <c r="F23" s="220">
        <v>47730</v>
      </c>
      <c r="G23" s="220">
        <v>69517</v>
      </c>
      <c r="H23" s="221">
        <v>0.68700000000000006</v>
      </c>
      <c r="I23" s="194">
        <v>25.66</v>
      </c>
      <c r="J23" s="194">
        <v>0.5</v>
      </c>
      <c r="K23" s="4"/>
    </row>
    <row r="24" spans="1:11" ht="20.100000000000001" customHeight="1">
      <c r="A24" s="493"/>
      <c r="B24" s="219" t="s">
        <v>140</v>
      </c>
      <c r="C24" s="220">
        <v>9431</v>
      </c>
      <c r="D24" s="220">
        <v>4632</v>
      </c>
      <c r="E24" s="220">
        <v>4799</v>
      </c>
      <c r="F24" s="220">
        <v>14656</v>
      </c>
      <c r="G24" s="220">
        <v>19455</v>
      </c>
      <c r="H24" s="221">
        <v>0.753</v>
      </c>
      <c r="I24" s="194">
        <v>10.52</v>
      </c>
      <c r="J24" s="194">
        <v>0.7</v>
      </c>
      <c r="K24" s="4"/>
    </row>
    <row r="25" spans="1:11" ht="20.100000000000001" customHeight="1">
      <c r="A25" s="493"/>
      <c r="B25" s="219" t="s">
        <v>29</v>
      </c>
      <c r="C25" s="220">
        <v>3111</v>
      </c>
      <c r="D25" s="220">
        <v>0</v>
      </c>
      <c r="E25" s="220">
        <v>3111</v>
      </c>
      <c r="F25" s="220">
        <v>11327</v>
      </c>
      <c r="G25" s="220">
        <v>14438</v>
      </c>
      <c r="H25" s="221">
        <v>0.78500000000000003</v>
      </c>
      <c r="I25" s="194">
        <v>6.22</v>
      </c>
      <c r="J25" s="194">
        <v>1.0900000000000001</v>
      </c>
      <c r="K25" s="4"/>
    </row>
    <row r="26" spans="1:11" ht="20.100000000000001" customHeight="1">
      <c r="A26" s="65" t="s">
        <v>141</v>
      </c>
      <c r="B26" s="175" t="s">
        <v>142</v>
      </c>
      <c r="C26" s="209">
        <v>198549</v>
      </c>
      <c r="D26" s="209">
        <v>92136</v>
      </c>
      <c r="E26" s="209">
        <v>106413</v>
      </c>
      <c r="F26" s="209">
        <v>263210</v>
      </c>
      <c r="G26" s="209">
        <v>369623</v>
      </c>
      <c r="H26" s="218">
        <v>0.71200000000000008</v>
      </c>
      <c r="I26" s="191">
        <v>16.79</v>
      </c>
      <c r="J26" s="191">
        <v>0.63</v>
      </c>
      <c r="K26" s="4"/>
    </row>
    <row r="27" spans="1:11" ht="61.5" customHeight="1">
      <c r="A27" s="491" t="s">
        <v>418</v>
      </c>
      <c r="B27" s="491"/>
      <c r="C27" s="491"/>
      <c r="D27" s="491"/>
      <c r="E27" s="491"/>
      <c r="F27" s="491"/>
      <c r="G27" s="491"/>
      <c r="H27" s="491"/>
      <c r="I27" s="491"/>
      <c r="J27" s="491"/>
    </row>
    <row r="28" spans="1:11" ht="60" customHeight="1"/>
    <row r="29" spans="1:11" ht="22.5" customHeight="1">
      <c r="A29" s="550" t="s">
        <v>419</v>
      </c>
      <c r="B29" s="543" t="s">
        <v>118</v>
      </c>
      <c r="C29" s="549" t="s">
        <v>409</v>
      </c>
      <c r="D29" s="549"/>
      <c r="E29" s="549"/>
      <c r="F29" s="549"/>
      <c r="G29" s="549" t="s">
        <v>410</v>
      </c>
      <c r="H29" s="549"/>
      <c r="I29" s="549"/>
      <c r="J29" s="549"/>
      <c r="K29" s="4"/>
    </row>
    <row r="30" spans="1:11" ht="39" customHeight="1">
      <c r="A30" s="550"/>
      <c r="B30" s="543"/>
      <c r="C30" s="3" t="s">
        <v>420</v>
      </c>
      <c r="D30" s="3" t="s">
        <v>421</v>
      </c>
      <c r="E30" s="3" t="s">
        <v>422</v>
      </c>
      <c r="F30" s="3" t="s">
        <v>85</v>
      </c>
      <c r="G30" s="3" t="s">
        <v>420</v>
      </c>
      <c r="H30" s="3" t="s">
        <v>421</v>
      </c>
      <c r="I30" s="3" t="s">
        <v>422</v>
      </c>
      <c r="J30" s="3" t="s">
        <v>85</v>
      </c>
      <c r="K30" s="4"/>
    </row>
    <row r="31" spans="1:11" ht="20.100000000000001" customHeight="1">
      <c r="A31" s="493" t="s">
        <v>129</v>
      </c>
      <c r="B31" s="217" t="s">
        <v>80</v>
      </c>
      <c r="C31" s="226">
        <v>16582</v>
      </c>
      <c r="D31" s="226">
        <v>2058</v>
      </c>
      <c r="E31" s="226">
        <v>0</v>
      </c>
      <c r="F31" s="226">
        <v>18640</v>
      </c>
      <c r="G31" s="226">
        <v>2659</v>
      </c>
      <c r="H31" s="226">
        <v>1679</v>
      </c>
      <c r="I31" s="226">
        <v>0</v>
      </c>
      <c r="J31" s="226">
        <v>4338</v>
      </c>
      <c r="K31" s="4"/>
    </row>
    <row r="32" spans="1:11" ht="20.100000000000001" customHeight="1">
      <c r="A32" s="493"/>
      <c r="B32" s="219" t="s">
        <v>130</v>
      </c>
      <c r="C32" s="227">
        <v>6061</v>
      </c>
      <c r="D32" s="227">
        <v>1826</v>
      </c>
      <c r="E32" s="227">
        <v>0</v>
      </c>
      <c r="F32" s="227">
        <v>7886</v>
      </c>
      <c r="G32" s="227">
        <v>2659</v>
      </c>
      <c r="H32" s="227">
        <v>0</v>
      </c>
      <c r="I32" s="228">
        <v>0</v>
      </c>
      <c r="J32" s="228">
        <v>2659</v>
      </c>
      <c r="K32" s="4"/>
    </row>
    <row r="33" spans="1:11" ht="20.100000000000001" customHeight="1">
      <c r="A33" s="493"/>
      <c r="B33" s="219" t="s">
        <v>131</v>
      </c>
      <c r="C33" s="227">
        <v>10521</v>
      </c>
      <c r="D33" s="227">
        <v>233</v>
      </c>
      <c r="E33" s="227">
        <v>0</v>
      </c>
      <c r="F33" s="227">
        <v>10754</v>
      </c>
      <c r="G33" s="227">
        <v>0</v>
      </c>
      <c r="H33" s="227">
        <v>1679</v>
      </c>
      <c r="I33" s="228">
        <v>0</v>
      </c>
      <c r="J33" s="228">
        <v>1679</v>
      </c>
      <c r="K33" s="4"/>
    </row>
    <row r="34" spans="1:11" ht="20.100000000000001" customHeight="1">
      <c r="A34" s="493" t="s">
        <v>132</v>
      </c>
      <c r="B34" s="217" t="s">
        <v>81</v>
      </c>
      <c r="C34" s="226">
        <v>2875</v>
      </c>
      <c r="D34" s="226">
        <v>0</v>
      </c>
      <c r="E34" s="226">
        <v>0</v>
      </c>
      <c r="F34" s="226">
        <v>2875</v>
      </c>
      <c r="G34" s="226">
        <v>0</v>
      </c>
      <c r="H34" s="226">
        <v>0</v>
      </c>
      <c r="I34" s="226">
        <v>0</v>
      </c>
      <c r="J34" s="226">
        <v>0</v>
      </c>
      <c r="K34" s="4"/>
    </row>
    <row r="35" spans="1:11" ht="20.100000000000001" customHeight="1">
      <c r="A35" s="493"/>
      <c r="B35" s="219" t="s">
        <v>133</v>
      </c>
      <c r="C35" s="227">
        <v>2875</v>
      </c>
      <c r="D35" s="227">
        <v>0</v>
      </c>
      <c r="E35" s="227">
        <v>0</v>
      </c>
      <c r="F35" s="227">
        <v>2875</v>
      </c>
      <c r="G35" s="227">
        <v>0</v>
      </c>
      <c r="H35" s="227">
        <v>0</v>
      </c>
      <c r="I35" s="228">
        <v>0</v>
      </c>
      <c r="J35" s="228">
        <v>0</v>
      </c>
      <c r="K35" s="4"/>
    </row>
    <row r="36" spans="1:11" ht="20.100000000000001" customHeight="1">
      <c r="A36" s="493"/>
      <c r="B36" s="217" t="s">
        <v>5</v>
      </c>
      <c r="C36" s="226">
        <v>9165</v>
      </c>
      <c r="D36" s="226">
        <v>2677</v>
      </c>
      <c r="E36" s="226">
        <v>5846</v>
      </c>
      <c r="F36" s="226">
        <v>17688</v>
      </c>
      <c r="G36" s="226">
        <v>0</v>
      </c>
      <c r="H36" s="226">
        <v>4491</v>
      </c>
      <c r="I36" s="226">
        <v>7258</v>
      </c>
      <c r="J36" s="226">
        <v>11749</v>
      </c>
      <c r="K36" s="4"/>
    </row>
    <row r="37" spans="1:11" ht="20.100000000000001" customHeight="1">
      <c r="A37" s="493"/>
      <c r="B37" s="219" t="s">
        <v>39</v>
      </c>
      <c r="C37" s="227">
        <v>328</v>
      </c>
      <c r="D37" s="227">
        <v>0</v>
      </c>
      <c r="E37" s="227">
        <v>3013</v>
      </c>
      <c r="F37" s="227">
        <v>3341</v>
      </c>
      <c r="G37" s="227">
        <v>0</v>
      </c>
      <c r="H37" s="227">
        <v>2393</v>
      </c>
      <c r="I37" s="228">
        <v>58</v>
      </c>
      <c r="J37" s="228">
        <v>2451</v>
      </c>
      <c r="K37" s="4"/>
    </row>
    <row r="38" spans="1:11" ht="20.100000000000001" customHeight="1">
      <c r="A38" s="493"/>
      <c r="B38" s="219" t="s">
        <v>135</v>
      </c>
      <c r="C38" s="227">
        <v>318</v>
      </c>
      <c r="D38" s="227">
        <v>1797</v>
      </c>
      <c r="E38" s="227">
        <v>0</v>
      </c>
      <c r="F38" s="227">
        <v>2115</v>
      </c>
      <c r="G38" s="227">
        <v>0</v>
      </c>
      <c r="H38" s="227">
        <v>2098</v>
      </c>
      <c r="I38" s="228">
        <v>0</v>
      </c>
      <c r="J38" s="228">
        <v>2098</v>
      </c>
      <c r="K38" s="4"/>
    </row>
    <row r="39" spans="1:11" ht="20.100000000000001" customHeight="1">
      <c r="A39" s="493"/>
      <c r="B39" s="219" t="s">
        <v>417</v>
      </c>
      <c r="C39" s="227">
        <v>4678</v>
      </c>
      <c r="D39" s="227">
        <v>268</v>
      </c>
      <c r="E39" s="227">
        <v>2833</v>
      </c>
      <c r="F39" s="227">
        <v>7779</v>
      </c>
      <c r="G39" s="227">
        <v>0</v>
      </c>
      <c r="H39" s="227">
        <v>0</v>
      </c>
      <c r="I39" s="228">
        <v>4590</v>
      </c>
      <c r="J39" s="228">
        <v>4590</v>
      </c>
      <c r="K39" s="4"/>
    </row>
    <row r="40" spans="1:11" ht="20.100000000000001" customHeight="1">
      <c r="A40" s="493"/>
      <c r="B40" s="219" t="s">
        <v>136</v>
      </c>
      <c r="C40" s="227">
        <v>3841</v>
      </c>
      <c r="D40" s="227">
        <v>612</v>
      </c>
      <c r="E40" s="227">
        <v>0</v>
      </c>
      <c r="F40" s="227">
        <v>4453</v>
      </c>
      <c r="G40" s="227">
        <v>0</v>
      </c>
      <c r="H40" s="227">
        <v>0</v>
      </c>
      <c r="I40" s="228">
        <v>2610</v>
      </c>
      <c r="J40" s="228">
        <v>2610</v>
      </c>
      <c r="K40" s="4"/>
    </row>
    <row r="41" spans="1:11" ht="20.100000000000001" customHeight="1">
      <c r="A41" s="493"/>
      <c r="B41" s="217" t="s">
        <v>9</v>
      </c>
      <c r="C41" s="226">
        <v>1952</v>
      </c>
      <c r="D41" s="226">
        <v>0</v>
      </c>
      <c r="E41" s="226">
        <v>26374</v>
      </c>
      <c r="F41" s="226">
        <v>28326</v>
      </c>
      <c r="G41" s="226">
        <v>145</v>
      </c>
      <c r="H41" s="226">
        <v>0</v>
      </c>
      <c r="I41" s="226">
        <v>74</v>
      </c>
      <c r="J41" s="226">
        <v>219</v>
      </c>
      <c r="K41" s="4"/>
    </row>
    <row r="42" spans="1:11" ht="20.100000000000001" customHeight="1">
      <c r="A42" s="493"/>
      <c r="B42" s="219" t="s">
        <v>10</v>
      </c>
      <c r="C42" s="227">
        <v>1952</v>
      </c>
      <c r="D42" s="227">
        <v>0</v>
      </c>
      <c r="E42" s="227">
        <v>26374</v>
      </c>
      <c r="F42" s="227">
        <v>28326</v>
      </c>
      <c r="G42" s="227">
        <v>145</v>
      </c>
      <c r="H42" s="227">
        <v>0</v>
      </c>
      <c r="I42" s="228">
        <v>74</v>
      </c>
      <c r="J42" s="228">
        <v>219</v>
      </c>
      <c r="K42" s="4"/>
    </row>
    <row r="43" spans="1:11" ht="20.100000000000001" customHeight="1">
      <c r="A43" s="493" t="s">
        <v>137</v>
      </c>
      <c r="B43" s="229" t="s">
        <v>37</v>
      </c>
      <c r="C43" s="226">
        <v>916</v>
      </c>
      <c r="D43" s="226">
        <v>111</v>
      </c>
      <c r="E43" s="226">
        <v>0</v>
      </c>
      <c r="F43" s="226">
        <v>1027</v>
      </c>
      <c r="G43" s="226">
        <v>0</v>
      </c>
      <c r="H43" s="226">
        <v>0</v>
      </c>
      <c r="I43" s="226">
        <v>18</v>
      </c>
      <c r="J43" s="226">
        <v>18</v>
      </c>
      <c r="K43" s="4"/>
    </row>
    <row r="44" spans="1:11" ht="20.100000000000001" customHeight="1">
      <c r="A44" s="493"/>
      <c r="B44" s="219" t="s">
        <v>38</v>
      </c>
      <c r="C44" s="227">
        <v>916</v>
      </c>
      <c r="D44" s="227">
        <v>111</v>
      </c>
      <c r="E44" s="227">
        <v>0</v>
      </c>
      <c r="F44" s="227">
        <v>1027</v>
      </c>
      <c r="G44" s="227">
        <v>0</v>
      </c>
      <c r="H44" s="227">
        <v>0</v>
      </c>
      <c r="I44" s="228">
        <v>18</v>
      </c>
      <c r="J44" s="228">
        <v>18</v>
      </c>
      <c r="K44" s="4"/>
    </row>
    <row r="45" spans="1:11" ht="20.100000000000001" customHeight="1">
      <c r="A45" s="493"/>
      <c r="B45" s="217" t="s">
        <v>82</v>
      </c>
      <c r="C45" s="226">
        <v>1479</v>
      </c>
      <c r="D45" s="226">
        <v>38178</v>
      </c>
      <c r="E45" s="226">
        <v>0</v>
      </c>
      <c r="F45" s="226">
        <v>39657</v>
      </c>
      <c r="G45" s="226">
        <v>0</v>
      </c>
      <c r="H45" s="226">
        <v>37000</v>
      </c>
      <c r="I45" s="226">
        <v>0</v>
      </c>
      <c r="J45" s="226">
        <v>37000</v>
      </c>
      <c r="K45" s="4"/>
    </row>
    <row r="46" spans="1:11" ht="20.100000000000001" customHeight="1">
      <c r="A46" s="493"/>
      <c r="B46" s="219" t="s">
        <v>138</v>
      </c>
      <c r="C46" s="227">
        <v>1479</v>
      </c>
      <c r="D46" s="227">
        <v>38178</v>
      </c>
      <c r="E46" s="227">
        <v>0</v>
      </c>
      <c r="F46" s="227">
        <v>39657</v>
      </c>
      <c r="G46" s="227">
        <v>0</v>
      </c>
      <c r="H46" s="227">
        <v>37000</v>
      </c>
      <c r="I46" s="228">
        <v>0</v>
      </c>
      <c r="J46" s="228">
        <v>37000</v>
      </c>
      <c r="K46" s="4"/>
    </row>
    <row r="47" spans="1:11" ht="20.100000000000001" customHeight="1">
      <c r="A47" s="493"/>
      <c r="B47" s="217" t="s">
        <v>13</v>
      </c>
      <c r="C47" s="226">
        <v>35448</v>
      </c>
      <c r="D47" s="226">
        <v>0</v>
      </c>
      <c r="E47" s="226">
        <v>20558</v>
      </c>
      <c r="F47" s="226">
        <v>56006</v>
      </c>
      <c r="G47" s="226">
        <v>16314</v>
      </c>
      <c r="H47" s="226">
        <v>17773</v>
      </c>
      <c r="I47" s="226">
        <v>0</v>
      </c>
      <c r="J47" s="226">
        <v>34087</v>
      </c>
      <c r="K47" s="4"/>
    </row>
    <row r="48" spans="1:11" ht="20.100000000000001" customHeight="1">
      <c r="A48" s="493"/>
      <c r="B48" s="219" t="s">
        <v>14</v>
      </c>
      <c r="C48" s="227">
        <v>35448</v>
      </c>
      <c r="D48" s="227">
        <v>0</v>
      </c>
      <c r="E48" s="227">
        <v>20558</v>
      </c>
      <c r="F48" s="227">
        <v>56006</v>
      </c>
      <c r="G48" s="227">
        <v>16314</v>
      </c>
      <c r="H48" s="227">
        <v>17773</v>
      </c>
      <c r="I48" s="228">
        <v>0</v>
      </c>
      <c r="J48" s="228">
        <v>34087</v>
      </c>
      <c r="K48" s="4"/>
    </row>
    <row r="49" spans="1:11" ht="20.100000000000001" customHeight="1">
      <c r="A49" s="493" t="s">
        <v>154</v>
      </c>
      <c r="B49" s="217" t="s">
        <v>25</v>
      </c>
      <c r="C49" s="226">
        <v>10143</v>
      </c>
      <c r="D49" s="226">
        <v>5722</v>
      </c>
      <c r="E49" s="226">
        <v>18464</v>
      </c>
      <c r="F49" s="226">
        <v>34329</v>
      </c>
      <c r="G49" s="226">
        <v>0</v>
      </c>
      <c r="H49" s="226">
        <v>0</v>
      </c>
      <c r="I49" s="226">
        <v>4632</v>
      </c>
      <c r="J49" s="226">
        <v>4632</v>
      </c>
      <c r="K49" s="4"/>
    </row>
    <row r="50" spans="1:11" ht="20.100000000000001" customHeight="1">
      <c r="A50" s="493"/>
      <c r="B50" s="219" t="s">
        <v>26</v>
      </c>
      <c r="C50" s="227">
        <v>7692</v>
      </c>
      <c r="D50" s="227">
        <v>4002</v>
      </c>
      <c r="E50" s="227">
        <v>10093</v>
      </c>
      <c r="F50" s="227">
        <v>21787</v>
      </c>
      <c r="G50" s="227">
        <v>0</v>
      </c>
      <c r="H50" s="227">
        <v>0</v>
      </c>
      <c r="I50" s="228">
        <v>0</v>
      </c>
      <c r="J50" s="228">
        <v>0</v>
      </c>
      <c r="K50" s="4"/>
    </row>
    <row r="51" spans="1:11" ht="20.100000000000001" customHeight="1">
      <c r="A51" s="493"/>
      <c r="B51" s="219" t="s">
        <v>140</v>
      </c>
      <c r="C51" s="227">
        <v>2408</v>
      </c>
      <c r="D51" s="227">
        <v>0</v>
      </c>
      <c r="E51" s="227">
        <v>7023</v>
      </c>
      <c r="F51" s="227">
        <v>9431</v>
      </c>
      <c r="G51" s="227">
        <v>0</v>
      </c>
      <c r="H51" s="227">
        <v>0</v>
      </c>
      <c r="I51" s="228">
        <v>4632</v>
      </c>
      <c r="J51" s="228">
        <v>4632</v>
      </c>
      <c r="K51" s="4"/>
    </row>
    <row r="52" spans="1:11" ht="20.100000000000001" customHeight="1">
      <c r="A52" s="493"/>
      <c r="B52" s="219" t="s">
        <v>29</v>
      </c>
      <c r="C52" s="227">
        <v>43</v>
      </c>
      <c r="D52" s="227">
        <v>1720</v>
      </c>
      <c r="E52" s="227">
        <v>1348</v>
      </c>
      <c r="F52" s="227">
        <v>3111</v>
      </c>
      <c r="G52" s="227">
        <v>0</v>
      </c>
      <c r="H52" s="227">
        <v>0</v>
      </c>
      <c r="I52" s="228">
        <v>0</v>
      </c>
      <c r="J52" s="228">
        <v>0</v>
      </c>
      <c r="K52" s="4"/>
    </row>
    <row r="53" spans="1:11" ht="20.100000000000001" customHeight="1">
      <c r="A53" s="65" t="s">
        <v>141</v>
      </c>
      <c r="B53" s="175" t="s">
        <v>142</v>
      </c>
      <c r="C53" s="226">
        <v>78560</v>
      </c>
      <c r="D53" s="226">
        <v>48747</v>
      </c>
      <c r="E53" s="226">
        <v>71242</v>
      </c>
      <c r="F53" s="226">
        <v>198549</v>
      </c>
      <c r="G53" s="226">
        <v>19118</v>
      </c>
      <c r="H53" s="226">
        <v>60943</v>
      </c>
      <c r="I53" s="226">
        <v>11982</v>
      </c>
      <c r="J53" s="226">
        <v>92043</v>
      </c>
      <c r="K53" s="4"/>
    </row>
    <row r="54" spans="1:11" ht="69.75" customHeight="1">
      <c r="A54" s="541" t="s">
        <v>1058</v>
      </c>
      <c r="B54" s="480"/>
      <c r="C54" s="480"/>
      <c r="D54" s="480"/>
      <c r="E54" s="480"/>
      <c r="F54" s="480"/>
      <c r="G54" s="480"/>
      <c r="H54" s="480"/>
      <c r="I54" s="480"/>
      <c r="J54" s="480"/>
    </row>
    <row r="55" spans="1:11" ht="60" customHeight="1"/>
    <row r="56" spans="1:11" ht="39.950000000000003" customHeight="1">
      <c r="A56" s="2" t="s">
        <v>423</v>
      </c>
      <c r="B56" s="3" t="s">
        <v>118</v>
      </c>
      <c r="C56" s="3" t="s">
        <v>424</v>
      </c>
      <c r="D56" s="3" t="s">
        <v>425</v>
      </c>
      <c r="E56" s="3" t="s">
        <v>426</v>
      </c>
      <c r="F56" s="3" t="s">
        <v>427</v>
      </c>
      <c r="G56" s="428" t="s">
        <v>453</v>
      </c>
      <c r="H56" s="3" t="s">
        <v>428</v>
      </c>
      <c r="I56" s="4"/>
    </row>
    <row r="57" spans="1:11" ht="20.100000000000001" customHeight="1">
      <c r="A57" s="493" t="s">
        <v>129</v>
      </c>
      <c r="B57" s="217" t="s">
        <v>80</v>
      </c>
      <c r="C57" s="226">
        <v>0</v>
      </c>
      <c r="D57" s="226">
        <v>1679</v>
      </c>
      <c r="E57" s="226">
        <v>0</v>
      </c>
      <c r="F57" s="226">
        <v>1012</v>
      </c>
      <c r="G57" s="226">
        <v>0</v>
      </c>
      <c r="H57" s="226">
        <v>2690</v>
      </c>
      <c r="I57" s="4"/>
    </row>
    <row r="58" spans="1:11" ht="20.100000000000001" customHeight="1">
      <c r="A58" s="493"/>
      <c r="B58" s="219" t="s">
        <v>130</v>
      </c>
      <c r="C58" s="227">
        <v>0</v>
      </c>
      <c r="D58" s="227">
        <v>0</v>
      </c>
      <c r="E58" s="227">
        <v>0</v>
      </c>
      <c r="F58" s="227">
        <v>1012</v>
      </c>
      <c r="G58" s="227">
        <v>0</v>
      </c>
      <c r="H58" s="227">
        <v>1012</v>
      </c>
      <c r="I58" s="4"/>
    </row>
    <row r="59" spans="1:11" ht="20.100000000000001" customHeight="1">
      <c r="A59" s="493"/>
      <c r="B59" s="219" t="s">
        <v>131</v>
      </c>
      <c r="C59" s="227">
        <v>0</v>
      </c>
      <c r="D59" s="227">
        <v>1679</v>
      </c>
      <c r="E59" s="227">
        <v>0</v>
      </c>
      <c r="F59" s="227">
        <v>0</v>
      </c>
      <c r="G59" s="227">
        <v>0</v>
      </c>
      <c r="H59" s="227">
        <v>1679</v>
      </c>
      <c r="I59" s="4"/>
    </row>
    <row r="60" spans="1:11" ht="20.100000000000001" customHeight="1">
      <c r="A60" s="493" t="s">
        <v>132</v>
      </c>
      <c r="B60" s="217" t="s">
        <v>81</v>
      </c>
      <c r="C60" s="226">
        <v>0</v>
      </c>
      <c r="D60" s="226">
        <v>0</v>
      </c>
      <c r="E60" s="226">
        <v>0</v>
      </c>
      <c r="F60" s="226">
        <v>0</v>
      </c>
      <c r="G60" s="226">
        <v>0</v>
      </c>
      <c r="H60" s="226">
        <v>0</v>
      </c>
      <c r="I60" s="4"/>
    </row>
    <row r="61" spans="1:11" ht="20.100000000000001" customHeight="1">
      <c r="A61" s="493"/>
      <c r="B61" s="219" t="s">
        <v>133</v>
      </c>
      <c r="C61" s="227">
        <v>0</v>
      </c>
      <c r="D61" s="227">
        <v>0</v>
      </c>
      <c r="E61" s="227">
        <v>0</v>
      </c>
      <c r="F61" s="227">
        <v>0</v>
      </c>
      <c r="G61" s="227">
        <v>0</v>
      </c>
      <c r="H61" s="227">
        <v>0</v>
      </c>
      <c r="I61" s="4"/>
    </row>
    <row r="62" spans="1:11" ht="20.100000000000001" customHeight="1">
      <c r="A62" s="493"/>
      <c r="B62" s="217" t="s">
        <v>5</v>
      </c>
      <c r="C62" s="226">
        <v>0</v>
      </c>
      <c r="D62" s="226">
        <v>8527</v>
      </c>
      <c r="E62" s="226">
        <v>0</v>
      </c>
      <c r="F62" s="226">
        <v>0</v>
      </c>
      <c r="G62" s="226">
        <v>58</v>
      </c>
      <c r="H62" s="226">
        <v>8585</v>
      </c>
      <c r="I62" s="4"/>
    </row>
    <row r="63" spans="1:11" ht="20.100000000000001" customHeight="1">
      <c r="A63" s="493"/>
      <c r="B63" s="219" t="s">
        <v>39</v>
      </c>
      <c r="C63" s="227">
        <v>0</v>
      </c>
      <c r="D63" s="227">
        <v>2393</v>
      </c>
      <c r="E63" s="227">
        <v>0</v>
      </c>
      <c r="F63" s="227">
        <v>0</v>
      </c>
      <c r="G63" s="227">
        <v>58</v>
      </c>
      <c r="H63" s="227">
        <v>2451</v>
      </c>
      <c r="I63" s="4"/>
    </row>
    <row r="64" spans="1:11" ht="20.100000000000001" customHeight="1">
      <c r="A64" s="493"/>
      <c r="B64" s="219" t="s">
        <v>135</v>
      </c>
      <c r="C64" s="227">
        <v>0</v>
      </c>
      <c r="D64" s="227">
        <v>2098</v>
      </c>
      <c r="E64" s="227">
        <v>0</v>
      </c>
      <c r="F64" s="227">
        <v>0</v>
      </c>
      <c r="G64" s="227">
        <v>0</v>
      </c>
      <c r="H64" s="227">
        <v>2098</v>
      </c>
      <c r="I64" s="4"/>
    </row>
    <row r="65" spans="1:9" ht="20.100000000000001" customHeight="1">
      <c r="A65" s="493"/>
      <c r="B65" s="219" t="s">
        <v>429</v>
      </c>
      <c r="C65" s="227">
        <v>0</v>
      </c>
      <c r="D65" s="227">
        <v>1426</v>
      </c>
      <c r="E65" s="227">
        <v>0</v>
      </c>
      <c r="F65" s="227">
        <v>0</v>
      </c>
      <c r="G65" s="227">
        <v>0</v>
      </c>
      <c r="H65" s="227">
        <v>1426</v>
      </c>
      <c r="I65" s="4"/>
    </row>
    <row r="66" spans="1:9" ht="20.100000000000001" customHeight="1">
      <c r="A66" s="493"/>
      <c r="B66" s="219" t="s">
        <v>136</v>
      </c>
      <c r="C66" s="227">
        <v>0</v>
      </c>
      <c r="D66" s="227">
        <v>2610</v>
      </c>
      <c r="E66" s="227">
        <v>0</v>
      </c>
      <c r="F66" s="227">
        <v>0</v>
      </c>
      <c r="G66" s="227">
        <v>0</v>
      </c>
      <c r="H66" s="227">
        <v>2610</v>
      </c>
      <c r="I66" s="4"/>
    </row>
    <row r="67" spans="1:9" ht="20.100000000000001" customHeight="1">
      <c r="A67" s="493"/>
      <c r="B67" s="217" t="s">
        <v>9</v>
      </c>
      <c r="C67" s="226">
        <v>0</v>
      </c>
      <c r="D67" s="226">
        <v>219</v>
      </c>
      <c r="E67" s="226">
        <v>0</v>
      </c>
      <c r="F67" s="226">
        <v>0</v>
      </c>
      <c r="G67" s="226">
        <v>0</v>
      </c>
      <c r="H67" s="226">
        <v>219</v>
      </c>
      <c r="I67" s="20"/>
    </row>
    <row r="68" spans="1:9" ht="20.100000000000001" customHeight="1">
      <c r="A68" s="493"/>
      <c r="B68" s="224" t="s">
        <v>10</v>
      </c>
      <c r="C68" s="230">
        <v>0</v>
      </c>
      <c r="D68" s="227">
        <v>219</v>
      </c>
      <c r="E68" s="227">
        <v>0</v>
      </c>
      <c r="F68" s="227">
        <v>0</v>
      </c>
      <c r="G68" s="227">
        <v>0</v>
      </c>
      <c r="H68" s="227">
        <v>219</v>
      </c>
      <c r="I68" s="4"/>
    </row>
    <row r="69" spans="1:9" ht="20.100000000000001" customHeight="1">
      <c r="A69" s="493" t="s">
        <v>137</v>
      </c>
      <c r="B69" s="217" t="s">
        <v>37</v>
      </c>
      <c r="C69" s="226">
        <v>0</v>
      </c>
      <c r="D69" s="226">
        <v>0</v>
      </c>
      <c r="E69" s="226">
        <v>0</v>
      </c>
      <c r="F69" s="226">
        <v>0</v>
      </c>
      <c r="G69" s="226">
        <v>0</v>
      </c>
      <c r="H69" s="226">
        <v>0</v>
      </c>
      <c r="I69" s="4"/>
    </row>
    <row r="70" spans="1:9" ht="20.100000000000001" customHeight="1">
      <c r="A70" s="493"/>
      <c r="B70" s="224" t="s">
        <v>38</v>
      </c>
      <c r="C70" s="227">
        <v>0</v>
      </c>
      <c r="D70" s="227">
        <v>0</v>
      </c>
      <c r="E70" s="227">
        <v>0</v>
      </c>
      <c r="F70" s="227">
        <v>0</v>
      </c>
      <c r="G70" s="227">
        <v>0</v>
      </c>
      <c r="H70" s="227">
        <v>0</v>
      </c>
      <c r="I70" s="4"/>
    </row>
    <row r="71" spans="1:9" ht="20.100000000000001" customHeight="1">
      <c r="A71" s="493"/>
      <c r="B71" s="217" t="s">
        <v>82</v>
      </c>
      <c r="C71" s="226">
        <v>0</v>
      </c>
      <c r="D71" s="226">
        <v>37000</v>
      </c>
      <c r="E71" s="226">
        <v>0</v>
      </c>
      <c r="F71" s="226">
        <v>0</v>
      </c>
      <c r="G71" s="226">
        <v>0</v>
      </c>
      <c r="H71" s="226">
        <v>37000</v>
      </c>
      <c r="I71" s="4"/>
    </row>
    <row r="72" spans="1:9" ht="20.100000000000001" customHeight="1">
      <c r="A72" s="493"/>
      <c r="B72" s="224" t="s">
        <v>138</v>
      </c>
      <c r="C72" s="227">
        <v>0</v>
      </c>
      <c r="D72" s="227">
        <v>37000</v>
      </c>
      <c r="E72" s="227">
        <v>0</v>
      </c>
      <c r="F72" s="227">
        <v>0</v>
      </c>
      <c r="G72" s="227">
        <v>0</v>
      </c>
      <c r="H72" s="227">
        <v>37000</v>
      </c>
      <c r="I72" s="4"/>
    </row>
    <row r="73" spans="1:9" ht="20.100000000000001" customHeight="1">
      <c r="A73" s="493"/>
      <c r="B73" s="217" t="s">
        <v>13</v>
      </c>
      <c r="C73" s="226">
        <v>17773</v>
      </c>
      <c r="D73" s="226">
        <v>0</v>
      </c>
      <c r="E73" s="226">
        <v>0</v>
      </c>
      <c r="F73" s="226">
        <v>16314</v>
      </c>
      <c r="G73" s="226">
        <v>0</v>
      </c>
      <c r="H73" s="226">
        <v>34087</v>
      </c>
      <c r="I73" s="4"/>
    </row>
    <row r="74" spans="1:9" ht="20.100000000000001" customHeight="1">
      <c r="A74" s="493"/>
      <c r="B74" s="224" t="s">
        <v>14</v>
      </c>
      <c r="C74" s="227">
        <v>17773</v>
      </c>
      <c r="D74" s="227">
        <v>0</v>
      </c>
      <c r="E74" s="227">
        <v>0</v>
      </c>
      <c r="F74" s="227">
        <v>16314</v>
      </c>
      <c r="G74" s="227">
        <v>0</v>
      </c>
      <c r="H74" s="227">
        <v>34087</v>
      </c>
      <c r="I74" s="4"/>
    </row>
    <row r="75" spans="1:9" ht="20.100000000000001" customHeight="1">
      <c r="A75" s="493" t="s">
        <v>154</v>
      </c>
      <c r="B75" s="217" t="s">
        <v>25</v>
      </c>
      <c r="C75" s="226">
        <v>0</v>
      </c>
      <c r="D75" s="226">
        <v>0</v>
      </c>
      <c r="E75" s="226">
        <v>0</v>
      </c>
      <c r="F75" s="226">
        <v>0</v>
      </c>
      <c r="G75" s="226">
        <v>0</v>
      </c>
      <c r="H75" s="226">
        <v>0</v>
      </c>
      <c r="I75" s="4"/>
    </row>
    <row r="76" spans="1:9" ht="20.100000000000001" customHeight="1">
      <c r="A76" s="493"/>
      <c r="B76" s="219" t="s">
        <v>26</v>
      </c>
      <c r="C76" s="227">
        <v>0</v>
      </c>
      <c r="D76" s="227">
        <v>0</v>
      </c>
      <c r="E76" s="227">
        <v>0</v>
      </c>
      <c r="F76" s="227">
        <v>0</v>
      </c>
      <c r="G76" s="227">
        <v>0</v>
      </c>
      <c r="H76" s="227">
        <v>0</v>
      </c>
      <c r="I76" s="4"/>
    </row>
    <row r="77" spans="1:9" ht="20.100000000000001" customHeight="1">
      <c r="A77" s="493"/>
      <c r="B77" s="219" t="s">
        <v>140</v>
      </c>
      <c r="C77" s="227">
        <v>0</v>
      </c>
      <c r="D77" s="227">
        <v>0</v>
      </c>
      <c r="E77" s="227">
        <v>0</v>
      </c>
      <c r="F77" s="227">
        <v>0</v>
      </c>
      <c r="G77" s="227">
        <v>0</v>
      </c>
      <c r="H77" s="227">
        <v>0</v>
      </c>
      <c r="I77" s="4"/>
    </row>
    <row r="78" spans="1:9" ht="20.100000000000001" customHeight="1">
      <c r="A78" s="493"/>
      <c r="B78" s="219" t="s">
        <v>29</v>
      </c>
      <c r="C78" s="227">
        <v>0</v>
      </c>
      <c r="D78" s="227">
        <v>0</v>
      </c>
      <c r="E78" s="227">
        <v>0</v>
      </c>
      <c r="F78" s="227">
        <v>0</v>
      </c>
      <c r="G78" s="227">
        <v>0</v>
      </c>
      <c r="H78" s="227">
        <v>0</v>
      </c>
      <c r="I78" s="4"/>
    </row>
    <row r="79" spans="1:9" ht="20.100000000000001" customHeight="1">
      <c r="A79" s="65" t="s">
        <v>141</v>
      </c>
      <c r="B79" s="175" t="s">
        <v>142</v>
      </c>
      <c r="C79" s="226">
        <v>17773</v>
      </c>
      <c r="D79" s="226">
        <v>47425</v>
      </c>
      <c r="E79" s="226">
        <v>0</v>
      </c>
      <c r="F79" s="226">
        <v>17326</v>
      </c>
      <c r="G79" s="226">
        <v>58</v>
      </c>
      <c r="H79" s="226">
        <v>82581</v>
      </c>
      <c r="I79" s="4"/>
    </row>
    <row r="80" spans="1:9" ht="63" customHeight="1">
      <c r="A80" s="541" t="s">
        <v>1059</v>
      </c>
      <c r="B80" s="480"/>
      <c r="C80" s="480"/>
      <c r="D80" s="480"/>
      <c r="E80" s="480"/>
      <c r="F80" s="480"/>
      <c r="G80" s="480"/>
      <c r="H80" s="480"/>
    </row>
    <row r="81" spans="1:9" ht="60" customHeight="1"/>
    <row r="82" spans="1:9" ht="49.15" customHeight="1">
      <c r="A82" s="2" t="s">
        <v>430</v>
      </c>
      <c r="B82" s="3" t="s">
        <v>118</v>
      </c>
      <c r="C82" s="428" t="s">
        <v>452</v>
      </c>
      <c r="D82" s="3" t="s">
        <v>431</v>
      </c>
      <c r="E82" s="3" t="s">
        <v>432</v>
      </c>
      <c r="F82" s="3" t="s">
        <v>433</v>
      </c>
      <c r="G82" s="3" t="s">
        <v>434</v>
      </c>
      <c r="H82" s="3" t="s">
        <v>435</v>
      </c>
      <c r="I82" s="4"/>
    </row>
    <row r="83" spans="1:9" ht="20.100000000000001" customHeight="1">
      <c r="A83" s="493" t="s">
        <v>129</v>
      </c>
      <c r="B83" s="217" t="s">
        <v>80</v>
      </c>
      <c r="C83" s="226">
        <v>0</v>
      </c>
      <c r="D83" s="226">
        <v>0</v>
      </c>
      <c r="E83" s="226">
        <v>0</v>
      </c>
      <c r="F83" s="226">
        <v>1648</v>
      </c>
      <c r="G83" s="226">
        <v>0</v>
      </c>
      <c r="H83" s="226">
        <v>1648</v>
      </c>
      <c r="I83" s="4"/>
    </row>
    <row r="84" spans="1:9" ht="20.100000000000001" customHeight="1">
      <c r="A84" s="493"/>
      <c r="B84" s="219" t="s">
        <v>130</v>
      </c>
      <c r="C84" s="227">
        <v>0</v>
      </c>
      <c r="D84" s="227">
        <v>0</v>
      </c>
      <c r="E84" s="227">
        <v>0</v>
      </c>
      <c r="F84" s="227">
        <v>1648</v>
      </c>
      <c r="G84" s="227">
        <v>0</v>
      </c>
      <c r="H84" s="227">
        <v>1648</v>
      </c>
      <c r="I84" s="4"/>
    </row>
    <row r="85" spans="1:9" ht="20.100000000000001" customHeight="1">
      <c r="A85" s="493"/>
      <c r="B85" s="219" t="s">
        <v>131</v>
      </c>
      <c r="C85" s="227">
        <v>0</v>
      </c>
      <c r="D85" s="227">
        <v>0</v>
      </c>
      <c r="E85" s="227">
        <v>0</v>
      </c>
      <c r="F85" s="227">
        <v>0</v>
      </c>
      <c r="G85" s="227">
        <v>0</v>
      </c>
      <c r="H85" s="227">
        <v>0</v>
      </c>
      <c r="I85" s="4"/>
    </row>
    <row r="86" spans="1:9" ht="20.100000000000001" customHeight="1">
      <c r="A86" s="493" t="s">
        <v>132</v>
      </c>
      <c r="B86" s="217" t="s">
        <v>81</v>
      </c>
      <c r="C86" s="226">
        <v>0</v>
      </c>
      <c r="D86" s="226">
        <v>0</v>
      </c>
      <c r="E86" s="226">
        <v>0</v>
      </c>
      <c r="F86" s="226">
        <v>111</v>
      </c>
      <c r="G86" s="226">
        <v>0</v>
      </c>
      <c r="H86" s="226">
        <v>111</v>
      </c>
      <c r="I86" s="4"/>
    </row>
    <row r="87" spans="1:9" ht="20.100000000000001" customHeight="1">
      <c r="A87" s="493"/>
      <c r="B87" s="219" t="s">
        <v>133</v>
      </c>
      <c r="C87" s="227">
        <v>0</v>
      </c>
      <c r="D87" s="227">
        <v>0</v>
      </c>
      <c r="E87" s="227">
        <v>0</v>
      </c>
      <c r="F87" s="227">
        <v>111</v>
      </c>
      <c r="G87" s="227">
        <v>0</v>
      </c>
      <c r="H87" s="227">
        <v>111</v>
      </c>
      <c r="I87" s="4"/>
    </row>
    <row r="88" spans="1:9" ht="20.100000000000001" customHeight="1">
      <c r="A88" s="493"/>
      <c r="B88" s="217" t="s">
        <v>5</v>
      </c>
      <c r="C88" s="226">
        <v>0</v>
      </c>
      <c r="D88" s="226">
        <v>0</v>
      </c>
      <c r="E88" s="226">
        <v>0</v>
      </c>
      <c r="F88" s="226">
        <v>3164</v>
      </c>
      <c r="G88" s="226">
        <v>0</v>
      </c>
      <c r="H88" s="226">
        <v>3164</v>
      </c>
      <c r="I88" s="4"/>
    </row>
    <row r="89" spans="1:9" ht="20.100000000000001" customHeight="1">
      <c r="A89" s="493"/>
      <c r="B89" s="219" t="s">
        <v>39</v>
      </c>
      <c r="C89" s="227">
        <v>0</v>
      </c>
      <c r="D89" s="227">
        <v>0</v>
      </c>
      <c r="E89" s="227">
        <v>0</v>
      </c>
      <c r="F89" s="227">
        <v>0</v>
      </c>
      <c r="G89" s="227">
        <v>0</v>
      </c>
      <c r="H89" s="227">
        <v>0</v>
      </c>
      <c r="I89" s="4"/>
    </row>
    <row r="90" spans="1:9" ht="20.100000000000001" customHeight="1">
      <c r="A90" s="493"/>
      <c r="B90" s="219" t="s">
        <v>135</v>
      </c>
      <c r="C90" s="227">
        <v>0</v>
      </c>
      <c r="D90" s="227">
        <v>0</v>
      </c>
      <c r="E90" s="227">
        <v>0</v>
      </c>
      <c r="F90" s="227">
        <v>0</v>
      </c>
      <c r="G90" s="227">
        <v>0</v>
      </c>
      <c r="H90" s="227">
        <v>0</v>
      </c>
      <c r="I90" s="4"/>
    </row>
    <row r="91" spans="1:9" ht="20.100000000000001" customHeight="1">
      <c r="A91" s="493"/>
      <c r="B91" s="219" t="s">
        <v>436</v>
      </c>
      <c r="C91" s="227">
        <v>0</v>
      </c>
      <c r="D91" s="227">
        <v>0</v>
      </c>
      <c r="E91" s="227">
        <v>0</v>
      </c>
      <c r="F91" s="227">
        <v>3164</v>
      </c>
      <c r="G91" s="227">
        <v>0</v>
      </c>
      <c r="H91" s="227">
        <v>3164</v>
      </c>
      <c r="I91" s="4"/>
    </row>
    <row r="92" spans="1:9" ht="20.100000000000001" customHeight="1">
      <c r="A92" s="493"/>
      <c r="B92" s="219" t="s">
        <v>136</v>
      </c>
      <c r="C92" s="227">
        <v>0</v>
      </c>
      <c r="D92" s="227">
        <v>0</v>
      </c>
      <c r="E92" s="227">
        <v>0</v>
      </c>
      <c r="F92" s="227">
        <v>0</v>
      </c>
      <c r="G92" s="227">
        <v>0</v>
      </c>
      <c r="H92" s="227">
        <v>0</v>
      </c>
      <c r="I92" s="4"/>
    </row>
    <row r="93" spans="1:9" ht="20.100000000000001" customHeight="1">
      <c r="A93" s="493"/>
      <c r="B93" s="217" t="s">
        <v>9</v>
      </c>
      <c r="C93" s="226">
        <v>0</v>
      </c>
      <c r="D93" s="226">
        <v>0</v>
      </c>
      <c r="E93" s="226">
        <v>0</v>
      </c>
      <c r="F93" s="226">
        <v>0</v>
      </c>
      <c r="G93" s="226">
        <v>0</v>
      </c>
      <c r="H93" s="226">
        <v>0</v>
      </c>
      <c r="I93" s="4"/>
    </row>
    <row r="94" spans="1:9" ht="20.100000000000001" customHeight="1">
      <c r="A94" s="493"/>
      <c r="B94" s="224" t="s">
        <v>10</v>
      </c>
      <c r="C94" s="227">
        <v>0</v>
      </c>
      <c r="D94" s="227">
        <v>0</v>
      </c>
      <c r="E94" s="227">
        <v>0</v>
      </c>
      <c r="F94" s="227">
        <v>0</v>
      </c>
      <c r="G94" s="227">
        <v>0</v>
      </c>
      <c r="H94" s="227">
        <v>0</v>
      </c>
      <c r="I94" s="4"/>
    </row>
    <row r="95" spans="1:9" ht="20.100000000000001" customHeight="1">
      <c r="A95" s="493" t="s">
        <v>137</v>
      </c>
      <c r="B95" s="217" t="s">
        <v>37</v>
      </c>
      <c r="C95" s="226">
        <v>0</v>
      </c>
      <c r="D95" s="226">
        <v>0</v>
      </c>
      <c r="E95" s="226">
        <v>0</v>
      </c>
      <c r="F95" s="226">
        <v>0</v>
      </c>
      <c r="G95" s="226">
        <v>0</v>
      </c>
      <c r="H95" s="226">
        <v>0</v>
      </c>
      <c r="I95" s="4"/>
    </row>
    <row r="96" spans="1:9" ht="20.100000000000001" customHeight="1">
      <c r="A96" s="493"/>
      <c r="B96" s="224" t="s">
        <v>38</v>
      </c>
      <c r="C96" s="227">
        <v>0</v>
      </c>
      <c r="D96" s="227">
        <v>0</v>
      </c>
      <c r="E96" s="227">
        <v>0</v>
      </c>
      <c r="F96" s="227">
        <v>0</v>
      </c>
      <c r="G96" s="227">
        <v>0</v>
      </c>
      <c r="H96" s="227">
        <v>0</v>
      </c>
      <c r="I96" s="4"/>
    </row>
    <row r="97" spans="1:9" ht="20.100000000000001" customHeight="1">
      <c r="A97" s="493"/>
      <c r="B97" s="217" t="s">
        <v>82</v>
      </c>
      <c r="C97" s="226">
        <v>0</v>
      </c>
      <c r="D97" s="226">
        <v>0</v>
      </c>
      <c r="E97" s="226">
        <v>0</v>
      </c>
      <c r="F97" s="226">
        <v>0</v>
      </c>
      <c r="G97" s="226">
        <v>0</v>
      </c>
      <c r="H97" s="226">
        <v>0</v>
      </c>
      <c r="I97" s="4"/>
    </row>
    <row r="98" spans="1:9" ht="20.100000000000001" customHeight="1">
      <c r="A98" s="493"/>
      <c r="B98" s="224" t="s">
        <v>138</v>
      </c>
      <c r="C98" s="227">
        <v>0</v>
      </c>
      <c r="D98" s="227">
        <v>0</v>
      </c>
      <c r="E98" s="227">
        <v>0</v>
      </c>
      <c r="F98" s="227">
        <v>0</v>
      </c>
      <c r="G98" s="227">
        <v>0</v>
      </c>
      <c r="H98" s="227">
        <v>0</v>
      </c>
      <c r="I98" s="4"/>
    </row>
    <row r="99" spans="1:9" ht="20.100000000000001" customHeight="1">
      <c r="A99" s="493"/>
      <c r="B99" s="217" t="s">
        <v>13</v>
      </c>
      <c r="C99" s="226">
        <v>0</v>
      </c>
      <c r="D99" s="226">
        <v>0</v>
      </c>
      <c r="E99" s="226">
        <v>0</v>
      </c>
      <c r="F99" s="226">
        <v>0</v>
      </c>
      <c r="G99" s="226">
        <v>0</v>
      </c>
      <c r="H99" s="226">
        <v>0</v>
      </c>
      <c r="I99" s="4"/>
    </row>
    <row r="100" spans="1:9" ht="20.100000000000001" customHeight="1">
      <c r="A100" s="493"/>
      <c r="B100" s="224" t="s">
        <v>14</v>
      </c>
      <c r="C100" s="227">
        <v>0</v>
      </c>
      <c r="D100" s="227">
        <v>0</v>
      </c>
      <c r="E100" s="227">
        <v>0</v>
      </c>
      <c r="F100" s="227">
        <v>0</v>
      </c>
      <c r="G100" s="227">
        <v>0</v>
      </c>
      <c r="H100" s="227">
        <v>0</v>
      </c>
      <c r="I100" s="4"/>
    </row>
    <row r="101" spans="1:9" ht="20.100000000000001" customHeight="1">
      <c r="A101" s="493" t="s">
        <v>154</v>
      </c>
      <c r="B101" s="217" t="s">
        <v>25</v>
      </c>
      <c r="C101" s="226">
        <v>0</v>
      </c>
      <c r="D101" s="226">
        <v>4632</v>
      </c>
      <c r="E101" s="226">
        <v>0</v>
      </c>
      <c r="F101" s="226">
        <v>0</v>
      </c>
      <c r="G101" s="226">
        <v>0</v>
      </c>
      <c r="H101" s="226">
        <v>4632</v>
      </c>
      <c r="I101" s="4"/>
    </row>
    <row r="102" spans="1:9" ht="20.100000000000001" customHeight="1">
      <c r="A102" s="493"/>
      <c r="B102" s="219" t="s">
        <v>26</v>
      </c>
      <c r="C102" s="227">
        <v>0</v>
      </c>
      <c r="D102" s="227">
        <v>0</v>
      </c>
      <c r="E102" s="227">
        <v>0</v>
      </c>
      <c r="F102" s="227">
        <v>0</v>
      </c>
      <c r="G102" s="227">
        <v>0</v>
      </c>
      <c r="H102" s="227">
        <v>0</v>
      </c>
      <c r="I102" s="4"/>
    </row>
    <row r="103" spans="1:9" ht="20.100000000000001" customHeight="1">
      <c r="A103" s="493"/>
      <c r="B103" s="219" t="s">
        <v>140</v>
      </c>
      <c r="C103" s="227">
        <v>0</v>
      </c>
      <c r="D103" s="227">
        <v>4632</v>
      </c>
      <c r="E103" s="227">
        <v>0</v>
      </c>
      <c r="F103" s="227">
        <v>0</v>
      </c>
      <c r="G103" s="227">
        <v>0</v>
      </c>
      <c r="H103" s="227">
        <v>4632</v>
      </c>
      <c r="I103" s="4"/>
    </row>
    <row r="104" spans="1:9" ht="20.100000000000001" customHeight="1">
      <c r="A104" s="493"/>
      <c r="B104" s="219" t="s">
        <v>29</v>
      </c>
      <c r="C104" s="227">
        <v>0</v>
      </c>
      <c r="D104" s="227">
        <v>0</v>
      </c>
      <c r="E104" s="227">
        <v>0</v>
      </c>
      <c r="F104" s="227">
        <v>0</v>
      </c>
      <c r="G104" s="227">
        <v>0</v>
      </c>
      <c r="H104" s="227">
        <v>0</v>
      </c>
      <c r="I104" s="4"/>
    </row>
    <row r="105" spans="1:9" ht="20.100000000000001" customHeight="1">
      <c r="A105" s="65" t="s">
        <v>141</v>
      </c>
      <c r="B105" s="175" t="s">
        <v>142</v>
      </c>
      <c r="C105" s="226">
        <v>0</v>
      </c>
      <c r="D105" s="226">
        <v>4632</v>
      </c>
      <c r="E105" s="226">
        <v>0</v>
      </c>
      <c r="F105" s="226">
        <v>4923</v>
      </c>
      <c r="G105" s="226">
        <v>0</v>
      </c>
      <c r="H105" s="226">
        <v>9555</v>
      </c>
      <c r="I105" s="4"/>
    </row>
    <row r="106" spans="1:9" ht="30" customHeight="1">
      <c r="A106" s="541" t="s">
        <v>1060</v>
      </c>
      <c r="B106" s="480"/>
      <c r="C106" s="480"/>
      <c r="D106" s="480"/>
      <c r="E106" s="480"/>
      <c r="F106" s="480"/>
      <c r="G106" s="480"/>
      <c r="H106" s="480"/>
    </row>
    <row r="107" spans="1:9" ht="60" customHeight="1"/>
    <row r="108" spans="1:9" ht="36.6" customHeight="1">
      <c r="A108" s="2" t="s">
        <v>437</v>
      </c>
      <c r="B108" s="3" t="s">
        <v>118</v>
      </c>
      <c r="C108" s="3" t="s">
        <v>438</v>
      </c>
      <c r="D108" s="3" t="s">
        <v>439</v>
      </c>
      <c r="E108" s="3" t="s">
        <v>440</v>
      </c>
      <c r="F108" s="3" t="s">
        <v>441</v>
      </c>
      <c r="G108" s="3" t="s">
        <v>409</v>
      </c>
      <c r="H108" s="4"/>
    </row>
    <row r="109" spans="1:9" ht="20.100000000000001" customHeight="1">
      <c r="A109" s="493" t="s">
        <v>129</v>
      </c>
      <c r="B109" s="229" t="s">
        <v>80</v>
      </c>
      <c r="C109" s="226">
        <v>233</v>
      </c>
      <c r="D109" s="226">
        <v>3340</v>
      </c>
      <c r="E109" s="226">
        <v>15068</v>
      </c>
      <c r="F109" s="226">
        <v>0</v>
      </c>
      <c r="G109" s="226">
        <v>18640</v>
      </c>
      <c r="H109" s="4"/>
    </row>
    <row r="110" spans="1:9" ht="20.100000000000001" customHeight="1">
      <c r="A110" s="493"/>
      <c r="B110" s="219" t="s">
        <v>130</v>
      </c>
      <c r="C110" s="227">
        <v>0</v>
      </c>
      <c r="D110" s="227">
        <v>1826</v>
      </c>
      <c r="E110" s="227">
        <v>6061</v>
      </c>
      <c r="F110" s="227">
        <v>0</v>
      </c>
      <c r="G110" s="227">
        <v>7886</v>
      </c>
      <c r="H110" s="4"/>
    </row>
    <row r="111" spans="1:9" ht="20.100000000000001" customHeight="1">
      <c r="A111" s="493"/>
      <c r="B111" s="219" t="s">
        <v>131</v>
      </c>
      <c r="C111" s="227">
        <v>233</v>
      </c>
      <c r="D111" s="227">
        <v>1514</v>
      </c>
      <c r="E111" s="227">
        <v>9007</v>
      </c>
      <c r="F111" s="227">
        <v>0</v>
      </c>
      <c r="G111" s="227">
        <v>10754</v>
      </c>
      <c r="H111" s="4"/>
    </row>
    <row r="112" spans="1:9" ht="20.100000000000001" customHeight="1">
      <c r="A112" s="493" t="s">
        <v>132</v>
      </c>
      <c r="B112" s="229" t="s">
        <v>81</v>
      </c>
      <c r="C112" s="226">
        <v>0</v>
      </c>
      <c r="D112" s="226">
        <v>0</v>
      </c>
      <c r="E112" s="226">
        <v>1289</v>
      </c>
      <c r="F112" s="226">
        <v>1586</v>
      </c>
      <c r="G112" s="226">
        <v>2875</v>
      </c>
      <c r="H112" s="4"/>
    </row>
    <row r="113" spans="1:8" ht="20.100000000000001" customHeight="1">
      <c r="A113" s="493"/>
      <c r="B113" s="219" t="s">
        <v>133</v>
      </c>
      <c r="C113" s="227">
        <v>0</v>
      </c>
      <c r="D113" s="227">
        <v>0</v>
      </c>
      <c r="E113" s="227">
        <v>1289</v>
      </c>
      <c r="F113" s="227">
        <v>1586</v>
      </c>
      <c r="G113" s="227">
        <v>2875</v>
      </c>
      <c r="H113" s="4"/>
    </row>
    <row r="114" spans="1:8" ht="20.100000000000001" customHeight="1">
      <c r="A114" s="493"/>
      <c r="B114" s="229" t="s">
        <v>5</v>
      </c>
      <c r="C114" s="226">
        <v>2704</v>
      </c>
      <c r="D114" s="226">
        <v>7398</v>
      </c>
      <c r="E114" s="226">
        <v>7466</v>
      </c>
      <c r="F114" s="226">
        <v>120</v>
      </c>
      <c r="G114" s="226">
        <v>17688</v>
      </c>
      <c r="H114" s="4"/>
    </row>
    <row r="115" spans="1:8" ht="20.100000000000001" customHeight="1">
      <c r="A115" s="493"/>
      <c r="B115" s="219" t="s">
        <v>39</v>
      </c>
      <c r="C115" s="227">
        <v>0</v>
      </c>
      <c r="D115" s="227">
        <v>3013</v>
      </c>
      <c r="E115" s="227">
        <v>328</v>
      </c>
      <c r="F115" s="227">
        <v>0</v>
      </c>
      <c r="G115" s="227">
        <v>3341</v>
      </c>
      <c r="H115" s="4"/>
    </row>
    <row r="116" spans="1:8" ht="20.100000000000001" customHeight="1">
      <c r="A116" s="493"/>
      <c r="B116" s="219" t="s">
        <v>135</v>
      </c>
      <c r="C116" s="227">
        <v>450</v>
      </c>
      <c r="D116" s="227">
        <v>1347</v>
      </c>
      <c r="E116" s="227">
        <v>318</v>
      </c>
      <c r="F116" s="227">
        <v>0</v>
      </c>
      <c r="G116" s="227">
        <v>2115</v>
      </c>
      <c r="H116" s="4"/>
    </row>
    <row r="117" spans="1:8" ht="20.100000000000001" customHeight="1">
      <c r="A117" s="493"/>
      <c r="B117" s="219" t="s">
        <v>417</v>
      </c>
      <c r="C117" s="227">
        <v>697</v>
      </c>
      <c r="D117" s="227">
        <v>2426</v>
      </c>
      <c r="E117" s="227">
        <v>4590</v>
      </c>
      <c r="F117" s="227">
        <v>66</v>
      </c>
      <c r="G117" s="227">
        <v>7779</v>
      </c>
      <c r="H117" s="4"/>
    </row>
    <row r="118" spans="1:8" ht="20.100000000000001" customHeight="1">
      <c r="A118" s="493"/>
      <c r="B118" s="219" t="s">
        <v>136</v>
      </c>
      <c r="C118" s="227">
        <v>1557</v>
      </c>
      <c r="D118" s="227">
        <v>612</v>
      </c>
      <c r="E118" s="227">
        <v>2230</v>
      </c>
      <c r="F118" s="227">
        <v>54</v>
      </c>
      <c r="G118" s="227">
        <v>4453</v>
      </c>
      <c r="H118" s="4"/>
    </row>
    <row r="119" spans="1:8" ht="20.100000000000001" customHeight="1">
      <c r="A119" s="493"/>
      <c r="B119" s="229" t="s">
        <v>9</v>
      </c>
      <c r="C119" s="226">
        <v>0</v>
      </c>
      <c r="D119" s="226">
        <v>26374</v>
      </c>
      <c r="E119" s="226">
        <v>1950</v>
      </c>
      <c r="F119" s="226">
        <v>2</v>
      </c>
      <c r="G119" s="226">
        <v>28326</v>
      </c>
      <c r="H119" s="4"/>
    </row>
    <row r="120" spans="1:8" ht="20.100000000000001" customHeight="1">
      <c r="A120" s="493"/>
      <c r="B120" s="224" t="s">
        <v>10</v>
      </c>
      <c r="C120" s="227">
        <v>0</v>
      </c>
      <c r="D120" s="227">
        <v>26374</v>
      </c>
      <c r="E120" s="227">
        <v>1950</v>
      </c>
      <c r="F120" s="227">
        <v>2</v>
      </c>
      <c r="G120" s="227">
        <v>28326</v>
      </c>
      <c r="H120" s="4"/>
    </row>
    <row r="121" spans="1:8" ht="20.100000000000001" customHeight="1">
      <c r="A121" s="493" t="s">
        <v>137</v>
      </c>
      <c r="B121" s="229" t="s">
        <v>37</v>
      </c>
      <c r="C121" s="226">
        <v>25</v>
      </c>
      <c r="D121" s="226">
        <v>962</v>
      </c>
      <c r="E121" s="226">
        <v>39</v>
      </c>
      <c r="F121" s="226">
        <v>1</v>
      </c>
      <c r="G121" s="226">
        <v>1027</v>
      </c>
      <c r="H121" s="4"/>
    </row>
    <row r="122" spans="1:8" ht="20.100000000000001" customHeight="1">
      <c r="A122" s="493"/>
      <c r="B122" s="224" t="s">
        <v>38</v>
      </c>
      <c r="C122" s="227">
        <v>25</v>
      </c>
      <c r="D122" s="227">
        <v>962</v>
      </c>
      <c r="E122" s="227">
        <v>39</v>
      </c>
      <c r="F122" s="227">
        <v>1</v>
      </c>
      <c r="G122" s="227">
        <v>1027</v>
      </c>
      <c r="H122" s="4"/>
    </row>
    <row r="123" spans="1:8" ht="20.100000000000001" customHeight="1">
      <c r="A123" s="493"/>
      <c r="B123" s="229" t="s">
        <v>82</v>
      </c>
      <c r="C123" s="226">
        <v>0</v>
      </c>
      <c r="D123" s="226">
        <v>2823</v>
      </c>
      <c r="E123" s="226">
        <v>36834</v>
      </c>
      <c r="F123" s="226">
        <v>0</v>
      </c>
      <c r="G123" s="226">
        <v>39657</v>
      </c>
      <c r="H123" s="4"/>
    </row>
    <row r="124" spans="1:8" ht="20.100000000000001" customHeight="1">
      <c r="A124" s="493"/>
      <c r="B124" s="224" t="s">
        <v>138</v>
      </c>
      <c r="C124" s="227">
        <v>0</v>
      </c>
      <c r="D124" s="227">
        <v>2823</v>
      </c>
      <c r="E124" s="227">
        <v>36834</v>
      </c>
      <c r="F124" s="227">
        <v>0</v>
      </c>
      <c r="G124" s="227">
        <v>39657</v>
      </c>
      <c r="H124" s="4"/>
    </row>
    <row r="125" spans="1:8" ht="20.100000000000001" customHeight="1">
      <c r="A125" s="493"/>
      <c r="B125" s="229" t="s">
        <v>13</v>
      </c>
      <c r="C125" s="226">
        <v>0</v>
      </c>
      <c r="D125" s="226">
        <v>20558</v>
      </c>
      <c r="E125" s="226">
        <v>35448</v>
      </c>
      <c r="F125" s="226">
        <v>0</v>
      </c>
      <c r="G125" s="226">
        <v>56006</v>
      </c>
      <c r="H125" s="4"/>
    </row>
    <row r="126" spans="1:8" ht="20.100000000000001" customHeight="1">
      <c r="A126" s="493"/>
      <c r="B126" s="224" t="s">
        <v>14</v>
      </c>
      <c r="C126" s="227">
        <v>0</v>
      </c>
      <c r="D126" s="227">
        <v>20558</v>
      </c>
      <c r="E126" s="227">
        <v>35448</v>
      </c>
      <c r="F126" s="227">
        <v>0</v>
      </c>
      <c r="G126" s="227">
        <v>56006</v>
      </c>
      <c r="H126" s="4"/>
    </row>
    <row r="127" spans="1:8" ht="20.100000000000001" customHeight="1">
      <c r="A127" s="493" t="s">
        <v>154</v>
      </c>
      <c r="B127" s="229" t="s">
        <v>25</v>
      </c>
      <c r="C127" s="226">
        <v>9170</v>
      </c>
      <c r="D127" s="226">
        <v>14002</v>
      </c>
      <c r="E127" s="226">
        <v>9194</v>
      </c>
      <c r="F127" s="226">
        <v>1962</v>
      </c>
      <c r="G127" s="226">
        <v>34329</v>
      </c>
      <c r="H127" s="4"/>
    </row>
    <row r="128" spans="1:8" ht="20.100000000000001" customHeight="1">
      <c r="A128" s="493"/>
      <c r="B128" s="219" t="s">
        <v>26</v>
      </c>
      <c r="C128" s="227">
        <v>9170</v>
      </c>
      <c r="D128" s="227">
        <v>4002</v>
      </c>
      <c r="E128" s="227">
        <v>8568</v>
      </c>
      <c r="F128" s="227">
        <v>46</v>
      </c>
      <c r="G128" s="227">
        <v>21787</v>
      </c>
      <c r="H128" s="4"/>
    </row>
    <row r="129" spans="1:8" ht="20.100000000000001" customHeight="1">
      <c r="A129" s="493"/>
      <c r="B129" s="219" t="s">
        <v>140</v>
      </c>
      <c r="C129" s="227">
        <v>0</v>
      </c>
      <c r="D129" s="227">
        <v>7023</v>
      </c>
      <c r="E129" s="227">
        <v>492</v>
      </c>
      <c r="F129" s="227">
        <v>1916</v>
      </c>
      <c r="G129" s="227">
        <v>9431</v>
      </c>
      <c r="H129" s="4"/>
    </row>
    <row r="130" spans="1:8" ht="20.100000000000001" customHeight="1">
      <c r="A130" s="493"/>
      <c r="B130" s="219" t="s">
        <v>29</v>
      </c>
      <c r="C130" s="227">
        <v>0</v>
      </c>
      <c r="D130" s="227">
        <v>2977</v>
      </c>
      <c r="E130" s="227">
        <v>134</v>
      </c>
      <c r="F130" s="227">
        <v>0</v>
      </c>
      <c r="G130" s="227">
        <v>3111</v>
      </c>
      <c r="H130" s="4"/>
    </row>
    <row r="131" spans="1:8" ht="20.100000000000001" customHeight="1">
      <c r="A131" s="65" t="s">
        <v>141</v>
      </c>
      <c r="B131" s="175" t="s">
        <v>142</v>
      </c>
      <c r="C131" s="226">
        <v>12132</v>
      </c>
      <c r="D131" s="226">
        <v>75458</v>
      </c>
      <c r="E131" s="226">
        <v>107288</v>
      </c>
      <c r="F131" s="226">
        <v>3671</v>
      </c>
      <c r="G131" s="226">
        <v>198549</v>
      </c>
      <c r="H131" s="4"/>
    </row>
    <row r="132" spans="1:8" ht="44.1" customHeight="1">
      <c r="A132" s="541" t="s">
        <v>1061</v>
      </c>
      <c r="B132" s="481"/>
      <c r="C132" s="481"/>
      <c r="D132" s="481"/>
      <c r="E132" s="481"/>
      <c r="F132" s="481"/>
      <c r="G132" s="481"/>
    </row>
    <row r="133" spans="1:8" ht="60" customHeight="1">
      <c r="A133" s="123"/>
      <c r="B133" s="231"/>
      <c r="C133" s="231"/>
      <c r="D133" s="231"/>
      <c r="E133" s="231"/>
      <c r="F133" s="231"/>
      <c r="G133" s="225"/>
    </row>
    <row r="134" spans="1:8" ht="34.15" customHeight="1">
      <c r="A134" s="12" t="s">
        <v>442</v>
      </c>
      <c r="B134" s="53">
        <v>2015</v>
      </c>
      <c r="C134" s="53">
        <v>2016</v>
      </c>
      <c r="D134" s="53">
        <v>2017</v>
      </c>
      <c r="E134" s="53">
        <v>2018</v>
      </c>
      <c r="F134" s="53">
        <v>2019</v>
      </c>
      <c r="G134" s="4"/>
    </row>
    <row r="135" spans="1:8" ht="30" customHeight="1">
      <c r="A135" s="65" t="s">
        <v>443</v>
      </c>
      <c r="B135" s="232">
        <v>503029</v>
      </c>
      <c r="C135" s="232">
        <v>201152</v>
      </c>
      <c r="D135" s="232">
        <v>217327</v>
      </c>
      <c r="E135" s="232">
        <v>230257</v>
      </c>
      <c r="F135" s="232">
        <v>198549</v>
      </c>
      <c r="G135" s="4"/>
    </row>
    <row r="136" spans="1:8" ht="20.100000000000001" customHeight="1">
      <c r="A136" s="233" t="s">
        <v>438</v>
      </c>
      <c r="B136" s="227">
        <v>9595</v>
      </c>
      <c r="C136" s="227">
        <v>14595</v>
      </c>
      <c r="D136" s="227">
        <v>8285</v>
      </c>
      <c r="E136" s="227">
        <v>5458</v>
      </c>
      <c r="F136" s="227">
        <v>12132</v>
      </c>
      <c r="G136" s="4"/>
    </row>
    <row r="137" spans="1:8" ht="20.100000000000001" customHeight="1">
      <c r="A137" s="233" t="s">
        <v>444</v>
      </c>
      <c r="B137" s="227">
        <v>124351</v>
      </c>
      <c r="C137" s="227">
        <v>111420</v>
      </c>
      <c r="D137" s="227">
        <v>110701</v>
      </c>
      <c r="E137" s="227">
        <v>115238</v>
      </c>
      <c r="F137" s="227">
        <v>75458</v>
      </c>
      <c r="G137" s="4"/>
    </row>
    <row r="138" spans="1:8" ht="20.100000000000001" customHeight="1">
      <c r="A138" s="233" t="s">
        <v>445</v>
      </c>
      <c r="B138" s="227">
        <v>95074</v>
      </c>
      <c r="C138" s="227">
        <v>70800</v>
      </c>
      <c r="D138" s="227">
        <v>94216</v>
      </c>
      <c r="E138" s="227">
        <v>106003</v>
      </c>
      <c r="F138" s="227">
        <v>107288</v>
      </c>
      <c r="G138" s="4"/>
    </row>
    <row r="139" spans="1:8" ht="20.100000000000001" customHeight="1">
      <c r="A139" s="233" t="s">
        <v>441</v>
      </c>
      <c r="B139" s="227">
        <v>2275</v>
      </c>
      <c r="C139" s="227">
        <v>4337</v>
      </c>
      <c r="D139" s="227">
        <v>4126</v>
      </c>
      <c r="E139" s="227">
        <v>3557</v>
      </c>
      <c r="F139" s="227">
        <v>3671</v>
      </c>
      <c r="G139" s="4"/>
    </row>
    <row r="140" spans="1:8" ht="20.100000000000001" customHeight="1">
      <c r="A140" s="233" t="s">
        <v>446</v>
      </c>
      <c r="B140" s="227">
        <v>62687</v>
      </c>
      <c r="C140" s="227">
        <v>0</v>
      </c>
      <c r="D140" s="227">
        <v>0</v>
      </c>
      <c r="E140" s="227">
        <v>0</v>
      </c>
      <c r="F140" s="227">
        <v>0</v>
      </c>
      <c r="G140" s="4"/>
    </row>
    <row r="141" spans="1:8" ht="20.100000000000001" customHeight="1">
      <c r="A141" s="233" t="s">
        <v>447</v>
      </c>
      <c r="B141" s="227">
        <v>209048</v>
      </c>
      <c r="C141" s="227">
        <v>0</v>
      </c>
      <c r="D141" s="227">
        <v>0</v>
      </c>
      <c r="E141" s="227">
        <v>0</v>
      </c>
      <c r="F141" s="227">
        <v>0</v>
      </c>
      <c r="G141" s="4"/>
    </row>
    <row r="142" spans="1:8" ht="30" customHeight="1">
      <c r="A142" s="234" t="s">
        <v>448</v>
      </c>
      <c r="B142" s="232">
        <v>128874</v>
      </c>
      <c r="C142" s="232">
        <v>107586</v>
      </c>
      <c r="D142" s="232">
        <v>115747</v>
      </c>
      <c r="E142" s="232">
        <v>104816</v>
      </c>
      <c r="F142" s="232">
        <v>106413</v>
      </c>
      <c r="G142" s="4"/>
      <c r="H142" s="235"/>
    </row>
    <row r="143" spans="1:8" ht="30" customHeight="1">
      <c r="A143" s="65" t="s">
        <v>412</v>
      </c>
      <c r="B143" s="232">
        <v>185742</v>
      </c>
      <c r="C143" s="232">
        <v>227960</v>
      </c>
      <c r="D143" s="232">
        <v>297379</v>
      </c>
      <c r="E143" s="232">
        <v>271699</v>
      </c>
      <c r="F143" s="232">
        <v>263210</v>
      </c>
      <c r="G143" s="4"/>
    </row>
    <row r="144" spans="1:8" ht="30" customHeight="1">
      <c r="A144" s="234" t="s">
        <v>449</v>
      </c>
      <c r="B144" s="232">
        <v>314616</v>
      </c>
      <c r="C144" s="232">
        <v>335546</v>
      </c>
      <c r="D144" s="232">
        <v>413126</v>
      </c>
      <c r="E144" s="232">
        <v>376515</v>
      </c>
      <c r="F144" s="232">
        <v>369623</v>
      </c>
      <c r="G144" s="4"/>
    </row>
    <row r="145" spans="1:7" ht="30" customHeight="1">
      <c r="A145" s="234" t="s">
        <v>450</v>
      </c>
      <c r="B145" s="236">
        <v>0.59</v>
      </c>
      <c r="C145" s="236">
        <v>0.68</v>
      </c>
      <c r="D145" s="236">
        <v>0.72</v>
      </c>
      <c r="E145" s="236">
        <v>0.72</v>
      </c>
      <c r="F145" s="236">
        <v>0.71</v>
      </c>
      <c r="G145" s="4"/>
    </row>
    <row r="146" spans="1:7" ht="36" customHeight="1">
      <c r="A146" s="541" t="s">
        <v>1062</v>
      </c>
      <c r="B146" s="480"/>
      <c r="C146" s="480"/>
      <c r="D146" s="480"/>
      <c r="E146" s="480"/>
      <c r="F146" s="480"/>
    </row>
    <row r="147" spans="1:7" ht="60" customHeight="1"/>
    <row r="148" spans="1:7" ht="42.6" customHeight="1">
      <c r="A148" s="2" t="s">
        <v>451</v>
      </c>
      <c r="B148" s="91">
        <v>2015</v>
      </c>
      <c r="C148" s="91">
        <v>2016</v>
      </c>
      <c r="D148" s="91">
        <v>2017</v>
      </c>
      <c r="E148" s="91">
        <v>2018</v>
      </c>
      <c r="F148" s="91">
        <v>2019</v>
      </c>
      <c r="G148" s="4"/>
    </row>
    <row r="149" spans="1:7" ht="25.9" customHeight="1">
      <c r="A149" s="237" t="s">
        <v>452</v>
      </c>
      <c r="B149" s="227">
        <v>557</v>
      </c>
      <c r="C149" s="227">
        <v>0</v>
      </c>
      <c r="D149" s="227">
        <v>0</v>
      </c>
      <c r="E149" s="227">
        <v>43</v>
      </c>
      <c r="F149" s="227">
        <v>0</v>
      </c>
      <c r="G149" s="4"/>
    </row>
    <row r="150" spans="1:7" ht="25.9" customHeight="1">
      <c r="A150" s="237" t="s">
        <v>431</v>
      </c>
      <c r="B150" s="227">
        <v>1815</v>
      </c>
      <c r="C150" s="227">
        <v>0</v>
      </c>
      <c r="D150" s="227">
        <v>4194</v>
      </c>
      <c r="E150" s="227">
        <v>2962</v>
      </c>
      <c r="F150" s="227">
        <v>4632</v>
      </c>
      <c r="G150" s="4"/>
    </row>
    <row r="151" spans="1:7" ht="25.9" customHeight="1">
      <c r="A151" s="237" t="s">
        <v>432</v>
      </c>
      <c r="B151" s="227">
        <v>0</v>
      </c>
      <c r="C151" s="227">
        <v>0</v>
      </c>
      <c r="D151" s="227">
        <v>0</v>
      </c>
      <c r="E151" s="227">
        <v>0</v>
      </c>
      <c r="F151" s="227">
        <v>0</v>
      </c>
      <c r="G151" s="4"/>
    </row>
    <row r="152" spans="1:7" ht="25.9" customHeight="1">
      <c r="A152" s="237" t="s">
        <v>433</v>
      </c>
      <c r="B152" s="227">
        <v>83924</v>
      </c>
      <c r="C152" s="227">
        <v>18017</v>
      </c>
      <c r="D152" s="227">
        <v>30575</v>
      </c>
      <c r="E152" s="227">
        <v>23568</v>
      </c>
      <c r="F152" s="227">
        <v>4923</v>
      </c>
      <c r="G152" s="4"/>
    </row>
    <row r="153" spans="1:7" ht="25.9" customHeight="1">
      <c r="A153" s="237" t="s">
        <v>434</v>
      </c>
      <c r="B153" s="227">
        <v>209048</v>
      </c>
      <c r="C153" s="227">
        <v>0</v>
      </c>
      <c r="D153" s="227">
        <v>0</v>
      </c>
      <c r="E153" s="227">
        <v>0</v>
      </c>
      <c r="F153" s="227">
        <v>0</v>
      </c>
      <c r="G153" s="4"/>
    </row>
    <row r="154" spans="1:7" ht="25.9" customHeight="1">
      <c r="A154" s="175" t="s">
        <v>435</v>
      </c>
      <c r="B154" s="226">
        <v>295344</v>
      </c>
      <c r="C154" s="226">
        <v>18017</v>
      </c>
      <c r="D154" s="226">
        <v>34769</v>
      </c>
      <c r="E154" s="226">
        <v>26573</v>
      </c>
      <c r="F154" s="226">
        <v>9555</v>
      </c>
      <c r="G154" s="4"/>
    </row>
    <row r="155" spans="1:7" ht="25.9" customHeight="1">
      <c r="A155" s="237" t="s">
        <v>424</v>
      </c>
      <c r="B155" s="227">
        <v>29809</v>
      </c>
      <c r="C155" s="227">
        <v>25542</v>
      </c>
      <c r="D155" s="227">
        <v>23465</v>
      </c>
      <c r="E155" s="227">
        <v>13843</v>
      </c>
      <c r="F155" s="227">
        <v>17773</v>
      </c>
      <c r="G155" s="4"/>
    </row>
    <row r="156" spans="1:7" ht="25.9" customHeight="1">
      <c r="A156" s="237" t="s">
        <v>425</v>
      </c>
      <c r="B156" s="227">
        <v>38882</v>
      </c>
      <c r="C156" s="227">
        <v>35858</v>
      </c>
      <c r="D156" s="227">
        <v>27795</v>
      </c>
      <c r="E156" s="227">
        <v>60247</v>
      </c>
      <c r="F156" s="227">
        <v>47425</v>
      </c>
      <c r="G156" s="4"/>
    </row>
    <row r="157" spans="1:7" ht="25.9" customHeight="1">
      <c r="A157" s="237" t="s">
        <v>426</v>
      </c>
      <c r="B157" s="13"/>
      <c r="C157" s="227">
        <v>0</v>
      </c>
      <c r="D157" s="227">
        <v>0</v>
      </c>
      <c r="E157" s="227">
        <v>0</v>
      </c>
      <c r="F157" s="227">
        <v>0</v>
      </c>
      <c r="G157" s="4"/>
    </row>
    <row r="158" spans="1:7" ht="25.9" customHeight="1">
      <c r="A158" s="237" t="s">
        <v>427</v>
      </c>
      <c r="B158" s="227">
        <v>10120</v>
      </c>
      <c r="C158" s="227">
        <v>14149</v>
      </c>
      <c r="D158" s="227">
        <v>15551</v>
      </c>
      <c r="E158" s="227">
        <v>24778</v>
      </c>
      <c r="F158" s="227">
        <v>17326</v>
      </c>
      <c r="G158" s="4"/>
    </row>
    <row r="159" spans="1:7" ht="25.9" customHeight="1">
      <c r="A159" s="237" t="s">
        <v>453</v>
      </c>
      <c r="B159" s="227">
        <v>0</v>
      </c>
      <c r="C159" s="227">
        <v>0</v>
      </c>
      <c r="D159" s="227">
        <v>0</v>
      </c>
      <c r="E159" s="227">
        <v>0</v>
      </c>
      <c r="F159" s="227">
        <v>58</v>
      </c>
      <c r="G159" s="4"/>
    </row>
    <row r="160" spans="1:7" ht="25.9" customHeight="1">
      <c r="A160" s="175" t="s">
        <v>454</v>
      </c>
      <c r="B160" s="226">
        <v>78811</v>
      </c>
      <c r="C160" s="226">
        <v>75549</v>
      </c>
      <c r="D160" s="226">
        <v>66811</v>
      </c>
      <c r="E160" s="226">
        <v>98868</v>
      </c>
      <c r="F160" s="226">
        <v>82581</v>
      </c>
      <c r="G160" s="4"/>
    </row>
    <row r="161" spans="1:7">
      <c r="A161" s="551" t="s">
        <v>455</v>
      </c>
      <c r="B161" s="551"/>
      <c r="C161" s="551"/>
      <c r="D161" s="551"/>
      <c r="E161" s="551"/>
      <c r="F161" s="551"/>
      <c r="G161" s="35"/>
    </row>
    <row r="162" spans="1:7" ht="60" customHeight="1"/>
    <row r="163" spans="1:7" ht="20.100000000000001" customHeight="1">
      <c r="A163" s="12" t="s">
        <v>456</v>
      </c>
      <c r="B163" s="3" t="s">
        <v>85</v>
      </c>
      <c r="C163" s="3" t="s">
        <v>457</v>
      </c>
      <c r="D163" s="4"/>
      <c r="E163" s="14"/>
      <c r="F163" s="14"/>
    </row>
    <row r="164" spans="1:7" ht="20.100000000000001" customHeight="1">
      <c r="A164" s="234" t="s">
        <v>420</v>
      </c>
      <c r="B164" s="227">
        <v>59442</v>
      </c>
      <c r="C164" s="238">
        <v>0.56000000000000005</v>
      </c>
      <c r="D164" s="20"/>
      <c r="E164" s="35"/>
      <c r="F164" s="35"/>
    </row>
    <row r="165" spans="1:7" ht="20.100000000000001" customHeight="1">
      <c r="A165" s="234" t="s">
        <v>421</v>
      </c>
      <c r="B165" s="227">
        <v>-12196</v>
      </c>
      <c r="C165" s="238">
        <v>-0.11</v>
      </c>
      <c r="D165" s="20"/>
      <c r="E165" s="35"/>
      <c r="F165" s="35"/>
    </row>
    <row r="166" spans="1:7" ht="20.100000000000001" customHeight="1">
      <c r="A166" s="234" t="s">
        <v>422</v>
      </c>
      <c r="B166" s="227">
        <v>59260</v>
      </c>
      <c r="C166" s="238">
        <v>0.56000000000000005</v>
      </c>
      <c r="D166" s="20"/>
      <c r="E166" s="35"/>
      <c r="F166" s="35"/>
    </row>
    <row r="167" spans="1:7">
      <c r="A167" s="541" t="s">
        <v>1063</v>
      </c>
      <c r="B167" s="480"/>
      <c r="C167" s="480"/>
      <c r="D167" s="35"/>
      <c r="E167" s="35"/>
      <c r="F167" s="35"/>
    </row>
    <row r="168" spans="1:7">
      <c r="A168" s="539"/>
      <c r="B168" s="539"/>
      <c r="C168" s="539"/>
      <c r="D168" s="35"/>
      <c r="E168" s="35"/>
      <c r="F168" s="35"/>
      <c r="G168" s="35"/>
    </row>
    <row r="169" spans="1:7" ht="60" customHeight="1">
      <c r="B169" s="123"/>
      <c r="C169" s="35"/>
      <c r="D169" s="35"/>
      <c r="E169" s="35"/>
      <c r="F169" s="35"/>
      <c r="G169" s="35"/>
    </row>
    <row r="170" spans="1:7" ht="20.100000000000001" customHeight="1">
      <c r="A170" s="12" t="s">
        <v>458</v>
      </c>
      <c r="B170" s="18" t="s">
        <v>459</v>
      </c>
      <c r="C170" s="4"/>
      <c r="D170" s="14"/>
      <c r="E170" s="14"/>
      <c r="F170" s="14"/>
      <c r="G170" s="14"/>
    </row>
    <row r="171" spans="1:7" ht="20.100000000000001" customHeight="1">
      <c r="A171" s="98" t="s">
        <v>460</v>
      </c>
      <c r="B171" s="239">
        <v>198549</v>
      </c>
      <c r="C171" s="20"/>
      <c r="D171" s="35"/>
      <c r="E171" s="35"/>
      <c r="F171" s="35"/>
      <c r="G171" s="35"/>
    </row>
    <row r="172" spans="1:7" ht="20.100000000000001" customHeight="1">
      <c r="A172" s="169" t="s">
        <v>461</v>
      </c>
      <c r="B172" s="228">
        <v>12132</v>
      </c>
      <c r="C172" s="20"/>
      <c r="D172" s="35"/>
      <c r="E172" s="35"/>
      <c r="F172" s="35"/>
      <c r="G172" s="35"/>
    </row>
    <row r="173" spans="1:7" ht="20.100000000000001" customHeight="1">
      <c r="A173" s="169" t="s">
        <v>462</v>
      </c>
      <c r="B173" s="228">
        <v>75458</v>
      </c>
      <c r="C173" s="20"/>
      <c r="D173" s="35"/>
      <c r="E173" s="35"/>
      <c r="F173" s="35"/>
      <c r="G173" s="35"/>
    </row>
    <row r="174" spans="1:7" ht="20.100000000000001" customHeight="1">
      <c r="A174" s="195" t="s">
        <v>463</v>
      </c>
      <c r="B174" s="240">
        <v>107288</v>
      </c>
      <c r="C174" s="4"/>
    </row>
    <row r="175" spans="1:7" ht="20.100000000000001" customHeight="1">
      <c r="A175" s="195" t="s">
        <v>464</v>
      </c>
      <c r="B175" s="240">
        <v>3671</v>
      </c>
      <c r="C175" s="4"/>
    </row>
    <row r="176" spans="1:7" ht="20.100000000000001" customHeight="1">
      <c r="A176" s="18" t="s">
        <v>465</v>
      </c>
      <c r="B176" s="241">
        <v>263210</v>
      </c>
      <c r="C176" s="4"/>
    </row>
    <row r="177" spans="1:7" ht="20.100000000000001" customHeight="1">
      <c r="A177" s="18" t="s">
        <v>466</v>
      </c>
      <c r="B177" s="241">
        <v>106413</v>
      </c>
      <c r="C177" s="4"/>
    </row>
    <row r="178" spans="1:7" ht="20.100000000000001" customHeight="1">
      <c r="A178" s="18" t="s">
        <v>467</v>
      </c>
      <c r="B178" s="241">
        <v>92136</v>
      </c>
      <c r="C178" s="4"/>
    </row>
    <row r="179" spans="1:7" ht="20.100000000000001" customHeight="1">
      <c r="A179" s="195" t="s">
        <v>468</v>
      </c>
      <c r="B179" s="240">
        <v>87695</v>
      </c>
      <c r="C179" s="4"/>
    </row>
    <row r="180" spans="1:7" ht="20.100000000000001" customHeight="1">
      <c r="A180" s="195" t="s">
        <v>469</v>
      </c>
      <c r="B180" s="240">
        <v>4441</v>
      </c>
      <c r="C180" s="4"/>
    </row>
    <row r="181" spans="1:7" ht="200.25" customHeight="1">
      <c r="A181" s="491" t="s">
        <v>470</v>
      </c>
      <c r="B181" s="491"/>
    </row>
    <row r="182" spans="1:7" ht="60" customHeight="1">
      <c r="A182" s="242"/>
      <c r="B182" s="55"/>
      <c r="C182" s="55"/>
      <c r="D182" s="55"/>
      <c r="E182" s="55"/>
      <c r="F182" s="55"/>
    </row>
    <row r="183" spans="1:7" ht="43.35" customHeight="1">
      <c r="A183" s="12" t="s">
        <v>471</v>
      </c>
      <c r="B183" s="53">
        <v>2015</v>
      </c>
      <c r="C183" s="53">
        <v>2016</v>
      </c>
      <c r="D183" s="53">
        <v>2017</v>
      </c>
      <c r="E183" s="53">
        <v>2018</v>
      </c>
      <c r="F183" s="53">
        <v>2019</v>
      </c>
      <c r="G183" s="4"/>
    </row>
    <row r="184" spans="1:7" ht="20.100000000000001" customHeight="1">
      <c r="A184" s="13" t="s">
        <v>472</v>
      </c>
      <c r="B184" s="240">
        <v>128874</v>
      </c>
      <c r="C184" s="240">
        <v>107585</v>
      </c>
      <c r="D184" s="240">
        <v>115747</v>
      </c>
      <c r="E184" s="240">
        <v>104816</v>
      </c>
      <c r="F184" s="240">
        <v>106413</v>
      </c>
      <c r="G184" s="4"/>
    </row>
    <row r="185" spans="1:7" ht="20.100000000000001" customHeight="1">
      <c r="A185" s="13" t="s">
        <v>473</v>
      </c>
      <c r="B185" s="240">
        <v>185742</v>
      </c>
      <c r="C185" s="240">
        <v>227960</v>
      </c>
      <c r="D185" s="240">
        <v>297379</v>
      </c>
      <c r="E185" s="240">
        <v>271699</v>
      </c>
      <c r="F185" s="240">
        <v>263210</v>
      </c>
      <c r="G185" s="4"/>
    </row>
    <row r="186" spans="1:7" ht="20.100000000000001" customHeight="1">
      <c r="A186" s="13" t="s">
        <v>474</v>
      </c>
      <c r="B186" s="243">
        <v>0.59</v>
      </c>
      <c r="C186" s="243">
        <v>0.68</v>
      </c>
      <c r="D186" s="243">
        <v>0.72</v>
      </c>
      <c r="E186" s="243">
        <v>0.72</v>
      </c>
      <c r="F186" s="243">
        <v>0.71</v>
      </c>
      <c r="G186" s="4"/>
    </row>
    <row r="187" spans="1:7" ht="87.75" customHeight="1">
      <c r="A187" s="541" t="s">
        <v>1064</v>
      </c>
      <c r="B187" s="480"/>
      <c r="C187" s="480"/>
      <c r="D187" s="480"/>
      <c r="E187" s="480"/>
      <c r="F187" s="480"/>
    </row>
    <row r="190" spans="1:7" ht="20.100000000000001" customHeight="1">
      <c r="A190" s="12" t="s">
        <v>475</v>
      </c>
      <c r="B190" s="53">
        <v>2015</v>
      </c>
      <c r="C190" s="53">
        <v>2016</v>
      </c>
      <c r="D190" s="53">
        <v>2017</v>
      </c>
      <c r="E190" s="53">
        <v>2018</v>
      </c>
      <c r="F190" s="53">
        <v>2019</v>
      </c>
      <c r="G190" s="4"/>
    </row>
    <row r="191" spans="1:7" ht="20.100000000000001" customHeight="1">
      <c r="A191" s="13" t="s">
        <v>476</v>
      </c>
      <c r="B191" s="244">
        <v>19</v>
      </c>
      <c r="C191" s="244">
        <v>19</v>
      </c>
      <c r="D191" s="245">
        <v>18.600000000000001</v>
      </c>
      <c r="E191" s="246">
        <v>17.3</v>
      </c>
      <c r="F191" s="246">
        <v>16.8</v>
      </c>
      <c r="G191" s="4"/>
    </row>
    <row r="192" spans="1:7" ht="20.100000000000001" customHeight="1">
      <c r="A192" s="13" t="s">
        <v>477</v>
      </c>
      <c r="B192" s="201" t="s">
        <v>65</v>
      </c>
      <c r="C192" s="201" t="s">
        <v>65</v>
      </c>
      <c r="D192" s="201" t="s">
        <v>65</v>
      </c>
      <c r="E192" s="201" t="s">
        <v>65</v>
      </c>
      <c r="F192" s="247">
        <v>0.63</v>
      </c>
      <c r="G192" s="4"/>
    </row>
    <row r="193" spans="1:8" ht="20.100000000000001" customHeight="1">
      <c r="A193" s="13" t="s">
        <v>478</v>
      </c>
      <c r="B193" s="201" t="s">
        <v>65</v>
      </c>
      <c r="C193" s="201" t="s">
        <v>65</v>
      </c>
      <c r="D193" s="201" t="s">
        <v>65</v>
      </c>
      <c r="E193" s="201" t="s">
        <v>65</v>
      </c>
      <c r="F193" s="247">
        <v>0.12</v>
      </c>
      <c r="G193" s="4"/>
    </row>
    <row r="194" spans="1:8" ht="48" customHeight="1">
      <c r="A194" s="480" t="s">
        <v>479</v>
      </c>
      <c r="B194" s="480"/>
      <c r="C194" s="480"/>
      <c r="D194" s="480"/>
      <c r="E194" s="480"/>
      <c r="F194" s="480"/>
    </row>
    <row r="195" spans="1:8" ht="60" customHeight="1"/>
    <row r="196" spans="1:8" ht="30" customHeight="1">
      <c r="A196" s="41" t="s">
        <v>480</v>
      </c>
      <c r="B196" s="42" t="s">
        <v>481</v>
      </c>
      <c r="C196" s="42" t="s">
        <v>482</v>
      </c>
      <c r="D196" s="42" t="s">
        <v>483</v>
      </c>
      <c r="E196" s="42" t="s">
        <v>484</v>
      </c>
      <c r="F196" s="42" t="s">
        <v>485</v>
      </c>
      <c r="G196" s="42" t="s">
        <v>486</v>
      </c>
      <c r="H196" s="4"/>
    </row>
    <row r="197" spans="1:8" ht="30" customHeight="1">
      <c r="A197" s="29" t="s">
        <v>130</v>
      </c>
      <c r="B197" s="29" t="s">
        <v>487</v>
      </c>
      <c r="C197" s="29" t="s">
        <v>488</v>
      </c>
      <c r="D197" s="168"/>
      <c r="E197" s="38" t="s">
        <v>489</v>
      </c>
      <c r="F197" s="38" t="s">
        <v>489</v>
      </c>
      <c r="G197" s="38" t="s">
        <v>489</v>
      </c>
      <c r="H197" s="4"/>
    </row>
    <row r="198" spans="1:8" ht="30" customHeight="1">
      <c r="A198" s="29" t="s">
        <v>131</v>
      </c>
      <c r="B198" s="29" t="s">
        <v>487</v>
      </c>
      <c r="C198" s="29" t="s">
        <v>490</v>
      </c>
      <c r="D198" s="168"/>
      <c r="E198" s="38" t="s">
        <v>489</v>
      </c>
      <c r="F198" s="38" t="s">
        <v>489</v>
      </c>
      <c r="G198" s="38" t="s">
        <v>489</v>
      </c>
      <c r="H198" s="4"/>
    </row>
    <row r="199" spans="1:8" ht="30" customHeight="1">
      <c r="A199" s="25" t="s">
        <v>491</v>
      </c>
      <c r="B199" s="29" t="s">
        <v>492</v>
      </c>
      <c r="C199" s="29" t="s">
        <v>488</v>
      </c>
      <c r="D199" s="168"/>
      <c r="E199" s="168"/>
      <c r="F199" s="168"/>
      <c r="G199" s="168"/>
      <c r="H199" s="4"/>
    </row>
    <row r="200" spans="1:8" ht="30" customHeight="1">
      <c r="A200" s="29" t="s">
        <v>140</v>
      </c>
      <c r="B200" s="29" t="s">
        <v>493</v>
      </c>
      <c r="C200" s="29" t="s">
        <v>494</v>
      </c>
      <c r="D200" s="38" t="s">
        <v>489</v>
      </c>
      <c r="E200" s="168"/>
      <c r="F200" s="168"/>
      <c r="G200" s="168"/>
      <c r="H200" s="4"/>
    </row>
    <row r="201" spans="1:8" ht="30" customHeight="1">
      <c r="A201" s="29" t="s">
        <v>29</v>
      </c>
      <c r="B201" s="29" t="s">
        <v>493</v>
      </c>
      <c r="C201" s="29" t="s">
        <v>490</v>
      </c>
      <c r="D201" s="38" t="s">
        <v>489</v>
      </c>
      <c r="E201" s="168"/>
      <c r="F201" s="168"/>
      <c r="G201" s="168"/>
      <c r="H201" s="4"/>
    </row>
    <row r="202" spans="1:8" ht="30" customHeight="1">
      <c r="A202" s="29" t="s">
        <v>133</v>
      </c>
      <c r="B202" s="29" t="s">
        <v>495</v>
      </c>
      <c r="C202" s="29" t="s">
        <v>496</v>
      </c>
      <c r="D202" s="38" t="s">
        <v>489</v>
      </c>
      <c r="E202" s="168"/>
      <c r="F202" s="168"/>
      <c r="G202" s="168"/>
      <c r="H202" s="4"/>
    </row>
    <row r="203" spans="1:8" ht="30" customHeight="1">
      <c r="A203" s="29" t="s">
        <v>39</v>
      </c>
      <c r="B203" s="29" t="s">
        <v>497</v>
      </c>
      <c r="C203" s="29" t="s">
        <v>490</v>
      </c>
      <c r="D203" s="168"/>
      <c r="E203" s="168"/>
      <c r="F203" s="38" t="s">
        <v>489</v>
      </c>
      <c r="G203" s="168"/>
      <c r="H203" s="4"/>
    </row>
    <row r="204" spans="1:8" ht="30" customHeight="1">
      <c r="A204" s="29" t="s">
        <v>135</v>
      </c>
      <c r="B204" s="29" t="s">
        <v>495</v>
      </c>
      <c r="C204" s="29" t="s">
        <v>488</v>
      </c>
      <c r="D204" s="168"/>
      <c r="E204" s="38" t="s">
        <v>489</v>
      </c>
      <c r="F204" s="168"/>
      <c r="G204" s="168"/>
      <c r="H204" s="4"/>
    </row>
    <row r="205" spans="1:8" ht="30" customHeight="1">
      <c r="A205" s="29" t="s">
        <v>10</v>
      </c>
      <c r="B205" s="29" t="s">
        <v>493</v>
      </c>
      <c r="C205" s="29" t="s">
        <v>490</v>
      </c>
      <c r="D205" s="38" t="s">
        <v>489</v>
      </c>
      <c r="E205" s="168"/>
      <c r="F205" s="168"/>
      <c r="G205" s="38" t="s">
        <v>489</v>
      </c>
      <c r="H205" s="4"/>
    </row>
    <row r="206" spans="1:8" ht="30" customHeight="1">
      <c r="A206" s="29" t="s">
        <v>6</v>
      </c>
      <c r="B206" s="29" t="s">
        <v>495</v>
      </c>
      <c r="C206" s="29" t="s">
        <v>494</v>
      </c>
      <c r="D206" s="168"/>
      <c r="E206" s="38" t="s">
        <v>489</v>
      </c>
      <c r="F206" s="168"/>
      <c r="G206" s="38" t="s">
        <v>489</v>
      </c>
      <c r="H206" s="4"/>
    </row>
    <row r="207" spans="1:8" ht="30" customHeight="1">
      <c r="A207" s="25" t="s">
        <v>136</v>
      </c>
      <c r="B207" s="29" t="s">
        <v>495</v>
      </c>
      <c r="C207" s="29" t="s">
        <v>498</v>
      </c>
      <c r="D207" s="168"/>
      <c r="E207" s="168"/>
      <c r="F207" s="38" t="s">
        <v>489</v>
      </c>
      <c r="G207" s="168"/>
      <c r="H207" s="4"/>
    </row>
    <row r="208" spans="1:8" ht="30" customHeight="1">
      <c r="A208" s="29" t="s">
        <v>38</v>
      </c>
      <c r="B208" s="29" t="s">
        <v>493</v>
      </c>
      <c r="C208" s="29" t="s">
        <v>490</v>
      </c>
      <c r="D208" s="38" t="s">
        <v>489</v>
      </c>
      <c r="E208" s="168"/>
      <c r="F208" s="168"/>
      <c r="G208" s="38" t="s">
        <v>489</v>
      </c>
      <c r="H208" s="4"/>
    </row>
    <row r="209" spans="1:8" ht="30" customHeight="1">
      <c r="A209" s="29" t="s">
        <v>138</v>
      </c>
      <c r="B209" s="29" t="s">
        <v>495</v>
      </c>
      <c r="C209" s="29" t="s">
        <v>490</v>
      </c>
      <c r="D209" s="168"/>
      <c r="E209" s="38" t="s">
        <v>489</v>
      </c>
      <c r="F209" s="38" t="s">
        <v>489</v>
      </c>
      <c r="G209" s="38" t="s">
        <v>489</v>
      </c>
      <c r="H209" s="4"/>
    </row>
    <row r="210" spans="1:8" ht="30" customHeight="1">
      <c r="A210" s="29" t="s">
        <v>14</v>
      </c>
      <c r="B210" s="29" t="s">
        <v>499</v>
      </c>
      <c r="C210" s="29" t="s">
        <v>490</v>
      </c>
      <c r="D210" s="168"/>
      <c r="E210" s="38" t="s">
        <v>489</v>
      </c>
      <c r="F210" s="38" t="s">
        <v>489</v>
      </c>
      <c r="G210" s="168"/>
      <c r="H210" s="4"/>
    </row>
    <row r="211" spans="1:8" ht="82.5" customHeight="1">
      <c r="A211" s="480" t="s">
        <v>500</v>
      </c>
      <c r="B211" s="480"/>
      <c r="C211" s="480"/>
      <c r="D211" s="480"/>
      <c r="E211" s="480"/>
      <c r="F211" s="480"/>
      <c r="G211" s="480"/>
    </row>
    <row r="212" spans="1:8" ht="20.100000000000001" customHeight="1"/>
    <row r="213" spans="1:8" ht="20.100000000000001" customHeight="1"/>
    <row r="214" spans="1:8" ht="20.100000000000001" customHeight="1"/>
    <row r="215" spans="1:8" ht="20.100000000000001" customHeight="1"/>
    <row r="216" spans="1:8" ht="20.100000000000001" customHeight="1"/>
  </sheetData>
  <sheetProtection algorithmName="SHA-512" hashValue="iXgpMvom3zuwTGDsVj5nZe50Pb30bVLSd4A27jin7QcEfghpXKXxZF8DAKLLD/HbyHOFrFNxlEJaWmtslKHuRw==" saltValue="l0Rv3Bpkhbfg1Ujd+4VYHA==" spinCount="100000" sheet="1" objects="1" scenarios="1"/>
  <customSheetViews>
    <customSheetView guid="{5E62BE79-A4FD-4E7A-98EF-5A09C5274723}" showGridLines="0" showRuler="0" topLeftCell="A202">
      <selection activeCell="F221" sqref="F221"/>
      <pageMargins left="0.75" right="0.75" top="1" bottom="1" header="0.5" footer="0.5"/>
      <pageSetup paperSize="0" orientation="portrait" horizontalDpi="0" verticalDpi="0" copies="0"/>
    </customSheetView>
  </customSheetViews>
  <mergeCells count="37">
    <mergeCell ref="A211:G211"/>
    <mergeCell ref="A161:F161"/>
    <mergeCell ref="A167:C168"/>
    <mergeCell ref="A181:B181"/>
    <mergeCell ref="A187:F187"/>
    <mergeCell ref="A194:F194"/>
    <mergeCell ref="A112:A120"/>
    <mergeCell ref="A121:A126"/>
    <mergeCell ref="A127:A130"/>
    <mergeCell ref="A132:G132"/>
    <mergeCell ref="A146:F146"/>
    <mergeCell ref="A83:A85"/>
    <mergeCell ref="A86:A94"/>
    <mergeCell ref="A95:A100"/>
    <mergeCell ref="A101:A104"/>
    <mergeCell ref="A109:A111"/>
    <mergeCell ref="A106:H106"/>
    <mergeCell ref="A57:A59"/>
    <mergeCell ref="A60:A68"/>
    <mergeCell ref="A69:A74"/>
    <mergeCell ref="A75:A78"/>
    <mergeCell ref="A80:H80"/>
    <mergeCell ref="A27:J27"/>
    <mergeCell ref="A34:A42"/>
    <mergeCell ref="A43:A48"/>
    <mergeCell ref="A49:A52"/>
    <mergeCell ref="A54:J54"/>
    <mergeCell ref="C29:F29"/>
    <mergeCell ref="A31:A33"/>
    <mergeCell ref="A29:A30"/>
    <mergeCell ref="B29:B30"/>
    <mergeCell ref="G29:J29"/>
    <mergeCell ref="A1:E1"/>
    <mergeCell ref="A4:A6"/>
    <mergeCell ref="A7:A15"/>
    <mergeCell ref="A16:A21"/>
    <mergeCell ref="A22:A25"/>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M119"/>
  <sheetViews>
    <sheetView showGridLines="0" showRuler="0" workbookViewId="0">
      <selection activeCell="A54" sqref="A54:H54"/>
    </sheetView>
  </sheetViews>
  <sheetFormatPr baseColWidth="10" defaultColWidth="13.7109375" defaultRowHeight="12.75"/>
  <cols>
    <col min="1" max="1" width="43.7109375" customWidth="1"/>
    <col min="2" max="8" width="34.28515625" customWidth="1"/>
    <col min="9" max="30" width="43.7109375" customWidth="1"/>
  </cols>
  <sheetData>
    <row r="1" spans="1:6" ht="15.75">
      <c r="A1" s="494" t="s">
        <v>1001</v>
      </c>
      <c r="B1" s="494"/>
      <c r="C1" s="494"/>
      <c r="D1" s="494"/>
      <c r="E1" s="494"/>
    </row>
    <row r="2" spans="1:6" ht="60" customHeight="1"/>
    <row r="3" spans="1:6" ht="32.450000000000003" customHeight="1">
      <c r="A3" s="2" t="s">
        <v>501</v>
      </c>
      <c r="B3" s="3" t="s">
        <v>118</v>
      </c>
      <c r="C3" s="79" t="s">
        <v>502</v>
      </c>
      <c r="D3" s="79" t="s">
        <v>503</v>
      </c>
      <c r="E3" s="79" t="s">
        <v>403</v>
      </c>
      <c r="F3" s="4"/>
    </row>
    <row r="4" spans="1:6" ht="20.100000000000001" customHeight="1">
      <c r="A4" s="493" t="s">
        <v>129</v>
      </c>
      <c r="B4" s="208" t="s">
        <v>80</v>
      </c>
      <c r="C4" s="226">
        <v>0</v>
      </c>
      <c r="D4" s="226">
        <v>50224411</v>
      </c>
      <c r="E4" s="226">
        <v>50224411</v>
      </c>
      <c r="F4" s="4"/>
    </row>
    <row r="5" spans="1:6" ht="20.100000000000001" customHeight="1">
      <c r="A5" s="493"/>
      <c r="B5" s="82" t="s">
        <v>130</v>
      </c>
      <c r="C5" s="248">
        <v>0</v>
      </c>
      <c r="D5" s="248">
        <v>29502667</v>
      </c>
      <c r="E5" s="248">
        <v>29502667</v>
      </c>
      <c r="F5" s="4"/>
    </row>
    <row r="6" spans="1:6" ht="20.100000000000001" customHeight="1">
      <c r="A6" s="493"/>
      <c r="B6" s="82" t="s">
        <v>131</v>
      </c>
      <c r="C6" s="248">
        <v>0</v>
      </c>
      <c r="D6" s="248">
        <v>20721744</v>
      </c>
      <c r="E6" s="248">
        <v>20721744</v>
      </c>
      <c r="F6" s="4"/>
    </row>
    <row r="7" spans="1:6" ht="20.100000000000001" customHeight="1">
      <c r="A7" s="493" t="s">
        <v>132</v>
      </c>
      <c r="B7" s="208" t="s">
        <v>81</v>
      </c>
      <c r="C7" s="226">
        <v>18024597</v>
      </c>
      <c r="D7" s="226">
        <v>0</v>
      </c>
      <c r="E7" s="226">
        <v>18024597</v>
      </c>
      <c r="F7" s="4"/>
    </row>
    <row r="8" spans="1:6" ht="20.100000000000001" customHeight="1">
      <c r="A8" s="493"/>
      <c r="B8" s="82" t="s">
        <v>133</v>
      </c>
      <c r="C8" s="248">
        <v>18024597</v>
      </c>
      <c r="D8" s="248">
        <v>0</v>
      </c>
      <c r="E8" s="248">
        <v>18024597</v>
      </c>
      <c r="F8" s="4"/>
    </row>
    <row r="9" spans="1:6" ht="20.100000000000001" customHeight="1">
      <c r="A9" s="493"/>
      <c r="B9" s="208" t="s">
        <v>5</v>
      </c>
      <c r="C9" s="249">
        <v>880995</v>
      </c>
      <c r="D9" s="249">
        <v>7964141</v>
      </c>
      <c r="E9" s="249">
        <v>8845136</v>
      </c>
      <c r="F9" s="4"/>
    </row>
    <row r="10" spans="1:6" ht="20.100000000000001" customHeight="1">
      <c r="A10" s="493"/>
      <c r="B10" s="82" t="s">
        <v>39</v>
      </c>
      <c r="C10" s="248">
        <v>880995</v>
      </c>
      <c r="D10" s="248">
        <v>0</v>
      </c>
      <c r="E10" s="248">
        <v>880995</v>
      </c>
      <c r="F10" s="4"/>
    </row>
    <row r="11" spans="1:6" ht="20.100000000000001" customHeight="1">
      <c r="A11" s="493"/>
      <c r="B11" s="82" t="s">
        <v>135</v>
      </c>
      <c r="C11" s="248">
        <v>0</v>
      </c>
      <c r="D11" s="248">
        <v>743470</v>
      </c>
      <c r="E11" s="248">
        <v>743470</v>
      </c>
      <c r="F11" s="4"/>
    </row>
    <row r="12" spans="1:6" ht="20.100000000000001" customHeight="1">
      <c r="A12" s="493"/>
      <c r="B12" s="82" t="s">
        <v>6</v>
      </c>
      <c r="C12" s="248">
        <v>0</v>
      </c>
      <c r="D12" s="248">
        <v>6670936</v>
      </c>
      <c r="E12" s="248">
        <v>6670936</v>
      </c>
      <c r="F12" s="4"/>
    </row>
    <row r="13" spans="1:6" ht="20.100000000000001" customHeight="1">
      <c r="A13" s="493"/>
      <c r="B13" s="82" t="s">
        <v>136</v>
      </c>
      <c r="C13" s="248">
        <v>0</v>
      </c>
      <c r="D13" s="248">
        <v>549735</v>
      </c>
      <c r="E13" s="248">
        <v>549735</v>
      </c>
      <c r="F13" s="4"/>
    </row>
    <row r="14" spans="1:6" ht="20.100000000000001" customHeight="1">
      <c r="A14" s="493"/>
      <c r="B14" s="208" t="s">
        <v>9</v>
      </c>
      <c r="C14" s="226">
        <v>0</v>
      </c>
      <c r="D14" s="226">
        <v>93740405</v>
      </c>
      <c r="E14" s="226">
        <v>93740405</v>
      </c>
      <c r="F14" s="4"/>
    </row>
    <row r="15" spans="1:6" ht="20.100000000000001" customHeight="1">
      <c r="A15" s="493"/>
      <c r="B15" s="85" t="s">
        <v>10</v>
      </c>
      <c r="C15" s="248">
        <v>0</v>
      </c>
      <c r="D15" s="248">
        <v>93740405</v>
      </c>
      <c r="E15" s="248">
        <v>93740405</v>
      </c>
      <c r="F15" s="4"/>
    </row>
    <row r="16" spans="1:6" ht="20.100000000000001" customHeight="1">
      <c r="A16" s="493" t="s">
        <v>137</v>
      </c>
      <c r="B16" s="208" t="s">
        <v>37</v>
      </c>
      <c r="C16" s="226">
        <v>0</v>
      </c>
      <c r="D16" s="226">
        <v>352081</v>
      </c>
      <c r="E16" s="226">
        <v>352081</v>
      </c>
      <c r="F16" s="4"/>
    </row>
    <row r="17" spans="1:9" ht="20.100000000000001" customHeight="1">
      <c r="A17" s="493"/>
      <c r="B17" s="85" t="s">
        <v>38</v>
      </c>
      <c r="C17" s="248">
        <v>0</v>
      </c>
      <c r="D17" s="248">
        <v>352081</v>
      </c>
      <c r="E17" s="248">
        <v>352081</v>
      </c>
      <c r="F17" s="4"/>
    </row>
    <row r="18" spans="1:9" ht="20.100000000000001" customHeight="1">
      <c r="A18" s="493"/>
      <c r="B18" s="208" t="s">
        <v>82</v>
      </c>
      <c r="C18" s="226">
        <v>0</v>
      </c>
      <c r="D18" s="226">
        <v>32780479</v>
      </c>
      <c r="E18" s="226">
        <v>32780479</v>
      </c>
      <c r="F18" s="4"/>
    </row>
    <row r="19" spans="1:9" ht="20.100000000000001" customHeight="1">
      <c r="A19" s="493"/>
      <c r="B19" s="85" t="s">
        <v>138</v>
      </c>
      <c r="C19" s="248">
        <v>0</v>
      </c>
      <c r="D19" s="248">
        <v>32780479</v>
      </c>
      <c r="E19" s="248">
        <v>32780479</v>
      </c>
      <c r="F19" s="4"/>
    </row>
    <row r="20" spans="1:9" ht="20.100000000000001" customHeight="1">
      <c r="A20" s="493"/>
      <c r="B20" s="208" t="s">
        <v>13</v>
      </c>
      <c r="C20" s="249">
        <v>27343370</v>
      </c>
      <c r="D20" s="249">
        <v>6239244</v>
      </c>
      <c r="E20" s="249">
        <v>33582614</v>
      </c>
      <c r="F20" s="4"/>
    </row>
    <row r="21" spans="1:9" ht="20.100000000000001" customHeight="1">
      <c r="A21" s="493"/>
      <c r="B21" s="85" t="s">
        <v>14</v>
      </c>
      <c r="C21" s="248">
        <v>27343370</v>
      </c>
      <c r="D21" s="248">
        <v>6239244</v>
      </c>
      <c r="E21" s="248">
        <v>33582614</v>
      </c>
      <c r="F21" s="4"/>
    </row>
    <row r="22" spans="1:9" ht="20.100000000000001" customHeight="1">
      <c r="A22" s="493" t="s">
        <v>154</v>
      </c>
      <c r="B22" s="208" t="s">
        <v>25</v>
      </c>
      <c r="C22" s="249">
        <v>30109277</v>
      </c>
      <c r="D22" s="249">
        <v>46799388</v>
      </c>
      <c r="E22" s="249">
        <v>76908665</v>
      </c>
      <c r="F22" s="4"/>
    </row>
    <row r="23" spans="1:9" ht="20.100000000000001" customHeight="1">
      <c r="A23" s="493"/>
      <c r="B23" s="82" t="s">
        <v>26</v>
      </c>
      <c r="C23" s="248">
        <v>29813000</v>
      </c>
      <c r="D23" s="248">
        <v>23495000</v>
      </c>
      <c r="E23" s="248">
        <v>53308000</v>
      </c>
      <c r="F23" s="4"/>
    </row>
    <row r="24" spans="1:9" ht="20.100000000000001" customHeight="1">
      <c r="A24" s="493"/>
      <c r="B24" s="82" t="s">
        <v>140</v>
      </c>
      <c r="C24" s="248">
        <v>288134</v>
      </c>
      <c r="D24" s="248">
        <v>22515041</v>
      </c>
      <c r="E24" s="248">
        <v>22803175</v>
      </c>
      <c r="F24" s="4"/>
    </row>
    <row r="25" spans="1:9" ht="20.100000000000001" customHeight="1">
      <c r="A25" s="493"/>
      <c r="B25" s="82" t="s">
        <v>29</v>
      </c>
      <c r="C25" s="248">
        <v>8143</v>
      </c>
      <c r="D25" s="248">
        <v>789347</v>
      </c>
      <c r="E25" s="248">
        <v>797490</v>
      </c>
      <c r="F25" s="4"/>
    </row>
    <row r="26" spans="1:9" ht="20.100000000000001" customHeight="1">
      <c r="A26" s="65" t="s">
        <v>141</v>
      </c>
      <c r="B26" s="87" t="s">
        <v>142</v>
      </c>
      <c r="C26" s="226">
        <v>76358239</v>
      </c>
      <c r="D26" s="226">
        <v>238100149</v>
      </c>
      <c r="E26" s="226">
        <v>320579589</v>
      </c>
      <c r="F26" s="4"/>
    </row>
    <row r="27" spans="1:9" ht="15.75" customHeight="1">
      <c r="A27" s="480" t="s">
        <v>504</v>
      </c>
      <c r="B27" s="480"/>
      <c r="C27" s="480"/>
      <c r="D27" s="480"/>
      <c r="E27" s="480"/>
      <c r="F27" s="84"/>
      <c r="G27" s="84"/>
    </row>
    <row r="28" spans="1:9" ht="60" customHeight="1"/>
    <row r="29" spans="1:9" ht="33.4" customHeight="1">
      <c r="A29" s="41" t="s">
        <v>1084</v>
      </c>
      <c r="B29" s="3" t="s">
        <v>118</v>
      </c>
      <c r="C29" s="79" t="s">
        <v>505</v>
      </c>
      <c r="D29" s="79" t="s">
        <v>506</v>
      </c>
      <c r="E29" s="79" t="s">
        <v>507</v>
      </c>
      <c r="F29" s="79" t="s">
        <v>508</v>
      </c>
      <c r="G29" s="79" t="s">
        <v>509</v>
      </c>
      <c r="H29" s="79" t="s">
        <v>85</v>
      </c>
      <c r="I29" s="4"/>
    </row>
    <row r="30" spans="1:9" ht="20.100000000000001" customHeight="1">
      <c r="A30" s="529" t="s">
        <v>129</v>
      </c>
      <c r="B30" s="208" t="s">
        <v>80</v>
      </c>
      <c r="C30" s="250">
        <v>0</v>
      </c>
      <c r="D30" s="250">
        <v>0</v>
      </c>
      <c r="E30" s="250">
        <v>0</v>
      </c>
      <c r="F30" s="250">
        <v>0</v>
      </c>
      <c r="G30" s="250">
        <v>0.2</v>
      </c>
      <c r="H30" s="250">
        <v>0.2</v>
      </c>
      <c r="I30" s="4"/>
    </row>
    <row r="31" spans="1:9" ht="20.100000000000001" customHeight="1">
      <c r="A31" s="530"/>
      <c r="B31" s="82" t="s">
        <v>130</v>
      </c>
      <c r="C31" s="251">
        <v>0</v>
      </c>
      <c r="D31" s="251">
        <v>0</v>
      </c>
      <c r="E31" s="251">
        <v>0</v>
      </c>
      <c r="F31" s="251">
        <v>0</v>
      </c>
      <c r="G31" s="251">
        <v>0.2</v>
      </c>
      <c r="H31" s="251">
        <v>0.2</v>
      </c>
      <c r="I31" s="4"/>
    </row>
    <row r="32" spans="1:9" ht="20.100000000000001" customHeight="1">
      <c r="A32" s="531"/>
      <c r="B32" s="82" t="s">
        <v>131</v>
      </c>
      <c r="C32" s="251">
        <v>0</v>
      </c>
      <c r="D32" s="251">
        <v>0</v>
      </c>
      <c r="E32" s="251">
        <v>0</v>
      </c>
      <c r="F32" s="251">
        <v>0</v>
      </c>
      <c r="G32" s="251">
        <v>0</v>
      </c>
      <c r="H32" s="251">
        <v>0</v>
      </c>
      <c r="I32" s="4"/>
    </row>
    <row r="33" spans="1:9" ht="20.100000000000001" customHeight="1">
      <c r="A33" s="529" t="s">
        <v>132</v>
      </c>
      <c r="B33" s="208" t="s">
        <v>81</v>
      </c>
      <c r="C33" s="250">
        <v>0</v>
      </c>
      <c r="D33" s="250">
        <v>0</v>
      </c>
      <c r="E33" s="250">
        <v>2.87</v>
      </c>
      <c r="F33" s="250">
        <v>0</v>
      </c>
      <c r="G33" s="250">
        <v>0.04</v>
      </c>
      <c r="H33" s="250">
        <v>2.91</v>
      </c>
      <c r="I33" s="4"/>
    </row>
    <row r="34" spans="1:9" ht="20.100000000000001" customHeight="1">
      <c r="A34" s="530"/>
      <c r="B34" s="82" t="s">
        <v>133</v>
      </c>
      <c r="C34" s="251">
        <v>0</v>
      </c>
      <c r="D34" s="251">
        <v>0</v>
      </c>
      <c r="E34" s="251">
        <v>2.87</v>
      </c>
      <c r="F34" s="251">
        <v>0</v>
      </c>
      <c r="G34" s="251">
        <v>0.04</v>
      </c>
      <c r="H34" s="251">
        <v>2.91</v>
      </c>
      <c r="I34" s="4"/>
    </row>
    <row r="35" spans="1:9" ht="20.100000000000001" customHeight="1">
      <c r="A35" s="530"/>
      <c r="B35" s="208" t="s">
        <v>5</v>
      </c>
      <c r="C35" s="250">
        <v>0</v>
      </c>
      <c r="D35" s="167" t="s">
        <v>65</v>
      </c>
      <c r="E35" s="167" t="s">
        <v>65</v>
      </c>
      <c r="F35" s="167" t="s">
        <v>65</v>
      </c>
      <c r="G35" s="167" t="s">
        <v>65</v>
      </c>
      <c r="H35" s="167" t="s">
        <v>65</v>
      </c>
      <c r="I35" s="4"/>
    </row>
    <row r="36" spans="1:9" ht="20.100000000000001" customHeight="1">
      <c r="A36" s="530"/>
      <c r="B36" s="82" t="s">
        <v>134</v>
      </c>
      <c r="C36" s="251">
        <v>0</v>
      </c>
      <c r="D36" s="252" t="s">
        <v>65</v>
      </c>
      <c r="E36" s="252" t="s">
        <v>65</v>
      </c>
      <c r="F36" s="252" t="s">
        <v>65</v>
      </c>
      <c r="G36" s="252" t="s">
        <v>65</v>
      </c>
      <c r="H36" s="252" t="s">
        <v>65</v>
      </c>
      <c r="I36" s="4"/>
    </row>
    <row r="37" spans="1:9" ht="20.100000000000001" customHeight="1">
      <c r="A37" s="530"/>
      <c r="B37" s="82" t="s">
        <v>39</v>
      </c>
      <c r="C37" s="251">
        <v>0</v>
      </c>
      <c r="D37" s="252" t="s">
        <v>65</v>
      </c>
      <c r="E37" s="252" t="s">
        <v>65</v>
      </c>
      <c r="F37" s="252" t="s">
        <v>65</v>
      </c>
      <c r="G37" s="252" t="s">
        <v>65</v>
      </c>
      <c r="H37" s="252" t="s">
        <v>65</v>
      </c>
      <c r="I37" s="4"/>
    </row>
    <row r="38" spans="1:9" ht="20.100000000000001" customHeight="1">
      <c r="A38" s="530"/>
      <c r="B38" s="82" t="s">
        <v>135</v>
      </c>
      <c r="C38" s="251">
        <v>0</v>
      </c>
      <c r="D38" s="252" t="s">
        <v>65</v>
      </c>
      <c r="E38" s="252" t="s">
        <v>65</v>
      </c>
      <c r="F38" s="252" t="s">
        <v>65</v>
      </c>
      <c r="G38" s="252" t="s">
        <v>65</v>
      </c>
      <c r="H38" s="252" t="s">
        <v>65</v>
      </c>
      <c r="I38" s="4"/>
    </row>
    <row r="39" spans="1:9" ht="20.100000000000001" customHeight="1">
      <c r="A39" s="530"/>
      <c r="B39" s="82" t="s">
        <v>6</v>
      </c>
      <c r="C39" s="251">
        <v>0</v>
      </c>
      <c r="D39" s="252" t="s">
        <v>65</v>
      </c>
      <c r="E39" s="252" t="s">
        <v>65</v>
      </c>
      <c r="F39" s="252" t="s">
        <v>65</v>
      </c>
      <c r="G39" s="252" t="s">
        <v>65</v>
      </c>
      <c r="H39" s="252" t="s">
        <v>65</v>
      </c>
      <c r="I39" s="4"/>
    </row>
    <row r="40" spans="1:9" ht="20.100000000000001" customHeight="1">
      <c r="A40" s="530"/>
      <c r="B40" s="82" t="s">
        <v>136</v>
      </c>
      <c r="C40" s="251">
        <v>0</v>
      </c>
      <c r="D40" s="252" t="s">
        <v>65</v>
      </c>
      <c r="E40" s="252" t="s">
        <v>65</v>
      </c>
      <c r="F40" s="252" t="s">
        <v>65</v>
      </c>
      <c r="G40" s="252" t="s">
        <v>65</v>
      </c>
      <c r="H40" s="252" t="s">
        <v>65</v>
      </c>
      <c r="I40" s="4"/>
    </row>
    <row r="41" spans="1:9" ht="20.100000000000001" customHeight="1">
      <c r="A41" s="530"/>
      <c r="B41" s="208" t="s">
        <v>9</v>
      </c>
      <c r="C41" s="250">
        <v>0</v>
      </c>
      <c r="D41" s="167" t="s">
        <v>65</v>
      </c>
      <c r="E41" s="167" t="s">
        <v>65</v>
      </c>
      <c r="F41" s="167" t="s">
        <v>65</v>
      </c>
      <c r="G41" s="167" t="s">
        <v>65</v>
      </c>
      <c r="H41" s="253" t="s">
        <v>65</v>
      </c>
      <c r="I41" s="4"/>
    </row>
    <row r="42" spans="1:9" ht="20.100000000000001" customHeight="1">
      <c r="A42" s="531"/>
      <c r="B42" s="85" t="s">
        <v>10</v>
      </c>
      <c r="C42" s="251">
        <v>0</v>
      </c>
      <c r="D42" s="252" t="s">
        <v>65</v>
      </c>
      <c r="E42" s="252" t="s">
        <v>65</v>
      </c>
      <c r="F42" s="252" t="s">
        <v>65</v>
      </c>
      <c r="G42" s="252" t="s">
        <v>65</v>
      </c>
      <c r="H42" s="252" t="s">
        <v>65</v>
      </c>
      <c r="I42" s="4"/>
    </row>
    <row r="43" spans="1:9" ht="20.100000000000001" customHeight="1">
      <c r="A43" s="529" t="s">
        <v>137</v>
      </c>
      <c r="B43" s="208" t="s">
        <v>37</v>
      </c>
      <c r="C43" s="250">
        <v>0</v>
      </c>
      <c r="D43" s="167" t="s">
        <v>65</v>
      </c>
      <c r="E43" s="167" t="s">
        <v>65</v>
      </c>
      <c r="F43" s="167" t="s">
        <v>65</v>
      </c>
      <c r="G43" s="167" t="s">
        <v>65</v>
      </c>
      <c r="H43" s="253" t="s">
        <v>65</v>
      </c>
      <c r="I43" s="4"/>
    </row>
    <row r="44" spans="1:9" ht="20.100000000000001" customHeight="1">
      <c r="A44" s="530"/>
      <c r="B44" s="85" t="s">
        <v>38</v>
      </c>
      <c r="C44" s="251">
        <v>0</v>
      </c>
      <c r="D44" s="252" t="s">
        <v>65</v>
      </c>
      <c r="E44" s="252" t="s">
        <v>65</v>
      </c>
      <c r="F44" s="252" t="s">
        <v>65</v>
      </c>
      <c r="G44" s="252" t="s">
        <v>65</v>
      </c>
      <c r="H44" s="252" t="s">
        <v>65</v>
      </c>
      <c r="I44" s="4"/>
    </row>
    <row r="45" spans="1:9" ht="20.100000000000001" customHeight="1">
      <c r="A45" s="530"/>
      <c r="B45" s="208" t="s">
        <v>82</v>
      </c>
      <c r="C45" s="250">
        <v>0</v>
      </c>
      <c r="D45" s="250">
        <v>0</v>
      </c>
      <c r="E45" s="250">
        <v>1.27</v>
      </c>
      <c r="F45" s="250">
        <v>0</v>
      </c>
      <c r="G45" s="250">
        <v>0.01</v>
      </c>
      <c r="H45" s="250">
        <v>1.28</v>
      </c>
      <c r="I45" s="4"/>
    </row>
    <row r="46" spans="1:9" ht="20.100000000000001" customHeight="1">
      <c r="A46" s="530"/>
      <c r="B46" s="85" t="s">
        <v>138</v>
      </c>
      <c r="C46" s="251">
        <v>0</v>
      </c>
      <c r="D46" s="251">
        <v>0</v>
      </c>
      <c r="E46" s="251">
        <v>1.27</v>
      </c>
      <c r="F46" s="251">
        <v>0</v>
      </c>
      <c r="G46" s="251">
        <v>0.01</v>
      </c>
      <c r="H46" s="251">
        <v>1.28</v>
      </c>
      <c r="I46" s="4"/>
    </row>
    <row r="47" spans="1:9" ht="20.100000000000001" customHeight="1">
      <c r="A47" s="530"/>
      <c r="B47" s="208" t="s">
        <v>13</v>
      </c>
      <c r="C47" s="250">
        <v>2.4300000000000002</v>
      </c>
      <c r="D47" s="250">
        <v>0</v>
      </c>
      <c r="E47" s="250">
        <v>0</v>
      </c>
      <c r="F47" s="250">
        <v>0</v>
      </c>
      <c r="G47" s="250">
        <v>0</v>
      </c>
      <c r="H47" s="250">
        <v>2.4300000000000002</v>
      </c>
      <c r="I47" s="4"/>
    </row>
    <row r="48" spans="1:9" ht="20.100000000000001" customHeight="1">
      <c r="A48" s="531"/>
      <c r="B48" s="85" t="s">
        <v>14</v>
      </c>
      <c r="C48" s="251">
        <v>2.4300000000000002</v>
      </c>
      <c r="D48" s="251">
        <v>0</v>
      </c>
      <c r="E48" s="251">
        <v>0</v>
      </c>
      <c r="F48" s="251">
        <v>0</v>
      </c>
      <c r="G48" s="251">
        <v>0</v>
      </c>
      <c r="H48" s="251">
        <v>2.4300000000000002</v>
      </c>
      <c r="I48" s="4"/>
    </row>
    <row r="49" spans="1:13" ht="20.100000000000001" customHeight="1">
      <c r="A49" s="529" t="s">
        <v>154</v>
      </c>
      <c r="B49" s="208" t="s">
        <v>25</v>
      </c>
      <c r="C49" s="250">
        <v>0.01</v>
      </c>
      <c r="D49" s="250">
        <v>0</v>
      </c>
      <c r="E49" s="250">
        <v>0</v>
      </c>
      <c r="F49" s="250">
        <v>0.4</v>
      </c>
      <c r="G49" s="250">
        <v>0.35</v>
      </c>
      <c r="H49" s="250">
        <v>0.76</v>
      </c>
      <c r="I49" s="4"/>
    </row>
    <row r="50" spans="1:13" ht="20.100000000000001" customHeight="1">
      <c r="A50" s="530"/>
      <c r="B50" s="82" t="s">
        <v>26</v>
      </c>
      <c r="C50" s="251">
        <v>0</v>
      </c>
      <c r="D50" s="251">
        <v>0</v>
      </c>
      <c r="E50" s="251">
        <v>0</v>
      </c>
      <c r="F50" s="251">
        <v>0</v>
      </c>
      <c r="G50" s="251">
        <v>0</v>
      </c>
      <c r="H50" s="251">
        <v>0</v>
      </c>
      <c r="I50" s="4"/>
    </row>
    <row r="51" spans="1:13" ht="20.100000000000001" customHeight="1">
      <c r="A51" s="530"/>
      <c r="B51" s="82" t="s">
        <v>140</v>
      </c>
      <c r="C51" s="251">
        <v>0.01</v>
      </c>
      <c r="D51" s="251">
        <v>0</v>
      </c>
      <c r="E51" s="251">
        <v>0</v>
      </c>
      <c r="F51" s="251">
        <v>0.4</v>
      </c>
      <c r="G51" s="251">
        <v>0.35</v>
      </c>
      <c r="H51" s="251">
        <v>0.76</v>
      </c>
      <c r="I51" s="4"/>
    </row>
    <row r="52" spans="1:13" ht="20.100000000000001" customHeight="1">
      <c r="A52" s="531"/>
      <c r="B52" s="82" t="s">
        <v>29</v>
      </c>
      <c r="C52" s="251">
        <v>0</v>
      </c>
      <c r="D52" s="251">
        <v>0</v>
      </c>
      <c r="E52" s="251">
        <v>0</v>
      </c>
      <c r="F52" s="251">
        <v>0</v>
      </c>
      <c r="G52" s="251">
        <v>0</v>
      </c>
      <c r="H52" s="251">
        <v>0</v>
      </c>
      <c r="I52" s="4"/>
    </row>
    <row r="53" spans="1:13" ht="20.100000000000001" customHeight="1">
      <c r="A53" s="65" t="s">
        <v>141</v>
      </c>
      <c r="B53" s="87" t="s">
        <v>142</v>
      </c>
      <c r="C53" s="250">
        <v>2.44</v>
      </c>
      <c r="D53" s="250">
        <v>0</v>
      </c>
      <c r="E53" s="250">
        <v>4.1399999999999997</v>
      </c>
      <c r="F53" s="250">
        <v>0.4</v>
      </c>
      <c r="G53" s="250">
        <v>0.6</v>
      </c>
      <c r="H53" s="250">
        <v>7.58</v>
      </c>
      <c r="I53" s="4"/>
    </row>
    <row r="54" spans="1:13" ht="49.5" customHeight="1">
      <c r="A54" s="491" t="s">
        <v>1085</v>
      </c>
      <c r="B54" s="491"/>
      <c r="C54" s="491"/>
      <c r="D54" s="491"/>
      <c r="E54" s="491"/>
      <c r="F54" s="491"/>
      <c r="G54" s="491"/>
      <c r="H54" s="491"/>
    </row>
    <row r="55" spans="1:13" ht="60" customHeight="1"/>
    <row r="56" spans="1:13" ht="45.75" customHeight="1">
      <c r="A56" s="2" t="s">
        <v>510</v>
      </c>
      <c r="B56" s="3" t="s">
        <v>118</v>
      </c>
      <c r="C56" s="79" t="s">
        <v>511</v>
      </c>
      <c r="D56" s="79" t="s">
        <v>512</v>
      </c>
      <c r="E56" s="79" t="s">
        <v>513</v>
      </c>
      <c r="F56" s="79" t="s">
        <v>514</v>
      </c>
      <c r="G56" s="79" t="s">
        <v>515</v>
      </c>
      <c r="H56" s="79" t="s">
        <v>516</v>
      </c>
      <c r="I56" s="79" t="s">
        <v>517</v>
      </c>
      <c r="J56" s="79" t="s">
        <v>518</v>
      </c>
      <c r="K56" s="79" t="s">
        <v>519</v>
      </c>
      <c r="L56" s="79" t="s">
        <v>520</v>
      </c>
      <c r="M56" s="4"/>
    </row>
    <row r="57" spans="1:13" ht="20.100000000000001" customHeight="1">
      <c r="A57" s="493" t="s">
        <v>129</v>
      </c>
      <c r="B57" s="208" t="s">
        <v>80</v>
      </c>
      <c r="C57" s="250">
        <v>0</v>
      </c>
      <c r="D57" s="250">
        <v>643.78</v>
      </c>
      <c r="E57" s="250">
        <v>17.68</v>
      </c>
      <c r="F57" s="250">
        <v>8.81</v>
      </c>
      <c r="G57" s="250">
        <v>32.9</v>
      </c>
      <c r="H57" s="250">
        <v>0</v>
      </c>
      <c r="I57" s="250">
        <v>8.7200000000000006</v>
      </c>
      <c r="J57" s="250">
        <v>0</v>
      </c>
      <c r="K57" s="250">
        <v>0.21</v>
      </c>
      <c r="L57" s="250">
        <v>712.09</v>
      </c>
      <c r="M57" s="4"/>
    </row>
    <row r="58" spans="1:13" ht="20.100000000000001" customHeight="1">
      <c r="A58" s="493"/>
      <c r="B58" s="82" t="s">
        <v>130</v>
      </c>
      <c r="C58" s="251">
        <v>0</v>
      </c>
      <c r="D58" s="251">
        <v>394.32</v>
      </c>
      <c r="E58" s="251">
        <v>17.68</v>
      </c>
      <c r="F58" s="251">
        <v>8.81</v>
      </c>
      <c r="G58" s="251">
        <v>8.7100000000000009</v>
      </c>
      <c r="H58" s="251">
        <v>0</v>
      </c>
      <c r="I58" s="251">
        <v>0</v>
      </c>
      <c r="J58" s="251">
        <v>0</v>
      </c>
      <c r="K58" s="251">
        <v>0.21</v>
      </c>
      <c r="L58" s="251">
        <v>429.74</v>
      </c>
      <c r="M58" s="4"/>
    </row>
    <row r="59" spans="1:13" ht="20.100000000000001" customHeight="1">
      <c r="A59" s="493"/>
      <c r="B59" s="82" t="s">
        <v>131</v>
      </c>
      <c r="C59" s="251">
        <v>0</v>
      </c>
      <c r="D59" s="251">
        <v>249.46</v>
      </c>
      <c r="E59" s="251">
        <v>0</v>
      </c>
      <c r="F59" s="251">
        <v>0</v>
      </c>
      <c r="G59" s="251">
        <v>24.18</v>
      </c>
      <c r="H59" s="251">
        <v>0</v>
      </c>
      <c r="I59" s="251">
        <v>8.7200000000000006</v>
      </c>
      <c r="J59" s="251">
        <v>0</v>
      </c>
      <c r="K59" s="251">
        <v>0</v>
      </c>
      <c r="L59" s="251">
        <v>282.36</v>
      </c>
      <c r="M59" s="4"/>
    </row>
    <row r="60" spans="1:13" ht="20.100000000000001" customHeight="1">
      <c r="A60" s="493" t="s">
        <v>132</v>
      </c>
      <c r="B60" s="208" t="s">
        <v>81</v>
      </c>
      <c r="C60" s="250">
        <v>0</v>
      </c>
      <c r="D60" s="250">
        <v>0</v>
      </c>
      <c r="E60" s="250">
        <v>0</v>
      </c>
      <c r="F60" s="250">
        <v>0</v>
      </c>
      <c r="G60" s="250">
        <v>0.51</v>
      </c>
      <c r="H60" s="250">
        <v>0</v>
      </c>
      <c r="I60" s="250">
        <v>66.260000000000005</v>
      </c>
      <c r="J60" s="250">
        <v>0</v>
      </c>
      <c r="K60" s="250">
        <v>0</v>
      </c>
      <c r="L60" s="250">
        <v>66.77</v>
      </c>
      <c r="M60" s="4"/>
    </row>
    <row r="61" spans="1:13" ht="20.100000000000001" customHeight="1">
      <c r="A61" s="493"/>
      <c r="B61" s="82" t="s">
        <v>133</v>
      </c>
      <c r="C61" s="251">
        <v>0</v>
      </c>
      <c r="D61" s="251">
        <v>0</v>
      </c>
      <c r="E61" s="251">
        <v>0</v>
      </c>
      <c r="F61" s="251">
        <v>0</v>
      </c>
      <c r="G61" s="251">
        <v>0.51</v>
      </c>
      <c r="H61" s="251">
        <v>0</v>
      </c>
      <c r="I61" s="251">
        <v>66.260000000000005</v>
      </c>
      <c r="J61" s="251">
        <v>0</v>
      </c>
      <c r="K61" s="251">
        <v>0</v>
      </c>
      <c r="L61" s="251">
        <v>66.77</v>
      </c>
      <c r="M61" s="4"/>
    </row>
    <row r="62" spans="1:13" ht="20.100000000000001" customHeight="1">
      <c r="A62" s="493"/>
      <c r="B62" s="208" t="s">
        <v>5</v>
      </c>
      <c r="C62" s="250">
        <v>81.27</v>
      </c>
      <c r="D62" s="250">
        <v>832.57</v>
      </c>
      <c r="E62" s="250">
        <v>0</v>
      </c>
      <c r="F62" s="250">
        <v>0</v>
      </c>
      <c r="G62" s="250">
        <v>109.45</v>
      </c>
      <c r="H62" s="250">
        <v>0</v>
      </c>
      <c r="I62" s="250">
        <v>0</v>
      </c>
      <c r="J62" s="250">
        <v>0</v>
      </c>
      <c r="K62" s="250">
        <v>522.97</v>
      </c>
      <c r="L62" s="250">
        <v>1546.26</v>
      </c>
      <c r="M62" s="4"/>
    </row>
    <row r="63" spans="1:13" ht="20.100000000000001" customHeight="1">
      <c r="A63" s="493"/>
      <c r="B63" s="82" t="s">
        <v>134</v>
      </c>
      <c r="C63" s="251">
        <v>0</v>
      </c>
      <c r="D63" s="251">
        <v>0</v>
      </c>
      <c r="E63" s="251">
        <v>0</v>
      </c>
      <c r="F63" s="251">
        <v>0</v>
      </c>
      <c r="G63" s="251">
        <v>0</v>
      </c>
      <c r="H63" s="251">
        <v>0</v>
      </c>
      <c r="I63" s="251">
        <v>0</v>
      </c>
      <c r="J63" s="251">
        <v>0</v>
      </c>
      <c r="K63" s="251">
        <v>0</v>
      </c>
      <c r="L63" s="251">
        <v>0</v>
      </c>
      <c r="M63" s="4"/>
    </row>
    <row r="64" spans="1:13" ht="20.100000000000001" customHeight="1">
      <c r="A64" s="493"/>
      <c r="B64" s="82" t="s">
        <v>39</v>
      </c>
      <c r="C64" s="251">
        <v>0</v>
      </c>
      <c r="D64" s="251">
        <v>192.93</v>
      </c>
      <c r="E64" s="251">
        <v>0</v>
      </c>
      <c r="F64" s="251">
        <v>0</v>
      </c>
      <c r="G64" s="251">
        <v>0</v>
      </c>
      <c r="H64" s="251">
        <v>0</v>
      </c>
      <c r="I64" s="251">
        <v>0</v>
      </c>
      <c r="J64" s="251">
        <v>0</v>
      </c>
      <c r="K64" s="251">
        <v>383.51</v>
      </c>
      <c r="L64" s="251">
        <v>576.44000000000005</v>
      </c>
      <c r="M64" s="4"/>
    </row>
    <row r="65" spans="1:13" ht="20.100000000000001" customHeight="1">
      <c r="A65" s="493"/>
      <c r="B65" s="82" t="s">
        <v>135</v>
      </c>
      <c r="C65" s="251">
        <v>0</v>
      </c>
      <c r="D65" s="251">
        <v>0</v>
      </c>
      <c r="E65" s="251">
        <v>0</v>
      </c>
      <c r="F65" s="251">
        <v>0</v>
      </c>
      <c r="G65" s="251">
        <v>0</v>
      </c>
      <c r="H65" s="251">
        <v>0</v>
      </c>
      <c r="I65" s="251">
        <v>0</v>
      </c>
      <c r="J65" s="251">
        <v>0</v>
      </c>
      <c r="K65" s="251">
        <v>123.54</v>
      </c>
      <c r="L65" s="251">
        <v>123.54</v>
      </c>
      <c r="M65" s="4"/>
    </row>
    <row r="66" spans="1:13" ht="20.100000000000001" customHeight="1">
      <c r="A66" s="493"/>
      <c r="B66" s="82" t="s">
        <v>6</v>
      </c>
      <c r="C66" s="251">
        <v>0</v>
      </c>
      <c r="D66" s="251">
        <v>554.09</v>
      </c>
      <c r="E66" s="251">
        <v>0</v>
      </c>
      <c r="F66" s="251">
        <v>0</v>
      </c>
      <c r="G66" s="251">
        <v>0</v>
      </c>
      <c r="H66" s="251">
        <v>0</v>
      </c>
      <c r="I66" s="251">
        <v>0</v>
      </c>
      <c r="J66" s="251">
        <v>0</v>
      </c>
      <c r="K66" s="251">
        <v>0</v>
      </c>
      <c r="L66" s="251">
        <v>554.09</v>
      </c>
      <c r="M66" s="4"/>
    </row>
    <row r="67" spans="1:13" ht="20.100000000000001" customHeight="1">
      <c r="A67" s="493"/>
      <c r="B67" s="82" t="s">
        <v>136</v>
      </c>
      <c r="C67" s="251">
        <v>81.27</v>
      </c>
      <c r="D67" s="251">
        <v>85.55</v>
      </c>
      <c r="E67" s="251">
        <v>0</v>
      </c>
      <c r="F67" s="251">
        <v>0</v>
      </c>
      <c r="G67" s="251">
        <v>109.45</v>
      </c>
      <c r="H67" s="251">
        <v>0</v>
      </c>
      <c r="I67" s="251">
        <v>0</v>
      </c>
      <c r="J67" s="251">
        <v>0</v>
      </c>
      <c r="K67" s="251">
        <v>15.92</v>
      </c>
      <c r="L67" s="251">
        <v>292.19</v>
      </c>
      <c r="M67" s="4"/>
    </row>
    <row r="68" spans="1:13" ht="20.100000000000001" customHeight="1">
      <c r="A68" s="493"/>
      <c r="B68" s="208" t="s">
        <v>9</v>
      </c>
      <c r="C68" s="250">
        <v>721.94</v>
      </c>
      <c r="D68" s="250">
        <v>24.25</v>
      </c>
      <c r="E68" s="250">
        <v>0</v>
      </c>
      <c r="F68" s="250">
        <v>0</v>
      </c>
      <c r="G68" s="250">
        <v>0</v>
      </c>
      <c r="H68" s="250">
        <v>0</v>
      </c>
      <c r="I68" s="250">
        <v>196.43</v>
      </c>
      <c r="J68" s="250">
        <v>0</v>
      </c>
      <c r="K68" s="250">
        <v>2774.82</v>
      </c>
      <c r="L68" s="250">
        <v>3717.44</v>
      </c>
      <c r="M68" s="4"/>
    </row>
    <row r="69" spans="1:13" ht="20.100000000000001" customHeight="1">
      <c r="A69" s="493"/>
      <c r="B69" s="85" t="s">
        <v>10</v>
      </c>
      <c r="C69" s="251">
        <v>721.94</v>
      </c>
      <c r="D69" s="251">
        <v>24.25</v>
      </c>
      <c r="E69" s="251">
        <v>0</v>
      </c>
      <c r="F69" s="251">
        <v>0</v>
      </c>
      <c r="G69" s="251">
        <v>0</v>
      </c>
      <c r="H69" s="251">
        <v>0</v>
      </c>
      <c r="I69" s="251">
        <v>196.43</v>
      </c>
      <c r="J69" s="251">
        <v>0</v>
      </c>
      <c r="K69" s="251">
        <v>2774.82</v>
      </c>
      <c r="L69" s="251">
        <v>3717.44</v>
      </c>
      <c r="M69" s="4"/>
    </row>
    <row r="70" spans="1:13" ht="20.100000000000001" customHeight="1">
      <c r="A70" s="493" t="s">
        <v>137</v>
      </c>
      <c r="B70" s="208" t="s">
        <v>37</v>
      </c>
      <c r="C70" s="250">
        <v>0</v>
      </c>
      <c r="D70" s="250">
        <v>0</v>
      </c>
      <c r="E70" s="250">
        <v>0</v>
      </c>
      <c r="F70" s="250">
        <v>0</v>
      </c>
      <c r="G70" s="250">
        <v>0</v>
      </c>
      <c r="H70" s="250">
        <v>0</v>
      </c>
      <c r="I70" s="250">
        <v>0</v>
      </c>
      <c r="J70" s="250">
        <v>0</v>
      </c>
      <c r="K70" s="250">
        <v>2079.65</v>
      </c>
      <c r="L70" s="250">
        <v>2079.65</v>
      </c>
      <c r="M70" s="4"/>
    </row>
    <row r="71" spans="1:13" ht="20.100000000000001" customHeight="1">
      <c r="A71" s="493"/>
      <c r="B71" s="85" t="s">
        <v>38</v>
      </c>
      <c r="C71" s="251">
        <v>0</v>
      </c>
      <c r="D71" s="251">
        <v>0</v>
      </c>
      <c r="E71" s="251">
        <v>0</v>
      </c>
      <c r="F71" s="251">
        <v>0</v>
      </c>
      <c r="G71" s="251">
        <v>0</v>
      </c>
      <c r="H71" s="251">
        <v>0</v>
      </c>
      <c r="I71" s="251">
        <v>0</v>
      </c>
      <c r="J71" s="251">
        <v>0</v>
      </c>
      <c r="K71" s="251">
        <v>2079.65</v>
      </c>
      <c r="L71" s="251">
        <v>2079.65</v>
      </c>
      <c r="M71" s="4"/>
    </row>
    <row r="72" spans="1:13" ht="20.100000000000001" customHeight="1">
      <c r="A72" s="493"/>
      <c r="B72" s="208" t="s">
        <v>82</v>
      </c>
      <c r="C72" s="250">
        <v>0</v>
      </c>
      <c r="D72" s="250">
        <v>591.76</v>
      </c>
      <c r="E72" s="250">
        <v>0</v>
      </c>
      <c r="F72" s="250">
        <v>0</v>
      </c>
      <c r="G72" s="250">
        <v>470.03</v>
      </c>
      <c r="H72" s="250">
        <v>0</v>
      </c>
      <c r="I72" s="250">
        <v>0</v>
      </c>
      <c r="J72" s="250">
        <v>83.28</v>
      </c>
      <c r="K72" s="250">
        <v>0</v>
      </c>
      <c r="L72" s="250">
        <v>1145.07</v>
      </c>
      <c r="M72" s="4"/>
    </row>
    <row r="73" spans="1:13" ht="20.100000000000001" customHeight="1">
      <c r="A73" s="493"/>
      <c r="B73" s="85" t="s">
        <v>138</v>
      </c>
      <c r="C73" s="251">
        <v>0</v>
      </c>
      <c r="D73" s="251">
        <v>591.76</v>
      </c>
      <c r="E73" s="251">
        <v>0</v>
      </c>
      <c r="F73" s="251">
        <v>0</v>
      </c>
      <c r="G73" s="251">
        <v>470.03</v>
      </c>
      <c r="H73" s="251">
        <v>0</v>
      </c>
      <c r="I73" s="251">
        <v>0</v>
      </c>
      <c r="J73" s="251">
        <v>83.28</v>
      </c>
      <c r="K73" s="251">
        <v>0</v>
      </c>
      <c r="L73" s="251">
        <v>1145.07</v>
      </c>
      <c r="M73" s="4"/>
    </row>
    <row r="74" spans="1:13" ht="20.100000000000001" customHeight="1">
      <c r="A74" s="493"/>
      <c r="B74" s="208" t="s">
        <v>13</v>
      </c>
      <c r="C74" s="250">
        <v>0</v>
      </c>
      <c r="D74" s="250">
        <v>11.91</v>
      </c>
      <c r="E74" s="250">
        <v>0</v>
      </c>
      <c r="F74" s="250">
        <v>0</v>
      </c>
      <c r="G74" s="250">
        <v>0</v>
      </c>
      <c r="H74" s="250">
        <v>0</v>
      </c>
      <c r="I74" s="250">
        <v>1016.2</v>
      </c>
      <c r="J74" s="250">
        <v>549</v>
      </c>
      <c r="K74" s="250">
        <v>0</v>
      </c>
      <c r="L74" s="250">
        <v>1577.11</v>
      </c>
      <c r="M74" s="4"/>
    </row>
    <row r="75" spans="1:13" ht="20.100000000000001" customHeight="1">
      <c r="A75" s="493"/>
      <c r="B75" s="85" t="s">
        <v>14</v>
      </c>
      <c r="C75" s="251">
        <v>0</v>
      </c>
      <c r="D75" s="251">
        <v>11.91</v>
      </c>
      <c r="E75" s="251">
        <v>0</v>
      </c>
      <c r="F75" s="251">
        <v>0</v>
      </c>
      <c r="G75" s="251">
        <v>0</v>
      </c>
      <c r="H75" s="251">
        <v>0</v>
      </c>
      <c r="I75" s="251">
        <v>1016.2</v>
      </c>
      <c r="J75" s="251">
        <v>549</v>
      </c>
      <c r="K75" s="251">
        <v>0</v>
      </c>
      <c r="L75" s="251">
        <v>1577.11</v>
      </c>
      <c r="M75" s="4"/>
    </row>
    <row r="76" spans="1:13" ht="20.100000000000001" customHeight="1">
      <c r="A76" s="493" t="s">
        <v>154</v>
      </c>
      <c r="B76" s="208" t="s">
        <v>25</v>
      </c>
      <c r="C76" s="250">
        <v>1243.77</v>
      </c>
      <c r="D76" s="250">
        <v>2133.0300000000002</v>
      </c>
      <c r="E76" s="250">
        <v>36.950000000000003</v>
      </c>
      <c r="F76" s="250">
        <v>0</v>
      </c>
      <c r="G76" s="250">
        <v>31.89</v>
      </c>
      <c r="H76" s="250">
        <v>0</v>
      </c>
      <c r="I76" s="250">
        <v>346.55</v>
      </c>
      <c r="J76" s="250">
        <v>16286.24</v>
      </c>
      <c r="K76" s="250">
        <v>1195.8399999999999</v>
      </c>
      <c r="L76" s="250">
        <v>21274.27</v>
      </c>
      <c r="M76" s="4"/>
    </row>
    <row r="77" spans="1:13" ht="20.100000000000001" customHeight="1">
      <c r="A77" s="493"/>
      <c r="B77" s="82" t="s">
        <v>26</v>
      </c>
      <c r="C77" s="251">
        <v>1243.77</v>
      </c>
      <c r="D77" s="251">
        <v>1146.56</v>
      </c>
      <c r="E77" s="251">
        <v>36.950000000000003</v>
      </c>
      <c r="F77" s="251">
        <v>0</v>
      </c>
      <c r="G77" s="251">
        <v>0.56999999999999995</v>
      </c>
      <c r="H77" s="251">
        <v>0</v>
      </c>
      <c r="I77" s="251">
        <v>346.55</v>
      </c>
      <c r="J77" s="251">
        <v>15865.5</v>
      </c>
      <c r="K77" s="251">
        <v>1187.5999999999999</v>
      </c>
      <c r="L77" s="251">
        <v>19827.5</v>
      </c>
      <c r="M77" s="4"/>
    </row>
    <row r="78" spans="1:13" ht="20.100000000000001" customHeight="1">
      <c r="A78" s="493"/>
      <c r="B78" s="82" t="s">
        <v>140</v>
      </c>
      <c r="C78" s="251">
        <v>0</v>
      </c>
      <c r="D78" s="251">
        <v>691.27</v>
      </c>
      <c r="E78" s="251">
        <v>0</v>
      </c>
      <c r="F78" s="251">
        <v>0</v>
      </c>
      <c r="G78" s="251">
        <v>0</v>
      </c>
      <c r="H78" s="251">
        <v>0</v>
      </c>
      <c r="I78" s="251">
        <v>0</v>
      </c>
      <c r="J78" s="251">
        <v>394.5</v>
      </c>
      <c r="K78" s="251">
        <v>8.24</v>
      </c>
      <c r="L78" s="251">
        <v>1094.01</v>
      </c>
      <c r="M78" s="4"/>
    </row>
    <row r="79" spans="1:13" ht="20.100000000000001" customHeight="1">
      <c r="A79" s="493"/>
      <c r="B79" s="82" t="s">
        <v>29</v>
      </c>
      <c r="C79" s="251">
        <v>0</v>
      </c>
      <c r="D79" s="251">
        <v>295.2</v>
      </c>
      <c r="E79" s="251">
        <v>0</v>
      </c>
      <c r="F79" s="251">
        <v>0</v>
      </c>
      <c r="G79" s="251">
        <v>31.32</v>
      </c>
      <c r="H79" s="251">
        <v>0</v>
      </c>
      <c r="I79" s="251">
        <v>0</v>
      </c>
      <c r="J79" s="251">
        <v>26.24</v>
      </c>
      <c r="K79" s="251">
        <v>0</v>
      </c>
      <c r="L79" s="251">
        <v>352.76</v>
      </c>
      <c r="M79" s="4"/>
    </row>
    <row r="80" spans="1:13" ht="20.100000000000001" customHeight="1">
      <c r="A80" s="65" t="s">
        <v>141</v>
      </c>
      <c r="B80" s="87" t="s">
        <v>142</v>
      </c>
      <c r="C80" s="250">
        <v>2046.98</v>
      </c>
      <c r="D80" s="250">
        <v>4237.3</v>
      </c>
      <c r="E80" s="250">
        <v>54.63</v>
      </c>
      <c r="F80" s="250">
        <v>8.81</v>
      </c>
      <c r="G80" s="250">
        <v>644.78</v>
      </c>
      <c r="H80" s="250">
        <v>0</v>
      </c>
      <c r="I80" s="250">
        <v>1634.16</v>
      </c>
      <c r="J80" s="250">
        <v>16918.52</v>
      </c>
      <c r="K80" s="250">
        <v>6573.49</v>
      </c>
      <c r="L80" s="250">
        <v>32118.67</v>
      </c>
      <c r="M80" s="4"/>
    </row>
    <row r="81" spans="1:13" ht="20.25" customHeight="1">
      <c r="A81" s="553" t="s">
        <v>521</v>
      </c>
      <c r="B81" s="553"/>
      <c r="C81" s="553"/>
      <c r="D81" s="553"/>
      <c r="E81" s="553"/>
      <c r="F81" s="553"/>
      <c r="G81" s="553"/>
      <c r="H81" s="553"/>
      <c r="I81" s="553"/>
      <c r="J81" s="553"/>
      <c r="K81" s="553"/>
      <c r="L81" s="553"/>
    </row>
    <row r="82" spans="1:13" ht="60" customHeight="1"/>
    <row r="83" spans="1:13" ht="49.15" customHeight="1">
      <c r="A83" s="175" t="s">
        <v>522</v>
      </c>
      <c r="B83" s="3" t="s">
        <v>118</v>
      </c>
      <c r="C83" s="79" t="s">
        <v>511</v>
      </c>
      <c r="D83" s="79" t="s">
        <v>523</v>
      </c>
      <c r="E83" s="79" t="s">
        <v>513</v>
      </c>
      <c r="F83" s="79" t="s">
        <v>514</v>
      </c>
      <c r="G83" s="79" t="s">
        <v>515</v>
      </c>
      <c r="H83" s="79" t="s">
        <v>516</v>
      </c>
      <c r="I83" s="79" t="s">
        <v>517</v>
      </c>
      <c r="J83" s="79" t="s">
        <v>518</v>
      </c>
      <c r="K83" s="79" t="s">
        <v>519</v>
      </c>
      <c r="L83" s="79" t="s">
        <v>524</v>
      </c>
      <c r="M83" s="4"/>
    </row>
    <row r="84" spans="1:13" ht="20.100000000000001" customHeight="1">
      <c r="A84" s="493" t="s">
        <v>129</v>
      </c>
      <c r="B84" s="208" t="s">
        <v>80</v>
      </c>
      <c r="C84" s="226">
        <v>59.96</v>
      </c>
      <c r="D84" s="226">
        <v>2588</v>
      </c>
      <c r="E84" s="226">
        <v>11.63</v>
      </c>
      <c r="F84" s="226">
        <v>0</v>
      </c>
      <c r="G84" s="226">
        <v>0</v>
      </c>
      <c r="H84" s="226">
        <v>0</v>
      </c>
      <c r="I84" s="226">
        <v>581.23</v>
      </c>
      <c r="J84" s="226">
        <v>259.31</v>
      </c>
      <c r="K84" s="226">
        <v>0</v>
      </c>
      <c r="L84" s="226">
        <v>3499.7000000000003</v>
      </c>
      <c r="M84" s="4"/>
    </row>
    <row r="85" spans="1:13" ht="20.100000000000001" customHeight="1">
      <c r="A85" s="493"/>
      <c r="B85" s="82" t="s">
        <v>130</v>
      </c>
      <c r="C85" s="248">
        <v>22.97</v>
      </c>
      <c r="D85" s="227">
        <v>20</v>
      </c>
      <c r="E85" s="248">
        <v>11.63</v>
      </c>
      <c r="F85" s="180" t="s">
        <v>318</v>
      </c>
      <c r="G85" s="248">
        <v>0</v>
      </c>
      <c r="H85" s="248">
        <v>0</v>
      </c>
      <c r="I85" s="248">
        <v>515.91999999999996</v>
      </c>
      <c r="J85" s="248">
        <v>259.31</v>
      </c>
      <c r="K85" s="248">
        <v>0</v>
      </c>
      <c r="L85" s="248">
        <v>829.69</v>
      </c>
      <c r="M85" s="4"/>
    </row>
    <row r="86" spans="1:13" ht="20.100000000000001" customHeight="1">
      <c r="A86" s="493"/>
      <c r="B86" s="82" t="s">
        <v>131</v>
      </c>
      <c r="C86" s="248">
        <v>36.99</v>
      </c>
      <c r="D86" s="248">
        <v>2568</v>
      </c>
      <c r="E86" s="248">
        <v>0</v>
      </c>
      <c r="F86" s="248">
        <v>0</v>
      </c>
      <c r="G86" s="248">
        <v>0</v>
      </c>
      <c r="H86" s="248">
        <v>0</v>
      </c>
      <c r="I86" s="248">
        <v>65.31</v>
      </c>
      <c r="J86" s="248">
        <v>0</v>
      </c>
      <c r="K86" s="248">
        <v>0</v>
      </c>
      <c r="L86" s="248">
        <v>2670.01</v>
      </c>
      <c r="M86" s="4"/>
    </row>
    <row r="87" spans="1:13" ht="20.100000000000001" customHeight="1">
      <c r="A87" s="493" t="s">
        <v>132</v>
      </c>
      <c r="B87" s="208" t="s">
        <v>81</v>
      </c>
      <c r="C87" s="226">
        <v>141.5</v>
      </c>
      <c r="D87" s="226">
        <v>1595</v>
      </c>
      <c r="E87" s="226">
        <v>0</v>
      </c>
      <c r="F87" s="226">
        <v>0</v>
      </c>
      <c r="G87" s="226">
        <v>0</v>
      </c>
      <c r="H87" s="226">
        <v>0</v>
      </c>
      <c r="I87" s="226">
        <v>409.47</v>
      </c>
      <c r="J87" s="226">
        <v>402.47</v>
      </c>
      <c r="K87" s="226">
        <v>0</v>
      </c>
      <c r="L87" s="226">
        <v>2548.17</v>
      </c>
      <c r="M87" s="4"/>
    </row>
    <row r="88" spans="1:13" ht="20.100000000000001" customHeight="1">
      <c r="A88" s="493"/>
      <c r="B88" s="82" t="s">
        <v>133</v>
      </c>
      <c r="C88" s="248">
        <v>141.5</v>
      </c>
      <c r="D88" s="248">
        <v>1595</v>
      </c>
      <c r="E88" s="248">
        <v>0</v>
      </c>
      <c r="F88" s="248">
        <v>0</v>
      </c>
      <c r="G88" s="248">
        <v>0</v>
      </c>
      <c r="H88" s="248">
        <v>0</v>
      </c>
      <c r="I88" s="248">
        <v>409.47</v>
      </c>
      <c r="J88" s="248">
        <v>402.47</v>
      </c>
      <c r="K88" s="248">
        <v>0</v>
      </c>
      <c r="L88" s="248">
        <v>2548.17</v>
      </c>
      <c r="M88" s="4"/>
    </row>
    <row r="89" spans="1:13" ht="20.100000000000001" customHeight="1">
      <c r="A89" s="493"/>
      <c r="B89" s="208" t="s">
        <v>5</v>
      </c>
      <c r="C89" s="226">
        <v>0</v>
      </c>
      <c r="D89" s="226">
        <v>4702</v>
      </c>
      <c r="E89" s="226">
        <v>69.41</v>
      </c>
      <c r="F89" s="226">
        <v>0</v>
      </c>
      <c r="G89" s="226">
        <v>0</v>
      </c>
      <c r="H89" s="226">
        <v>0</v>
      </c>
      <c r="I89" s="226">
        <v>2366.2000000000003</v>
      </c>
      <c r="J89" s="226">
        <v>0</v>
      </c>
      <c r="K89" s="226">
        <v>0</v>
      </c>
      <c r="L89" s="226">
        <v>7137.1100000000006</v>
      </c>
      <c r="M89" s="4"/>
    </row>
    <row r="90" spans="1:13" ht="20.100000000000001" customHeight="1">
      <c r="A90" s="493"/>
      <c r="B90" s="82" t="s">
        <v>39</v>
      </c>
      <c r="C90" s="248">
        <v>0</v>
      </c>
      <c r="D90" s="248">
        <v>2530</v>
      </c>
      <c r="E90" s="248">
        <v>69.41</v>
      </c>
      <c r="F90" s="248">
        <v>0</v>
      </c>
      <c r="G90" s="248">
        <v>0</v>
      </c>
      <c r="H90" s="248">
        <v>0</v>
      </c>
      <c r="I90" s="248">
        <v>1117.77</v>
      </c>
      <c r="J90" s="248">
        <v>0</v>
      </c>
      <c r="K90" s="248">
        <v>0</v>
      </c>
      <c r="L90" s="248">
        <v>3717.31</v>
      </c>
      <c r="M90" s="4"/>
    </row>
    <row r="91" spans="1:13" ht="20.100000000000001" customHeight="1">
      <c r="A91" s="493"/>
      <c r="B91" s="82" t="s">
        <v>135</v>
      </c>
      <c r="C91" s="248">
        <v>0</v>
      </c>
      <c r="D91" s="248">
        <v>323</v>
      </c>
      <c r="E91" s="248">
        <v>0</v>
      </c>
      <c r="F91" s="248">
        <v>0</v>
      </c>
      <c r="G91" s="248">
        <v>0</v>
      </c>
      <c r="H91" s="248">
        <v>0</v>
      </c>
      <c r="I91" s="248">
        <v>0</v>
      </c>
      <c r="J91" s="248">
        <v>0</v>
      </c>
      <c r="K91" s="248">
        <v>0</v>
      </c>
      <c r="L91" s="248">
        <v>322.54000000000002</v>
      </c>
      <c r="M91" s="4"/>
    </row>
    <row r="92" spans="1:13" ht="20.100000000000001" customHeight="1">
      <c r="A92" s="493"/>
      <c r="B92" s="82" t="s">
        <v>6</v>
      </c>
      <c r="C92" s="248">
        <v>0</v>
      </c>
      <c r="D92" s="248">
        <v>981</v>
      </c>
      <c r="E92" s="248">
        <v>0</v>
      </c>
      <c r="F92" s="248">
        <v>0</v>
      </c>
      <c r="G92" s="248">
        <v>0</v>
      </c>
      <c r="H92" s="248">
        <v>0</v>
      </c>
      <c r="I92" s="248">
        <v>739.7</v>
      </c>
      <c r="J92" s="248">
        <v>0</v>
      </c>
      <c r="K92" s="248">
        <v>0</v>
      </c>
      <c r="L92" s="248">
        <v>1720.6100000000001</v>
      </c>
      <c r="M92" s="4"/>
    </row>
    <row r="93" spans="1:13" ht="20.100000000000001" customHeight="1">
      <c r="A93" s="493"/>
      <c r="B93" s="82" t="s">
        <v>136</v>
      </c>
      <c r="C93" s="248">
        <v>0</v>
      </c>
      <c r="D93" s="248">
        <v>868</v>
      </c>
      <c r="E93" s="248">
        <v>0</v>
      </c>
      <c r="F93" s="248">
        <v>0</v>
      </c>
      <c r="G93" s="248">
        <v>0</v>
      </c>
      <c r="H93" s="248">
        <v>0</v>
      </c>
      <c r="I93" s="248">
        <v>508.73</v>
      </c>
      <c r="J93" s="248">
        <v>0</v>
      </c>
      <c r="K93" s="248">
        <v>0</v>
      </c>
      <c r="L93" s="248">
        <v>1376.65</v>
      </c>
      <c r="M93" s="4"/>
    </row>
    <row r="94" spans="1:13" ht="20.100000000000001" customHeight="1">
      <c r="A94" s="493"/>
      <c r="B94" s="208" t="s">
        <v>9</v>
      </c>
      <c r="C94" s="226">
        <v>0</v>
      </c>
      <c r="D94" s="226">
        <v>11049</v>
      </c>
      <c r="E94" s="226">
        <v>393.35</v>
      </c>
      <c r="F94" s="226">
        <v>0</v>
      </c>
      <c r="G94" s="226">
        <v>0</v>
      </c>
      <c r="H94" s="226">
        <v>0</v>
      </c>
      <c r="I94" s="226">
        <v>109.36</v>
      </c>
      <c r="J94" s="226">
        <v>0</v>
      </c>
      <c r="K94" s="226">
        <v>0</v>
      </c>
      <c r="L94" s="226">
        <v>11551.48</v>
      </c>
      <c r="M94" s="4"/>
    </row>
    <row r="95" spans="1:13" ht="20.100000000000001" customHeight="1">
      <c r="A95" s="493"/>
      <c r="B95" s="85" t="s">
        <v>10</v>
      </c>
      <c r="C95" s="248">
        <v>0</v>
      </c>
      <c r="D95" s="248">
        <v>11049</v>
      </c>
      <c r="E95" s="248">
        <v>393.35</v>
      </c>
      <c r="F95" s="248">
        <v>0</v>
      </c>
      <c r="G95" s="248">
        <v>0</v>
      </c>
      <c r="H95" s="248">
        <v>0</v>
      </c>
      <c r="I95" s="248">
        <v>109.36</v>
      </c>
      <c r="J95" s="248">
        <v>0</v>
      </c>
      <c r="K95" s="248">
        <v>0</v>
      </c>
      <c r="L95" s="248">
        <v>11551.48</v>
      </c>
      <c r="M95" s="4"/>
    </row>
    <row r="96" spans="1:13" ht="20.100000000000001" customHeight="1">
      <c r="A96" s="493" t="s">
        <v>137</v>
      </c>
      <c r="B96" s="208" t="s">
        <v>37</v>
      </c>
      <c r="C96" s="226">
        <v>0</v>
      </c>
      <c r="D96" s="226">
        <v>0</v>
      </c>
      <c r="E96" s="226">
        <v>0</v>
      </c>
      <c r="F96" s="226">
        <v>0</v>
      </c>
      <c r="G96" s="226">
        <v>0</v>
      </c>
      <c r="H96" s="226">
        <v>0</v>
      </c>
      <c r="I96" s="226">
        <v>2009.17</v>
      </c>
      <c r="J96" s="226">
        <v>13.07</v>
      </c>
      <c r="K96" s="226">
        <v>0</v>
      </c>
      <c r="L96" s="226">
        <v>2022.24</v>
      </c>
      <c r="M96" s="4"/>
    </row>
    <row r="97" spans="1:13" ht="20.100000000000001" customHeight="1">
      <c r="A97" s="493"/>
      <c r="B97" s="85" t="s">
        <v>38</v>
      </c>
      <c r="C97" s="248">
        <v>0</v>
      </c>
      <c r="D97" s="248">
        <v>0</v>
      </c>
      <c r="E97" s="248">
        <v>0</v>
      </c>
      <c r="F97" s="248">
        <v>0</v>
      </c>
      <c r="G97" s="248">
        <v>0</v>
      </c>
      <c r="H97" s="248">
        <v>0</v>
      </c>
      <c r="I97" s="248">
        <v>2009.17</v>
      </c>
      <c r="J97" s="248">
        <v>13.07</v>
      </c>
      <c r="K97" s="248">
        <v>0</v>
      </c>
      <c r="L97" s="248">
        <v>2022.24</v>
      </c>
      <c r="M97" s="4"/>
    </row>
    <row r="98" spans="1:13" ht="20.100000000000001" customHeight="1">
      <c r="A98" s="493"/>
      <c r="B98" s="208" t="s">
        <v>82</v>
      </c>
      <c r="C98" s="226">
        <v>0</v>
      </c>
      <c r="D98" s="226">
        <v>1415</v>
      </c>
      <c r="E98" s="226">
        <v>0</v>
      </c>
      <c r="F98" s="226">
        <v>0</v>
      </c>
      <c r="G98" s="226">
        <v>3.16</v>
      </c>
      <c r="H98" s="226">
        <v>0</v>
      </c>
      <c r="I98" s="226">
        <v>3827.08</v>
      </c>
      <c r="J98" s="226">
        <v>0</v>
      </c>
      <c r="K98" s="226">
        <v>0</v>
      </c>
      <c r="L98" s="226">
        <v>5245.53</v>
      </c>
      <c r="M98" s="4"/>
    </row>
    <row r="99" spans="1:13" ht="20.100000000000001" customHeight="1">
      <c r="A99" s="493"/>
      <c r="B99" s="85" t="s">
        <v>138</v>
      </c>
      <c r="C99" s="248">
        <v>0</v>
      </c>
      <c r="D99" s="248">
        <v>1415</v>
      </c>
      <c r="E99" s="248">
        <v>0</v>
      </c>
      <c r="F99" s="248">
        <v>0</v>
      </c>
      <c r="G99" s="248">
        <v>3.16</v>
      </c>
      <c r="H99" s="248">
        <v>0</v>
      </c>
      <c r="I99" s="248">
        <v>3827.08</v>
      </c>
      <c r="J99" s="248">
        <v>0</v>
      </c>
      <c r="K99" s="248">
        <v>0</v>
      </c>
      <c r="L99" s="248">
        <v>5245.53</v>
      </c>
      <c r="M99" s="4"/>
    </row>
    <row r="100" spans="1:13" ht="20.100000000000001" customHeight="1">
      <c r="A100" s="493"/>
      <c r="B100" s="208" t="s">
        <v>13</v>
      </c>
      <c r="C100" s="226">
        <v>0</v>
      </c>
      <c r="D100" s="226">
        <v>5161</v>
      </c>
      <c r="E100" s="226">
        <v>609.19000000000005</v>
      </c>
      <c r="F100" s="226">
        <v>0</v>
      </c>
      <c r="G100" s="226">
        <v>0</v>
      </c>
      <c r="H100" s="226">
        <v>0</v>
      </c>
      <c r="I100" s="226">
        <v>584.26</v>
      </c>
      <c r="J100" s="226">
        <v>801.5</v>
      </c>
      <c r="K100" s="226">
        <v>0</v>
      </c>
      <c r="L100" s="226">
        <v>7155.56</v>
      </c>
      <c r="M100" s="4"/>
    </row>
    <row r="101" spans="1:13" ht="20.100000000000001" customHeight="1">
      <c r="A101" s="493"/>
      <c r="B101" s="85" t="s">
        <v>14</v>
      </c>
      <c r="C101" s="248">
        <v>0</v>
      </c>
      <c r="D101" s="248">
        <v>5161</v>
      </c>
      <c r="E101" s="248">
        <v>609.19000000000005</v>
      </c>
      <c r="F101" s="248">
        <v>0</v>
      </c>
      <c r="G101" s="248">
        <v>0</v>
      </c>
      <c r="H101" s="248">
        <v>0</v>
      </c>
      <c r="I101" s="248">
        <v>584.26</v>
      </c>
      <c r="J101" s="248">
        <v>801.5</v>
      </c>
      <c r="K101" s="248">
        <v>0</v>
      </c>
      <c r="L101" s="248">
        <v>7155.56</v>
      </c>
      <c r="M101" s="4"/>
    </row>
    <row r="102" spans="1:13" ht="20.100000000000001" customHeight="1">
      <c r="A102" s="493" t="s">
        <v>154</v>
      </c>
      <c r="B102" s="208" t="s">
        <v>25</v>
      </c>
      <c r="C102" s="226">
        <v>0</v>
      </c>
      <c r="D102" s="226">
        <v>12229</v>
      </c>
      <c r="E102" s="226">
        <v>0</v>
      </c>
      <c r="F102" s="226">
        <v>0</v>
      </c>
      <c r="G102" s="226">
        <v>4793.2</v>
      </c>
      <c r="H102" s="226">
        <v>0</v>
      </c>
      <c r="I102" s="226">
        <v>7231.8600000000006</v>
      </c>
      <c r="J102" s="226">
        <v>3139.1</v>
      </c>
      <c r="K102" s="226">
        <v>0</v>
      </c>
      <c r="L102" s="226">
        <v>27393.59</v>
      </c>
      <c r="M102" s="4"/>
    </row>
    <row r="103" spans="1:13" ht="20.100000000000001" customHeight="1">
      <c r="A103" s="493"/>
      <c r="B103" s="82" t="s">
        <v>26</v>
      </c>
      <c r="C103" s="248">
        <v>0</v>
      </c>
      <c r="D103" s="248">
        <v>4874</v>
      </c>
      <c r="E103" s="248">
        <v>0</v>
      </c>
      <c r="F103" s="248">
        <v>0</v>
      </c>
      <c r="G103" s="248">
        <v>767.2</v>
      </c>
      <c r="H103" s="248">
        <v>0</v>
      </c>
      <c r="I103" s="248">
        <v>1345.48</v>
      </c>
      <c r="J103" s="248">
        <v>1686</v>
      </c>
      <c r="K103" s="248">
        <v>0</v>
      </c>
      <c r="L103" s="248">
        <v>8672.9600000000009</v>
      </c>
      <c r="M103" s="4"/>
    </row>
    <row r="104" spans="1:13" ht="20.100000000000001" customHeight="1">
      <c r="A104" s="493"/>
      <c r="B104" s="82" t="s">
        <v>140</v>
      </c>
      <c r="C104" s="248">
        <v>0</v>
      </c>
      <c r="D104" s="248">
        <v>31</v>
      </c>
      <c r="E104" s="248">
        <v>0</v>
      </c>
      <c r="F104" s="248">
        <v>0</v>
      </c>
      <c r="G104" s="248">
        <v>0</v>
      </c>
      <c r="H104" s="248">
        <v>0</v>
      </c>
      <c r="I104" s="248">
        <v>1144.28</v>
      </c>
      <c r="J104" s="248">
        <v>1453.1000000000001</v>
      </c>
      <c r="K104" s="248">
        <v>0</v>
      </c>
      <c r="L104" s="248">
        <v>2628.53</v>
      </c>
      <c r="M104" s="4"/>
    </row>
    <row r="105" spans="1:13" ht="20.100000000000001" customHeight="1">
      <c r="A105" s="493"/>
      <c r="B105" s="82" t="s">
        <v>29</v>
      </c>
      <c r="C105" s="248">
        <v>0</v>
      </c>
      <c r="D105" s="248">
        <v>7324</v>
      </c>
      <c r="E105" s="248">
        <v>0</v>
      </c>
      <c r="F105" s="248">
        <v>0</v>
      </c>
      <c r="G105" s="248">
        <v>4026</v>
      </c>
      <c r="H105" s="248">
        <v>0</v>
      </c>
      <c r="I105" s="248">
        <v>4742.1000000000004</v>
      </c>
      <c r="J105" s="248">
        <v>0</v>
      </c>
      <c r="K105" s="248">
        <v>0</v>
      </c>
      <c r="L105" s="248">
        <v>16092.1</v>
      </c>
      <c r="M105" s="4"/>
    </row>
    <row r="106" spans="1:13" ht="20.100000000000001" customHeight="1">
      <c r="A106" s="65" t="s">
        <v>141</v>
      </c>
      <c r="B106" s="87" t="s">
        <v>142</v>
      </c>
      <c r="C106" s="226">
        <v>201.46</v>
      </c>
      <c r="D106" s="226">
        <v>38738</v>
      </c>
      <c r="E106" s="226">
        <v>1083.58</v>
      </c>
      <c r="F106" s="226">
        <v>0</v>
      </c>
      <c r="G106" s="226">
        <v>4796.3599999999997</v>
      </c>
      <c r="H106" s="226">
        <v>0</v>
      </c>
      <c r="I106" s="226">
        <v>17118.63</v>
      </c>
      <c r="J106" s="226">
        <v>4615.45</v>
      </c>
      <c r="K106" s="226">
        <v>0</v>
      </c>
      <c r="L106" s="226">
        <v>66553.38</v>
      </c>
      <c r="M106" s="4"/>
    </row>
    <row r="107" spans="1:13" ht="32.25" customHeight="1">
      <c r="A107" s="553" t="s">
        <v>525</v>
      </c>
      <c r="B107" s="553"/>
      <c r="C107" s="553"/>
      <c r="D107" s="553"/>
      <c r="E107" s="553"/>
      <c r="F107" s="553"/>
      <c r="G107" s="553"/>
      <c r="H107" s="553"/>
      <c r="I107" s="553"/>
      <c r="J107" s="553"/>
      <c r="K107" s="553"/>
      <c r="L107" s="553"/>
    </row>
    <row r="108" spans="1:13" ht="60" customHeight="1">
      <c r="E108" s="90"/>
    </row>
    <row r="109" spans="1:13" ht="32.450000000000003" customHeight="1">
      <c r="A109" s="12" t="s">
        <v>526</v>
      </c>
      <c r="B109" s="91">
        <v>2015</v>
      </c>
      <c r="C109" s="91">
        <v>2016</v>
      </c>
      <c r="D109" s="91">
        <v>2017</v>
      </c>
      <c r="E109" s="91">
        <v>2018</v>
      </c>
      <c r="F109" s="91">
        <v>2019</v>
      </c>
      <c r="G109" s="4"/>
    </row>
    <row r="110" spans="1:13" ht="24.95" customHeight="1">
      <c r="A110" s="13" t="s">
        <v>527</v>
      </c>
      <c r="B110" s="254">
        <v>340.1</v>
      </c>
      <c r="C110" s="254">
        <v>335.9</v>
      </c>
      <c r="D110" s="254">
        <v>346</v>
      </c>
      <c r="E110" s="254">
        <v>299.7</v>
      </c>
      <c r="F110" s="216">
        <v>320600000</v>
      </c>
      <c r="G110" s="4"/>
      <c r="H110" s="84"/>
      <c r="J110" s="84"/>
    </row>
    <row r="111" spans="1:13" ht="24.95" customHeight="1">
      <c r="A111" s="13" t="s">
        <v>528</v>
      </c>
      <c r="B111" s="254">
        <v>135.9</v>
      </c>
      <c r="C111" s="254">
        <v>96.8</v>
      </c>
      <c r="D111" s="254">
        <v>110.9</v>
      </c>
      <c r="E111" s="254">
        <v>112.1</v>
      </c>
      <c r="F111" s="255">
        <v>120700000</v>
      </c>
      <c r="G111" s="4"/>
    </row>
    <row r="112" spans="1:13" ht="24.95" customHeight="1">
      <c r="A112" s="13" t="s">
        <v>529</v>
      </c>
      <c r="B112" s="254">
        <v>40</v>
      </c>
      <c r="C112" s="254">
        <v>12</v>
      </c>
      <c r="D112" s="254">
        <v>12.2</v>
      </c>
      <c r="E112" s="254">
        <v>18.399999999999999</v>
      </c>
      <c r="F112" s="256">
        <v>32100</v>
      </c>
      <c r="G112" s="4"/>
    </row>
    <row r="113" spans="1:12" ht="24.95" customHeight="1">
      <c r="A113" s="13" t="s">
        <v>530</v>
      </c>
      <c r="B113" s="254">
        <v>46</v>
      </c>
      <c r="C113" s="254">
        <v>34.799999999999997</v>
      </c>
      <c r="D113" s="254">
        <v>38.1</v>
      </c>
      <c r="E113" s="254">
        <v>66.900000000000006</v>
      </c>
      <c r="F113" s="256">
        <v>66600</v>
      </c>
      <c r="G113" s="4"/>
    </row>
    <row r="114" spans="1:12" ht="24.95" customHeight="1">
      <c r="A114" s="13" t="s">
        <v>531</v>
      </c>
      <c r="B114" s="257">
        <v>12.5</v>
      </c>
      <c r="C114" s="254">
        <v>19</v>
      </c>
      <c r="D114" s="257">
        <v>26.6</v>
      </c>
      <c r="E114" s="257">
        <v>26.9</v>
      </c>
      <c r="F114" s="159">
        <v>7.6</v>
      </c>
      <c r="G114" s="4"/>
    </row>
    <row r="115" spans="1:12" ht="44.1" customHeight="1">
      <c r="A115" s="553" t="s">
        <v>532</v>
      </c>
      <c r="B115" s="553"/>
      <c r="C115" s="553"/>
      <c r="D115" s="553"/>
      <c r="E115" s="553"/>
      <c r="F115" s="553"/>
      <c r="G115" s="554"/>
    </row>
    <row r="116" spans="1:12" ht="44.1" customHeight="1">
      <c r="A116" s="554"/>
      <c r="B116" s="554"/>
      <c r="C116" s="554"/>
      <c r="D116" s="554"/>
      <c r="E116" s="554"/>
      <c r="F116" s="554"/>
      <c r="G116" s="554"/>
    </row>
    <row r="117" spans="1:12">
      <c r="A117" s="84"/>
      <c r="B117" s="552"/>
      <c r="C117" s="552"/>
      <c r="D117" s="552"/>
      <c r="E117" s="459"/>
      <c r="F117" s="459"/>
      <c r="G117" s="459"/>
      <c r="H117" s="552"/>
      <c r="I117" s="552"/>
      <c r="J117" s="552"/>
      <c r="K117" s="459"/>
      <c r="L117" s="552"/>
    </row>
    <row r="118" spans="1:12">
      <c r="A118" s="84"/>
      <c r="B118" s="552"/>
      <c r="C118" s="552"/>
      <c r="D118" s="552"/>
      <c r="E118" s="459"/>
      <c r="F118" s="459"/>
      <c r="G118" s="459"/>
      <c r="H118" s="552"/>
      <c r="I118" s="552"/>
      <c r="J118" s="552"/>
      <c r="L118" s="84"/>
    </row>
    <row r="119" spans="1:12">
      <c r="A119" s="84"/>
      <c r="B119" s="552"/>
      <c r="C119" s="552"/>
      <c r="D119" s="552"/>
      <c r="E119" s="459"/>
      <c r="F119" s="459"/>
      <c r="G119" s="459"/>
      <c r="H119" s="552"/>
      <c r="I119" s="552"/>
      <c r="J119" s="552"/>
      <c r="L119" s="84"/>
    </row>
  </sheetData>
  <sheetProtection sheet="1" objects="1" scenarios="1"/>
  <customSheetViews>
    <customSheetView guid="{5E62BE79-A4FD-4E7A-98EF-5A09C5274723}" showGridLines="0" showRuler="0" topLeftCell="A37">
      <selection activeCell="A107" sqref="A107:XFD107"/>
      <pageMargins left="0.75" right="0.75" top="1" bottom="1" header="0.5" footer="0.5"/>
    </customSheetView>
  </customSheetViews>
  <mergeCells count="24">
    <mergeCell ref="B118:J119"/>
    <mergeCell ref="B117:L117"/>
    <mergeCell ref="A81:L81"/>
    <mergeCell ref="A84:A86"/>
    <mergeCell ref="A87:A95"/>
    <mergeCell ref="A96:A101"/>
    <mergeCell ref="A102:A105"/>
    <mergeCell ref="A107:L107"/>
    <mergeCell ref="A115:G116"/>
    <mergeCell ref="A57:A59"/>
    <mergeCell ref="A54:H54"/>
    <mergeCell ref="A60:A69"/>
    <mergeCell ref="A70:A75"/>
    <mergeCell ref="A76:A79"/>
    <mergeCell ref="A27:E27"/>
    <mergeCell ref="A30:A32"/>
    <mergeCell ref="A33:A42"/>
    <mergeCell ref="A43:A48"/>
    <mergeCell ref="A49:A52"/>
    <mergeCell ref="A1:E1"/>
    <mergeCell ref="A4:A6"/>
    <mergeCell ref="A7:A15"/>
    <mergeCell ref="A16:A21"/>
    <mergeCell ref="A22:A25"/>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E34"/>
  <sheetViews>
    <sheetView showGridLines="0" showRuler="0" topLeftCell="A22" workbookViewId="0">
      <selection activeCell="E33" sqref="E33"/>
    </sheetView>
  </sheetViews>
  <sheetFormatPr baseColWidth="10" defaultColWidth="13.7109375" defaultRowHeight="12.75"/>
  <cols>
    <col min="1" max="4" width="20.85546875" customWidth="1"/>
  </cols>
  <sheetData>
    <row r="1" spans="1:5" ht="22.5" customHeight="1">
      <c r="A1" s="449" t="s">
        <v>1002</v>
      </c>
      <c r="B1" s="449"/>
      <c r="C1" s="449"/>
      <c r="D1" s="450"/>
    </row>
    <row r="2" spans="1:5" ht="60" customHeight="1"/>
    <row r="3" spans="1:5" ht="50.1" customHeight="1">
      <c r="A3" s="12" t="s">
        <v>533</v>
      </c>
      <c r="B3" s="3" t="s">
        <v>534</v>
      </c>
      <c r="C3" s="3" t="s">
        <v>535</v>
      </c>
      <c r="D3" s="3" t="s">
        <v>536</v>
      </c>
      <c r="E3" s="4"/>
    </row>
    <row r="4" spans="1:5" ht="20.100000000000001" customHeight="1">
      <c r="A4" s="493" t="s">
        <v>129</v>
      </c>
      <c r="B4" s="80" t="s">
        <v>80</v>
      </c>
      <c r="C4" s="88">
        <v>3</v>
      </c>
      <c r="D4" s="88">
        <v>128</v>
      </c>
      <c r="E4" s="20"/>
    </row>
    <row r="5" spans="1:5" ht="20.100000000000001" customHeight="1">
      <c r="A5" s="444"/>
      <c r="B5" s="164" t="s">
        <v>537</v>
      </c>
      <c r="C5" s="258">
        <v>1</v>
      </c>
      <c r="D5" s="258">
        <v>32</v>
      </c>
      <c r="E5" s="4"/>
    </row>
    <row r="6" spans="1:5" ht="20.100000000000001" customHeight="1">
      <c r="A6" s="493"/>
      <c r="B6" s="164" t="s">
        <v>130</v>
      </c>
      <c r="C6" s="258">
        <v>1</v>
      </c>
      <c r="D6" s="258">
        <v>59</v>
      </c>
      <c r="E6" s="4"/>
    </row>
    <row r="7" spans="1:5" ht="20.100000000000001" customHeight="1">
      <c r="A7" s="493"/>
      <c r="B7" s="164" t="s">
        <v>131</v>
      </c>
      <c r="C7" s="258">
        <v>1</v>
      </c>
      <c r="D7" s="258">
        <v>37</v>
      </c>
      <c r="E7" s="4"/>
    </row>
    <row r="8" spans="1:5" ht="20.100000000000001" customHeight="1">
      <c r="A8" s="493" t="s">
        <v>132</v>
      </c>
      <c r="B8" s="80" t="s">
        <v>81</v>
      </c>
      <c r="C8" s="88">
        <v>2</v>
      </c>
      <c r="D8" s="88">
        <v>125</v>
      </c>
      <c r="E8" s="20"/>
    </row>
    <row r="9" spans="1:5" ht="20.100000000000001" customHeight="1">
      <c r="A9" s="493"/>
      <c r="B9" s="164" t="s">
        <v>133</v>
      </c>
      <c r="C9" s="258">
        <v>1</v>
      </c>
      <c r="D9" s="258">
        <v>35</v>
      </c>
      <c r="E9" s="4"/>
    </row>
    <row r="10" spans="1:5" ht="20.100000000000001" customHeight="1">
      <c r="A10" s="444"/>
      <c r="B10" s="164" t="s">
        <v>218</v>
      </c>
      <c r="C10" s="258">
        <v>0</v>
      </c>
      <c r="D10" s="258">
        <v>65</v>
      </c>
      <c r="E10" s="4"/>
    </row>
    <row r="11" spans="1:5" ht="20.100000000000001" customHeight="1">
      <c r="A11" s="444"/>
      <c r="B11" s="164" t="s">
        <v>538</v>
      </c>
      <c r="C11" s="258">
        <v>1</v>
      </c>
      <c r="D11" s="258">
        <v>25</v>
      </c>
      <c r="E11" s="4"/>
    </row>
    <row r="12" spans="1:5" ht="20.100000000000001" customHeight="1">
      <c r="A12" s="493"/>
      <c r="B12" s="80" t="s">
        <v>5</v>
      </c>
      <c r="C12" s="88">
        <v>5</v>
      </c>
      <c r="D12" s="88">
        <v>205</v>
      </c>
      <c r="E12" s="20"/>
    </row>
    <row r="13" spans="1:5" ht="20.100000000000001" customHeight="1">
      <c r="A13" s="493"/>
      <c r="B13" s="164" t="s">
        <v>39</v>
      </c>
      <c r="C13" s="258">
        <v>1</v>
      </c>
      <c r="D13" s="258">
        <v>31</v>
      </c>
      <c r="E13" s="4"/>
    </row>
    <row r="14" spans="1:5" ht="20.100000000000001" customHeight="1">
      <c r="A14" s="493"/>
      <c r="B14" s="164" t="s">
        <v>135</v>
      </c>
      <c r="C14" s="258">
        <v>1</v>
      </c>
      <c r="D14" s="258">
        <v>47</v>
      </c>
      <c r="E14" s="4"/>
    </row>
    <row r="15" spans="1:5" ht="20.100000000000001" customHeight="1">
      <c r="A15" s="493"/>
      <c r="B15" s="164" t="s">
        <v>6</v>
      </c>
      <c r="C15" s="258">
        <v>1</v>
      </c>
      <c r="D15" s="258">
        <v>36</v>
      </c>
      <c r="E15" s="4"/>
    </row>
    <row r="16" spans="1:5" ht="20.100000000000001" customHeight="1">
      <c r="A16" s="493"/>
      <c r="B16" s="164" t="s">
        <v>136</v>
      </c>
      <c r="C16" s="258">
        <v>1</v>
      </c>
      <c r="D16" s="258">
        <v>34</v>
      </c>
      <c r="E16" s="4"/>
    </row>
    <row r="17" spans="1:5" ht="20.100000000000001" customHeight="1">
      <c r="A17" s="444"/>
      <c r="B17" s="164" t="s">
        <v>539</v>
      </c>
      <c r="C17" s="258">
        <v>1</v>
      </c>
      <c r="D17" s="258">
        <v>57</v>
      </c>
      <c r="E17" s="4"/>
    </row>
    <row r="18" spans="1:5" ht="20.100000000000001" customHeight="1">
      <c r="A18" s="493"/>
      <c r="B18" s="80" t="s">
        <v>9</v>
      </c>
      <c r="C18" s="88">
        <v>1</v>
      </c>
      <c r="D18" s="88">
        <v>49</v>
      </c>
      <c r="E18" s="4"/>
    </row>
    <row r="19" spans="1:5" ht="20.100000000000001" customHeight="1">
      <c r="A19" s="493"/>
      <c r="B19" s="169" t="s">
        <v>10</v>
      </c>
      <c r="C19" s="258">
        <v>1</v>
      </c>
      <c r="D19" s="258">
        <v>49</v>
      </c>
      <c r="E19" s="4"/>
    </row>
    <row r="20" spans="1:5" ht="20.100000000000001" customHeight="1">
      <c r="A20" s="493" t="s">
        <v>137</v>
      </c>
      <c r="B20" s="80" t="s">
        <v>37</v>
      </c>
      <c r="C20" s="88">
        <v>1</v>
      </c>
      <c r="D20" s="88">
        <v>45</v>
      </c>
      <c r="E20" s="4"/>
    </row>
    <row r="21" spans="1:5" ht="20.100000000000001" customHeight="1">
      <c r="A21" s="493"/>
      <c r="B21" s="169" t="s">
        <v>38</v>
      </c>
      <c r="C21" s="258">
        <v>1</v>
      </c>
      <c r="D21" s="258">
        <v>45</v>
      </c>
      <c r="E21" s="4"/>
    </row>
    <row r="22" spans="1:5" ht="20.100000000000001" customHeight="1">
      <c r="A22" s="493"/>
      <c r="B22" s="80" t="s">
        <v>82</v>
      </c>
      <c r="C22" s="88">
        <v>0</v>
      </c>
      <c r="D22" s="88">
        <v>32</v>
      </c>
      <c r="E22" s="4"/>
    </row>
    <row r="23" spans="1:5" ht="20.100000000000001" customHeight="1">
      <c r="A23" s="493"/>
      <c r="B23" s="169" t="s">
        <v>138</v>
      </c>
      <c r="C23" s="258">
        <v>0</v>
      </c>
      <c r="D23" s="258">
        <v>32</v>
      </c>
      <c r="E23" s="4"/>
    </row>
    <row r="24" spans="1:5" ht="20.100000000000001" customHeight="1">
      <c r="A24" s="493"/>
      <c r="B24" s="80" t="s">
        <v>13</v>
      </c>
      <c r="C24" s="88">
        <v>1</v>
      </c>
      <c r="D24" s="88">
        <v>36</v>
      </c>
      <c r="E24" s="4"/>
    </row>
    <row r="25" spans="1:5" ht="20.100000000000001" customHeight="1">
      <c r="A25" s="493"/>
      <c r="B25" s="169" t="s">
        <v>14</v>
      </c>
      <c r="C25" s="258">
        <v>1</v>
      </c>
      <c r="D25" s="258">
        <v>36</v>
      </c>
      <c r="E25" s="4"/>
    </row>
    <row r="26" spans="1:5" ht="20.100000000000001" customHeight="1">
      <c r="A26" s="493" t="s">
        <v>154</v>
      </c>
      <c r="B26" s="80" t="s">
        <v>25</v>
      </c>
      <c r="C26" s="88">
        <v>4</v>
      </c>
      <c r="D26" s="88">
        <v>190</v>
      </c>
      <c r="E26" s="20"/>
    </row>
    <row r="27" spans="1:5" ht="20.100000000000001" customHeight="1">
      <c r="A27" s="493"/>
      <c r="B27" s="164" t="s">
        <v>26</v>
      </c>
      <c r="C27" s="258">
        <v>1</v>
      </c>
      <c r="D27" s="258">
        <v>52</v>
      </c>
      <c r="E27" s="4"/>
    </row>
    <row r="28" spans="1:5" ht="20.100000000000001" customHeight="1">
      <c r="A28" s="493"/>
      <c r="B28" s="164" t="s">
        <v>140</v>
      </c>
      <c r="C28" s="258">
        <v>1</v>
      </c>
      <c r="D28" s="258">
        <v>37</v>
      </c>
      <c r="E28" s="4"/>
    </row>
    <row r="29" spans="1:5" ht="20.100000000000001" customHeight="1">
      <c r="A29" s="444"/>
      <c r="B29" s="164" t="s">
        <v>219</v>
      </c>
      <c r="C29" s="258">
        <v>1</v>
      </c>
      <c r="D29" s="378"/>
      <c r="E29" s="4"/>
    </row>
    <row r="30" spans="1:5" ht="20.100000000000001" customHeight="1">
      <c r="A30" s="493"/>
      <c r="B30" s="164" t="s">
        <v>29</v>
      </c>
      <c r="C30" s="258">
        <v>1</v>
      </c>
      <c r="D30" s="258">
        <v>66</v>
      </c>
      <c r="E30" s="4"/>
    </row>
    <row r="31" spans="1:5" ht="20.100000000000001" customHeight="1">
      <c r="A31" s="65" t="s">
        <v>540</v>
      </c>
      <c r="B31" s="87" t="s">
        <v>541</v>
      </c>
      <c r="C31" s="259">
        <v>4</v>
      </c>
      <c r="D31" s="88">
        <v>118</v>
      </c>
      <c r="E31" s="4"/>
    </row>
    <row r="32" spans="1:5" ht="20.100000000000001" customHeight="1">
      <c r="A32" s="65" t="s">
        <v>141</v>
      </c>
      <c r="B32" s="87" t="s">
        <v>85</v>
      </c>
      <c r="C32" s="88">
        <v>21</v>
      </c>
      <c r="D32" s="88">
        <v>928</v>
      </c>
      <c r="E32" s="4"/>
    </row>
    <row r="33" spans="1:4" ht="63.4" customHeight="1">
      <c r="A33" s="446" t="s">
        <v>542</v>
      </c>
      <c r="B33" s="447"/>
      <c r="C33" s="447"/>
      <c r="D33" s="447"/>
    </row>
    <row r="34" spans="1:4" ht="63.4" customHeight="1">
      <c r="A34" s="459"/>
      <c r="B34" s="459"/>
      <c r="C34" s="459"/>
      <c r="D34" s="459"/>
    </row>
  </sheetData>
  <sheetProtection algorithmName="SHA-512" hashValue="QJTMp4zmQcepR2XU2LhBOCgBwHN35NlTBIitQ8dmiT5O/FywPJhlKyz0U+pEXJgnnyhGCcJaXkwwrTX1IIoo2A==" saltValue="YqSAhe2YZAH1DC53R0A9pg==" spinCount="100000" sheet="1" objects="1" scenarios="1"/>
  <customSheetViews>
    <customSheetView guid="{5E62BE79-A4FD-4E7A-98EF-5A09C5274723}" showGridLines="0" showRuler="0" topLeftCell="A22">
      <selection activeCell="G17" sqref="G17"/>
      <pageMargins left="0.75" right="0.75" top="1" bottom="1" header="0.5" footer="0.5"/>
    </customSheetView>
  </customSheetViews>
  <mergeCells count="6">
    <mergeCell ref="A33:D34"/>
    <mergeCell ref="A1:D1"/>
    <mergeCell ref="A4:A7"/>
    <mergeCell ref="A8:A19"/>
    <mergeCell ref="A20:A25"/>
    <mergeCell ref="A26:A30"/>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L204"/>
  <sheetViews>
    <sheetView showGridLines="0" showRuler="0" workbookViewId="0">
      <selection activeCell="C169" sqref="C169"/>
    </sheetView>
  </sheetViews>
  <sheetFormatPr baseColWidth="10" defaultColWidth="13.7109375" defaultRowHeight="12.75"/>
  <cols>
    <col min="1" max="1" width="28.7109375" customWidth="1"/>
    <col min="2" max="10" width="21.7109375" customWidth="1"/>
  </cols>
  <sheetData>
    <row r="1" spans="1:11">
      <c r="A1" s="449" t="s">
        <v>1003</v>
      </c>
      <c r="B1" s="449"/>
      <c r="C1" s="449"/>
      <c r="D1" s="450"/>
    </row>
    <row r="2" spans="1:11" ht="60" customHeight="1">
      <c r="A2" s="55"/>
      <c r="B2" s="55"/>
      <c r="D2" s="55"/>
      <c r="E2" s="14"/>
      <c r="F2" s="14"/>
      <c r="G2" s="14"/>
      <c r="H2" s="14"/>
    </row>
    <row r="3" spans="1:11" ht="29.1" customHeight="1">
      <c r="A3" s="260" t="s">
        <v>543</v>
      </c>
      <c r="B3" s="3" t="s">
        <v>544</v>
      </c>
      <c r="C3" s="3" t="s">
        <v>545</v>
      </c>
      <c r="D3" s="3" t="s">
        <v>546</v>
      </c>
      <c r="E3" s="4"/>
      <c r="F3" s="14"/>
      <c r="G3" s="14"/>
      <c r="H3" s="14"/>
    </row>
    <row r="4" spans="1:11" ht="20.100000000000001" customHeight="1">
      <c r="A4" s="261">
        <v>2015</v>
      </c>
      <c r="B4" s="262">
        <v>0.22</v>
      </c>
      <c r="C4" s="262">
        <v>0.35</v>
      </c>
      <c r="D4" s="263">
        <v>0</v>
      </c>
      <c r="E4" s="4"/>
      <c r="F4" s="14"/>
      <c r="G4" s="14"/>
      <c r="H4" s="14"/>
    </row>
    <row r="5" spans="1:11" ht="20.100000000000001" customHeight="1">
      <c r="A5" s="261">
        <v>2016</v>
      </c>
      <c r="B5" s="263">
        <v>0.2</v>
      </c>
      <c r="C5" s="262">
        <v>0.44</v>
      </c>
      <c r="D5" s="262">
        <v>0.02</v>
      </c>
      <c r="E5" s="4"/>
      <c r="F5" s="14"/>
      <c r="G5" s="14"/>
      <c r="H5" s="14"/>
    </row>
    <row r="6" spans="1:11" ht="20.100000000000001" customHeight="1">
      <c r="A6" s="261">
        <v>2017</v>
      </c>
      <c r="B6" s="263">
        <v>0.3</v>
      </c>
      <c r="C6" s="262">
        <v>0.49</v>
      </c>
      <c r="D6" s="262">
        <v>0.06</v>
      </c>
      <c r="E6" s="4"/>
      <c r="F6" s="14"/>
      <c r="G6" s="14"/>
      <c r="H6" s="14"/>
    </row>
    <row r="7" spans="1:11" ht="20.100000000000001" customHeight="1">
      <c r="A7" s="261">
        <v>2018</v>
      </c>
      <c r="B7" s="262">
        <v>0.24</v>
      </c>
      <c r="C7" s="262">
        <v>0.36</v>
      </c>
      <c r="D7" s="262">
        <v>0.08</v>
      </c>
      <c r="E7" s="4"/>
      <c r="F7" s="14"/>
      <c r="G7" s="14"/>
      <c r="H7" s="14"/>
    </row>
    <row r="8" spans="1:11" ht="20.100000000000001" customHeight="1">
      <c r="A8" s="261">
        <v>2019</v>
      </c>
      <c r="B8" s="262">
        <v>0.27</v>
      </c>
      <c r="C8" s="262">
        <v>0.41</v>
      </c>
      <c r="D8" s="262">
        <v>7.0000000000000007E-2</v>
      </c>
      <c r="E8" s="4"/>
      <c r="F8" s="14"/>
      <c r="G8" s="14"/>
      <c r="H8" s="14"/>
    </row>
    <row r="9" spans="1:11" ht="42.6" customHeight="1">
      <c r="A9" s="445" t="s">
        <v>1065</v>
      </c>
      <c r="B9" s="446"/>
      <c r="C9" s="446"/>
      <c r="D9" s="446"/>
      <c r="E9" s="14"/>
      <c r="F9" s="14"/>
      <c r="G9" s="14"/>
      <c r="H9" s="14"/>
    </row>
    <row r="10" spans="1:11" ht="61.5" customHeight="1">
      <c r="A10" s="459"/>
      <c r="B10" s="459"/>
      <c r="C10" s="459"/>
      <c r="D10" s="459"/>
    </row>
    <row r="11" spans="1:11" ht="60" customHeight="1"/>
    <row r="12" spans="1:11" ht="31.5" customHeight="1">
      <c r="A12" s="260" t="s">
        <v>547</v>
      </c>
      <c r="B12" s="114" t="s">
        <v>548</v>
      </c>
      <c r="C12" s="114" t="s">
        <v>549</v>
      </c>
      <c r="D12" s="114" t="s">
        <v>550</v>
      </c>
      <c r="E12" s="114" t="s">
        <v>551</v>
      </c>
      <c r="F12" s="114" t="s">
        <v>552</v>
      </c>
      <c r="G12" s="114" t="s">
        <v>553</v>
      </c>
      <c r="H12" s="114" t="s">
        <v>554</v>
      </c>
      <c r="I12" s="114" t="s">
        <v>555</v>
      </c>
      <c r="J12" s="114" t="s">
        <v>556</v>
      </c>
      <c r="K12" s="4"/>
    </row>
    <row r="13" spans="1:11" ht="20.100000000000001" customHeight="1">
      <c r="A13" s="260" t="s">
        <v>557</v>
      </c>
      <c r="B13" s="264">
        <v>5166671</v>
      </c>
      <c r="C13" s="264">
        <v>0</v>
      </c>
      <c r="D13" s="264">
        <v>1</v>
      </c>
      <c r="E13" s="264">
        <v>3</v>
      </c>
      <c r="F13" s="264">
        <v>2</v>
      </c>
      <c r="G13" s="265">
        <v>0.12</v>
      </c>
      <c r="H13" s="265">
        <v>0.23</v>
      </c>
      <c r="I13" s="264">
        <v>2</v>
      </c>
      <c r="J13" s="265">
        <v>0.08</v>
      </c>
      <c r="K13" s="4"/>
    </row>
    <row r="14" spans="1:11" ht="20.100000000000001" customHeight="1">
      <c r="A14" s="266" t="s">
        <v>558</v>
      </c>
      <c r="B14" s="267">
        <v>236622</v>
      </c>
      <c r="C14" s="267">
        <v>0</v>
      </c>
      <c r="D14" s="267">
        <v>0</v>
      </c>
      <c r="E14" s="267">
        <v>0</v>
      </c>
      <c r="F14" s="267">
        <v>0</v>
      </c>
      <c r="G14" s="222">
        <v>0</v>
      </c>
      <c r="H14" s="222">
        <v>0</v>
      </c>
      <c r="I14" s="267">
        <v>0</v>
      </c>
      <c r="J14" s="222">
        <v>0</v>
      </c>
      <c r="K14" s="4"/>
    </row>
    <row r="15" spans="1:11" ht="20.100000000000001" customHeight="1">
      <c r="A15" s="266" t="s">
        <v>130</v>
      </c>
      <c r="B15" s="267">
        <v>2604006</v>
      </c>
      <c r="C15" s="267">
        <v>0</v>
      </c>
      <c r="D15" s="267">
        <v>1</v>
      </c>
      <c r="E15" s="267">
        <v>3</v>
      </c>
      <c r="F15" s="267">
        <v>0</v>
      </c>
      <c r="G15" s="222">
        <v>0.08</v>
      </c>
      <c r="H15" s="222">
        <v>0.31</v>
      </c>
      <c r="I15" s="267">
        <v>1</v>
      </c>
      <c r="J15" s="222">
        <v>0.08</v>
      </c>
      <c r="K15" s="4"/>
    </row>
    <row r="16" spans="1:11" ht="20.100000000000001" customHeight="1">
      <c r="A16" s="266" t="s">
        <v>131</v>
      </c>
      <c r="B16" s="267">
        <v>1835490</v>
      </c>
      <c r="C16" s="267">
        <v>0</v>
      </c>
      <c r="D16" s="267">
        <v>0</v>
      </c>
      <c r="E16" s="267">
        <v>0</v>
      </c>
      <c r="F16" s="267">
        <v>2</v>
      </c>
      <c r="G16" s="222">
        <v>0.22</v>
      </c>
      <c r="H16" s="222">
        <v>0.22</v>
      </c>
      <c r="I16" s="267">
        <v>1</v>
      </c>
      <c r="J16" s="222">
        <v>0.11</v>
      </c>
      <c r="K16" s="4"/>
    </row>
    <row r="17" spans="1:11" ht="20.100000000000001" customHeight="1">
      <c r="A17" s="430" t="s">
        <v>561</v>
      </c>
      <c r="B17" s="267">
        <v>451224</v>
      </c>
      <c r="C17" s="267">
        <v>0</v>
      </c>
      <c r="D17" s="267">
        <v>0</v>
      </c>
      <c r="E17" s="267">
        <v>0</v>
      </c>
      <c r="F17" s="267">
        <v>0</v>
      </c>
      <c r="G17" s="222">
        <v>0</v>
      </c>
      <c r="H17" s="222">
        <v>0</v>
      </c>
      <c r="I17" s="267">
        <v>0</v>
      </c>
      <c r="J17" s="222">
        <v>0</v>
      </c>
      <c r="K17" s="4"/>
    </row>
    <row r="18" spans="1:11" ht="20.100000000000001" customHeight="1">
      <c r="A18" s="266" t="s">
        <v>559</v>
      </c>
      <c r="B18" s="267">
        <v>39329</v>
      </c>
      <c r="C18" s="267">
        <v>0</v>
      </c>
      <c r="D18" s="267">
        <v>0</v>
      </c>
      <c r="E18" s="267">
        <v>0</v>
      </c>
      <c r="F18" s="267">
        <v>0</v>
      </c>
      <c r="G18" s="222">
        <v>0</v>
      </c>
      <c r="H18" s="222">
        <v>0</v>
      </c>
      <c r="I18" s="267">
        <v>0</v>
      </c>
      <c r="J18" s="222">
        <v>0</v>
      </c>
      <c r="K18" s="4"/>
    </row>
    <row r="19" spans="1:11" ht="20.100000000000001" customHeight="1">
      <c r="A19" s="260" t="s">
        <v>25</v>
      </c>
      <c r="B19" s="264">
        <v>5364789</v>
      </c>
      <c r="C19" s="264">
        <v>0</v>
      </c>
      <c r="D19" s="264">
        <v>9</v>
      </c>
      <c r="E19" s="264">
        <v>4</v>
      </c>
      <c r="F19" s="264">
        <v>9</v>
      </c>
      <c r="G19" s="265">
        <v>0.67</v>
      </c>
      <c r="H19" s="265">
        <v>0.82</v>
      </c>
      <c r="I19" s="264">
        <v>8</v>
      </c>
      <c r="J19" s="265">
        <v>0.3</v>
      </c>
      <c r="K19" s="4"/>
    </row>
    <row r="20" spans="1:11" ht="20.100000000000001" customHeight="1">
      <c r="A20" s="268" t="s">
        <v>560</v>
      </c>
      <c r="B20" s="267">
        <v>341435</v>
      </c>
      <c r="C20" s="267">
        <v>0</v>
      </c>
      <c r="D20" s="267">
        <v>0</v>
      </c>
      <c r="E20" s="267">
        <v>0</v>
      </c>
      <c r="F20" s="267">
        <v>0</v>
      </c>
      <c r="G20" s="222">
        <v>0</v>
      </c>
      <c r="H20" s="222">
        <v>0</v>
      </c>
      <c r="I20" s="267">
        <v>0</v>
      </c>
      <c r="J20" s="222">
        <v>0</v>
      </c>
      <c r="K20" s="4"/>
    </row>
    <row r="21" spans="1:11" ht="20.100000000000001" customHeight="1">
      <c r="A21" s="268" t="s">
        <v>26</v>
      </c>
      <c r="B21" s="267">
        <v>2183325</v>
      </c>
      <c r="C21" s="267">
        <v>0</v>
      </c>
      <c r="D21" s="267">
        <v>3</v>
      </c>
      <c r="E21" s="267">
        <v>2</v>
      </c>
      <c r="F21" s="267">
        <v>2</v>
      </c>
      <c r="G21" s="222">
        <v>0.46</v>
      </c>
      <c r="H21" s="222">
        <v>0.64</v>
      </c>
      <c r="I21" s="267">
        <v>2</v>
      </c>
      <c r="J21" s="222">
        <v>0.18</v>
      </c>
      <c r="K21" s="4"/>
    </row>
    <row r="22" spans="1:11" ht="20.100000000000001" customHeight="1">
      <c r="A22" s="268" t="s">
        <v>140</v>
      </c>
      <c r="B22" s="267">
        <v>1445932</v>
      </c>
      <c r="C22" s="267">
        <v>0</v>
      </c>
      <c r="D22" s="267">
        <v>3</v>
      </c>
      <c r="E22" s="267">
        <v>1</v>
      </c>
      <c r="F22" s="267">
        <v>3</v>
      </c>
      <c r="G22" s="222">
        <v>0.83</v>
      </c>
      <c r="H22" s="222">
        <v>0.97</v>
      </c>
      <c r="I22" s="267">
        <v>0</v>
      </c>
      <c r="J22" s="222">
        <v>0</v>
      </c>
      <c r="K22" s="4"/>
    </row>
    <row r="23" spans="1:11" ht="20.100000000000001" customHeight="1">
      <c r="A23" s="268" t="s">
        <v>29</v>
      </c>
      <c r="B23" s="267">
        <v>1336045</v>
      </c>
      <c r="C23" s="267">
        <v>0</v>
      </c>
      <c r="D23" s="267">
        <v>3</v>
      </c>
      <c r="E23" s="267">
        <v>1</v>
      </c>
      <c r="F23" s="267">
        <v>4</v>
      </c>
      <c r="G23" s="222">
        <v>1.05</v>
      </c>
      <c r="H23" s="222">
        <v>1.2</v>
      </c>
      <c r="I23" s="267">
        <v>6</v>
      </c>
      <c r="J23" s="222">
        <v>0.9</v>
      </c>
      <c r="K23" s="4"/>
    </row>
    <row r="24" spans="1:11" ht="20.100000000000001" customHeight="1">
      <c r="A24" s="268" t="s">
        <v>561</v>
      </c>
      <c r="B24" s="267">
        <v>51057</v>
      </c>
      <c r="C24" s="267">
        <v>0</v>
      </c>
      <c r="D24" s="267">
        <v>0</v>
      </c>
      <c r="E24" s="267">
        <v>0</v>
      </c>
      <c r="F24" s="267">
        <v>0</v>
      </c>
      <c r="G24" s="222">
        <v>0</v>
      </c>
      <c r="H24" s="222">
        <v>0</v>
      </c>
      <c r="I24" s="267">
        <v>0</v>
      </c>
      <c r="J24" s="222">
        <v>0</v>
      </c>
      <c r="K24" s="4"/>
    </row>
    <row r="25" spans="1:11" ht="20.100000000000001" customHeight="1">
      <c r="A25" s="268" t="s">
        <v>562</v>
      </c>
      <c r="B25" s="267">
        <v>2208</v>
      </c>
      <c r="C25" s="267">
        <v>0</v>
      </c>
      <c r="D25" s="380"/>
      <c r="E25" s="267">
        <v>0</v>
      </c>
      <c r="F25" s="267">
        <v>0</v>
      </c>
      <c r="G25" s="222">
        <v>0</v>
      </c>
      <c r="H25" s="222">
        <v>0</v>
      </c>
      <c r="I25" s="267">
        <v>0</v>
      </c>
      <c r="J25" s="222">
        <v>0</v>
      </c>
      <c r="K25" s="4"/>
    </row>
    <row r="26" spans="1:11" ht="20.100000000000001" customHeight="1">
      <c r="A26" s="268" t="s">
        <v>563</v>
      </c>
      <c r="B26" s="267">
        <v>4787</v>
      </c>
      <c r="C26" s="267">
        <v>0</v>
      </c>
      <c r="D26" s="267">
        <v>0</v>
      </c>
      <c r="E26" s="267">
        <v>0</v>
      </c>
      <c r="F26" s="267">
        <v>0</v>
      </c>
      <c r="G26" s="222">
        <v>0</v>
      </c>
      <c r="H26" s="222">
        <v>0</v>
      </c>
      <c r="I26" s="267">
        <v>0</v>
      </c>
      <c r="J26" s="222">
        <v>0</v>
      </c>
      <c r="K26" s="4"/>
    </row>
    <row r="27" spans="1:11" ht="20.100000000000001" customHeight="1">
      <c r="A27" s="260" t="s">
        <v>81</v>
      </c>
      <c r="B27" s="264">
        <v>6428118</v>
      </c>
      <c r="C27" s="264">
        <v>0</v>
      </c>
      <c r="D27" s="264">
        <v>4</v>
      </c>
      <c r="E27" s="264">
        <v>5</v>
      </c>
      <c r="F27" s="264">
        <v>5</v>
      </c>
      <c r="G27" s="265">
        <v>0.28000000000000003</v>
      </c>
      <c r="H27" s="265">
        <v>0.44</v>
      </c>
      <c r="I27" s="264">
        <v>1</v>
      </c>
      <c r="J27" s="265">
        <v>0.03</v>
      </c>
      <c r="K27" s="4"/>
    </row>
    <row r="28" spans="1:11" ht="20.100000000000001" customHeight="1">
      <c r="A28" s="268" t="s">
        <v>564</v>
      </c>
      <c r="B28" s="267">
        <v>931320</v>
      </c>
      <c r="C28" s="267">
        <v>0</v>
      </c>
      <c r="D28" s="267">
        <v>0</v>
      </c>
      <c r="E28" s="267">
        <v>0</v>
      </c>
      <c r="F28" s="267">
        <v>0</v>
      </c>
      <c r="G28" s="222">
        <v>0</v>
      </c>
      <c r="H28" s="222">
        <v>0</v>
      </c>
      <c r="I28" s="267">
        <v>0</v>
      </c>
      <c r="J28" s="222">
        <v>0</v>
      </c>
      <c r="K28" s="4"/>
    </row>
    <row r="29" spans="1:11" ht="20.100000000000001" customHeight="1">
      <c r="A29" s="268" t="s">
        <v>565</v>
      </c>
      <c r="B29" s="267">
        <v>0</v>
      </c>
      <c r="C29" s="267">
        <v>0</v>
      </c>
      <c r="D29" s="267">
        <v>0</v>
      </c>
      <c r="E29" s="267">
        <v>0</v>
      </c>
      <c r="F29" s="267">
        <v>0</v>
      </c>
      <c r="G29" s="222">
        <v>0</v>
      </c>
      <c r="H29" s="222">
        <v>0</v>
      </c>
      <c r="I29" s="267">
        <v>0</v>
      </c>
      <c r="J29" s="222">
        <v>0</v>
      </c>
      <c r="K29" s="4"/>
    </row>
    <row r="30" spans="1:11" ht="20.100000000000001" customHeight="1">
      <c r="A30" s="268" t="s">
        <v>133</v>
      </c>
      <c r="B30" s="267">
        <v>1254637</v>
      </c>
      <c r="C30" s="267">
        <v>0</v>
      </c>
      <c r="D30" s="267">
        <v>0</v>
      </c>
      <c r="E30" s="267">
        <v>0</v>
      </c>
      <c r="F30" s="267">
        <v>0</v>
      </c>
      <c r="G30" s="222">
        <v>0</v>
      </c>
      <c r="H30" s="222">
        <v>0</v>
      </c>
      <c r="I30" s="267">
        <v>1</v>
      </c>
      <c r="J30" s="222">
        <v>0.16</v>
      </c>
      <c r="K30" s="4"/>
    </row>
    <row r="31" spans="1:11" ht="20.100000000000001" customHeight="1">
      <c r="A31" s="268" t="s">
        <v>566</v>
      </c>
      <c r="B31" s="267">
        <v>4119479</v>
      </c>
      <c r="C31" s="267">
        <v>0</v>
      </c>
      <c r="D31" s="267">
        <v>4</v>
      </c>
      <c r="E31" s="267">
        <v>5</v>
      </c>
      <c r="F31" s="267">
        <v>5</v>
      </c>
      <c r="G31" s="222">
        <v>0.44</v>
      </c>
      <c r="H31" s="222">
        <v>0.68</v>
      </c>
      <c r="I31" s="267">
        <v>0</v>
      </c>
      <c r="J31" s="222">
        <v>0</v>
      </c>
      <c r="K31" s="4"/>
    </row>
    <row r="32" spans="1:11" ht="20.100000000000001" customHeight="1">
      <c r="A32" s="268" t="s">
        <v>567</v>
      </c>
      <c r="B32" s="267">
        <v>99960</v>
      </c>
      <c r="C32" s="267">
        <v>0</v>
      </c>
      <c r="D32" s="267">
        <v>0</v>
      </c>
      <c r="E32" s="267">
        <v>0</v>
      </c>
      <c r="F32" s="267">
        <v>0</v>
      </c>
      <c r="G32" s="222">
        <v>0</v>
      </c>
      <c r="H32" s="222">
        <v>0</v>
      </c>
      <c r="I32" s="267">
        <v>0</v>
      </c>
      <c r="J32" s="222">
        <v>0</v>
      </c>
      <c r="K32" s="4"/>
    </row>
    <row r="33" spans="1:11" ht="20.100000000000001" customHeight="1">
      <c r="A33" s="268" t="s">
        <v>563</v>
      </c>
      <c r="B33" s="267">
        <v>22722</v>
      </c>
      <c r="C33" s="267">
        <v>0</v>
      </c>
      <c r="D33" s="267">
        <v>0</v>
      </c>
      <c r="E33" s="267">
        <v>0</v>
      </c>
      <c r="F33" s="267">
        <v>0</v>
      </c>
      <c r="G33" s="222">
        <v>0</v>
      </c>
      <c r="H33" s="222">
        <v>0</v>
      </c>
      <c r="I33" s="267">
        <v>0</v>
      </c>
      <c r="J33" s="222">
        <v>0</v>
      </c>
      <c r="K33" s="4"/>
    </row>
    <row r="34" spans="1:11" ht="20.100000000000001" customHeight="1">
      <c r="A34" s="260" t="s">
        <v>5</v>
      </c>
      <c r="B34" s="264">
        <v>4182653</v>
      </c>
      <c r="C34" s="264">
        <v>0</v>
      </c>
      <c r="D34" s="264">
        <v>1</v>
      </c>
      <c r="E34" s="264">
        <v>6</v>
      </c>
      <c r="F34" s="264">
        <v>3</v>
      </c>
      <c r="G34" s="265">
        <v>0.19</v>
      </c>
      <c r="H34" s="265">
        <v>0.48</v>
      </c>
      <c r="I34" s="264">
        <v>0</v>
      </c>
      <c r="J34" s="265">
        <v>0</v>
      </c>
      <c r="K34" s="4"/>
    </row>
    <row r="35" spans="1:11" ht="20.100000000000001" customHeight="1">
      <c r="A35" s="268" t="s">
        <v>568</v>
      </c>
      <c r="B35" s="267">
        <v>443192</v>
      </c>
      <c r="C35" s="267">
        <v>0</v>
      </c>
      <c r="D35" s="267">
        <v>0</v>
      </c>
      <c r="E35" s="267">
        <v>0</v>
      </c>
      <c r="F35" s="267">
        <v>0</v>
      </c>
      <c r="G35" s="222">
        <v>0</v>
      </c>
      <c r="H35" s="222">
        <v>0</v>
      </c>
      <c r="I35" s="267">
        <v>0</v>
      </c>
      <c r="J35" s="222">
        <v>0</v>
      </c>
      <c r="K35" s="4"/>
    </row>
    <row r="36" spans="1:11" ht="20.100000000000001" customHeight="1">
      <c r="A36" s="268" t="s">
        <v>39</v>
      </c>
      <c r="B36" s="267">
        <v>1001622</v>
      </c>
      <c r="C36" s="267">
        <v>0</v>
      </c>
      <c r="D36" s="267">
        <v>1</v>
      </c>
      <c r="E36" s="267">
        <v>1</v>
      </c>
      <c r="F36" s="267">
        <v>1</v>
      </c>
      <c r="G36" s="222">
        <v>0.4</v>
      </c>
      <c r="H36" s="222">
        <v>0.6</v>
      </c>
      <c r="I36" s="267">
        <v>0</v>
      </c>
      <c r="J36" s="222">
        <v>0</v>
      </c>
      <c r="K36" s="4"/>
    </row>
    <row r="37" spans="1:11" ht="20.100000000000001" customHeight="1">
      <c r="A37" s="268" t="s">
        <v>135</v>
      </c>
      <c r="B37" s="267">
        <v>668112</v>
      </c>
      <c r="C37" s="267">
        <v>0</v>
      </c>
      <c r="D37" s="267">
        <v>0</v>
      </c>
      <c r="E37" s="267">
        <v>1</v>
      </c>
      <c r="F37" s="267">
        <v>0</v>
      </c>
      <c r="G37" s="222">
        <v>0</v>
      </c>
      <c r="H37" s="222">
        <v>0.3</v>
      </c>
      <c r="I37" s="267">
        <v>0</v>
      </c>
      <c r="J37" s="222">
        <v>0</v>
      </c>
      <c r="K37" s="4"/>
    </row>
    <row r="38" spans="1:11" ht="20.100000000000001" customHeight="1">
      <c r="A38" s="268" t="s">
        <v>6</v>
      </c>
      <c r="B38" s="267">
        <v>951671</v>
      </c>
      <c r="C38" s="267">
        <v>0</v>
      </c>
      <c r="D38" s="267">
        <v>0</v>
      </c>
      <c r="E38" s="267">
        <v>4</v>
      </c>
      <c r="F38" s="267">
        <v>2</v>
      </c>
      <c r="G38" s="222">
        <v>0.42</v>
      </c>
      <c r="H38" s="222">
        <v>1.26</v>
      </c>
      <c r="I38" s="267">
        <v>0</v>
      </c>
      <c r="J38" s="222">
        <v>0</v>
      </c>
      <c r="K38" s="4"/>
    </row>
    <row r="39" spans="1:11" ht="20.100000000000001" customHeight="1">
      <c r="A39" s="268" t="s">
        <v>136</v>
      </c>
      <c r="B39" s="267">
        <v>1118056</v>
      </c>
      <c r="C39" s="267">
        <v>0</v>
      </c>
      <c r="D39" s="267">
        <v>0</v>
      </c>
      <c r="E39" s="267">
        <v>0</v>
      </c>
      <c r="F39" s="267">
        <v>0</v>
      </c>
      <c r="G39" s="222">
        <v>0</v>
      </c>
      <c r="H39" s="222">
        <v>0</v>
      </c>
      <c r="I39" s="267">
        <v>0</v>
      </c>
      <c r="J39" s="222">
        <v>0</v>
      </c>
      <c r="K39" s="4"/>
    </row>
    <row r="40" spans="1:11" ht="20.100000000000001" customHeight="1">
      <c r="A40" s="431" t="s">
        <v>84</v>
      </c>
      <c r="B40" s="264">
        <v>116354</v>
      </c>
      <c r="C40" s="264">
        <v>0</v>
      </c>
      <c r="D40" s="264">
        <v>0</v>
      </c>
      <c r="E40" s="264">
        <v>0</v>
      </c>
      <c r="F40" s="264">
        <v>1</v>
      </c>
      <c r="G40" s="265">
        <v>1.72</v>
      </c>
      <c r="H40" s="265">
        <v>1.72</v>
      </c>
      <c r="I40" s="264">
        <v>0</v>
      </c>
      <c r="J40" s="265">
        <v>0</v>
      </c>
      <c r="K40" s="4"/>
    </row>
    <row r="41" spans="1:11" ht="20.100000000000001" customHeight="1">
      <c r="A41" s="268" t="s">
        <v>563</v>
      </c>
      <c r="B41" s="267">
        <v>116354</v>
      </c>
      <c r="C41" s="267">
        <v>0</v>
      </c>
      <c r="D41" s="267">
        <v>0</v>
      </c>
      <c r="E41" s="267">
        <v>0</v>
      </c>
      <c r="F41" s="267">
        <v>1</v>
      </c>
      <c r="G41" s="222">
        <v>1.72</v>
      </c>
      <c r="H41" s="222">
        <v>1.72</v>
      </c>
      <c r="I41" s="267">
        <v>0</v>
      </c>
      <c r="J41" s="222">
        <v>0</v>
      </c>
      <c r="K41" s="4"/>
    </row>
    <row r="42" spans="1:11" ht="20.100000000000001" customHeight="1">
      <c r="A42" s="260" t="s">
        <v>9</v>
      </c>
      <c r="B42" s="264">
        <v>3684475</v>
      </c>
      <c r="C42" s="264">
        <v>0</v>
      </c>
      <c r="D42" s="264">
        <v>2</v>
      </c>
      <c r="E42" s="264">
        <v>1</v>
      </c>
      <c r="F42" s="264">
        <v>3</v>
      </c>
      <c r="G42" s="265">
        <v>0.27</v>
      </c>
      <c r="H42" s="265">
        <v>0.33</v>
      </c>
      <c r="I42" s="264">
        <v>0</v>
      </c>
      <c r="J42" s="265">
        <v>0</v>
      </c>
      <c r="K42" s="4"/>
    </row>
    <row r="43" spans="1:11" ht="20.100000000000001" customHeight="1">
      <c r="A43" s="268" t="s">
        <v>10</v>
      </c>
      <c r="B43" s="267">
        <v>3684475</v>
      </c>
      <c r="C43" s="267">
        <v>0</v>
      </c>
      <c r="D43" s="267">
        <v>2</v>
      </c>
      <c r="E43" s="267">
        <v>1</v>
      </c>
      <c r="F43" s="267">
        <v>3</v>
      </c>
      <c r="G43" s="222">
        <v>0.27</v>
      </c>
      <c r="H43" s="222">
        <v>0.33</v>
      </c>
      <c r="I43" s="267">
        <v>0</v>
      </c>
      <c r="J43" s="222">
        <v>0</v>
      </c>
      <c r="K43" s="4"/>
    </row>
    <row r="44" spans="1:11" ht="20.100000000000001" customHeight="1">
      <c r="A44" s="268" t="s">
        <v>563</v>
      </c>
      <c r="B44" s="267">
        <v>0</v>
      </c>
      <c r="C44" s="267">
        <v>0</v>
      </c>
      <c r="D44" s="267">
        <v>0</v>
      </c>
      <c r="E44" s="267">
        <v>0</v>
      </c>
      <c r="F44" s="267">
        <v>0</v>
      </c>
      <c r="G44" s="222">
        <v>0</v>
      </c>
      <c r="H44" s="222">
        <v>0</v>
      </c>
      <c r="I44" s="267">
        <v>0</v>
      </c>
      <c r="J44" s="222">
        <v>0</v>
      </c>
      <c r="K44" s="4"/>
    </row>
    <row r="45" spans="1:11" ht="20.100000000000001" customHeight="1">
      <c r="A45" s="260" t="s">
        <v>37</v>
      </c>
      <c r="B45" s="264">
        <v>2401449</v>
      </c>
      <c r="C45" s="264">
        <v>0</v>
      </c>
      <c r="D45" s="264">
        <v>0</v>
      </c>
      <c r="E45" s="264">
        <v>2</v>
      </c>
      <c r="F45" s="264">
        <v>1</v>
      </c>
      <c r="G45" s="265">
        <v>0.08</v>
      </c>
      <c r="H45" s="265">
        <v>0.25</v>
      </c>
      <c r="I45" s="264">
        <v>0</v>
      </c>
      <c r="J45" s="265">
        <v>0</v>
      </c>
      <c r="K45" s="4"/>
    </row>
    <row r="46" spans="1:11" ht="20.100000000000001" customHeight="1">
      <c r="A46" s="268" t="s">
        <v>38</v>
      </c>
      <c r="B46" s="267">
        <v>2401449</v>
      </c>
      <c r="C46" s="267">
        <v>0</v>
      </c>
      <c r="D46" s="267">
        <v>0</v>
      </c>
      <c r="E46" s="267">
        <v>2</v>
      </c>
      <c r="F46" s="267">
        <v>1</v>
      </c>
      <c r="G46" s="222">
        <v>0.08</v>
      </c>
      <c r="H46" s="222">
        <v>0.25</v>
      </c>
      <c r="I46" s="267">
        <v>0</v>
      </c>
      <c r="J46" s="222">
        <v>0</v>
      </c>
      <c r="K46" s="4"/>
    </row>
    <row r="47" spans="1:11" ht="20.100000000000001" customHeight="1">
      <c r="A47" s="260" t="s">
        <v>82</v>
      </c>
      <c r="B47" s="264">
        <v>3072712</v>
      </c>
      <c r="C47" s="264">
        <v>0</v>
      </c>
      <c r="D47" s="264">
        <v>3</v>
      </c>
      <c r="E47" s="264">
        <v>0</v>
      </c>
      <c r="F47" s="264">
        <v>0</v>
      </c>
      <c r="G47" s="265">
        <v>0.2</v>
      </c>
      <c r="H47" s="265">
        <v>0.2</v>
      </c>
      <c r="I47" s="264">
        <v>0</v>
      </c>
      <c r="J47" s="265">
        <v>0</v>
      </c>
      <c r="K47" s="4"/>
    </row>
    <row r="48" spans="1:11" ht="20.100000000000001" customHeight="1">
      <c r="A48" s="268" t="s">
        <v>138</v>
      </c>
      <c r="B48" s="267">
        <v>3072712</v>
      </c>
      <c r="C48" s="267">
        <v>0</v>
      </c>
      <c r="D48" s="267">
        <v>3</v>
      </c>
      <c r="E48" s="267">
        <v>0</v>
      </c>
      <c r="F48" s="267">
        <v>0</v>
      </c>
      <c r="G48" s="222">
        <v>0.2</v>
      </c>
      <c r="H48" s="222">
        <v>0.2</v>
      </c>
      <c r="I48" s="267">
        <v>0</v>
      </c>
      <c r="J48" s="222">
        <v>0</v>
      </c>
      <c r="K48" s="4"/>
    </row>
    <row r="49" spans="1:11" ht="20.100000000000001" customHeight="1">
      <c r="A49" s="260" t="s">
        <v>13</v>
      </c>
      <c r="B49" s="264">
        <v>2584746</v>
      </c>
      <c r="C49" s="264">
        <v>0</v>
      </c>
      <c r="D49" s="264">
        <v>0</v>
      </c>
      <c r="E49" s="264">
        <v>2</v>
      </c>
      <c r="F49" s="264">
        <v>0</v>
      </c>
      <c r="G49" s="265">
        <v>0</v>
      </c>
      <c r="H49" s="265">
        <v>0.15</v>
      </c>
      <c r="I49" s="264">
        <v>0</v>
      </c>
      <c r="J49" s="265">
        <v>0</v>
      </c>
      <c r="K49" s="4"/>
    </row>
    <row r="50" spans="1:11" ht="20.100000000000001" customHeight="1">
      <c r="A50" s="268" t="s">
        <v>14</v>
      </c>
      <c r="B50" s="267">
        <v>2359789</v>
      </c>
      <c r="C50" s="267">
        <v>0</v>
      </c>
      <c r="D50" s="267">
        <v>0</v>
      </c>
      <c r="E50" s="267">
        <v>2</v>
      </c>
      <c r="F50" s="267">
        <v>0</v>
      </c>
      <c r="G50" s="222">
        <v>0</v>
      </c>
      <c r="H50" s="222">
        <v>0.17</v>
      </c>
      <c r="I50" s="267">
        <v>0</v>
      </c>
      <c r="J50" s="222">
        <v>0</v>
      </c>
      <c r="K50" s="4"/>
    </row>
    <row r="51" spans="1:11" ht="20.100000000000001" customHeight="1">
      <c r="A51" s="268" t="s">
        <v>562</v>
      </c>
      <c r="B51" s="267">
        <v>224957</v>
      </c>
      <c r="C51" s="267">
        <v>0</v>
      </c>
      <c r="D51" s="267">
        <v>0</v>
      </c>
      <c r="E51" s="267">
        <v>0</v>
      </c>
      <c r="F51" s="267">
        <v>0</v>
      </c>
      <c r="G51" s="222">
        <v>0</v>
      </c>
      <c r="H51" s="222">
        <v>0</v>
      </c>
      <c r="I51" s="267">
        <v>0</v>
      </c>
      <c r="J51" s="222">
        <v>0</v>
      </c>
      <c r="K51" s="4"/>
    </row>
    <row r="52" spans="1:11" ht="20.100000000000001" customHeight="1">
      <c r="A52" s="260" t="s">
        <v>569</v>
      </c>
      <c r="B52" s="264">
        <v>308893</v>
      </c>
      <c r="C52" s="264">
        <v>0</v>
      </c>
      <c r="D52" s="264">
        <v>0</v>
      </c>
      <c r="E52" s="264">
        <v>0</v>
      </c>
      <c r="F52" s="264">
        <v>0</v>
      </c>
      <c r="G52" s="265">
        <v>0</v>
      </c>
      <c r="H52" s="265">
        <v>0</v>
      </c>
      <c r="I52" s="264">
        <v>0</v>
      </c>
      <c r="J52" s="265">
        <v>0</v>
      </c>
      <c r="K52" s="4"/>
    </row>
    <row r="53" spans="1:11" ht="20.100000000000001" customHeight="1">
      <c r="A53" s="268" t="s">
        <v>561</v>
      </c>
      <c r="B53" s="267">
        <v>308893</v>
      </c>
      <c r="C53" s="267">
        <v>0</v>
      </c>
      <c r="D53" s="267">
        <v>0</v>
      </c>
      <c r="E53" s="267">
        <v>0</v>
      </c>
      <c r="F53" s="267">
        <v>0</v>
      </c>
      <c r="G53" s="222">
        <v>0</v>
      </c>
      <c r="H53" s="222">
        <v>0</v>
      </c>
      <c r="I53" s="267">
        <v>0</v>
      </c>
      <c r="J53" s="222">
        <v>0</v>
      </c>
      <c r="K53" s="4"/>
    </row>
    <row r="54" spans="1:11" ht="20.100000000000001" customHeight="1">
      <c r="A54" s="260" t="s">
        <v>570</v>
      </c>
      <c r="B54" s="264">
        <v>313648</v>
      </c>
      <c r="C54" s="264">
        <v>0</v>
      </c>
      <c r="D54" s="264">
        <v>1</v>
      </c>
      <c r="E54" s="264">
        <v>0</v>
      </c>
      <c r="F54" s="264">
        <v>1</v>
      </c>
      <c r="G54" s="265">
        <v>1.28</v>
      </c>
      <c r="H54" s="265">
        <v>1.28</v>
      </c>
      <c r="I54" s="264">
        <v>0</v>
      </c>
      <c r="J54" s="265">
        <v>0</v>
      </c>
      <c r="K54" s="4"/>
    </row>
    <row r="55" spans="1:11" ht="20.100000000000001" customHeight="1">
      <c r="A55" s="268" t="s">
        <v>561</v>
      </c>
      <c r="B55" s="267">
        <v>313648</v>
      </c>
      <c r="C55" s="267">
        <v>0</v>
      </c>
      <c r="D55" s="267">
        <v>1</v>
      </c>
      <c r="E55" s="267">
        <v>0</v>
      </c>
      <c r="F55" s="267">
        <v>1</v>
      </c>
      <c r="G55" s="222">
        <v>1.28</v>
      </c>
      <c r="H55" s="222">
        <v>1.28</v>
      </c>
      <c r="I55" s="267">
        <v>0</v>
      </c>
      <c r="J55" s="222">
        <v>0</v>
      </c>
      <c r="K55" s="4"/>
    </row>
    <row r="56" spans="1:11" ht="20.100000000000001" customHeight="1">
      <c r="A56" s="260" t="s">
        <v>85</v>
      </c>
      <c r="B56" s="264">
        <v>33624508</v>
      </c>
      <c r="C56" s="264">
        <v>0</v>
      </c>
      <c r="D56" s="264">
        <v>21</v>
      </c>
      <c r="E56" s="264">
        <v>23</v>
      </c>
      <c r="F56" s="264">
        <v>25</v>
      </c>
      <c r="G56" s="265">
        <v>0.27</v>
      </c>
      <c r="H56" s="265">
        <v>0.41</v>
      </c>
      <c r="I56" s="264">
        <v>11</v>
      </c>
      <c r="J56" s="265">
        <v>7.0000000000000007E-2</v>
      </c>
      <c r="K56" s="4"/>
    </row>
    <row r="57" spans="1:11" ht="33.4" customHeight="1">
      <c r="A57" s="518" t="s">
        <v>1066</v>
      </c>
      <c r="B57" s="491"/>
      <c r="C57" s="491"/>
      <c r="D57" s="491"/>
      <c r="E57" s="491"/>
      <c r="F57" s="491"/>
      <c r="G57" s="491"/>
      <c r="H57" s="491"/>
      <c r="I57" s="491"/>
      <c r="J57" s="491"/>
    </row>
    <row r="58" spans="1:11" ht="60" customHeight="1"/>
    <row r="59" spans="1:11" ht="27" customHeight="1">
      <c r="A59" s="260" t="s">
        <v>571</v>
      </c>
      <c r="B59" s="3" t="s">
        <v>544</v>
      </c>
      <c r="C59" s="3" t="s">
        <v>545</v>
      </c>
      <c r="D59" s="3" t="s">
        <v>546</v>
      </c>
      <c r="E59" s="4"/>
    </row>
    <row r="60" spans="1:11" ht="20.100000000000001" customHeight="1">
      <c r="A60" s="261">
        <v>2015</v>
      </c>
      <c r="B60" s="262">
        <v>0.13</v>
      </c>
      <c r="C60" s="262">
        <v>0.37</v>
      </c>
      <c r="D60" s="263">
        <v>0.01</v>
      </c>
      <c r="E60" s="4"/>
    </row>
    <row r="61" spans="1:11" ht="20.100000000000001" customHeight="1">
      <c r="A61" s="261">
        <v>2016</v>
      </c>
      <c r="B61" s="262">
        <v>0.13</v>
      </c>
      <c r="C61" s="262">
        <v>0.34</v>
      </c>
      <c r="D61" s="263">
        <v>0</v>
      </c>
      <c r="E61" s="4"/>
    </row>
    <row r="62" spans="1:11" ht="20.100000000000001" customHeight="1">
      <c r="A62" s="261">
        <v>2017</v>
      </c>
      <c r="B62" s="262">
        <v>0.17</v>
      </c>
      <c r="C62" s="262">
        <v>0.43</v>
      </c>
      <c r="D62" s="262">
        <v>0.01</v>
      </c>
      <c r="E62" s="4"/>
    </row>
    <row r="63" spans="1:11" ht="20.100000000000001" customHeight="1">
      <c r="A63" s="261">
        <v>2018</v>
      </c>
      <c r="B63" s="262">
        <v>0.27</v>
      </c>
      <c r="C63" s="262">
        <v>0.44</v>
      </c>
      <c r="D63" s="262">
        <v>0.11</v>
      </c>
      <c r="E63" s="4"/>
    </row>
    <row r="64" spans="1:11" ht="20.100000000000001" customHeight="1">
      <c r="A64" s="261">
        <v>2019</v>
      </c>
      <c r="B64" s="262">
        <v>0.18</v>
      </c>
      <c r="C64" s="262">
        <v>0.41</v>
      </c>
      <c r="D64" s="262">
        <v>0.06</v>
      </c>
      <c r="E64" s="4"/>
    </row>
    <row r="65" spans="1:11" ht="45.75" customHeight="1">
      <c r="A65" s="446" t="s">
        <v>572</v>
      </c>
      <c r="B65" s="446"/>
      <c r="C65" s="446"/>
      <c r="D65" s="446"/>
    </row>
    <row r="66" spans="1:11" ht="45.75" customHeight="1">
      <c r="A66" s="459"/>
      <c r="B66" s="459"/>
      <c r="C66" s="459"/>
      <c r="D66" s="459"/>
    </row>
    <row r="67" spans="1:11" ht="60" customHeight="1">
      <c r="A67" s="555"/>
      <c r="B67" s="555"/>
      <c r="C67" s="555"/>
      <c r="D67" s="555"/>
    </row>
    <row r="68" spans="1:11" ht="30" customHeight="1">
      <c r="A68" s="260" t="s">
        <v>573</v>
      </c>
      <c r="B68" s="114" t="s">
        <v>548</v>
      </c>
      <c r="C68" s="114" t="s">
        <v>549</v>
      </c>
      <c r="D68" s="114" t="s">
        <v>550</v>
      </c>
      <c r="E68" s="114" t="s">
        <v>551</v>
      </c>
      <c r="F68" s="114" t="s">
        <v>552</v>
      </c>
      <c r="G68" s="114" t="s">
        <v>553</v>
      </c>
      <c r="H68" s="114" t="s">
        <v>574</v>
      </c>
      <c r="I68" s="114" t="s">
        <v>555</v>
      </c>
      <c r="J68" s="114" t="s">
        <v>556</v>
      </c>
      <c r="K68" s="4"/>
    </row>
    <row r="69" spans="1:11" ht="20.100000000000001" customHeight="1">
      <c r="A69" s="260" t="s">
        <v>557</v>
      </c>
      <c r="B69" s="264">
        <v>11689439</v>
      </c>
      <c r="C69" s="264">
        <v>0</v>
      </c>
      <c r="D69" s="264">
        <v>3</v>
      </c>
      <c r="E69" s="264">
        <v>8</v>
      </c>
      <c r="F69" s="264">
        <v>1</v>
      </c>
      <c r="G69" s="265">
        <v>7.0000000000000007E-2</v>
      </c>
      <c r="H69" s="265">
        <v>0.21</v>
      </c>
      <c r="I69" s="264">
        <v>5</v>
      </c>
      <c r="J69" s="265">
        <v>0.09</v>
      </c>
      <c r="K69" s="4"/>
    </row>
    <row r="70" spans="1:11" ht="20.100000000000001" customHeight="1">
      <c r="A70" s="266" t="s">
        <v>558</v>
      </c>
      <c r="B70" s="267">
        <v>187150</v>
      </c>
      <c r="C70" s="267">
        <v>0</v>
      </c>
      <c r="D70" s="267">
        <v>0</v>
      </c>
      <c r="E70" s="267">
        <v>0</v>
      </c>
      <c r="F70" s="267">
        <v>0</v>
      </c>
      <c r="G70" s="222">
        <v>0</v>
      </c>
      <c r="H70" s="222">
        <v>0</v>
      </c>
      <c r="I70" s="267">
        <v>0</v>
      </c>
      <c r="J70" s="222">
        <v>0</v>
      </c>
      <c r="K70" s="4"/>
    </row>
    <row r="71" spans="1:11" ht="20.100000000000001" customHeight="1">
      <c r="A71" s="268" t="s">
        <v>130</v>
      </c>
      <c r="B71" s="267">
        <v>8568631</v>
      </c>
      <c r="C71" s="267">
        <v>0</v>
      </c>
      <c r="D71" s="267">
        <v>2</v>
      </c>
      <c r="E71" s="267">
        <v>8</v>
      </c>
      <c r="F71" s="267">
        <v>1</v>
      </c>
      <c r="G71" s="222">
        <v>7.0000000000000007E-2</v>
      </c>
      <c r="H71" s="222">
        <v>0.26</v>
      </c>
      <c r="I71" s="267">
        <v>5</v>
      </c>
      <c r="J71" s="222">
        <v>0.12</v>
      </c>
      <c r="K71" s="4"/>
    </row>
    <row r="72" spans="1:11" ht="20.100000000000001" customHeight="1">
      <c r="A72" s="268" t="s">
        <v>131</v>
      </c>
      <c r="B72" s="267">
        <v>2044487</v>
      </c>
      <c r="C72" s="267">
        <v>0</v>
      </c>
      <c r="D72" s="267">
        <v>0</v>
      </c>
      <c r="E72" s="267">
        <v>0</v>
      </c>
      <c r="F72" s="267">
        <v>0</v>
      </c>
      <c r="G72" s="222">
        <v>0</v>
      </c>
      <c r="H72" s="222">
        <v>0</v>
      </c>
      <c r="I72" s="267">
        <v>0</v>
      </c>
      <c r="J72" s="222">
        <v>0</v>
      </c>
      <c r="K72" s="4"/>
    </row>
    <row r="73" spans="1:11" ht="20.100000000000001" customHeight="1">
      <c r="A73" s="268" t="s">
        <v>575</v>
      </c>
      <c r="B73" s="267">
        <v>785235</v>
      </c>
      <c r="C73" s="267">
        <v>0</v>
      </c>
      <c r="D73" s="267">
        <v>1</v>
      </c>
      <c r="E73" s="267">
        <v>0</v>
      </c>
      <c r="F73" s="267">
        <v>0</v>
      </c>
      <c r="G73" s="222">
        <v>0.25</v>
      </c>
      <c r="H73" s="222">
        <v>0.25</v>
      </c>
      <c r="I73" s="267">
        <v>0</v>
      </c>
      <c r="J73" s="222">
        <v>0</v>
      </c>
      <c r="K73" s="4"/>
    </row>
    <row r="74" spans="1:11" ht="20.100000000000001" customHeight="1">
      <c r="A74" s="266" t="s">
        <v>559</v>
      </c>
      <c r="B74" s="267">
        <v>103936</v>
      </c>
      <c r="C74" s="267">
        <v>0</v>
      </c>
      <c r="D74" s="267">
        <v>0</v>
      </c>
      <c r="E74" s="267">
        <v>0</v>
      </c>
      <c r="F74" s="267">
        <v>0</v>
      </c>
      <c r="G74" s="222">
        <v>0</v>
      </c>
      <c r="H74" s="222">
        <v>0</v>
      </c>
      <c r="I74" s="267">
        <v>0</v>
      </c>
      <c r="J74" s="222">
        <v>0</v>
      </c>
      <c r="K74" s="4"/>
    </row>
    <row r="75" spans="1:11" ht="20.100000000000001" customHeight="1">
      <c r="A75" s="260" t="s">
        <v>25</v>
      </c>
      <c r="B75" s="264">
        <v>5462643</v>
      </c>
      <c r="C75" s="264">
        <v>0</v>
      </c>
      <c r="D75" s="264">
        <v>14</v>
      </c>
      <c r="E75" s="264">
        <v>10</v>
      </c>
      <c r="F75" s="264">
        <v>4</v>
      </c>
      <c r="G75" s="265">
        <v>0.66</v>
      </c>
      <c r="H75" s="265">
        <v>1.03</v>
      </c>
      <c r="I75" s="264">
        <v>7</v>
      </c>
      <c r="J75" s="265">
        <v>0.26</v>
      </c>
      <c r="K75" s="4"/>
    </row>
    <row r="76" spans="1:11" ht="20.100000000000001" customHeight="1">
      <c r="A76" s="268" t="s">
        <v>560</v>
      </c>
      <c r="B76" s="267">
        <v>42014</v>
      </c>
      <c r="C76" s="267">
        <v>0</v>
      </c>
      <c r="D76" s="267">
        <v>0</v>
      </c>
      <c r="E76" s="267">
        <v>0</v>
      </c>
      <c r="F76" s="267">
        <v>0</v>
      </c>
      <c r="G76" s="222">
        <v>0</v>
      </c>
      <c r="H76" s="222">
        <v>0</v>
      </c>
      <c r="I76" s="267">
        <v>0</v>
      </c>
      <c r="J76" s="222">
        <v>0</v>
      </c>
      <c r="K76" s="4"/>
    </row>
    <row r="77" spans="1:11" ht="20.100000000000001" customHeight="1">
      <c r="A77" s="268" t="s">
        <v>26</v>
      </c>
      <c r="B77" s="267">
        <v>2168507</v>
      </c>
      <c r="C77" s="267">
        <v>0</v>
      </c>
      <c r="D77" s="267">
        <v>2</v>
      </c>
      <c r="E77" s="267">
        <v>3</v>
      </c>
      <c r="F77" s="267">
        <v>2</v>
      </c>
      <c r="G77" s="222">
        <v>0.37</v>
      </c>
      <c r="H77" s="222">
        <v>0.65</v>
      </c>
      <c r="I77" s="267">
        <v>1</v>
      </c>
      <c r="J77" s="222">
        <v>0.09</v>
      </c>
      <c r="K77" s="4"/>
    </row>
    <row r="78" spans="1:11" ht="20.100000000000001" customHeight="1">
      <c r="A78" s="268" t="s">
        <v>140</v>
      </c>
      <c r="B78" s="267">
        <v>1610170</v>
      </c>
      <c r="C78" s="267">
        <v>0</v>
      </c>
      <c r="D78" s="267">
        <v>6</v>
      </c>
      <c r="E78" s="267">
        <v>4</v>
      </c>
      <c r="F78" s="267">
        <v>1</v>
      </c>
      <c r="G78" s="222">
        <v>0.87</v>
      </c>
      <c r="H78" s="222">
        <v>1.37</v>
      </c>
      <c r="I78" s="267">
        <v>0</v>
      </c>
      <c r="J78" s="222">
        <v>0</v>
      </c>
      <c r="K78" s="4"/>
    </row>
    <row r="79" spans="1:11" ht="20.100000000000001" customHeight="1">
      <c r="A79" s="268" t="s">
        <v>29</v>
      </c>
      <c r="B79" s="267">
        <v>1437224</v>
      </c>
      <c r="C79" s="267">
        <v>0</v>
      </c>
      <c r="D79" s="267">
        <v>5</v>
      </c>
      <c r="E79" s="267">
        <v>3</v>
      </c>
      <c r="F79" s="267">
        <v>1</v>
      </c>
      <c r="G79" s="222">
        <v>0.83</v>
      </c>
      <c r="H79" s="222">
        <v>1.25</v>
      </c>
      <c r="I79" s="267">
        <v>5</v>
      </c>
      <c r="J79" s="222">
        <v>0.7</v>
      </c>
      <c r="K79" s="4"/>
    </row>
    <row r="80" spans="1:11" ht="20.100000000000001" customHeight="1">
      <c r="A80" s="268" t="s">
        <v>561</v>
      </c>
      <c r="B80" s="267">
        <v>43374</v>
      </c>
      <c r="C80" s="267">
        <v>0</v>
      </c>
      <c r="D80" s="267">
        <v>0</v>
      </c>
      <c r="E80" s="267">
        <v>0</v>
      </c>
      <c r="F80" s="267">
        <v>0</v>
      </c>
      <c r="G80" s="222">
        <v>0</v>
      </c>
      <c r="H80" s="222">
        <v>0</v>
      </c>
      <c r="I80" s="267">
        <v>0</v>
      </c>
      <c r="J80" s="222">
        <v>0</v>
      </c>
      <c r="K80" s="4"/>
    </row>
    <row r="81" spans="1:11" ht="20.100000000000001" customHeight="1">
      <c r="A81" s="268" t="s">
        <v>562</v>
      </c>
      <c r="B81" s="267">
        <v>137384</v>
      </c>
      <c r="C81" s="267">
        <v>0</v>
      </c>
      <c r="D81" s="267">
        <v>1</v>
      </c>
      <c r="E81" s="267">
        <v>0</v>
      </c>
      <c r="F81" s="267">
        <v>0</v>
      </c>
      <c r="G81" s="222">
        <v>1.46</v>
      </c>
      <c r="H81" s="222">
        <v>1.46</v>
      </c>
      <c r="I81" s="267">
        <v>1</v>
      </c>
      <c r="J81" s="222">
        <v>1.46</v>
      </c>
      <c r="K81" s="4"/>
    </row>
    <row r="82" spans="1:11" ht="20.100000000000001" customHeight="1">
      <c r="A82" s="268" t="s">
        <v>563</v>
      </c>
      <c r="B82" s="267">
        <v>23970</v>
      </c>
      <c r="C82" s="267">
        <v>0</v>
      </c>
      <c r="D82" s="267">
        <v>0</v>
      </c>
      <c r="E82" s="267">
        <v>0</v>
      </c>
      <c r="F82" s="267">
        <v>0</v>
      </c>
      <c r="G82" s="222">
        <v>0</v>
      </c>
      <c r="H82" s="222">
        <v>0</v>
      </c>
      <c r="I82" s="267">
        <v>0</v>
      </c>
      <c r="J82" s="222">
        <v>0</v>
      </c>
      <c r="K82" s="4"/>
    </row>
    <row r="83" spans="1:11" ht="20.100000000000001" customHeight="1">
      <c r="A83" s="260" t="s">
        <v>81</v>
      </c>
      <c r="B83" s="264">
        <v>1654152</v>
      </c>
      <c r="C83" s="264">
        <v>0</v>
      </c>
      <c r="D83" s="264">
        <v>2</v>
      </c>
      <c r="E83" s="264">
        <v>2</v>
      </c>
      <c r="F83" s="264">
        <v>2</v>
      </c>
      <c r="G83" s="265">
        <v>0.48</v>
      </c>
      <c r="H83" s="265">
        <v>0.73</v>
      </c>
      <c r="I83" s="264">
        <v>0</v>
      </c>
      <c r="J83" s="265">
        <v>0</v>
      </c>
      <c r="K83" s="4"/>
    </row>
    <row r="84" spans="1:11" ht="20.100000000000001" customHeight="1">
      <c r="A84" s="268" t="s">
        <v>564</v>
      </c>
      <c r="B84" s="267">
        <v>711900</v>
      </c>
      <c r="C84" s="267">
        <v>0</v>
      </c>
      <c r="D84" s="267">
        <v>0</v>
      </c>
      <c r="E84" s="267">
        <v>0</v>
      </c>
      <c r="F84" s="267">
        <v>0</v>
      </c>
      <c r="G84" s="222">
        <v>0</v>
      </c>
      <c r="H84" s="222">
        <v>0</v>
      </c>
      <c r="I84" s="267">
        <v>0</v>
      </c>
      <c r="J84" s="222">
        <v>0</v>
      </c>
      <c r="K84" s="4"/>
    </row>
    <row r="85" spans="1:11" ht="20.100000000000001" customHeight="1">
      <c r="A85" s="268" t="s">
        <v>565</v>
      </c>
      <c r="B85" s="267">
        <v>0</v>
      </c>
      <c r="C85" s="267">
        <v>0</v>
      </c>
      <c r="D85" s="267">
        <v>0</v>
      </c>
      <c r="E85" s="267">
        <v>0</v>
      </c>
      <c r="F85" s="267">
        <v>0</v>
      </c>
      <c r="G85" s="222">
        <v>0</v>
      </c>
      <c r="H85" s="222">
        <v>0</v>
      </c>
      <c r="I85" s="267">
        <v>0</v>
      </c>
      <c r="J85" s="222">
        <v>0</v>
      </c>
      <c r="K85" s="4"/>
    </row>
    <row r="86" spans="1:11" ht="20.100000000000001" customHeight="1">
      <c r="A86" s="268" t="s">
        <v>133</v>
      </c>
      <c r="B86" s="267">
        <v>129591</v>
      </c>
      <c r="C86" s="267">
        <v>0</v>
      </c>
      <c r="D86" s="267">
        <v>1</v>
      </c>
      <c r="E86" s="267">
        <v>0</v>
      </c>
      <c r="F86" s="267">
        <v>0</v>
      </c>
      <c r="G86" s="222">
        <v>1.54</v>
      </c>
      <c r="H86" s="222">
        <v>1.54</v>
      </c>
      <c r="I86" s="267">
        <v>0</v>
      </c>
      <c r="J86" s="222">
        <v>0</v>
      </c>
      <c r="K86" s="4"/>
    </row>
    <row r="87" spans="1:11" ht="20.100000000000001" customHeight="1">
      <c r="A87" s="268" t="s">
        <v>566</v>
      </c>
      <c r="B87" s="267">
        <v>689395</v>
      </c>
      <c r="C87" s="267">
        <v>0</v>
      </c>
      <c r="D87" s="267">
        <v>1</v>
      </c>
      <c r="E87" s="267">
        <v>2</v>
      </c>
      <c r="F87" s="267">
        <v>2</v>
      </c>
      <c r="G87" s="222">
        <v>0.87</v>
      </c>
      <c r="H87" s="222">
        <v>1.45</v>
      </c>
      <c r="I87" s="267">
        <v>0</v>
      </c>
      <c r="J87" s="222">
        <v>0</v>
      </c>
      <c r="K87" s="4"/>
    </row>
    <row r="88" spans="1:11" ht="20.100000000000001" customHeight="1">
      <c r="A88" s="268" t="s">
        <v>576</v>
      </c>
      <c r="B88" s="267">
        <v>0</v>
      </c>
      <c r="C88" s="267">
        <v>0</v>
      </c>
      <c r="D88" s="267">
        <v>0</v>
      </c>
      <c r="E88" s="267">
        <v>0</v>
      </c>
      <c r="F88" s="267">
        <v>0</v>
      </c>
      <c r="G88" s="222">
        <v>0</v>
      </c>
      <c r="H88" s="222">
        <v>0</v>
      </c>
      <c r="I88" s="267">
        <v>0</v>
      </c>
      <c r="J88" s="222">
        <v>0</v>
      </c>
      <c r="K88" s="4"/>
    </row>
    <row r="89" spans="1:11" ht="20.100000000000001" customHeight="1">
      <c r="A89" s="268" t="s">
        <v>563</v>
      </c>
      <c r="B89" s="267">
        <v>123266</v>
      </c>
      <c r="C89" s="267">
        <v>0</v>
      </c>
      <c r="D89" s="267">
        <v>0</v>
      </c>
      <c r="E89" s="267">
        <v>0</v>
      </c>
      <c r="F89" s="267">
        <v>0</v>
      </c>
      <c r="G89" s="222">
        <v>0</v>
      </c>
      <c r="H89" s="222">
        <v>0</v>
      </c>
      <c r="I89" s="267">
        <v>0</v>
      </c>
      <c r="J89" s="222">
        <v>0</v>
      </c>
      <c r="K89" s="4"/>
    </row>
    <row r="90" spans="1:11" ht="20.100000000000001" customHeight="1">
      <c r="A90" s="260" t="s">
        <v>5</v>
      </c>
      <c r="B90" s="264">
        <v>2403338</v>
      </c>
      <c r="C90" s="264">
        <v>0</v>
      </c>
      <c r="D90" s="264">
        <v>0</v>
      </c>
      <c r="E90" s="264">
        <v>10</v>
      </c>
      <c r="F90" s="264">
        <v>0</v>
      </c>
      <c r="G90" s="265">
        <v>0</v>
      </c>
      <c r="H90" s="265">
        <v>0.83</v>
      </c>
      <c r="I90" s="264">
        <v>0</v>
      </c>
      <c r="J90" s="265">
        <v>0</v>
      </c>
      <c r="K90" s="4"/>
    </row>
    <row r="91" spans="1:11" ht="20.100000000000001" customHeight="1">
      <c r="A91" s="268" t="s">
        <v>568</v>
      </c>
      <c r="B91" s="267">
        <v>37367</v>
      </c>
      <c r="C91" s="267">
        <v>0</v>
      </c>
      <c r="D91" s="267">
        <v>0</v>
      </c>
      <c r="E91" s="267">
        <v>0</v>
      </c>
      <c r="F91" s="267">
        <v>0</v>
      </c>
      <c r="G91" s="222">
        <v>0</v>
      </c>
      <c r="H91" s="222">
        <v>0</v>
      </c>
      <c r="I91" s="267">
        <v>0</v>
      </c>
      <c r="J91" s="222">
        <v>0</v>
      </c>
      <c r="K91" s="4"/>
    </row>
    <row r="92" spans="1:11" ht="20.100000000000001" customHeight="1">
      <c r="A92" s="268" t="s">
        <v>39</v>
      </c>
      <c r="B92" s="267">
        <v>878219</v>
      </c>
      <c r="C92" s="267">
        <v>0</v>
      </c>
      <c r="D92" s="267">
        <v>0</v>
      </c>
      <c r="E92" s="267">
        <v>7</v>
      </c>
      <c r="F92" s="267">
        <v>0</v>
      </c>
      <c r="G92" s="222">
        <v>0</v>
      </c>
      <c r="H92" s="222">
        <v>1.59</v>
      </c>
      <c r="I92" s="267">
        <v>0</v>
      </c>
      <c r="J92" s="222">
        <v>0</v>
      </c>
      <c r="K92" s="4"/>
    </row>
    <row r="93" spans="1:11" ht="20.100000000000001" customHeight="1">
      <c r="A93" s="268" t="s">
        <v>135</v>
      </c>
      <c r="B93" s="267">
        <v>464034</v>
      </c>
      <c r="C93" s="267">
        <v>0</v>
      </c>
      <c r="D93" s="267">
        <v>0</v>
      </c>
      <c r="E93" s="267">
        <v>1</v>
      </c>
      <c r="F93" s="267">
        <v>0</v>
      </c>
      <c r="G93" s="222">
        <v>0</v>
      </c>
      <c r="H93" s="222">
        <v>0.43</v>
      </c>
      <c r="I93" s="267">
        <v>0</v>
      </c>
      <c r="J93" s="222">
        <v>0</v>
      </c>
      <c r="K93" s="4"/>
    </row>
    <row r="94" spans="1:11" ht="20.100000000000001" customHeight="1">
      <c r="A94" s="268" t="s">
        <v>6</v>
      </c>
      <c r="B94" s="267">
        <v>749477</v>
      </c>
      <c r="C94" s="267">
        <v>0</v>
      </c>
      <c r="D94" s="267">
        <v>0</v>
      </c>
      <c r="E94" s="267">
        <v>2</v>
      </c>
      <c r="F94" s="267">
        <v>0</v>
      </c>
      <c r="G94" s="222">
        <v>0</v>
      </c>
      <c r="H94" s="222">
        <v>0.53</v>
      </c>
      <c r="I94" s="267">
        <v>0</v>
      </c>
      <c r="J94" s="222">
        <v>0</v>
      </c>
      <c r="K94" s="4"/>
    </row>
    <row r="95" spans="1:11" ht="20.100000000000001" customHeight="1">
      <c r="A95" s="268" t="s">
        <v>136</v>
      </c>
      <c r="B95" s="267">
        <v>274241</v>
      </c>
      <c r="C95" s="267">
        <v>0</v>
      </c>
      <c r="D95" s="267">
        <v>0</v>
      </c>
      <c r="E95" s="267">
        <v>0</v>
      </c>
      <c r="F95" s="267">
        <v>0</v>
      </c>
      <c r="G95" s="222">
        <v>0</v>
      </c>
      <c r="H95" s="222">
        <v>0</v>
      </c>
      <c r="I95" s="267">
        <v>0</v>
      </c>
      <c r="J95" s="222">
        <v>0</v>
      </c>
      <c r="K95" s="4"/>
    </row>
    <row r="96" spans="1:11" ht="20.100000000000001" customHeight="1">
      <c r="A96" s="431" t="s">
        <v>84</v>
      </c>
      <c r="B96" s="264">
        <v>780667</v>
      </c>
      <c r="C96" s="264">
        <v>0</v>
      </c>
      <c r="D96" s="264">
        <v>1</v>
      </c>
      <c r="E96" s="264">
        <v>0</v>
      </c>
      <c r="F96" s="264">
        <v>1</v>
      </c>
      <c r="G96" s="265">
        <v>0.51</v>
      </c>
      <c r="H96" s="265">
        <v>0.51</v>
      </c>
      <c r="I96" s="264">
        <v>0</v>
      </c>
      <c r="J96" s="265">
        <v>0</v>
      </c>
      <c r="K96" s="4"/>
    </row>
    <row r="97" spans="1:11" ht="20.100000000000001" customHeight="1">
      <c r="A97" s="268" t="s">
        <v>563</v>
      </c>
      <c r="B97" s="267">
        <v>780667</v>
      </c>
      <c r="C97" s="267">
        <v>0</v>
      </c>
      <c r="D97" s="267">
        <v>1</v>
      </c>
      <c r="E97" s="267">
        <v>0</v>
      </c>
      <c r="F97" s="267">
        <v>1</v>
      </c>
      <c r="G97" s="222">
        <v>0.51</v>
      </c>
      <c r="H97" s="222">
        <v>0.51</v>
      </c>
      <c r="I97" s="267">
        <v>0</v>
      </c>
      <c r="J97" s="222">
        <v>0</v>
      </c>
      <c r="K97" s="4"/>
    </row>
    <row r="98" spans="1:11" ht="20.100000000000001" customHeight="1">
      <c r="A98" s="260" t="s">
        <v>9</v>
      </c>
      <c r="B98" s="264">
        <v>4567329</v>
      </c>
      <c r="C98" s="264">
        <v>0</v>
      </c>
      <c r="D98" s="264">
        <v>0</v>
      </c>
      <c r="E98" s="264">
        <v>6</v>
      </c>
      <c r="F98" s="264">
        <v>4</v>
      </c>
      <c r="G98" s="265">
        <v>0.18</v>
      </c>
      <c r="H98" s="265">
        <v>0.44</v>
      </c>
      <c r="I98" s="264">
        <v>0</v>
      </c>
      <c r="J98" s="265">
        <v>0</v>
      </c>
      <c r="K98" s="4"/>
    </row>
    <row r="99" spans="1:11" ht="20.100000000000001" customHeight="1">
      <c r="A99" s="268" t="s">
        <v>10</v>
      </c>
      <c r="B99" s="267">
        <v>4564447</v>
      </c>
      <c r="C99" s="267">
        <v>0</v>
      </c>
      <c r="D99" s="267">
        <v>0</v>
      </c>
      <c r="E99" s="267">
        <v>6</v>
      </c>
      <c r="F99" s="267">
        <v>4</v>
      </c>
      <c r="G99" s="222">
        <v>0.18</v>
      </c>
      <c r="H99" s="222">
        <v>0.44</v>
      </c>
      <c r="I99" s="267">
        <v>0</v>
      </c>
      <c r="J99" s="222">
        <v>0</v>
      </c>
      <c r="K99" s="4"/>
    </row>
    <row r="100" spans="1:11" ht="20.100000000000001" customHeight="1">
      <c r="A100" s="268" t="s">
        <v>563</v>
      </c>
      <c r="B100" s="267">
        <v>2882</v>
      </c>
      <c r="C100" s="267">
        <v>0</v>
      </c>
      <c r="D100" s="267">
        <v>0</v>
      </c>
      <c r="E100" s="267">
        <v>0</v>
      </c>
      <c r="F100" s="267">
        <v>0</v>
      </c>
      <c r="G100" s="222">
        <v>0</v>
      </c>
      <c r="H100" s="222">
        <v>0</v>
      </c>
      <c r="I100" s="267">
        <v>0</v>
      </c>
      <c r="J100" s="222">
        <v>0</v>
      </c>
      <c r="K100" s="4"/>
    </row>
    <row r="101" spans="1:11" ht="20.100000000000001" customHeight="1">
      <c r="A101" s="260" t="s">
        <v>37</v>
      </c>
      <c r="B101" s="264">
        <v>1340114</v>
      </c>
      <c r="C101" s="264">
        <v>0</v>
      </c>
      <c r="D101" s="264">
        <v>0</v>
      </c>
      <c r="E101" s="264">
        <v>3</v>
      </c>
      <c r="F101" s="264">
        <v>0</v>
      </c>
      <c r="G101" s="265">
        <v>0</v>
      </c>
      <c r="H101" s="265">
        <v>0.45</v>
      </c>
      <c r="I101" s="264">
        <v>0</v>
      </c>
      <c r="J101" s="265">
        <v>0</v>
      </c>
      <c r="K101" s="4"/>
    </row>
    <row r="102" spans="1:11" ht="20.100000000000001" customHeight="1">
      <c r="A102" s="268" t="s">
        <v>38</v>
      </c>
      <c r="B102" s="267">
        <v>1340114</v>
      </c>
      <c r="C102" s="267">
        <v>0</v>
      </c>
      <c r="D102" s="267">
        <v>0</v>
      </c>
      <c r="E102" s="267">
        <v>3</v>
      </c>
      <c r="F102" s="267">
        <v>0</v>
      </c>
      <c r="G102" s="222">
        <v>0</v>
      </c>
      <c r="H102" s="222">
        <v>0.45</v>
      </c>
      <c r="I102" s="267">
        <v>0</v>
      </c>
      <c r="J102" s="222">
        <v>0</v>
      </c>
      <c r="K102" s="4"/>
    </row>
    <row r="103" spans="1:11" ht="20.100000000000001" customHeight="1">
      <c r="A103" s="260" t="s">
        <v>82</v>
      </c>
      <c r="B103" s="264">
        <v>1452867</v>
      </c>
      <c r="C103" s="264">
        <v>0</v>
      </c>
      <c r="D103" s="264">
        <v>2</v>
      </c>
      <c r="E103" s="264">
        <v>0</v>
      </c>
      <c r="F103" s="264">
        <v>0</v>
      </c>
      <c r="G103" s="265">
        <v>0.28000000000000003</v>
      </c>
      <c r="H103" s="265">
        <v>0.28000000000000003</v>
      </c>
      <c r="I103" s="264">
        <v>0</v>
      </c>
      <c r="J103" s="265">
        <v>0</v>
      </c>
      <c r="K103" s="4"/>
    </row>
    <row r="104" spans="1:11" ht="20.100000000000001" customHeight="1">
      <c r="A104" s="268" t="s">
        <v>138</v>
      </c>
      <c r="B104" s="267">
        <v>1452867</v>
      </c>
      <c r="C104" s="267">
        <v>0</v>
      </c>
      <c r="D104" s="267">
        <v>2</v>
      </c>
      <c r="E104" s="267">
        <v>0</v>
      </c>
      <c r="F104" s="267">
        <v>0</v>
      </c>
      <c r="G104" s="222">
        <v>0.28000000000000003</v>
      </c>
      <c r="H104" s="222">
        <v>0.28000000000000003</v>
      </c>
      <c r="I104" s="267">
        <v>0</v>
      </c>
      <c r="J104" s="222">
        <v>0</v>
      </c>
      <c r="K104" s="4"/>
    </row>
    <row r="105" spans="1:11" ht="20.100000000000001" customHeight="1">
      <c r="A105" s="260" t="s">
        <v>13</v>
      </c>
      <c r="B105" s="264">
        <v>11145086</v>
      </c>
      <c r="C105" s="264">
        <v>0</v>
      </c>
      <c r="D105" s="264">
        <v>0</v>
      </c>
      <c r="E105" s="264">
        <v>6</v>
      </c>
      <c r="F105" s="264">
        <v>3</v>
      </c>
      <c r="G105" s="265">
        <v>0.05</v>
      </c>
      <c r="H105" s="265">
        <v>0.16</v>
      </c>
      <c r="I105" s="264">
        <v>0</v>
      </c>
      <c r="J105" s="265">
        <v>0</v>
      </c>
      <c r="K105" s="4"/>
    </row>
    <row r="106" spans="1:11" ht="20.100000000000001" customHeight="1">
      <c r="A106" s="268" t="s">
        <v>14</v>
      </c>
      <c r="B106" s="267">
        <v>7420377</v>
      </c>
      <c r="C106" s="267">
        <v>0</v>
      </c>
      <c r="D106" s="267">
        <v>0</v>
      </c>
      <c r="E106" s="267">
        <v>5</v>
      </c>
      <c r="F106" s="267">
        <v>2</v>
      </c>
      <c r="G106" s="222">
        <v>0.05</v>
      </c>
      <c r="H106" s="222">
        <v>0.19</v>
      </c>
      <c r="I106" s="267">
        <v>0</v>
      </c>
      <c r="J106" s="222">
        <v>0</v>
      </c>
      <c r="K106" s="4"/>
    </row>
    <row r="107" spans="1:11" ht="20.100000000000001" customHeight="1">
      <c r="A107" s="268" t="s">
        <v>562</v>
      </c>
      <c r="B107" s="267">
        <v>3724709</v>
      </c>
      <c r="C107" s="267">
        <v>0</v>
      </c>
      <c r="D107" s="267">
        <v>0</v>
      </c>
      <c r="E107" s="267">
        <v>1</v>
      </c>
      <c r="F107" s="267">
        <v>1</v>
      </c>
      <c r="G107" s="222">
        <v>0.05</v>
      </c>
      <c r="H107" s="222">
        <v>0.11</v>
      </c>
      <c r="I107" s="267">
        <v>0</v>
      </c>
      <c r="J107" s="222">
        <v>0</v>
      </c>
      <c r="K107" s="4"/>
    </row>
    <row r="108" spans="1:11" ht="20.100000000000001" customHeight="1">
      <c r="A108" s="260" t="s">
        <v>569</v>
      </c>
      <c r="B108" s="264">
        <v>699994</v>
      </c>
      <c r="C108" s="264">
        <v>0</v>
      </c>
      <c r="D108" s="264">
        <v>0</v>
      </c>
      <c r="E108" s="264">
        <v>3</v>
      </c>
      <c r="F108" s="264">
        <v>0</v>
      </c>
      <c r="G108" s="265">
        <v>0</v>
      </c>
      <c r="H108" s="265">
        <v>0.86</v>
      </c>
      <c r="I108" s="264">
        <v>0</v>
      </c>
      <c r="J108" s="265">
        <v>0</v>
      </c>
      <c r="K108" s="4"/>
    </row>
    <row r="109" spans="1:11" ht="20.100000000000001" customHeight="1">
      <c r="A109" s="268" t="s">
        <v>561</v>
      </c>
      <c r="B109" s="267">
        <v>699994</v>
      </c>
      <c r="C109" s="267">
        <v>0</v>
      </c>
      <c r="D109" s="267">
        <v>0</v>
      </c>
      <c r="E109" s="267">
        <v>3</v>
      </c>
      <c r="F109" s="267">
        <v>0</v>
      </c>
      <c r="G109" s="222">
        <v>0</v>
      </c>
      <c r="H109" s="222">
        <v>0.86</v>
      </c>
      <c r="I109" s="267">
        <v>0</v>
      </c>
      <c r="J109" s="222">
        <v>0</v>
      </c>
      <c r="K109" s="4"/>
    </row>
    <row r="110" spans="1:11" ht="20.100000000000001" customHeight="1">
      <c r="A110" s="260" t="s">
        <v>570</v>
      </c>
      <c r="B110" s="264">
        <v>719137</v>
      </c>
      <c r="C110" s="264">
        <v>0</v>
      </c>
      <c r="D110" s="264">
        <v>0</v>
      </c>
      <c r="E110" s="264">
        <v>0</v>
      </c>
      <c r="F110" s="264">
        <v>0</v>
      </c>
      <c r="G110" s="265">
        <v>0</v>
      </c>
      <c r="H110" s="265">
        <v>0</v>
      </c>
      <c r="I110" s="264">
        <v>0</v>
      </c>
      <c r="J110" s="265">
        <v>0</v>
      </c>
      <c r="K110" s="4"/>
    </row>
    <row r="111" spans="1:11" ht="20.100000000000001" customHeight="1">
      <c r="A111" s="268" t="s">
        <v>561</v>
      </c>
      <c r="B111" s="267">
        <v>719137</v>
      </c>
      <c r="C111" s="267">
        <v>0</v>
      </c>
      <c r="D111" s="267">
        <v>0</v>
      </c>
      <c r="E111" s="267">
        <v>0</v>
      </c>
      <c r="F111" s="267">
        <v>0</v>
      </c>
      <c r="G111" s="222">
        <v>0</v>
      </c>
      <c r="H111" s="222">
        <v>0</v>
      </c>
      <c r="I111" s="267">
        <v>0</v>
      </c>
      <c r="J111" s="222">
        <v>0</v>
      </c>
      <c r="K111" s="4"/>
    </row>
    <row r="112" spans="1:11" ht="20.100000000000001" customHeight="1">
      <c r="A112" s="260" t="s">
        <v>85</v>
      </c>
      <c r="B112" s="264">
        <v>41914766</v>
      </c>
      <c r="C112" s="264">
        <v>0</v>
      </c>
      <c r="D112" s="264">
        <v>22</v>
      </c>
      <c r="E112" s="264">
        <v>48</v>
      </c>
      <c r="F112" s="264">
        <v>15</v>
      </c>
      <c r="G112" s="265">
        <v>0.18</v>
      </c>
      <c r="H112" s="265">
        <v>0.41</v>
      </c>
      <c r="I112" s="264">
        <v>12</v>
      </c>
      <c r="J112" s="265">
        <v>0.06</v>
      </c>
      <c r="K112" s="4"/>
    </row>
    <row r="113" spans="1:12" ht="29.1" customHeight="1">
      <c r="A113" s="518" t="s">
        <v>1067</v>
      </c>
      <c r="B113" s="491"/>
      <c r="C113" s="491"/>
      <c r="D113" s="491"/>
      <c r="E113" s="491"/>
      <c r="F113" s="491"/>
      <c r="G113" s="491"/>
      <c r="H113" s="491"/>
      <c r="I113" s="491"/>
      <c r="J113" s="491"/>
    </row>
    <row r="114" spans="1:12" ht="60" customHeight="1"/>
    <row r="115" spans="1:12" ht="28.5" customHeight="1">
      <c r="A115" s="260" t="s">
        <v>577</v>
      </c>
      <c r="B115" s="3" t="s">
        <v>544</v>
      </c>
      <c r="C115" s="3" t="s">
        <v>545</v>
      </c>
      <c r="D115" s="3" t="s">
        <v>546</v>
      </c>
      <c r="E115" s="4"/>
    </row>
    <row r="116" spans="1:12" ht="20.100000000000001" customHeight="1">
      <c r="A116" s="261">
        <v>2015</v>
      </c>
      <c r="B116" s="262">
        <v>0.17</v>
      </c>
      <c r="C116" s="262">
        <v>0.36</v>
      </c>
      <c r="D116" s="263">
        <v>0</v>
      </c>
      <c r="E116" s="4"/>
    </row>
    <row r="117" spans="1:12" ht="20.100000000000001" customHeight="1">
      <c r="A117" s="261">
        <v>2016</v>
      </c>
      <c r="B117" s="262">
        <v>0.16</v>
      </c>
      <c r="C117" s="262">
        <v>0.39</v>
      </c>
      <c r="D117" s="263">
        <v>0.01</v>
      </c>
      <c r="E117" s="4"/>
    </row>
    <row r="118" spans="1:12" ht="20.100000000000001" customHeight="1">
      <c r="A118" s="261">
        <v>2017</v>
      </c>
      <c r="B118" s="262">
        <v>0.23</v>
      </c>
      <c r="C118" s="262">
        <v>0.46</v>
      </c>
      <c r="D118" s="262">
        <v>0.03</v>
      </c>
      <c r="E118" s="4"/>
    </row>
    <row r="119" spans="1:12" ht="20.100000000000001" customHeight="1">
      <c r="A119" s="261">
        <v>2018</v>
      </c>
      <c r="B119" s="262">
        <v>0.26</v>
      </c>
      <c r="C119" s="263">
        <v>0.4</v>
      </c>
      <c r="D119" s="263">
        <v>0.1</v>
      </c>
      <c r="E119" s="4"/>
    </row>
    <row r="120" spans="1:12" ht="20.100000000000001" customHeight="1">
      <c r="A120" s="261">
        <v>2019</v>
      </c>
      <c r="B120" s="262">
        <v>0.22</v>
      </c>
      <c r="C120" s="262">
        <v>0.41</v>
      </c>
      <c r="D120" s="262">
        <v>0.06</v>
      </c>
      <c r="E120" s="4"/>
    </row>
    <row r="121" spans="1:12" ht="75.75" customHeight="1">
      <c r="A121" s="557" t="s">
        <v>1068</v>
      </c>
      <c r="B121" s="555"/>
      <c r="C121" s="555"/>
      <c r="D121" s="555"/>
      <c r="E121" s="555"/>
      <c r="F121" s="555"/>
      <c r="G121" s="270"/>
      <c r="H121" s="270"/>
      <c r="I121" s="270"/>
      <c r="J121" s="270"/>
    </row>
    <row r="122" spans="1:12" ht="60" customHeight="1"/>
    <row r="123" spans="1:12" ht="54.2" customHeight="1">
      <c r="A123" s="27" t="s">
        <v>578</v>
      </c>
      <c r="B123" s="28">
        <v>2015</v>
      </c>
      <c r="C123" s="28">
        <v>2016</v>
      </c>
      <c r="D123" s="28">
        <v>2017</v>
      </c>
      <c r="E123" s="28">
        <v>2018</v>
      </c>
      <c r="F123" s="28">
        <v>2019</v>
      </c>
      <c r="G123" s="4"/>
    </row>
    <row r="124" spans="1:12" ht="30" customHeight="1">
      <c r="A124" s="5" t="s">
        <v>579</v>
      </c>
      <c r="B124" s="262">
        <v>0.36</v>
      </c>
      <c r="C124" s="262">
        <v>0.39</v>
      </c>
      <c r="D124" s="262">
        <v>0.46</v>
      </c>
      <c r="E124" s="263">
        <v>0.4</v>
      </c>
      <c r="F124" s="262">
        <v>0.41</v>
      </c>
      <c r="G124" s="4"/>
      <c r="H124" s="270"/>
      <c r="I124" s="270"/>
      <c r="J124" s="270"/>
      <c r="K124" s="270"/>
      <c r="L124" s="270"/>
    </row>
    <row r="125" spans="1:12" ht="30" customHeight="1">
      <c r="A125" s="5" t="s">
        <v>580</v>
      </c>
      <c r="B125" s="262">
        <v>0.17</v>
      </c>
      <c r="C125" s="262">
        <v>0.16</v>
      </c>
      <c r="D125" s="262">
        <v>0.23</v>
      </c>
      <c r="E125" s="262">
        <v>0.26</v>
      </c>
      <c r="F125" s="262">
        <v>0.22</v>
      </c>
      <c r="G125" s="4"/>
    </row>
    <row r="126" spans="1:12" ht="30" customHeight="1">
      <c r="A126" s="5" t="s">
        <v>581</v>
      </c>
      <c r="B126" s="271">
        <v>5.0000000000000001E-3</v>
      </c>
      <c r="C126" s="271">
        <v>3.0000000000000001E-3</v>
      </c>
      <c r="D126" s="271">
        <v>0</v>
      </c>
      <c r="E126" s="271">
        <v>0</v>
      </c>
      <c r="F126" s="271">
        <v>3.0000000000000001E-3</v>
      </c>
      <c r="G126" s="4"/>
    </row>
    <row r="127" spans="1:12" ht="60" customHeight="1">
      <c r="A127" s="445" t="s">
        <v>1069</v>
      </c>
      <c r="B127" s="446"/>
      <c r="C127" s="446"/>
      <c r="D127" s="446"/>
      <c r="E127" s="446"/>
      <c r="F127" s="446"/>
    </row>
    <row r="128" spans="1:12" ht="60" customHeight="1">
      <c r="A128" s="272"/>
      <c r="B128" s="273"/>
      <c r="C128" s="556"/>
      <c r="D128" s="556"/>
      <c r="E128" s="556"/>
      <c r="F128" s="556"/>
      <c r="G128" s="556"/>
      <c r="H128" s="556"/>
      <c r="I128" s="556"/>
      <c r="J128" s="556"/>
    </row>
    <row r="129" spans="1:11" ht="29.25" customHeight="1">
      <c r="A129" s="274" t="s">
        <v>582</v>
      </c>
      <c r="B129" s="114" t="s">
        <v>548</v>
      </c>
      <c r="C129" s="114" t="s">
        <v>549</v>
      </c>
      <c r="D129" s="114" t="s">
        <v>550</v>
      </c>
      <c r="E129" s="114" t="s">
        <v>551</v>
      </c>
      <c r="F129" s="114" t="s">
        <v>552</v>
      </c>
      <c r="G129" s="114" t="s">
        <v>553</v>
      </c>
      <c r="H129" s="114" t="s">
        <v>574</v>
      </c>
      <c r="I129" s="114" t="s">
        <v>555</v>
      </c>
      <c r="J129" s="114" t="s">
        <v>556</v>
      </c>
      <c r="K129" s="4"/>
    </row>
    <row r="130" spans="1:11" ht="20.100000000000001" customHeight="1">
      <c r="A130" s="275" t="s">
        <v>557</v>
      </c>
      <c r="B130" s="276">
        <v>16856110</v>
      </c>
      <c r="C130" s="277">
        <v>0</v>
      </c>
      <c r="D130" s="277">
        <v>4</v>
      </c>
      <c r="E130" s="277">
        <v>11</v>
      </c>
      <c r="F130" s="277">
        <v>3</v>
      </c>
      <c r="G130" s="278">
        <v>0.08</v>
      </c>
      <c r="H130" s="278">
        <v>0.21</v>
      </c>
      <c r="I130" s="277">
        <v>7</v>
      </c>
      <c r="J130" s="278">
        <v>0.08</v>
      </c>
      <c r="K130" s="4"/>
    </row>
    <row r="131" spans="1:11" ht="20.100000000000001" customHeight="1">
      <c r="A131" s="266" t="s">
        <v>558</v>
      </c>
      <c r="B131" s="279">
        <v>423772</v>
      </c>
      <c r="C131" s="280">
        <v>0</v>
      </c>
      <c r="D131" s="280">
        <v>0</v>
      </c>
      <c r="E131" s="280">
        <v>0</v>
      </c>
      <c r="F131" s="280">
        <v>0</v>
      </c>
      <c r="G131" s="281">
        <v>0</v>
      </c>
      <c r="H131" s="281">
        <v>0</v>
      </c>
      <c r="I131" s="280">
        <v>0</v>
      </c>
      <c r="J131" s="281">
        <v>0</v>
      </c>
      <c r="K131" s="4"/>
    </row>
    <row r="132" spans="1:11" ht="20.100000000000001" customHeight="1">
      <c r="A132" s="268" t="s">
        <v>130</v>
      </c>
      <c r="B132" s="279">
        <v>11172637</v>
      </c>
      <c r="C132" s="280">
        <v>0</v>
      </c>
      <c r="D132" s="280">
        <v>3</v>
      </c>
      <c r="E132" s="280">
        <v>11</v>
      </c>
      <c r="F132" s="280">
        <v>1</v>
      </c>
      <c r="G132" s="281">
        <v>7.0000000000000007E-2</v>
      </c>
      <c r="H132" s="281">
        <v>0.27</v>
      </c>
      <c r="I132" s="280">
        <v>6</v>
      </c>
      <c r="J132" s="281">
        <v>0.11</v>
      </c>
      <c r="K132" s="4"/>
    </row>
    <row r="133" spans="1:11" ht="20.100000000000001" customHeight="1">
      <c r="A133" s="268" t="s">
        <v>131</v>
      </c>
      <c r="B133" s="279">
        <v>3879977</v>
      </c>
      <c r="C133" s="280">
        <v>0</v>
      </c>
      <c r="D133" s="280">
        <v>0</v>
      </c>
      <c r="E133" s="280">
        <v>0</v>
      </c>
      <c r="F133" s="280">
        <v>2</v>
      </c>
      <c r="G133" s="281">
        <v>0.1</v>
      </c>
      <c r="H133" s="281">
        <v>0.1</v>
      </c>
      <c r="I133" s="280">
        <v>1</v>
      </c>
      <c r="J133" s="281">
        <v>0.05</v>
      </c>
      <c r="K133" s="4"/>
    </row>
    <row r="134" spans="1:11" ht="20.100000000000001" customHeight="1">
      <c r="A134" s="268" t="s">
        <v>561</v>
      </c>
      <c r="B134" s="279">
        <v>1236459</v>
      </c>
      <c r="C134" s="280">
        <v>0</v>
      </c>
      <c r="D134" s="280">
        <v>1</v>
      </c>
      <c r="E134" s="280">
        <v>0</v>
      </c>
      <c r="F134" s="280">
        <v>0</v>
      </c>
      <c r="G134" s="281">
        <v>0.16</v>
      </c>
      <c r="H134" s="281">
        <v>0.16</v>
      </c>
      <c r="I134" s="280">
        <v>0</v>
      </c>
      <c r="J134" s="281">
        <v>0</v>
      </c>
      <c r="K134" s="4"/>
    </row>
    <row r="135" spans="1:11" ht="20.100000000000001" customHeight="1">
      <c r="A135" s="266" t="s">
        <v>559</v>
      </c>
      <c r="B135" s="279">
        <v>143265</v>
      </c>
      <c r="C135" s="280">
        <v>0</v>
      </c>
      <c r="D135" s="280">
        <v>0</v>
      </c>
      <c r="E135" s="280">
        <v>0</v>
      </c>
      <c r="F135" s="280">
        <v>0</v>
      </c>
      <c r="G135" s="281">
        <v>0</v>
      </c>
      <c r="H135" s="281">
        <v>0</v>
      </c>
      <c r="I135" s="280">
        <v>0</v>
      </c>
      <c r="J135" s="281">
        <v>0</v>
      </c>
      <c r="K135" s="4"/>
    </row>
    <row r="136" spans="1:11" ht="20.100000000000001" customHeight="1">
      <c r="A136" s="260" t="s">
        <v>25</v>
      </c>
      <c r="B136" s="276">
        <v>10827432</v>
      </c>
      <c r="C136" s="282">
        <v>0</v>
      </c>
      <c r="D136" s="282">
        <v>23</v>
      </c>
      <c r="E136" s="282">
        <v>14</v>
      </c>
      <c r="F136" s="282">
        <v>13</v>
      </c>
      <c r="G136" s="283">
        <v>0.66</v>
      </c>
      <c r="H136" s="283">
        <v>0.92</v>
      </c>
      <c r="I136" s="282">
        <v>16</v>
      </c>
      <c r="J136" s="283">
        <v>0.3</v>
      </c>
      <c r="K136" s="4"/>
    </row>
    <row r="137" spans="1:11" ht="20.100000000000001" customHeight="1">
      <c r="A137" s="268" t="s">
        <v>560</v>
      </c>
      <c r="B137" s="279">
        <v>383449</v>
      </c>
      <c r="C137" s="280">
        <v>0</v>
      </c>
      <c r="D137" s="280">
        <v>0</v>
      </c>
      <c r="E137" s="280">
        <v>0</v>
      </c>
      <c r="F137" s="280">
        <v>0</v>
      </c>
      <c r="G137" s="281">
        <v>0</v>
      </c>
      <c r="H137" s="281">
        <v>0</v>
      </c>
      <c r="I137" s="280">
        <v>0</v>
      </c>
      <c r="J137" s="281">
        <v>0</v>
      </c>
      <c r="K137" s="4"/>
    </row>
    <row r="138" spans="1:11" ht="20.100000000000001" customHeight="1">
      <c r="A138" s="268" t="s">
        <v>26</v>
      </c>
      <c r="B138" s="279">
        <v>4351832</v>
      </c>
      <c r="C138" s="280">
        <v>0</v>
      </c>
      <c r="D138" s="280">
        <v>5</v>
      </c>
      <c r="E138" s="280">
        <v>5</v>
      </c>
      <c r="F138" s="280">
        <v>4</v>
      </c>
      <c r="G138" s="281">
        <v>0.41</v>
      </c>
      <c r="H138" s="281">
        <v>0.64</v>
      </c>
      <c r="I138" s="280">
        <v>3</v>
      </c>
      <c r="J138" s="281">
        <v>0.14000000000000001</v>
      </c>
      <c r="K138" s="4"/>
    </row>
    <row r="139" spans="1:11" ht="20.100000000000001" customHeight="1">
      <c r="A139" s="268" t="s">
        <v>140</v>
      </c>
      <c r="B139" s="279">
        <v>3056102</v>
      </c>
      <c r="C139" s="280">
        <v>0</v>
      </c>
      <c r="D139" s="280">
        <v>9</v>
      </c>
      <c r="E139" s="280">
        <v>5</v>
      </c>
      <c r="F139" s="280">
        <v>4</v>
      </c>
      <c r="G139" s="281">
        <v>0.85</v>
      </c>
      <c r="H139" s="281">
        <v>1.18</v>
      </c>
      <c r="I139" s="280">
        <v>0</v>
      </c>
      <c r="J139" s="281">
        <v>0</v>
      </c>
      <c r="K139" s="4"/>
    </row>
    <row r="140" spans="1:11" ht="20.100000000000001" customHeight="1">
      <c r="A140" s="268" t="s">
        <v>29</v>
      </c>
      <c r="B140" s="279">
        <v>2773269</v>
      </c>
      <c r="C140" s="280">
        <v>0</v>
      </c>
      <c r="D140" s="280">
        <v>8</v>
      </c>
      <c r="E140" s="280">
        <v>4</v>
      </c>
      <c r="F140" s="280">
        <v>5</v>
      </c>
      <c r="G140" s="281">
        <v>0.94</v>
      </c>
      <c r="H140" s="281">
        <v>1.23</v>
      </c>
      <c r="I140" s="280">
        <v>12</v>
      </c>
      <c r="J140" s="281">
        <v>0.87</v>
      </c>
      <c r="K140" s="4"/>
    </row>
    <row r="141" spans="1:11" ht="20.100000000000001" customHeight="1">
      <c r="A141" s="268" t="s">
        <v>561</v>
      </c>
      <c r="B141" s="279">
        <v>94431</v>
      </c>
      <c r="C141" s="280">
        <v>0</v>
      </c>
      <c r="D141" s="280">
        <v>0</v>
      </c>
      <c r="E141" s="280">
        <v>0</v>
      </c>
      <c r="F141" s="280">
        <v>0</v>
      </c>
      <c r="G141" s="281">
        <v>0</v>
      </c>
      <c r="H141" s="281">
        <v>0</v>
      </c>
      <c r="I141" s="280">
        <v>0</v>
      </c>
      <c r="J141" s="281">
        <v>0</v>
      </c>
      <c r="K141" s="4"/>
    </row>
    <row r="142" spans="1:11" ht="20.100000000000001" customHeight="1">
      <c r="A142" s="268" t="s">
        <v>562</v>
      </c>
      <c r="B142" s="279">
        <v>139592</v>
      </c>
      <c r="C142" s="280">
        <v>0</v>
      </c>
      <c r="D142" s="280">
        <v>1</v>
      </c>
      <c r="E142" s="280">
        <v>0</v>
      </c>
      <c r="F142" s="280">
        <v>0</v>
      </c>
      <c r="G142" s="281">
        <v>1.43</v>
      </c>
      <c r="H142" s="281">
        <v>1.43</v>
      </c>
      <c r="I142" s="280">
        <v>1</v>
      </c>
      <c r="J142" s="281">
        <v>1.43</v>
      </c>
      <c r="K142" s="4"/>
    </row>
    <row r="143" spans="1:11" ht="20.100000000000001" customHeight="1">
      <c r="A143" s="268" t="s">
        <v>563</v>
      </c>
      <c r="B143" s="279">
        <v>28757</v>
      </c>
      <c r="C143" s="280">
        <v>0</v>
      </c>
      <c r="D143" s="280">
        <v>0</v>
      </c>
      <c r="E143" s="280">
        <v>0</v>
      </c>
      <c r="F143" s="280">
        <v>0</v>
      </c>
      <c r="G143" s="281">
        <v>0</v>
      </c>
      <c r="H143" s="281">
        <v>0</v>
      </c>
      <c r="I143" s="280">
        <v>0</v>
      </c>
      <c r="J143" s="281">
        <v>0</v>
      </c>
      <c r="K143" s="4"/>
    </row>
    <row r="144" spans="1:11" ht="20.100000000000001" customHeight="1">
      <c r="A144" s="260" t="s">
        <v>81</v>
      </c>
      <c r="B144" s="284">
        <v>8082270</v>
      </c>
      <c r="C144" s="285">
        <v>0</v>
      </c>
      <c r="D144" s="285">
        <v>6</v>
      </c>
      <c r="E144" s="285">
        <v>7</v>
      </c>
      <c r="F144" s="285">
        <v>7</v>
      </c>
      <c r="G144" s="286">
        <v>0.32</v>
      </c>
      <c r="H144" s="286">
        <v>0.49</v>
      </c>
      <c r="I144" s="285">
        <v>1</v>
      </c>
      <c r="J144" s="286">
        <v>0.02</v>
      </c>
      <c r="K144" s="4"/>
    </row>
    <row r="145" spans="1:11" ht="20.100000000000001" customHeight="1">
      <c r="A145" s="268" t="s">
        <v>583</v>
      </c>
      <c r="B145" s="279">
        <v>1643220</v>
      </c>
      <c r="C145" s="280">
        <v>0</v>
      </c>
      <c r="D145" s="280">
        <v>0</v>
      </c>
      <c r="E145" s="280">
        <v>0</v>
      </c>
      <c r="F145" s="280">
        <v>0</v>
      </c>
      <c r="G145" s="281">
        <v>0</v>
      </c>
      <c r="H145" s="281">
        <v>0</v>
      </c>
      <c r="I145" s="280">
        <v>0</v>
      </c>
      <c r="J145" s="281">
        <v>0</v>
      </c>
      <c r="K145" s="4"/>
    </row>
    <row r="146" spans="1:11" ht="20.100000000000001" customHeight="1">
      <c r="A146" s="268" t="s">
        <v>584</v>
      </c>
      <c r="B146" s="287">
        <v>0</v>
      </c>
      <c r="C146" s="280">
        <v>0</v>
      </c>
      <c r="D146" s="280">
        <v>0</v>
      </c>
      <c r="E146" s="280">
        <v>0</v>
      </c>
      <c r="F146" s="280">
        <v>0</v>
      </c>
      <c r="G146" s="281">
        <v>0</v>
      </c>
      <c r="H146" s="281">
        <v>0</v>
      </c>
      <c r="I146" s="280">
        <v>0</v>
      </c>
      <c r="J146" s="281">
        <v>0</v>
      </c>
      <c r="K146" s="4"/>
    </row>
    <row r="147" spans="1:11" ht="20.100000000000001" customHeight="1">
      <c r="A147" s="268" t="s">
        <v>133</v>
      </c>
      <c r="B147" s="279">
        <v>1384228</v>
      </c>
      <c r="C147" s="280">
        <v>0</v>
      </c>
      <c r="D147" s="280">
        <v>1</v>
      </c>
      <c r="E147" s="280">
        <v>0</v>
      </c>
      <c r="F147" s="280">
        <v>0</v>
      </c>
      <c r="G147" s="281">
        <v>0.14000000000000001</v>
      </c>
      <c r="H147" s="281">
        <v>0.14000000000000001</v>
      </c>
      <c r="I147" s="280">
        <v>1</v>
      </c>
      <c r="J147" s="281">
        <v>0.14000000000000001</v>
      </c>
      <c r="K147" s="4"/>
    </row>
    <row r="148" spans="1:11" ht="20.100000000000001" customHeight="1">
      <c r="A148" s="268" t="s">
        <v>566</v>
      </c>
      <c r="B148" s="279">
        <v>4808874</v>
      </c>
      <c r="C148" s="280">
        <v>0</v>
      </c>
      <c r="D148" s="280">
        <v>5</v>
      </c>
      <c r="E148" s="280">
        <v>7</v>
      </c>
      <c r="F148" s="280">
        <v>7</v>
      </c>
      <c r="G148" s="281">
        <v>0.5</v>
      </c>
      <c r="H148" s="281">
        <v>0.79</v>
      </c>
      <c r="I148" s="280">
        <v>0</v>
      </c>
      <c r="J148" s="281">
        <v>0</v>
      </c>
      <c r="K148" s="4"/>
    </row>
    <row r="149" spans="1:11" ht="20.100000000000001" customHeight="1">
      <c r="A149" s="268" t="s">
        <v>576</v>
      </c>
      <c r="B149" s="279">
        <v>99960</v>
      </c>
      <c r="C149" s="280">
        <v>0</v>
      </c>
      <c r="D149" s="280">
        <v>0</v>
      </c>
      <c r="E149" s="280">
        <v>0</v>
      </c>
      <c r="F149" s="280">
        <v>0</v>
      </c>
      <c r="G149" s="281">
        <v>0</v>
      </c>
      <c r="H149" s="281">
        <v>0</v>
      </c>
      <c r="I149" s="280">
        <v>0</v>
      </c>
      <c r="J149" s="281">
        <v>0</v>
      </c>
      <c r="K149" s="4"/>
    </row>
    <row r="150" spans="1:11" ht="20.100000000000001" customHeight="1">
      <c r="A150" s="268" t="s">
        <v>563</v>
      </c>
      <c r="B150" s="279">
        <v>145988</v>
      </c>
      <c r="C150" s="280">
        <v>0</v>
      </c>
      <c r="D150" s="280">
        <v>0</v>
      </c>
      <c r="E150" s="280">
        <v>0</v>
      </c>
      <c r="F150" s="280">
        <v>0</v>
      </c>
      <c r="G150" s="281">
        <v>0</v>
      </c>
      <c r="H150" s="281">
        <v>0</v>
      </c>
      <c r="I150" s="280">
        <v>0</v>
      </c>
      <c r="J150" s="281">
        <v>0</v>
      </c>
      <c r="K150" s="4"/>
    </row>
    <row r="151" spans="1:11" ht="20.100000000000001" customHeight="1">
      <c r="A151" s="260" t="s">
        <v>5</v>
      </c>
      <c r="B151" s="284">
        <v>6585991</v>
      </c>
      <c r="C151" s="285">
        <v>0</v>
      </c>
      <c r="D151" s="285">
        <v>1</v>
      </c>
      <c r="E151" s="285">
        <v>16</v>
      </c>
      <c r="F151" s="285">
        <v>3</v>
      </c>
      <c r="G151" s="286">
        <v>0.12</v>
      </c>
      <c r="H151" s="286">
        <v>0.61</v>
      </c>
      <c r="I151" s="285">
        <v>0</v>
      </c>
      <c r="J151" s="286">
        <v>0</v>
      </c>
      <c r="K151" s="4"/>
    </row>
    <row r="152" spans="1:11" ht="20.100000000000001" customHeight="1">
      <c r="A152" s="268" t="s">
        <v>568</v>
      </c>
      <c r="B152" s="279">
        <v>480559</v>
      </c>
      <c r="C152" s="280">
        <v>0</v>
      </c>
      <c r="D152" s="280">
        <v>0</v>
      </c>
      <c r="E152" s="280">
        <v>0</v>
      </c>
      <c r="F152" s="280">
        <v>0</v>
      </c>
      <c r="G152" s="281">
        <v>0</v>
      </c>
      <c r="H152" s="281">
        <v>0</v>
      </c>
      <c r="I152" s="280">
        <v>0</v>
      </c>
      <c r="J152" s="281">
        <v>0</v>
      </c>
      <c r="K152" s="4"/>
    </row>
    <row r="153" spans="1:11" ht="20.100000000000001" customHeight="1">
      <c r="A153" s="268" t="s">
        <v>39</v>
      </c>
      <c r="B153" s="279">
        <v>1879841</v>
      </c>
      <c r="C153" s="280">
        <v>0</v>
      </c>
      <c r="D153" s="280">
        <v>1</v>
      </c>
      <c r="E153" s="280">
        <v>8</v>
      </c>
      <c r="F153" s="280">
        <v>1</v>
      </c>
      <c r="G153" s="281">
        <v>0.21</v>
      </c>
      <c r="H153" s="281">
        <v>1.06</v>
      </c>
      <c r="I153" s="280">
        <v>0</v>
      </c>
      <c r="J153" s="281">
        <v>0</v>
      </c>
      <c r="K153" s="4"/>
    </row>
    <row r="154" spans="1:11" ht="20.100000000000001" customHeight="1">
      <c r="A154" s="268" t="s">
        <v>135</v>
      </c>
      <c r="B154" s="279">
        <v>1132146</v>
      </c>
      <c r="C154" s="280">
        <v>0</v>
      </c>
      <c r="D154" s="280">
        <v>0</v>
      </c>
      <c r="E154" s="280">
        <v>2</v>
      </c>
      <c r="F154" s="280">
        <v>0</v>
      </c>
      <c r="G154" s="281">
        <v>0</v>
      </c>
      <c r="H154" s="281">
        <v>0.35</v>
      </c>
      <c r="I154" s="280">
        <v>0</v>
      </c>
      <c r="J154" s="281">
        <v>0</v>
      </c>
      <c r="K154" s="4"/>
    </row>
    <row r="155" spans="1:11" ht="20.100000000000001" customHeight="1">
      <c r="A155" s="268" t="s">
        <v>6</v>
      </c>
      <c r="B155" s="279">
        <v>1701148</v>
      </c>
      <c r="C155" s="280">
        <v>0</v>
      </c>
      <c r="D155" s="280">
        <v>0</v>
      </c>
      <c r="E155" s="280">
        <v>6</v>
      </c>
      <c r="F155" s="280">
        <v>2</v>
      </c>
      <c r="G155" s="281">
        <v>0.24</v>
      </c>
      <c r="H155" s="281">
        <v>0.94</v>
      </c>
      <c r="I155" s="280">
        <v>0</v>
      </c>
      <c r="J155" s="281">
        <v>0</v>
      </c>
      <c r="K155" s="4"/>
    </row>
    <row r="156" spans="1:11" ht="20.100000000000001" customHeight="1">
      <c r="A156" s="268" t="s">
        <v>136</v>
      </c>
      <c r="B156" s="279">
        <v>1392297</v>
      </c>
      <c r="C156" s="280">
        <v>0</v>
      </c>
      <c r="D156" s="280">
        <v>0</v>
      </c>
      <c r="E156" s="280">
        <v>0</v>
      </c>
      <c r="F156" s="280">
        <v>0</v>
      </c>
      <c r="G156" s="281">
        <v>0</v>
      </c>
      <c r="H156" s="281">
        <v>0</v>
      </c>
      <c r="I156" s="280">
        <v>0</v>
      </c>
      <c r="J156" s="281">
        <v>0</v>
      </c>
      <c r="K156" s="4"/>
    </row>
    <row r="157" spans="1:11" ht="20.100000000000001" customHeight="1">
      <c r="A157" s="431" t="s">
        <v>84</v>
      </c>
      <c r="B157" s="284">
        <v>897021</v>
      </c>
      <c r="C157" s="285">
        <v>0</v>
      </c>
      <c r="D157" s="285">
        <v>1</v>
      </c>
      <c r="E157" s="285">
        <v>0</v>
      </c>
      <c r="F157" s="285">
        <v>2</v>
      </c>
      <c r="G157" s="286">
        <v>0.67</v>
      </c>
      <c r="H157" s="286">
        <v>0.67</v>
      </c>
      <c r="I157" s="285">
        <v>0</v>
      </c>
      <c r="J157" s="286">
        <v>0</v>
      </c>
      <c r="K157" s="4"/>
    </row>
    <row r="158" spans="1:11" ht="20.100000000000001" customHeight="1">
      <c r="A158" s="268" t="s">
        <v>563</v>
      </c>
      <c r="B158" s="279">
        <v>897021</v>
      </c>
      <c r="C158" s="280">
        <v>0</v>
      </c>
      <c r="D158" s="280">
        <v>1</v>
      </c>
      <c r="E158" s="280">
        <v>0</v>
      </c>
      <c r="F158" s="280">
        <v>2</v>
      </c>
      <c r="G158" s="281">
        <v>0.67</v>
      </c>
      <c r="H158" s="281">
        <v>0.67</v>
      </c>
      <c r="I158" s="280">
        <v>0</v>
      </c>
      <c r="J158" s="281">
        <v>0</v>
      </c>
      <c r="K158" s="4"/>
    </row>
    <row r="159" spans="1:11" ht="20.100000000000001" customHeight="1">
      <c r="A159" s="260" t="s">
        <v>9</v>
      </c>
      <c r="B159" s="284">
        <v>8251804</v>
      </c>
      <c r="C159" s="285">
        <v>0</v>
      </c>
      <c r="D159" s="285">
        <v>2</v>
      </c>
      <c r="E159" s="285">
        <v>7</v>
      </c>
      <c r="F159" s="285">
        <v>7</v>
      </c>
      <c r="G159" s="286">
        <v>0.22</v>
      </c>
      <c r="H159" s="286">
        <v>0.39</v>
      </c>
      <c r="I159" s="285">
        <v>0</v>
      </c>
      <c r="J159" s="286">
        <v>0</v>
      </c>
      <c r="K159" s="4"/>
    </row>
    <row r="160" spans="1:11" ht="20.100000000000001" customHeight="1">
      <c r="A160" s="268" t="s">
        <v>10</v>
      </c>
      <c r="B160" s="279">
        <v>8248922</v>
      </c>
      <c r="C160" s="280">
        <v>0</v>
      </c>
      <c r="D160" s="280">
        <v>2</v>
      </c>
      <c r="E160" s="280">
        <v>7</v>
      </c>
      <c r="F160" s="280">
        <v>7</v>
      </c>
      <c r="G160" s="281">
        <v>0.22</v>
      </c>
      <c r="H160" s="281">
        <v>0.39</v>
      </c>
      <c r="I160" s="280">
        <v>0</v>
      </c>
      <c r="J160" s="281">
        <v>0</v>
      </c>
      <c r="K160" s="4"/>
    </row>
    <row r="161" spans="1:11" ht="20.100000000000001" customHeight="1">
      <c r="A161" s="268" t="s">
        <v>563</v>
      </c>
      <c r="B161" s="279">
        <v>2882</v>
      </c>
      <c r="C161" s="280">
        <v>0</v>
      </c>
      <c r="D161" s="280">
        <v>0</v>
      </c>
      <c r="E161" s="280">
        <v>0</v>
      </c>
      <c r="F161" s="280">
        <v>0</v>
      </c>
      <c r="G161" s="281">
        <v>0</v>
      </c>
      <c r="H161" s="281">
        <v>0</v>
      </c>
      <c r="I161" s="280">
        <v>0</v>
      </c>
      <c r="J161" s="281">
        <v>0</v>
      </c>
      <c r="K161" s="4"/>
    </row>
    <row r="162" spans="1:11" ht="20.100000000000001" customHeight="1">
      <c r="A162" s="260" t="s">
        <v>37</v>
      </c>
      <c r="B162" s="284">
        <v>3741563</v>
      </c>
      <c r="C162" s="285">
        <v>0</v>
      </c>
      <c r="D162" s="285">
        <v>0</v>
      </c>
      <c r="E162" s="285">
        <v>5</v>
      </c>
      <c r="F162" s="285">
        <v>1</v>
      </c>
      <c r="G162" s="286">
        <v>0.05</v>
      </c>
      <c r="H162" s="286">
        <v>0.32</v>
      </c>
      <c r="I162" s="285">
        <v>0</v>
      </c>
      <c r="J162" s="286">
        <v>0</v>
      </c>
      <c r="K162" s="4"/>
    </row>
    <row r="163" spans="1:11" ht="20.100000000000001" customHeight="1">
      <c r="A163" s="268" t="s">
        <v>38</v>
      </c>
      <c r="B163" s="279">
        <v>3741563</v>
      </c>
      <c r="C163" s="280">
        <v>0</v>
      </c>
      <c r="D163" s="280">
        <v>0</v>
      </c>
      <c r="E163" s="280">
        <v>5</v>
      </c>
      <c r="F163" s="280">
        <v>1</v>
      </c>
      <c r="G163" s="281">
        <v>0.05</v>
      </c>
      <c r="H163" s="281">
        <v>0.32</v>
      </c>
      <c r="I163" s="280">
        <v>0</v>
      </c>
      <c r="J163" s="281">
        <v>0</v>
      </c>
      <c r="K163" s="4"/>
    </row>
    <row r="164" spans="1:11" ht="20.100000000000001" customHeight="1">
      <c r="A164" s="260" t="s">
        <v>82</v>
      </c>
      <c r="B164" s="284">
        <v>4525579</v>
      </c>
      <c r="C164" s="285">
        <v>0</v>
      </c>
      <c r="D164" s="285">
        <v>5</v>
      </c>
      <c r="E164" s="285">
        <v>0</v>
      </c>
      <c r="F164" s="285">
        <v>0</v>
      </c>
      <c r="G164" s="286">
        <v>0.22</v>
      </c>
      <c r="H164" s="286">
        <v>0.22</v>
      </c>
      <c r="I164" s="285">
        <v>0</v>
      </c>
      <c r="J164" s="286">
        <v>0</v>
      </c>
      <c r="K164" s="4"/>
    </row>
    <row r="165" spans="1:11" ht="20.100000000000001" customHeight="1">
      <c r="A165" s="268" t="s">
        <v>138</v>
      </c>
      <c r="B165" s="279">
        <v>4525579</v>
      </c>
      <c r="C165" s="280">
        <v>0</v>
      </c>
      <c r="D165" s="280">
        <v>5</v>
      </c>
      <c r="E165" s="280">
        <v>0</v>
      </c>
      <c r="F165" s="280">
        <v>0</v>
      </c>
      <c r="G165" s="281">
        <v>0.22</v>
      </c>
      <c r="H165" s="281">
        <v>0.22</v>
      </c>
      <c r="I165" s="280">
        <v>0</v>
      </c>
      <c r="J165" s="281">
        <v>0</v>
      </c>
      <c r="K165" s="4"/>
    </row>
    <row r="166" spans="1:11" ht="20.100000000000001" customHeight="1">
      <c r="A166" s="260" t="s">
        <v>13</v>
      </c>
      <c r="B166" s="284">
        <v>13729832</v>
      </c>
      <c r="C166" s="285">
        <v>0</v>
      </c>
      <c r="D166" s="285">
        <v>0</v>
      </c>
      <c r="E166" s="285">
        <v>8</v>
      </c>
      <c r="F166" s="285">
        <v>3</v>
      </c>
      <c r="G166" s="286">
        <v>0.04</v>
      </c>
      <c r="H166" s="286">
        <v>0.16</v>
      </c>
      <c r="I166" s="285">
        <v>0</v>
      </c>
      <c r="J166" s="286">
        <v>0</v>
      </c>
      <c r="K166" s="4"/>
    </row>
    <row r="167" spans="1:11" ht="20.100000000000001" customHeight="1">
      <c r="A167" s="268" t="s">
        <v>14</v>
      </c>
      <c r="B167" s="279">
        <v>9780166</v>
      </c>
      <c r="C167" s="280">
        <v>0</v>
      </c>
      <c r="D167" s="280">
        <v>0</v>
      </c>
      <c r="E167" s="280">
        <v>7</v>
      </c>
      <c r="F167" s="280">
        <v>2</v>
      </c>
      <c r="G167" s="281">
        <v>0.04</v>
      </c>
      <c r="H167" s="281">
        <v>0.18</v>
      </c>
      <c r="I167" s="280">
        <v>0</v>
      </c>
      <c r="J167" s="281">
        <v>0</v>
      </c>
      <c r="K167" s="4"/>
    </row>
    <row r="168" spans="1:11" ht="20.100000000000001" customHeight="1">
      <c r="A168" s="268" t="s">
        <v>562</v>
      </c>
      <c r="B168" s="279">
        <v>3949666</v>
      </c>
      <c r="C168" s="280">
        <v>0</v>
      </c>
      <c r="D168" s="280">
        <v>0</v>
      </c>
      <c r="E168" s="280">
        <v>1</v>
      </c>
      <c r="F168" s="280">
        <v>1</v>
      </c>
      <c r="G168" s="281">
        <v>0.05</v>
      </c>
      <c r="H168" s="281">
        <v>0.1</v>
      </c>
      <c r="I168" s="280">
        <v>0</v>
      </c>
      <c r="J168" s="281">
        <v>0</v>
      </c>
      <c r="K168" s="4"/>
    </row>
    <row r="169" spans="1:11" ht="20.100000000000001" customHeight="1">
      <c r="A169" s="260" t="s">
        <v>569</v>
      </c>
      <c r="B169" s="284">
        <v>1008887</v>
      </c>
      <c r="C169" s="285">
        <v>0</v>
      </c>
      <c r="D169" s="285">
        <v>0</v>
      </c>
      <c r="E169" s="285">
        <v>3</v>
      </c>
      <c r="F169" s="285">
        <v>0</v>
      </c>
      <c r="G169" s="286">
        <v>0</v>
      </c>
      <c r="H169" s="286">
        <v>0.59</v>
      </c>
      <c r="I169" s="285">
        <v>0</v>
      </c>
      <c r="J169" s="286">
        <v>0</v>
      </c>
      <c r="K169" s="4"/>
    </row>
    <row r="170" spans="1:11" ht="20.100000000000001" customHeight="1">
      <c r="A170" s="268" t="s">
        <v>561</v>
      </c>
      <c r="B170" s="279">
        <v>1008887</v>
      </c>
      <c r="C170" s="280">
        <v>0</v>
      </c>
      <c r="D170" s="280">
        <v>0</v>
      </c>
      <c r="E170" s="280">
        <v>3</v>
      </c>
      <c r="F170" s="280">
        <v>0</v>
      </c>
      <c r="G170" s="281">
        <v>0</v>
      </c>
      <c r="H170" s="281">
        <v>0.59</v>
      </c>
      <c r="I170" s="280">
        <v>0</v>
      </c>
      <c r="J170" s="281">
        <v>0</v>
      </c>
      <c r="K170" s="4"/>
    </row>
    <row r="171" spans="1:11" ht="20.100000000000001" customHeight="1">
      <c r="A171" s="260" t="s">
        <v>570</v>
      </c>
      <c r="B171" s="284">
        <v>1032785</v>
      </c>
      <c r="C171" s="285">
        <v>0</v>
      </c>
      <c r="D171" s="285">
        <v>1</v>
      </c>
      <c r="E171" s="285">
        <v>0</v>
      </c>
      <c r="F171" s="285">
        <v>1</v>
      </c>
      <c r="G171" s="286">
        <v>0.39</v>
      </c>
      <c r="H171" s="286">
        <v>0.39</v>
      </c>
      <c r="I171" s="285">
        <v>0</v>
      </c>
      <c r="J171" s="286">
        <v>0</v>
      </c>
      <c r="K171" s="4"/>
    </row>
    <row r="172" spans="1:11" ht="20.100000000000001" customHeight="1">
      <c r="A172" s="268" t="s">
        <v>561</v>
      </c>
      <c r="B172" s="279">
        <v>1032785</v>
      </c>
      <c r="C172" s="280">
        <v>0</v>
      </c>
      <c r="D172" s="280">
        <v>1</v>
      </c>
      <c r="E172" s="280">
        <v>0</v>
      </c>
      <c r="F172" s="280">
        <v>1</v>
      </c>
      <c r="G172" s="281">
        <v>0.39</v>
      </c>
      <c r="H172" s="281">
        <v>0.39</v>
      </c>
      <c r="I172" s="280">
        <v>0</v>
      </c>
      <c r="J172" s="281">
        <v>0</v>
      </c>
      <c r="K172" s="4"/>
    </row>
    <row r="173" spans="1:11" ht="20.100000000000001" customHeight="1">
      <c r="A173" s="260" t="s">
        <v>85</v>
      </c>
      <c r="B173" s="284">
        <v>75539274</v>
      </c>
      <c r="C173" s="285">
        <v>0</v>
      </c>
      <c r="D173" s="285">
        <v>43</v>
      </c>
      <c r="E173" s="285">
        <v>71</v>
      </c>
      <c r="F173" s="285">
        <v>40</v>
      </c>
      <c r="G173" s="286">
        <v>0.22</v>
      </c>
      <c r="H173" s="286">
        <v>0.41</v>
      </c>
      <c r="I173" s="282">
        <v>24</v>
      </c>
      <c r="J173" s="286">
        <v>0.06</v>
      </c>
      <c r="K173" s="4"/>
    </row>
    <row r="174" spans="1:11" ht="25.5" customHeight="1">
      <c r="A174" s="518" t="s">
        <v>1070</v>
      </c>
      <c r="B174" s="560"/>
      <c r="C174" s="560"/>
      <c r="D174" s="560"/>
      <c r="E174" s="560"/>
      <c r="F174" s="560"/>
      <c r="G174" s="560"/>
      <c r="H174" s="560"/>
      <c r="I174" s="560"/>
      <c r="J174" s="560"/>
    </row>
    <row r="175" spans="1:11" ht="60" customHeight="1"/>
    <row r="176" spans="1:11" ht="20.100000000000001" customHeight="1">
      <c r="A176" s="558" t="s">
        <v>585</v>
      </c>
      <c r="B176" s="561" t="s">
        <v>586</v>
      </c>
      <c r="C176" s="561"/>
      <c r="D176" s="561"/>
      <c r="E176" s="561" t="s">
        <v>587</v>
      </c>
      <c r="F176" s="561"/>
      <c r="G176" s="561"/>
      <c r="H176" s="4"/>
    </row>
    <row r="177" spans="1:8" ht="32.450000000000003" customHeight="1">
      <c r="A177" s="559"/>
      <c r="B177" s="114" t="s">
        <v>588</v>
      </c>
      <c r="C177" s="114" t="s">
        <v>589</v>
      </c>
      <c r="D177" s="114" t="s">
        <v>590</v>
      </c>
      <c r="E177" s="114" t="s">
        <v>591</v>
      </c>
      <c r="F177" s="114" t="s">
        <v>589</v>
      </c>
      <c r="G177" s="114" t="s">
        <v>590</v>
      </c>
      <c r="H177" s="4"/>
    </row>
    <row r="178" spans="1:8" ht="20.100000000000001" customHeight="1">
      <c r="A178" s="260" t="s">
        <v>557</v>
      </c>
      <c r="B178" s="264">
        <v>236</v>
      </c>
      <c r="C178" s="264">
        <v>539</v>
      </c>
      <c r="D178" s="264">
        <v>624</v>
      </c>
      <c r="E178" s="264">
        <v>1655</v>
      </c>
      <c r="F178" s="264">
        <v>4707</v>
      </c>
      <c r="G178" s="264">
        <v>10749</v>
      </c>
      <c r="H178" s="4"/>
    </row>
    <row r="179" spans="1:8" ht="20.100000000000001" customHeight="1">
      <c r="A179" s="268" t="s">
        <v>558</v>
      </c>
      <c r="B179" s="267">
        <v>9</v>
      </c>
      <c r="C179" s="267">
        <v>0</v>
      </c>
      <c r="D179" s="267">
        <v>9</v>
      </c>
      <c r="E179" s="267">
        <v>30</v>
      </c>
      <c r="F179" s="267">
        <v>16</v>
      </c>
      <c r="G179" s="267">
        <v>109</v>
      </c>
      <c r="H179" s="4"/>
    </row>
    <row r="180" spans="1:8" ht="20.100000000000001" customHeight="1">
      <c r="A180" s="268" t="s">
        <v>130</v>
      </c>
      <c r="B180" s="267">
        <v>131</v>
      </c>
      <c r="C180" s="267">
        <v>322</v>
      </c>
      <c r="D180" s="267">
        <v>481</v>
      </c>
      <c r="E180" s="267">
        <v>1081</v>
      </c>
      <c r="F180" s="267">
        <v>3007</v>
      </c>
      <c r="G180" s="267">
        <v>6886</v>
      </c>
      <c r="H180" s="4"/>
    </row>
    <row r="181" spans="1:8" ht="20.100000000000001" customHeight="1">
      <c r="A181" s="268" t="s">
        <v>131</v>
      </c>
      <c r="B181" s="267">
        <v>96</v>
      </c>
      <c r="C181" s="267">
        <v>217</v>
      </c>
      <c r="D181" s="267">
        <v>134</v>
      </c>
      <c r="E181" s="267">
        <v>544</v>
      </c>
      <c r="F181" s="267">
        <v>1684</v>
      </c>
      <c r="G181" s="267">
        <v>3754</v>
      </c>
      <c r="H181" s="4"/>
    </row>
    <row r="182" spans="1:8" ht="20.100000000000001" customHeight="1">
      <c r="A182" s="260" t="s">
        <v>25</v>
      </c>
      <c r="B182" s="264">
        <v>27</v>
      </c>
      <c r="C182" s="264">
        <v>8</v>
      </c>
      <c r="D182" s="264">
        <v>200</v>
      </c>
      <c r="E182" s="264">
        <v>696</v>
      </c>
      <c r="F182" s="264">
        <v>4</v>
      </c>
      <c r="G182" s="264">
        <v>2246</v>
      </c>
      <c r="H182" s="4"/>
    </row>
    <row r="183" spans="1:8" ht="20.100000000000001" customHeight="1">
      <c r="A183" s="268" t="s">
        <v>560</v>
      </c>
      <c r="B183" s="267">
        <v>7</v>
      </c>
      <c r="C183" s="267">
        <v>8</v>
      </c>
      <c r="D183" s="267">
        <v>32</v>
      </c>
      <c r="E183" s="267">
        <v>4</v>
      </c>
      <c r="F183" s="267">
        <v>0</v>
      </c>
      <c r="G183" s="267">
        <v>4</v>
      </c>
      <c r="H183" s="4"/>
    </row>
    <row r="184" spans="1:8" ht="20.100000000000001" customHeight="1">
      <c r="A184" s="268" t="s">
        <v>26</v>
      </c>
      <c r="B184" s="267">
        <v>19</v>
      </c>
      <c r="C184" s="267">
        <v>0</v>
      </c>
      <c r="D184" s="267">
        <v>167</v>
      </c>
      <c r="E184" s="267">
        <v>677</v>
      </c>
      <c r="F184" s="267">
        <v>4</v>
      </c>
      <c r="G184" s="267">
        <v>2226</v>
      </c>
      <c r="H184" s="4"/>
    </row>
    <row r="185" spans="1:8" ht="20.100000000000001" customHeight="1">
      <c r="A185" s="268" t="s">
        <v>140</v>
      </c>
      <c r="B185" s="288"/>
      <c r="C185" s="288"/>
      <c r="D185" s="288"/>
      <c r="E185" s="267">
        <v>2</v>
      </c>
      <c r="F185" s="267">
        <v>0</v>
      </c>
      <c r="G185" s="267">
        <v>2</v>
      </c>
      <c r="H185" s="4"/>
    </row>
    <row r="186" spans="1:8" ht="20.100000000000001" customHeight="1">
      <c r="A186" s="268" t="s">
        <v>29</v>
      </c>
      <c r="B186" s="267">
        <v>1</v>
      </c>
      <c r="C186" s="267">
        <v>0</v>
      </c>
      <c r="D186" s="267">
        <v>1</v>
      </c>
      <c r="E186" s="267">
        <v>13</v>
      </c>
      <c r="F186" s="267">
        <v>0</v>
      </c>
      <c r="G186" s="267">
        <v>14</v>
      </c>
      <c r="H186" s="4"/>
    </row>
    <row r="187" spans="1:8" ht="20.100000000000001" customHeight="1">
      <c r="A187" s="260" t="s">
        <v>81</v>
      </c>
      <c r="B187" s="264">
        <v>48</v>
      </c>
      <c r="C187" s="264">
        <v>916</v>
      </c>
      <c r="D187" s="264">
        <v>632</v>
      </c>
      <c r="E187" s="264">
        <v>20</v>
      </c>
      <c r="F187" s="264">
        <v>118</v>
      </c>
      <c r="G187" s="264">
        <v>23</v>
      </c>
      <c r="H187" s="4"/>
    </row>
    <row r="188" spans="1:8" ht="20.100000000000001" customHeight="1">
      <c r="A188" s="268" t="s">
        <v>564</v>
      </c>
      <c r="B188" s="267">
        <v>20</v>
      </c>
      <c r="C188" s="267">
        <v>567</v>
      </c>
      <c r="D188" s="267">
        <v>76</v>
      </c>
      <c r="E188" s="267">
        <v>6</v>
      </c>
      <c r="F188" s="267">
        <v>72</v>
      </c>
      <c r="G188" s="267">
        <v>8</v>
      </c>
      <c r="H188" s="4"/>
    </row>
    <row r="189" spans="1:8" ht="20.100000000000001" customHeight="1">
      <c r="A189" s="268" t="s">
        <v>565</v>
      </c>
      <c r="B189" s="267">
        <v>11</v>
      </c>
      <c r="C189" s="267">
        <v>166</v>
      </c>
      <c r="D189" s="267">
        <v>20</v>
      </c>
      <c r="E189" s="267">
        <v>2</v>
      </c>
      <c r="F189" s="267">
        <v>2</v>
      </c>
      <c r="G189" s="267">
        <v>2</v>
      </c>
      <c r="H189" s="4"/>
    </row>
    <row r="190" spans="1:8" ht="20.100000000000001" customHeight="1">
      <c r="A190" s="268" t="s">
        <v>133</v>
      </c>
      <c r="B190" s="267">
        <v>13</v>
      </c>
      <c r="C190" s="267">
        <v>133</v>
      </c>
      <c r="D190" s="267">
        <v>531</v>
      </c>
      <c r="E190" s="267">
        <v>4</v>
      </c>
      <c r="F190" s="267">
        <v>44</v>
      </c>
      <c r="G190" s="267">
        <v>5</v>
      </c>
      <c r="H190" s="4"/>
    </row>
    <row r="191" spans="1:8" ht="20.100000000000001" customHeight="1">
      <c r="A191" s="268" t="s">
        <v>566</v>
      </c>
      <c r="B191" s="267">
        <v>2</v>
      </c>
      <c r="C191" s="267">
        <v>30</v>
      </c>
      <c r="D191" s="267">
        <v>3</v>
      </c>
      <c r="E191" s="267">
        <v>6</v>
      </c>
      <c r="F191" s="267">
        <v>0</v>
      </c>
      <c r="G191" s="267">
        <v>6</v>
      </c>
      <c r="H191" s="4"/>
    </row>
    <row r="192" spans="1:8" ht="20.100000000000001" customHeight="1">
      <c r="A192" s="268" t="s">
        <v>576</v>
      </c>
      <c r="B192" s="267">
        <v>2</v>
      </c>
      <c r="C192" s="267">
        <v>20</v>
      </c>
      <c r="D192" s="267">
        <v>2</v>
      </c>
      <c r="E192" s="267">
        <v>2</v>
      </c>
      <c r="F192" s="267">
        <v>0</v>
      </c>
      <c r="G192" s="267">
        <v>2</v>
      </c>
      <c r="H192" s="4"/>
    </row>
    <row r="193" spans="1:8" ht="20.100000000000001" customHeight="1">
      <c r="A193" s="260" t="s">
        <v>9</v>
      </c>
      <c r="B193" s="264">
        <v>0</v>
      </c>
      <c r="C193" s="264">
        <v>0</v>
      </c>
      <c r="D193" s="264">
        <v>0</v>
      </c>
      <c r="E193" s="264">
        <v>1</v>
      </c>
      <c r="F193" s="264">
        <v>0</v>
      </c>
      <c r="G193" s="264">
        <v>1</v>
      </c>
      <c r="H193" s="4"/>
    </row>
    <row r="194" spans="1:8" ht="20.100000000000001" customHeight="1">
      <c r="A194" s="268" t="s">
        <v>10</v>
      </c>
      <c r="B194" s="288"/>
      <c r="C194" s="288"/>
      <c r="D194" s="288"/>
      <c r="E194" s="267">
        <v>1</v>
      </c>
      <c r="F194" s="267">
        <v>0</v>
      </c>
      <c r="G194" s="267">
        <v>1</v>
      </c>
      <c r="H194" s="4"/>
    </row>
    <row r="195" spans="1:8" ht="20.100000000000001" customHeight="1">
      <c r="A195" s="260" t="s">
        <v>37</v>
      </c>
      <c r="B195" s="264">
        <v>0</v>
      </c>
      <c r="C195" s="264">
        <v>0</v>
      </c>
      <c r="D195" s="264">
        <v>0</v>
      </c>
      <c r="E195" s="264">
        <v>1</v>
      </c>
      <c r="F195" s="264">
        <v>0</v>
      </c>
      <c r="G195" s="264">
        <v>1</v>
      </c>
      <c r="H195" s="4"/>
    </row>
    <row r="196" spans="1:8" ht="20.100000000000001" customHeight="1">
      <c r="A196" s="268" t="s">
        <v>38</v>
      </c>
      <c r="B196" s="288"/>
      <c r="C196" s="288"/>
      <c r="D196" s="288"/>
      <c r="E196" s="267">
        <v>1</v>
      </c>
      <c r="F196" s="267">
        <v>0</v>
      </c>
      <c r="G196" s="267">
        <v>1</v>
      </c>
      <c r="H196" s="4"/>
    </row>
    <row r="197" spans="1:8" ht="20.100000000000001" customHeight="1">
      <c r="A197" s="260" t="s">
        <v>82</v>
      </c>
      <c r="B197" s="264">
        <v>0</v>
      </c>
      <c r="C197" s="264">
        <v>0</v>
      </c>
      <c r="D197" s="264">
        <v>0</v>
      </c>
      <c r="E197" s="264">
        <v>2</v>
      </c>
      <c r="F197" s="264">
        <v>2</v>
      </c>
      <c r="G197" s="264">
        <v>2</v>
      </c>
      <c r="H197" s="4"/>
    </row>
    <row r="198" spans="1:8" ht="20.100000000000001" customHeight="1">
      <c r="A198" s="268" t="s">
        <v>138</v>
      </c>
      <c r="B198" s="288"/>
      <c r="C198" s="288"/>
      <c r="D198" s="288"/>
      <c r="E198" s="267">
        <v>2</v>
      </c>
      <c r="F198" s="267">
        <v>2</v>
      </c>
      <c r="G198" s="267">
        <v>2</v>
      </c>
      <c r="H198" s="4"/>
    </row>
    <row r="199" spans="1:8" ht="20.100000000000001" customHeight="1">
      <c r="A199" s="260" t="s">
        <v>13</v>
      </c>
      <c r="B199" s="264">
        <v>0</v>
      </c>
      <c r="C199" s="264">
        <v>0</v>
      </c>
      <c r="D199" s="264">
        <v>0</v>
      </c>
      <c r="E199" s="264">
        <v>0</v>
      </c>
      <c r="F199" s="264">
        <v>0</v>
      </c>
      <c r="G199" s="264">
        <v>0</v>
      </c>
      <c r="H199" s="4"/>
    </row>
    <row r="200" spans="1:8" ht="20.100000000000001" customHeight="1">
      <c r="A200" s="268" t="s">
        <v>14</v>
      </c>
      <c r="B200" s="288"/>
      <c r="C200" s="288"/>
      <c r="D200" s="288"/>
      <c r="E200" s="288"/>
      <c r="F200" s="288"/>
      <c r="G200" s="288"/>
      <c r="H200" s="4"/>
    </row>
    <row r="201" spans="1:8" ht="20.100000000000001" customHeight="1">
      <c r="A201" s="260" t="s">
        <v>85</v>
      </c>
      <c r="B201" s="264">
        <v>312</v>
      </c>
      <c r="C201" s="264">
        <v>1483</v>
      </c>
      <c r="D201" s="264">
        <v>1458</v>
      </c>
      <c r="E201" s="264">
        <v>2375</v>
      </c>
      <c r="F201" s="264">
        <v>4831</v>
      </c>
      <c r="G201" s="264">
        <v>13022</v>
      </c>
      <c r="H201" s="4"/>
    </row>
    <row r="202" spans="1:8" ht="73.349999999999994" customHeight="1">
      <c r="A202" s="448" t="s">
        <v>592</v>
      </c>
      <c r="B202" s="448"/>
      <c r="C202" s="448"/>
      <c r="D202" s="448"/>
      <c r="E202" s="447"/>
      <c r="F202" s="447"/>
      <c r="G202" s="447"/>
    </row>
    <row r="203" spans="1:8">
      <c r="A203" s="289"/>
      <c r="B203" s="290"/>
      <c r="C203" s="290"/>
      <c r="D203" s="290"/>
    </row>
    <row r="204" spans="1:8">
      <c r="A204" s="14"/>
      <c r="B204" s="14"/>
      <c r="C204" s="14"/>
      <c r="D204" s="14"/>
    </row>
  </sheetData>
  <sheetProtection algorithmName="SHA-512" hashValue="etA9UMepPJiPIMN7ySRET+VTHsTiVwGIPdfbz9hXbst1kHm0WNv1yqScowOiMftdKg8qyT8YcjXM9rSGvicGoQ==" saltValue="NP+yL0nk8MSC5fePbJb1Kg==" spinCount="100000" sheet="1" objects="1" scenarios="1"/>
  <customSheetViews>
    <customSheetView guid="{5E62BE79-A4FD-4E7A-98EF-5A09C5274723}" showGridLines="0" showRuler="0" topLeftCell="A160">
      <selection activeCell="A174" sqref="A174:J174"/>
      <pageMargins left="0.75" right="0.75" top="1" bottom="1" header="0.5" footer="0.5"/>
    </customSheetView>
  </customSheetViews>
  <mergeCells count="13">
    <mergeCell ref="A202:G202"/>
    <mergeCell ref="C128:J128"/>
    <mergeCell ref="A121:F121"/>
    <mergeCell ref="A127:F127"/>
    <mergeCell ref="A176:A177"/>
    <mergeCell ref="A174:J174"/>
    <mergeCell ref="B176:D176"/>
    <mergeCell ref="E176:G176"/>
    <mergeCell ref="A9:D10"/>
    <mergeCell ref="A57:J57"/>
    <mergeCell ref="A65:D67"/>
    <mergeCell ref="A113:J113"/>
    <mergeCell ref="A1:D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Q32"/>
  <sheetViews>
    <sheetView showGridLines="0" showRuler="0" workbookViewId="0">
      <selection activeCell="C3" sqref="C3"/>
    </sheetView>
  </sheetViews>
  <sheetFormatPr baseColWidth="10" defaultColWidth="13.7109375" defaultRowHeight="12.75"/>
  <cols>
    <col min="1" max="6" width="26.140625" customWidth="1"/>
  </cols>
  <sheetData>
    <row r="1" spans="1:17">
      <c r="A1" s="449" t="s">
        <v>1007</v>
      </c>
      <c r="B1" s="449"/>
      <c r="C1" s="449"/>
      <c r="D1" s="450"/>
    </row>
    <row r="2" spans="1:17" ht="60" customHeight="1"/>
    <row r="3" spans="1:17" ht="43.35" customHeight="1">
      <c r="A3" s="2" t="s">
        <v>593</v>
      </c>
      <c r="B3" s="3" t="s">
        <v>594</v>
      </c>
      <c r="C3" s="404" t="s">
        <v>1072</v>
      </c>
      <c r="D3" s="291"/>
    </row>
    <row r="4" spans="1:17" ht="20.100000000000001" customHeight="1">
      <c r="A4" s="493" t="s">
        <v>129</v>
      </c>
      <c r="B4" s="189" t="s">
        <v>80</v>
      </c>
      <c r="C4" s="292"/>
      <c r="D4" s="293"/>
    </row>
    <row r="5" spans="1:17" ht="20.100000000000001" customHeight="1">
      <c r="A5" s="493"/>
      <c r="B5" s="192" t="s">
        <v>130</v>
      </c>
      <c r="C5" s="5" t="s">
        <v>306</v>
      </c>
      <c r="D5" s="293"/>
      <c r="E5" s="14"/>
      <c r="F5" s="14"/>
      <c r="G5" s="14"/>
      <c r="H5" s="14"/>
      <c r="I5" s="14"/>
      <c r="J5" s="14"/>
      <c r="K5" s="14"/>
      <c r="L5" s="14"/>
      <c r="M5" s="14"/>
      <c r="N5" s="14"/>
      <c r="O5" s="14"/>
      <c r="P5" s="14"/>
      <c r="Q5" s="14"/>
    </row>
    <row r="6" spans="1:17" ht="20.100000000000001" customHeight="1">
      <c r="A6" s="493"/>
      <c r="B6" s="192" t="s">
        <v>131</v>
      </c>
      <c r="C6" s="5" t="s">
        <v>304</v>
      </c>
      <c r="D6" s="293"/>
    </row>
    <row r="7" spans="1:17" ht="20.100000000000001" customHeight="1">
      <c r="A7" s="493" t="s">
        <v>132</v>
      </c>
      <c r="B7" s="189" t="s">
        <v>81</v>
      </c>
      <c r="C7" s="294"/>
      <c r="D7" s="293"/>
    </row>
    <row r="8" spans="1:17" ht="20.100000000000001" customHeight="1">
      <c r="A8" s="493"/>
      <c r="B8" s="192" t="s">
        <v>595</v>
      </c>
      <c r="C8" s="5" t="s">
        <v>304</v>
      </c>
      <c r="D8" s="293"/>
    </row>
    <row r="9" spans="1:17" ht="20.100000000000001" customHeight="1">
      <c r="A9" s="493"/>
      <c r="B9" s="189" t="s">
        <v>5</v>
      </c>
      <c r="C9" s="294"/>
      <c r="D9" s="293"/>
    </row>
    <row r="10" spans="1:17" ht="20.100000000000001" customHeight="1">
      <c r="A10" s="493"/>
      <c r="B10" s="192" t="s">
        <v>39</v>
      </c>
      <c r="C10" s="5" t="s">
        <v>304</v>
      </c>
      <c r="D10" s="293"/>
    </row>
    <row r="11" spans="1:17" ht="20.100000000000001" customHeight="1">
      <c r="A11" s="493"/>
      <c r="B11" s="192" t="s">
        <v>135</v>
      </c>
      <c r="C11" s="5" t="s">
        <v>304</v>
      </c>
      <c r="D11" s="293"/>
    </row>
    <row r="12" spans="1:17" ht="20.100000000000001" customHeight="1">
      <c r="A12" s="493"/>
      <c r="B12" s="192" t="s">
        <v>6</v>
      </c>
      <c r="C12" s="5" t="s">
        <v>304</v>
      </c>
      <c r="D12" s="293"/>
    </row>
    <row r="13" spans="1:17" ht="20.100000000000001" customHeight="1">
      <c r="A13" s="493"/>
      <c r="B13" s="192" t="s">
        <v>136</v>
      </c>
      <c r="C13" s="5" t="s">
        <v>304</v>
      </c>
      <c r="D13" s="293"/>
    </row>
    <row r="14" spans="1:17" ht="20.100000000000001" customHeight="1">
      <c r="A14" s="493"/>
      <c r="B14" s="189" t="s">
        <v>9</v>
      </c>
      <c r="C14" s="294"/>
      <c r="D14" s="293"/>
    </row>
    <row r="15" spans="1:17" ht="20.100000000000001" customHeight="1">
      <c r="A15" s="493"/>
      <c r="B15" s="195" t="s">
        <v>10</v>
      </c>
      <c r="C15" s="5" t="s">
        <v>304</v>
      </c>
      <c r="D15" s="293"/>
    </row>
    <row r="16" spans="1:17" ht="20.100000000000001" customHeight="1">
      <c r="A16" s="493" t="s">
        <v>137</v>
      </c>
      <c r="B16" s="189" t="s">
        <v>37</v>
      </c>
      <c r="C16" s="294"/>
      <c r="D16" s="293"/>
    </row>
    <row r="17" spans="1:17" ht="20.100000000000001" customHeight="1">
      <c r="A17" s="493"/>
      <c r="B17" s="195" t="s">
        <v>38</v>
      </c>
      <c r="C17" s="5" t="s">
        <v>304</v>
      </c>
      <c r="D17" s="293"/>
    </row>
    <row r="18" spans="1:17" ht="20.100000000000001" customHeight="1">
      <c r="A18" s="493"/>
      <c r="B18" s="189" t="s">
        <v>82</v>
      </c>
      <c r="C18" s="294"/>
      <c r="D18" s="293"/>
    </row>
    <row r="19" spans="1:17" ht="20.100000000000001" customHeight="1">
      <c r="A19" s="493"/>
      <c r="B19" s="195" t="s">
        <v>138</v>
      </c>
      <c r="C19" s="5" t="s">
        <v>306</v>
      </c>
      <c r="D19" s="293"/>
      <c r="E19" s="14"/>
      <c r="F19" s="14"/>
      <c r="G19" s="14"/>
      <c r="H19" s="14"/>
      <c r="I19" s="14"/>
      <c r="J19" s="14"/>
      <c r="K19" s="14"/>
      <c r="L19" s="14"/>
      <c r="M19" s="14"/>
      <c r="N19" s="14"/>
      <c r="O19" s="14"/>
      <c r="P19" s="14"/>
      <c r="Q19" s="14"/>
    </row>
    <row r="20" spans="1:17" ht="20.100000000000001" customHeight="1">
      <c r="A20" s="493"/>
      <c r="B20" s="189" t="s">
        <v>13</v>
      </c>
      <c r="C20" s="294"/>
      <c r="D20" s="293"/>
    </row>
    <row r="21" spans="1:17" ht="20.100000000000001" customHeight="1">
      <c r="A21" s="493"/>
      <c r="B21" s="195" t="s">
        <v>14</v>
      </c>
      <c r="C21" s="5" t="s">
        <v>306</v>
      </c>
      <c r="D21" s="293"/>
      <c r="E21" s="14"/>
      <c r="F21" s="14"/>
      <c r="G21" s="14"/>
      <c r="H21" s="14"/>
      <c r="I21" s="14"/>
      <c r="J21" s="14"/>
      <c r="K21" s="14"/>
      <c r="L21" s="14"/>
      <c r="M21" s="14"/>
      <c r="N21" s="14"/>
      <c r="O21" s="14"/>
      <c r="P21" s="14"/>
      <c r="Q21" s="14"/>
    </row>
    <row r="22" spans="1:17" ht="20.100000000000001" customHeight="1">
      <c r="A22" s="493" t="s">
        <v>154</v>
      </c>
      <c r="B22" s="189" t="s">
        <v>25</v>
      </c>
      <c r="C22" s="294"/>
      <c r="D22" s="293"/>
    </row>
    <row r="23" spans="1:17" ht="20.100000000000001" customHeight="1">
      <c r="A23" s="493"/>
      <c r="B23" s="192" t="s">
        <v>26</v>
      </c>
      <c r="C23" s="5" t="s">
        <v>304</v>
      </c>
      <c r="D23" s="293"/>
    </row>
    <row r="24" spans="1:17" ht="20.100000000000001" customHeight="1">
      <c r="A24" s="493"/>
      <c r="B24" s="192" t="s">
        <v>140</v>
      </c>
      <c r="C24" s="5" t="s">
        <v>304</v>
      </c>
      <c r="D24" s="293"/>
    </row>
    <row r="25" spans="1:17" ht="20.100000000000001" customHeight="1">
      <c r="A25" s="493"/>
      <c r="B25" s="192" t="s">
        <v>29</v>
      </c>
      <c r="C25" s="5" t="s">
        <v>304</v>
      </c>
      <c r="D25" s="293"/>
    </row>
    <row r="26" spans="1:17" ht="102.75" customHeight="1">
      <c r="A26" s="445" t="s">
        <v>1071</v>
      </c>
      <c r="B26" s="447"/>
      <c r="C26" s="447"/>
    </row>
    <row r="29" spans="1:17">
      <c r="D29" s="377"/>
    </row>
    <row r="32" spans="1:17" ht="120.75" customHeight="1"/>
  </sheetData>
  <sheetProtection algorithmName="SHA-512" hashValue="28cCK2JdQvhnvMJWKg+W7E1dheFvyPAavrBn45iYK+5z5stIJKSCsTdponcLxC7FrclmfCCefuYCUNbwBoGb/A==" saltValue="5xT/HF/IGy80Kw1yF0iBEg==" spinCount="100000" sheet="1" objects="1" scenarios="1"/>
  <customSheetViews>
    <customSheetView guid="{5E62BE79-A4FD-4E7A-98EF-5A09C5274723}" showGridLines="0" showRuler="0">
      <selection activeCell="C3" sqref="C3"/>
      <pageMargins left="0.75" right="0.75" top="1" bottom="1" header="0.5" footer="0.5"/>
    </customSheetView>
  </customSheetViews>
  <mergeCells count="6">
    <mergeCell ref="A26:C26"/>
    <mergeCell ref="A1:D1"/>
    <mergeCell ref="A4:A6"/>
    <mergeCell ref="A7:A15"/>
    <mergeCell ref="A16:A21"/>
    <mergeCell ref="A22:A2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F32"/>
  <sheetViews>
    <sheetView showGridLines="0" showRuler="0" topLeftCell="A7" workbookViewId="0">
      <selection activeCell="A2" sqref="A2:XFD2"/>
    </sheetView>
  </sheetViews>
  <sheetFormatPr baseColWidth="10" defaultColWidth="13.7109375" defaultRowHeight="12.75"/>
  <cols>
    <col min="1" max="1" width="24.42578125" customWidth="1"/>
    <col min="2" max="5" width="26.140625" customWidth="1"/>
  </cols>
  <sheetData>
    <row r="1" spans="1:6">
      <c r="A1" s="449" t="s">
        <v>1008</v>
      </c>
      <c r="B1" s="449"/>
      <c r="C1" s="449"/>
      <c r="D1" s="450"/>
    </row>
    <row r="2" spans="1:6" ht="60" customHeight="1"/>
    <row r="3" spans="1:6" ht="66" customHeight="1">
      <c r="A3" s="2" t="s">
        <v>596</v>
      </c>
      <c r="B3" s="3" t="s">
        <v>594</v>
      </c>
      <c r="C3" s="3" t="s">
        <v>597</v>
      </c>
      <c r="D3" s="3" t="s">
        <v>598</v>
      </c>
      <c r="E3" s="3" t="s">
        <v>599</v>
      </c>
      <c r="F3" s="4"/>
    </row>
    <row r="4" spans="1:6" ht="20.100000000000001" customHeight="1">
      <c r="A4" s="493" t="s">
        <v>129</v>
      </c>
      <c r="B4" s="189" t="s">
        <v>80</v>
      </c>
      <c r="C4" s="292"/>
      <c r="D4" s="292"/>
      <c r="E4" s="292"/>
      <c r="F4" s="4"/>
    </row>
    <row r="5" spans="1:6" ht="20.100000000000001" customHeight="1">
      <c r="A5" s="493"/>
      <c r="B5" s="192" t="s">
        <v>130</v>
      </c>
      <c r="C5" s="201" t="s">
        <v>306</v>
      </c>
      <c r="D5" s="201" t="s">
        <v>306</v>
      </c>
      <c r="E5" s="201" t="s">
        <v>306</v>
      </c>
      <c r="F5" s="4"/>
    </row>
    <row r="6" spans="1:6" ht="20.100000000000001" customHeight="1">
      <c r="A6" s="493"/>
      <c r="B6" s="192" t="s">
        <v>131</v>
      </c>
      <c r="C6" s="201" t="s">
        <v>306</v>
      </c>
      <c r="D6" s="201" t="s">
        <v>306</v>
      </c>
      <c r="E6" s="201" t="s">
        <v>304</v>
      </c>
      <c r="F6" s="4"/>
    </row>
    <row r="7" spans="1:6" ht="20.100000000000001" customHeight="1">
      <c r="A7" s="493" t="s">
        <v>600</v>
      </c>
      <c r="B7" s="189" t="s">
        <v>81</v>
      </c>
      <c r="C7" s="295"/>
      <c r="D7" s="295"/>
      <c r="E7" s="295"/>
      <c r="F7" s="4"/>
    </row>
    <row r="8" spans="1:6" ht="20.100000000000001" customHeight="1">
      <c r="A8" s="493"/>
      <c r="B8" s="192" t="s">
        <v>133</v>
      </c>
      <c r="C8" s="201" t="s">
        <v>306</v>
      </c>
      <c r="D8" s="201" t="s">
        <v>306</v>
      </c>
      <c r="E8" s="201" t="s">
        <v>304</v>
      </c>
      <c r="F8" s="4"/>
    </row>
    <row r="9" spans="1:6" ht="20.100000000000001" customHeight="1">
      <c r="A9" s="493"/>
      <c r="B9" s="189" t="s">
        <v>9</v>
      </c>
      <c r="C9" s="295"/>
      <c r="D9" s="295"/>
      <c r="E9" s="295"/>
      <c r="F9" s="4"/>
    </row>
    <row r="10" spans="1:6" ht="20.100000000000001" customHeight="1">
      <c r="A10" s="493"/>
      <c r="B10" s="195" t="s">
        <v>10</v>
      </c>
      <c r="C10" s="201" t="s">
        <v>306</v>
      </c>
      <c r="D10" s="201" t="s">
        <v>306</v>
      </c>
      <c r="E10" s="201" t="s">
        <v>304</v>
      </c>
      <c r="F10" s="4"/>
    </row>
    <row r="11" spans="1:6" ht="20.100000000000001" customHeight="1">
      <c r="A11" s="493" t="s">
        <v>137</v>
      </c>
      <c r="B11" s="189" t="s">
        <v>37</v>
      </c>
      <c r="C11" s="295"/>
      <c r="D11" s="295"/>
      <c r="E11" s="295"/>
      <c r="F11" s="4"/>
    </row>
    <row r="12" spans="1:6" ht="20.100000000000001" customHeight="1">
      <c r="A12" s="493"/>
      <c r="B12" s="195" t="s">
        <v>38</v>
      </c>
      <c r="C12" s="201" t="s">
        <v>304</v>
      </c>
      <c r="D12" s="201" t="s">
        <v>304</v>
      </c>
      <c r="E12" s="201" t="s">
        <v>304</v>
      </c>
      <c r="F12" s="4"/>
    </row>
    <row r="13" spans="1:6" ht="20.100000000000001" customHeight="1">
      <c r="A13" s="493"/>
      <c r="B13" s="189" t="s">
        <v>82</v>
      </c>
      <c r="C13" s="295"/>
      <c r="D13" s="295"/>
      <c r="E13" s="295"/>
      <c r="F13" s="4"/>
    </row>
    <row r="14" spans="1:6" ht="20.100000000000001" customHeight="1">
      <c r="A14" s="493"/>
      <c r="B14" s="195" t="s">
        <v>138</v>
      </c>
      <c r="C14" s="201" t="s">
        <v>306</v>
      </c>
      <c r="D14" s="201" t="s">
        <v>306</v>
      </c>
      <c r="E14" s="201" t="s">
        <v>304</v>
      </c>
      <c r="F14" s="4"/>
    </row>
    <row r="15" spans="1:6" ht="20.100000000000001" customHeight="1">
      <c r="A15" s="493"/>
      <c r="B15" s="189" t="s">
        <v>13</v>
      </c>
      <c r="C15" s="295"/>
      <c r="D15" s="295"/>
      <c r="E15" s="295"/>
      <c r="F15" s="4"/>
    </row>
    <row r="16" spans="1:6" ht="20.100000000000001" customHeight="1">
      <c r="A16" s="493"/>
      <c r="B16" s="195" t="s">
        <v>14</v>
      </c>
      <c r="C16" s="201" t="s">
        <v>306</v>
      </c>
      <c r="D16" s="201" t="s">
        <v>306</v>
      </c>
      <c r="E16" s="201" t="s">
        <v>304</v>
      </c>
      <c r="F16" s="4"/>
    </row>
    <row r="17" spans="1:6" ht="20.100000000000001" customHeight="1">
      <c r="A17" s="493" t="s">
        <v>154</v>
      </c>
      <c r="B17" s="189" t="s">
        <v>25</v>
      </c>
      <c r="C17" s="295"/>
      <c r="D17" s="295"/>
      <c r="E17" s="295"/>
      <c r="F17" s="4"/>
    </row>
    <row r="18" spans="1:6" ht="20.100000000000001" customHeight="1">
      <c r="A18" s="493"/>
      <c r="B18" s="192" t="s">
        <v>26</v>
      </c>
      <c r="C18" s="201" t="s">
        <v>306</v>
      </c>
      <c r="D18" s="201" t="s">
        <v>306</v>
      </c>
      <c r="E18" s="201" t="s">
        <v>304</v>
      </c>
      <c r="F18" s="4"/>
    </row>
    <row r="19" spans="1:6" ht="20.100000000000001" customHeight="1">
      <c r="A19" s="493"/>
      <c r="B19" s="192" t="s">
        <v>140</v>
      </c>
      <c r="C19" s="201" t="s">
        <v>306</v>
      </c>
      <c r="D19" s="201" t="s">
        <v>306</v>
      </c>
      <c r="E19" s="201" t="s">
        <v>304</v>
      </c>
      <c r="F19" s="4"/>
    </row>
    <row r="20" spans="1:6" ht="20.100000000000001" customHeight="1">
      <c r="A20" s="493"/>
      <c r="B20" s="192" t="s">
        <v>29</v>
      </c>
      <c r="C20" s="201" t="s">
        <v>306</v>
      </c>
      <c r="D20" s="201" t="s">
        <v>306</v>
      </c>
      <c r="E20" s="201" t="s">
        <v>306</v>
      </c>
      <c r="F20" s="4"/>
    </row>
    <row r="21" spans="1:6" ht="56.65" customHeight="1">
      <c r="A21" s="446" t="s">
        <v>601</v>
      </c>
      <c r="B21" s="447"/>
      <c r="C21" s="447"/>
      <c r="D21" s="447"/>
      <c r="E21" s="447"/>
    </row>
    <row r="29" spans="1:6">
      <c r="D29" s="377"/>
    </row>
    <row r="32" spans="1:6" ht="120.75" customHeight="1"/>
  </sheetData>
  <sheetProtection algorithmName="SHA-512" hashValue="l5yseLWiW/PsZpha1HLTd1FFYvhuaZx5+yNyFlUPPjEUEaWZAPMMniZ02IBR5MnIpCoiKKkf8hAVwE9wLLtcxQ==" saltValue="n8yfq6VKARhL/Wn53zrqgw==" spinCount="100000" sheet="1" objects="1" scenarios="1"/>
  <customSheetViews>
    <customSheetView guid="{5E62BE79-A4FD-4E7A-98EF-5A09C5274723}" showGridLines="0" showRuler="0" topLeftCell="A7">
      <selection activeCell="A2" sqref="A2:XFD2"/>
      <pageMargins left="0.75" right="0.75" top="1" bottom="1" header="0.5" footer="0.5"/>
    </customSheetView>
  </customSheetViews>
  <mergeCells count="6">
    <mergeCell ref="A21:E21"/>
    <mergeCell ref="A1:D1"/>
    <mergeCell ref="A4:A6"/>
    <mergeCell ref="A7:A10"/>
    <mergeCell ref="A11:A16"/>
    <mergeCell ref="A17:A20"/>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R32"/>
  <sheetViews>
    <sheetView showRuler="0" zoomScaleNormal="100" workbookViewId="0">
      <selection activeCell="B13" sqref="A13:XFD13"/>
    </sheetView>
  </sheetViews>
  <sheetFormatPr baseColWidth="10" defaultColWidth="13.7109375" defaultRowHeight="12.75"/>
  <cols>
    <col min="1" max="1" width="24.42578125" customWidth="1"/>
    <col min="2" max="2" width="21.42578125" customWidth="1"/>
    <col min="3" max="3" width="71.7109375" customWidth="1"/>
    <col min="4" max="4" width="93.7109375" customWidth="1"/>
    <col min="5" max="5" width="71.7109375" customWidth="1"/>
    <col min="6" max="6" width="90" customWidth="1"/>
    <col min="7" max="7" width="71.7109375" customWidth="1"/>
    <col min="8" max="8" width="90" customWidth="1"/>
    <col min="9" max="10" width="31.140625" customWidth="1"/>
  </cols>
  <sheetData>
    <row r="1" spans="1:18">
      <c r="A1" s="449" t="s">
        <v>1009</v>
      </c>
      <c r="B1" s="449"/>
      <c r="C1" s="449"/>
      <c r="D1" s="450"/>
    </row>
    <row r="2" spans="1:18" ht="60" customHeight="1"/>
    <row r="3" spans="1:18" ht="52.5" customHeight="1">
      <c r="A3" s="2" t="s">
        <v>602</v>
      </c>
      <c r="B3" s="3" t="s">
        <v>594</v>
      </c>
      <c r="C3" s="3" t="s">
        <v>603</v>
      </c>
      <c r="D3" s="3" t="s">
        <v>604</v>
      </c>
      <c r="E3" s="3" t="s">
        <v>605</v>
      </c>
      <c r="F3" s="3" t="s">
        <v>606</v>
      </c>
      <c r="G3" s="3" t="s">
        <v>607</v>
      </c>
      <c r="H3" s="3" t="s">
        <v>608</v>
      </c>
      <c r="I3" s="4"/>
    </row>
    <row r="4" spans="1:18" ht="20.100000000000001" customHeight="1">
      <c r="A4" s="562" t="s">
        <v>129</v>
      </c>
      <c r="B4" s="189" t="s">
        <v>80</v>
      </c>
      <c r="C4" s="292"/>
      <c r="D4" s="292"/>
      <c r="E4" s="292"/>
      <c r="F4" s="292"/>
      <c r="G4" s="292"/>
      <c r="H4" s="292"/>
      <c r="I4" s="4"/>
    </row>
    <row r="5" spans="1:18" ht="150" customHeight="1">
      <c r="A5" s="493"/>
      <c r="B5" s="296" t="s">
        <v>130</v>
      </c>
      <c r="C5" s="47" t="s">
        <v>609</v>
      </c>
      <c r="D5" s="47" t="s">
        <v>610</v>
      </c>
      <c r="E5" s="47" t="s">
        <v>611</v>
      </c>
      <c r="F5" s="47" t="s">
        <v>612</v>
      </c>
      <c r="G5" s="47" t="s">
        <v>613</v>
      </c>
      <c r="H5" s="413" t="s">
        <v>1004</v>
      </c>
      <c r="I5" s="9"/>
      <c r="J5" s="10"/>
      <c r="K5" s="10"/>
      <c r="L5" s="10"/>
      <c r="M5" s="10"/>
      <c r="N5" s="10"/>
      <c r="O5" s="10"/>
      <c r="P5" s="10"/>
      <c r="Q5" s="10"/>
      <c r="R5" s="10"/>
    </row>
    <row r="6" spans="1:18" ht="150" customHeight="1">
      <c r="A6" s="493"/>
      <c r="B6" s="297" t="s">
        <v>131</v>
      </c>
      <c r="C6" s="47" t="s">
        <v>614</v>
      </c>
      <c r="D6" s="47" t="s">
        <v>615</v>
      </c>
      <c r="E6" s="47" t="s">
        <v>616</v>
      </c>
      <c r="F6" s="421" t="s">
        <v>1033</v>
      </c>
      <c r="G6" s="47" t="s">
        <v>617</v>
      </c>
      <c r="H6" s="47" t="s">
        <v>618</v>
      </c>
      <c r="I6" s="4"/>
      <c r="J6" s="14"/>
      <c r="K6" s="14"/>
      <c r="L6" s="14"/>
      <c r="M6" s="14"/>
      <c r="N6" s="14"/>
      <c r="O6" s="14"/>
      <c r="P6" s="14"/>
      <c r="Q6" s="14"/>
      <c r="R6" s="14"/>
    </row>
    <row r="7" spans="1:18" ht="20.100000000000001" customHeight="1">
      <c r="A7" s="493" t="s">
        <v>132</v>
      </c>
      <c r="B7" s="189" t="s">
        <v>81</v>
      </c>
      <c r="C7" s="298"/>
      <c r="D7" s="298"/>
      <c r="E7" s="298"/>
      <c r="F7" s="298"/>
      <c r="G7" s="298"/>
      <c r="H7" s="298"/>
      <c r="I7" s="4"/>
    </row>
    <row r="8" spans="1:18" ht="150" customHeight="1">
      <c r="A8" s="493"/>
      <c r="B8" s="297" t="s">
        <v>133</v>
      </c>
      <c r="C8" s="47" t="s">
        <v>619</v>
      </c>
      <c r="D8" s="47" t="s">
        <v>620</v>
      </c>
      <c r="E8" s="47" t="s">
        <v>621</v>
      </c>
      <c r="F8" s="47" t="s">
        <v>622</v>
      </c>
      <c r="G8" s="47" t="s">
        <v>623</v>
      </c>
      <c r="H8" s="47" t="s">
        <v>624</v>
      </c>
      <c r="I8" s="4"/>
      <c r="J8" s="14"/>
      <c r="K8" s="14"/>
      <c r="L8" s="14"/>
      <c r="M8" s="14"/>
      <c r="N8" s="14"/>
      <c r="O8" s="14"/>
      <c r="P8" s="14"/>
      <c r="Q8" s="14"/>
      <c r="R8" s="14"/>
    </row>
    <row r="9" spans="1:18">
      <c r="A9" s="493" t="s">
        <v>137</v>
      </c>
      <c r="B9" s="189" t="s">
        <v>82</v>
      </c>
      <c r="C9" s="298"/>
      <c r="D9" s="298"/>
      <c r="E9" s="298"/>
      <c r="F9" s="298"/>
      <c r="G9" s="298"/>
      <c r="H9" s="298"/>
      <c r="I9" s="4"/>
      <c r="J9" s="14"/>
      <c r="K9" s="14"/>
      <c r="L9" s="14"/>
      <c r="M9" s="14"/>
      <c r="N9" s="14"/>
      <c r="O9" s="14"/>
      <c r="P9" s="14"/>
    </row>
    <row r="10" spans="1:18" ht="150" customHeight="1">
      <c r="A10" s="493"/>
      <c r="B10" s="299" t="s">
        <v>138</v>
      </c>
      <c r="C10" s="47" t="s">
        <v>625</v>
      </c>
      <c r="D10" s="47" t="s">
        <v>626</v>
      </c>
      <c r="E10" s="47" t="s">
        <v>627</v>
      </c>
      <c r="F10" s="47" t="s">
        <v>628</v>
      </c>
      <c r="G10" s="47" t="s">
        <v>629</v>
      </c>
      <c r="H10" s="47" t="s">
        <v>630</v>
      </c>
      <c r="I10" s="4"/>
      <c r="J10" s="14"/>
      <c r="K10" s="14"/>
      <c r="L10" s="14"/>
      <c r="M10" s="14"/>
      <c r="N10" s="14"/>
      <c r="O10" s="14"/>
      <c r="P10" s="14"/>
      <c r="Q10" s="14"/>
      <c r="R10" s="14"/>
    </row>
    <row r="11" spans="1:18" ht="20.100000000000001" customHeight="1">
      <c r="A11" s="493"/>
      <c r="B11" s="189" t="s">
        <v>13</v>
      </c>
      <c r="C11" s="298"/>
      <c r="D11" s="298"/>
      <c r="E11" s="298"/>
      <c r="F11" s="298"/>
      <c r="G11" s="298"/>
      <c r="H11" s="298"/>
      <c r="I11" s="4"/>
    </row>
    <row r="12" spans="1:18" ht="150" customHeight="1">
      <c r="A12" s="493"/>
      <c r="B12" s="299" t="s">
        <v>14</v>
      </c>
      <c r="C12" s="47" t="s">
        <v>631</v>
      </c>
      <c r="D12" s="47" t="s">
        <v>632</v>
      </c>
      <c r="E12" s="47" t="s">
        <v>633</v>
      </c>
      <c r="F12" s="47" t="s">
        <v>634</v>
      </c>
      <c r="G12" s="47" t="s">
        <v>635</v>
      </c>
      <c r="H12" s="47" t="s">
        <v>636</v>
      </c>
      <c r="I12" s="4"/>
      <c r="J12" s="14"/>
      <c r="K12" s="14"/>
      <c r="L12" s="14"/>
      <c r="M12" s="14"/>
      <c r="N12" s="14"/>
      <c r="O12" s="14"/>
      <c r="P12" s="14"/>
      <c r="Q12" s="14"/>
      <c r="R12" s="14"/>
    </row>
    <row r="13" spans="1:18" ht="20.100000000000001" customHeight="1">
      <c r="A13" s="493" t="s">
        <v>154</v>
      </c>
      <c r="B13" s="189" t="s">
        <v>25</v>
      </c>
      <c r="C13" s="298"/>
      <c r="D13" s="298"/>
      <c r="E13" s="298"/>
      <c r="F13" s="298"/>
      <c r="G13" s="298"/>
      <c r="H13" s="298"/>
      <c r="I13" s="4"/>
    </row>
    <row r="14" spans="1:18" ht="150" customHeight="1">
      <c r="A14" s="493"/>
      <c r="B14" s="297" t="s">
        <v>26</v>
      </c>
      <c r="C14" s="47" t="s">
        <v>637</v>
      </c>
      <c r="D14" s="47" t="s">
        <v>638</v>
      </c>
      <c r="E14" s="47" t="s">
        <v>639</v>
      </c>
      <c r="F14" s="47" t="s">
        <v>640</v>
      </c>
      <c r="G14" s="47" t="s">
        <v>641</v>
      </c>
      <c r="H14" s="47" t="s">
        <v>642</v>
      </c>
      <c r="I14" s="4"/>
      <c r="J14" s="14"/>
      <c r="K14" s="14"/>
      <c r="L14" s="14"/>
      <c r="M14" s="14"/>
      <c r="N14" s="14"/>
      <c r="O14" s="14"/>
      <c r="P14" s="14"/>
      <c r="Q14" s="14"/>
      <c r="R14" s="14"/>
    </row>
    <row r="15" spans="1:18" ht="150" customHeight="1">
      <c r="A15" s="493"/>
      <c r="B15" s="297" t="s">
        <v>29</v>
      </c>
      <c r="C15" s="47" t="s">
        <v>643</v>
      </c>
      <c r="D15" s="47" t="s">
        <v>644</v>
      </c>
      <c r="E15" s="47" t="s">
        <v>645</v>
      </c>
      <c r="F15" s="47" t="s">
        <v>646</v>
      </c>
      <c r="G15" s="47" t="s">
        <v>647</v>
      </c>
      <c r="H15" s="47" t="s">
        <v>648</v>
      </c>
      <c r="I15" s="4"/>
      <c r="J15" s="14"/>
      <c r="K15" s="14"/>
      <c r="L15" s="14"/>
      <c r="M15" s="14"/>
      <c r="N15" s="14"/>
      <c r="O15" s="14"/>
      <c r="P15" s="14"/>
      <c r="Q15" s="14"/>
      <c r="R15" s="14"/>
    </row>
    <row r="16" spans="1:18" ht="43.35" customHeight="1">
      <c r="A16" s="445" t="s">
        <v>1005</v>
      </c>
      <c r="B16" s="447"/>
      <c r="C16" s="447"/>
      <c r="D16" s="447"/>
      <c r="E16" s="447"/>
      <c r="F16" s="447"/>
      <c r="G16" s="447"/>
      <c r="H16" s="447"/>
    </row>
    <row r="17" spans="4:4" ht="43.35" customHeight="1"/>
    <row r="18" spans="4:4" ht="43.35" customHeight="1"/>
    <row r="29" spans="4:4">
      <c r="D29" s="377"/>
    </row>
    <row r="32" spans="4:4" ht="120.75" customHeight="1"/>
  </sheetData>
  <sheetProtection algorithmName="SHA-512" hashValue="KXn5EvyR5xjQJ7MQzbuJ/DFsqEGwTV7LQg/9RF22cHAIE0vSXFt3EqlqLNWCIH9a6dofBBCg3vAB23Pzlz7y9Q==" saltValue="UzeIJCwhHGsxX/BnBdgiqg==" spinCount="100000" sheet="1" objects="1" scenarios="1"/>
  <customSheetViews>
    <customSheetView guid="{5E62BE79-A4FD-4E7A-98EF-5A09C5274723}" showRuler="0">
      <selection activeCell="B13" sqref="A13:XFD13"/>
      <pageMargins left="0.75" right="0.75" top="1" bottom="1" header="0.5" footer="0.5"/>
      <pageSetup orientation="portrait" r:id="rId1"/>
    </customSheetView>
  </customSheetViews>
  <mergeCells count="6">
    <mergeCell ref="A16:H16"/>
    <mergeCell ref="A1:D1"/>
    <mergeCell ref="A4:A6"/>
    <mergeCell ref="A7:A8"/>
    <mergeCell ref="A9:A12"/>
    <mergeCell ref="A13:A15"/>
  </mergeCells>
  <pageMargins left="0.75" right="0.75" top="1" bottom="1" header="0.5" footer="0.5"/>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H44"/>
  <sheetViews>
    <sheetView showGridLines="0" showRuler="0" workbookViewId="0">
      <selection activeCell="A11" sqref="A11"/>
    </sheetView>
  </sheetViews>
  <sheetFormatPr baseColWidth="10" defaultColWidth="13.7109375" defaultRowHeight="12.75"/>
  <cols>
    <col min="1" max="1" width="59.7109375" customWidth="1"/>
    <col min="2" max="2" width="20.140625" customWidth="1"/>
    <col min="3" max="3" width="27.42578125" customWidth="1"/>
  </cols>
  <sheetData>
    <row r="1" spans="1:8">
      <c r="A1" s="563" t="s">
        <v>1010</v>
      </c>
      <c r="B1" s="450"/>
      <c r="C1" s="450"/>
      <c r="D1" s="450"/>
    </row>
    <row r="2" spans="1:8" ht="60" customHeight="1"/>
    <row r="3" spans="1:8" ht="20.100000000000001" customHeight="1">
      <c r="A3" s="2" t="s">
        <v>649</v>
      </c>
      <c r="B3" s="3" t="s">
        <v>650</v>
      </c>
      <c r="C3" s="3" t="s">
        <v>651</v>
      </c>
      <c r="D3" s="4"/>
      <c r="F3" s="14"/>
      <c r="G3" s="14"/>
    </row>
    <row r="4" spans="1:8" ht="20.100000000000001" customHeight="1">
      <c r="A4" s="5" t="s">
        <v>652</v>
      </c>
      <c r="B4" s="220">
        <v>140</v>
      </c>
      <c r="C4" s="300">
        <v>1</v>
      </c>
      <c r="D4" s="4"/>
      <c r="F4" s="14"/>
      <c r="G4" s="14"/>
      <c r="H4" s="14"/>
    </row>
    <row r="5" spans="1:8" ht="20.100000000000001" customHeight="1">
      <c r="A5" s="5" t="s">
        <v>653</v>
      </c>
      <c r="B5" s="220">
        <v>146</v>
      </c>
      <c r="C5" s="300">
        <v>1</v>
      </c>
      <c r="D5" s="4"/>
      <c r="F5" s="14"/>
      <c r="G5" s="14"/>
      <c r="H5" s="14"/>
    </row>
    <row r="6" spans="1:8" ht="20.100000000000001" customHeight="1">
      <c r="A6" s="5" t="s">
        <v>654</v>
      </c>
      <c r="B6" s="220">
        <v>83</v>
      </c>
      <c r="C6" s="300">
        <v>1</v>
      </c>
      <c r="D6" s="4"/>
      <c r="F6" s="14"/>
      <c r="G6" s="14"/>
    </row>
    <row r="7" spans="1:8" ht="20.100000000000001" customHeight="1">
      <c r="A7" s="5" t="s">
        <v>655</v>
      </c>
      <c r="B7" s="220">
        <v>22</v>
      </c>
      <c r="C7" s="300">
        <v>1</v>
      </c>
      <c r="D7" s="4"/>
      <c r="F7" s="14"/>
      <c r="G7" s="14"/>
    </row>
    <row r="8" spans="1:8" ht="20.100000000000001" customHeight="1">
      <c r="A8" s="5" t="s">
        <v>656</v>
      </c>
      <c r="B8" s="220">
        <v>12</v>
      </c>
      <c r="C8" s="300">
        <v>1</v>
      </c>
      <c r="D8" s="4"/>
      <c r="F8" s="14"/>
      <c r="G8" s="14"/>
    </row>
    <row r="9" spans="1:8" ht="20.100000000000001" customHeight="1">
      <c r="A9" s="5" t="s">
        <v>657</v>
      </c>
      <c r="B9" s="220">
        <v>5</v>
      </c>
      <c r="C9" s="300">
        <v>1</v>
      </c>
      <c r="D9" s="4"/>
      <c r="F9" s="14"/>
      <c r="G9" s="14"/>
    </row>
    <row r="10" spans="1:8" ht="20.100000000000001" customHeight="1">
      <c r="A10" s="5" t="s">
        <v>658</v>
      </c>
      <c r="B10" s="220">
        <v>4</v>
      </c>
      <c r="C10" s="300">
        <v>1</v>
      </c>
      <c r="D10" s="4"/>
      <c r="F10" s="14"/>
      <c r="G10" s="14"/>
    </row>
    <row r="11" spans="1:8" ht="20.100000000000001" customHeight="1">
      <c r="A11" s="5" t="s">
        <v>659</v>
      </c>
      <c r="B11" s="220">
        <v>1</v>
      </c>
      <c r="C11" s="300">
        <v>1</v>
      </c>
      <c r="D11" s="4"/>
      <c r="F11" s="14"/>
      <c r="G11" s="14"/>
    </row>
    <row r="12" spans="1:8" ht="20.100000000000001" customHeight="1">
      <c r="A12" s="2" t="s">
        <v>85</v>
      </c>
      <c r="B12" s="209">
        <v>413</v>
      </c>
      <c r="C12" s="223">
        <v>1</v>
      </c>
      <c r="D12" s="4"/>
      <c r="F12" s="14"/>
      <c r="G12" s="14"/>
    </row>
    <row r="13" spans="1:8" ht="24" customHeight="1">
      <c r="A13" s="458" t="s">
        <v>660</v>
      </c>
      <c r="B13" s="458"/>
      <c r="C13" s="458"/>
      <c r="F13" s="14"/>
      <c r="G13" s="14"/>
    </row>
    <row r="14" spans="1:8" ht="60" customHeight="1">
      <c r="F14" s="14"/>
      <c r="G14" s="14"/>
    </row>
    <row r="15" spans="1:8" ht="20.100000000000001" customHeight="1">
      <c r="A15" s="12" t="s">
        <v>661</v>
      </c>
      <c r="B15" s="3" t="s">
        <v>662</v>
      </c>
      <c r="C15" s="3" t="s">
        <v>663</v>
      </c>
      <c r="D15" s="4"/>
      <c r="F15" s="14"/>
      <c r="G15" s="14"/>
    </row>
    <row r="16" spans="1:8" ht="20.100000000000001" customHeight="1">
      <c r="A16" s="5" t="s">
        <v>664</v>
      </c>
      <c r="B16" s="220">
        <v>257</v>
      </c>
      <c r="C16" s="301">
        <v>0.27100000000000002</v>
      </c>
      <c r="D16" s="4"/>
      <c r="F16" s="14"/>
      <c r="G16" s="14"/>
    </row>
    <row r="17" spans="1:8" ht="20.100000000000001" customHeight="1">
      <c r="A17" s="5" t="s">
        <v>665</v>
      </c>
      <c r="B17" s="220">
        <v>184</v>
      </c>
      <c r="C17" s="301">
        <v>0.19399999999999998</v>
      </c>
      <c r="D17" s="4"/>
      <c r="F17" s="14"/>
      <c r="G17" s="14"/>
    </row>
    <row r="18" spans="1:8" ht="20.100000000000001" customHeight="1">
      <c r="A18" s="5" t="s">
        <v>666</v>
      </c>
      <c r="B18" s="220">
        <v>155</v>
      </c>
      <c r="C18" s="301">
        <v>0.16399999999999998</v>
      </c>
      <c r="D18" s="4"/>
      <c r="F18" s="14"/>
      <c r="G18" s="14"/>
      <c r="H18" s="14"/>
    </row>
    <row r="19" spans="1:8" ht="20.100000000000001" customHeight="1">
      <c r="A19" s="5" t="s">
        <v>667</v>
      </c>
      <c r="B19" s="220">
        <v>91</v>
      </c>
      <c r="C19" s="301">
        <v>9.6000000000000002E-2</v>
      </c>
      <c r="D19" s="4"/>
      <c r="F19" s="14"/>
      <c r="G19" s="14"/>
    </row>
    <row r="20" spans="1:8" ht="20.100000000000001" customHeight="1">
      <c r="A20" s="5" t="s">
        <v>668</v>
      </c>
      <c r="B20" s="220">
        <v>46</v>
      </c>
      <c r="C20" s="301">
        <v>4.9000000000000002E-2</v>
      </c>
      <c r="D20" s="4"/>
      <c r="F20" s="14"/>
      <c r="G20" s="14"/>
    </row>
    <row r="21" spans="1:8" ht="20.100000000000001" customHeight="1">
      <c r="A21" s="5" t="s">
        <v>669</v>
      </c>
      <c r="B21" s="220">
        <v>36</v>
      </c>
      <c r="C21" s="301">
        <v>3.7999999999999999E-2</v>
      </c>
      <c r="D21" s="4"/>
      <c r="F21" s="14"/>
      <c r="G21" s="14"/>
    </row>
    <row r="22" spans="1:8" ht="20.100000000000001" customHeight="1">
      <c r="A22" s="5" t="s">
        <v>670</v>
      </c>
      <c r="B22" s="220">
        <v>28</v>
      </c>
      <c r="C22" s="301">
        <v>0.03</v>
      </c>
      <c r="D22" s="4"/>
      <c r="F22" s="14"/>
      <c r="G22" s="14"/>
    </row>
    <row r="23" spans="1:8" ht="20.100000000000001" customHeight="1">
      <c r="A23" s="5" t="s">
        <v>671</v>
      </c>
      <c r="B23" s="220">
        <v>28</v>
      </c>
      <c r="C23" s="301">
        <v>0.03</v>
      </c>
      <c r="D23" s="4"/>
      <c r="F23" s="14"/>
      <c r="G23" s="14"/>
    </row>
    <row r="24" spans="1:8" ht="20.100000000000001" customHeight="1">
      <c r="A24" s="5" t="s">
        <v>672</v>
      </c>
      <c r="B24" s="220">
        <v>25</v>
      </c>
      <c r="C24" s="301">
        <v>2.6000000000000002E-2</v>
      </c>
      <c r="D24" s="4"/>
    </row>
    <row r="25" spans="1:8" ht="20.100000000000001" customHeight="1">
      <c r="A25" s="5" t="s">
        <v>673</v>
      </c>
      <c r="B25" s="220">
        <v>19</v>
      </c>
      <c r="C25" s="301">
        <v>0.02</v>
      </c>
      <c r="D25" s="4"/>
    </row>
    <row r="26" spans="1:8" ht="20.100000000000001" customHeight="1">
      <c r="A26" s="5" t="s">
        <v>674</v>
      </c>
      <c r="B26" s="220">
        <v>18</v>
      </c>
      <c r="C26" s="301">
        <v>1.9E-2</v>
      </c>
      <c r="D26" s="4"/>
    </row>
    <row r="27" spans="1:8" ht="20.100000000000001" customHeight="1">
      <c r="A27" s="5" t="s">
        <v>675</v>
      </c>
      <c r="B27" s="220">
        <v>16</v>
      </c>
      <c r="C27" s="301">
        <v>1.7000000000000001E-2</v>
      </c>
      <c r="D27" s="379"/>
    </row>
    <row r="28" spans="1:8" ht="20.100000000000001" customHeight="1">
      <c r="A28" s="5" t="s">
        <v>676</v>
      </c>
      <c r="B28" s="220">
        <v>10</v>
      </c>
      <c r="C28" s="301">
        <v>1.1000000000000001E-2</v>
      </c>
      <c r="D28" s="4"/>
    </row>
    <row r="29" spans="1:8" ht="20.100000000000001" customHeight="1">
      <c r="A29" s="5" t="s">
        <v>677</v>
      </c>
      <c r="B29" s="220">
        <v>7</v>
      </c>
      <c r="C29" s="301">
        <v>6.9999999999999993E-3</v>
      </c>
      <c r="D29" s="4"/>
    </row>
    <row r="30" spans="1:8" ht="20.100000000000001" customHeight="1">
      <c r="A30" s="5" t="s">
        <v>678</v>
      </c>
      <c r="B30" s="220">
        <v>6</v>
      </c>
      <c r="C30" s="301">
        <v>6.0000000000000001E-3</v>
      </c>
      <c r="D30" s="4"/>
    </row>
    <row r="31" spans="1:8" ht="20.100000000000001" customHeight="1">
      <c r="A31" s="5" t="s">
        <v>679</v>
      </c>
      <c r="B31" s="220">
        <v>4</v>
      </c>
      <c r="C31" s="301">
        <v>4.0000000000000001E-3</v>
      </c>
      <c r="D31" s="4"/>
    </row>
    <row r="32" spans="1:8" ht="20.100000000000001" customHeight="1">
      <c r="A32" s="5" t="s">
        <v>680</v>
      </c>
      <c r="B32" s="220">
        <v>4</v>
      </c>
      <c r="C32" s="301">
        <v>4.0000000000000001E-3</v>
      </c>
      <c r="D32" s="4"/>
    </row>
    <row r="33" spans="1:4" ht="20.100000000000001" customHeight="1">
      <c r="A33" s="5" t="s">
        <v>681</v>
      </c>
      <c r="B33" s="220">
        <v>2</v>
      </c>
      <c r="C33" s="301">
        <v>2E-3</v>
      </c>
      <c r="D33" s="4"/>
    </row>
    <row r="34" spans="1:4" ht="20.100000000000001" customHeight="1">
      <c r="A34" s="5" t="s">
        <v>682</v>
      </c>
      <c r="B34" s="220">
        <v>2</v>
      </c>
      <c r="C34" s="301">
        <v>2E-3</v>
      </c>
      <c r="D34" s="4"/>
    </row>
    <row r="35" spans="1:4" ht="20.100000000000001" customHeight="1">
      <c r="A35" s="5" t="s">
        <v>683</v>
      </c>
      <c r="B35" s="220">
        <v>2</v>
      </c>
      <c r="C35" s="301">
        <v>2E-3</v>
      </c>
      <c r="D35" s="4"/>
    </row>
    <row r="36" spans="1:4" ht="20.100000000000001" customHeight="1">
      <c r="A36" s="5" t="s">
        <v>684</v>
      </c>
      <c r="B36" s="220">
        <v>2</v>
      </c>
      <c r="C36" s="301">
        <v>2E-3</v>
      </c>
      <c r="D36" s="4"/>
    </row>
    <row r="37" spans="1:4" ht="20.100000000000001" customHeight="1">
      <c r="A37" s="5" t="s">
        <v>685</v>
      </c>
      <c r="B37" s="220">
        <v>2</v>
      </c>
      <c r="C37" s="301">
        <v>2E-3</v>
      </c>
      <c r="D37" s="4"/>
    </row>
    <row r="38" spans="1:4" ht="20.100000000000001" customHeight="1">
      <c r="A38" s="5" t="s">
        <v>686</v>
      </c>
      <c r="B38" s="220">
        <v>1</v>
      </c>
      <c r="C38" s="301">
        <v>1E-3</v>
      </c>
      <c r="D38" s="4"/>
    </row>
    <row r="39" spans="1:4" ht="20.100000000000001" customHeight="1">
      <c r="A39" s="5" t="s">
        <v>687</v>
      </c>
      <c r="B39" s="220">
        <v>1</v>
      </c>
      <c r="C39" s="301">
        <v>1E-3</v>
      </c>
      <c r="D39" s="4"/>
    </row>
    <row r="40" spans="1:4" ht="20.100000000000001" customHeight="1">
      <c r="A40" s="5" t="s">
        <v>688</v>
      </c>
      <c r="B40" s="302">
        <v>1</v>
      </c>
      <c r="C40" s="301">
        <v>1E-3</v>
      </c>
      <c r="D40" s="4"/>
    </row>
    <row r="41" spans="1:4" ht="20.100000000000001" customHeight="1">
      <c r="A41" s="5" t="s">
        <v>689</v>
      </c>
      <c r="B41" s="302">
        <v>1</v>
      </c>
      <c r="C41" s="301">
        <v>1E-3</v>
      </c>
      <c r="D41" s="4"/>
    </row>
    <row r="42" spans="1:4" ht="20.100000000000001" customHeight="1">
      <c r="A42" s="2" t="s">
        <v>85</v>
      </c>
      <c r="B42" s="303">
        <v>948</v>
      </c>
      <c r="C42" s="304">
        <v>1</v>
      </c>
      <c r="D42" s="4"/>
    </row>
    <row r="43" spans="1:4" ht="60.75" customHeight="1">
      <c r="A43" s="446" t="s">
        <v>690</v>
      </c>
      <c r="B43" s="446"/>
      <c r="C43" s="446"/>
      <c r="D43" s="305"/>
    </row>
    <row r="44" spans="1:4" ht="29.1" customHeight="1"/>
  </sheetData>
  <sheetProtection algorithmName="SHA-512" hashValue="mLTLMR5ihSXGiioD2l4mu31K7Ta2kACIQYxofIQSWGL/zjxhrkoJX6CyY6BdCX8xHgtE5BekjVs1USTEXd7IRw==" saltValue="kvvkM7miAXAl4FNQYJ/HiQ==" spinCount="100000" sheet="1" objects="1" scenarios="1"/>
  <customSheetViews>
    <customSheetView guid="{5E62BE79-A4FD-4E7A-98EF-5A09C5274723}" showGridLines="0" showRuler="0">
      <selection activeCell="A11" sqref="A11"/>
      <pageMargins left="0.75" right="0.75" top="1" bottom="1" header="0.5" footer="0.5"/>
    </customSheetView>
  </customSheetViews>
  <mergeCells count="3">
    <mergeCell ref="A1:D1"/>
    <mergeCell ref="A13:C13"/>
    <mergeCell ref="A43:C43"/>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G33"/>
  <sheetViews>
    <sheetView showGridLines="0" showRuler="0" topLeftCell="A19" workbookViewId="0">
      <selection activeCell="D10" sqref="D10"/>
    </sheetView>
  </sheetViews>
  <sheetFormatPr baseColWidth="10" defaultColWidth="13.7109375" defaultRowHeight="12.75"/>
  <cols>
    <col min="1" max="6" width="40" customWidth="1"/>
    <col min="7" max="9" width="35.5703125" customWidth="1"/>
  </cols>
  <sheetData>
    <row r="1" spans="1:5">
      <c r="A1" s="449" t="s">
        <v>1006</v>
      </c>
      <c r="B1" s="450"/>
      <c r="C1" s="450"/>
      <c r="D1" s="450"/>
      <c r="E1" s="14"/>
    </row>
    <row r="2" spans="1:5" ht="60" customHeight="1">
      <c r="A2" s="564"/>
      <c r="B2" s="459"/>
      <c r="C2" s="459"/>
    </row>
    <row r="3" spans="1:5" ht="29.1" customHeight="1">
      <c r="A3" s="12" t="s">
        <v>691</v>
      </c>
      <c r="B3" s="18" t="s">
        <v>692</v>
      </c>
      <c r="C3" s="18" t="s">
        <v>693</v>
      </c>
      <c r="D3" s="4"/>
    </row>
    <row r="4" spans="1:5" ht="20.100000000000001" customHeight="1">
      <c r="A4" s="13" t="s">
        <v>37</v>
      </c>
      <c r="B4" s="13" t="s">
        <v>694</v>
      </c>
      <c r="C4" s="13" t="s">
        <v>695</v>
      </c>
      <c r="D4" s="4"/>
    </row>
    <row r="5" spans="1:5" ht="20.100000000000001" customHeight="1">
      <c r="A5" s="13" t="s">
        <v>37</v>
      </c>
      <c r="B5" s="13" t="s">
        <v>694</v>
      </c>
      <c r="C5" s="13" t="s">
        <v>696</v>
      </c>
      <c r="D5" s="4"/>
    </row>
    <row r="6" spans="1:5" ht="20.100000000000001" customHeight="1">
      <c r="A6" s="13" t="s">
        <v>37</v>
      </c>
      <c r="B6" s="13" t="s">
        <v>694</v>
      </c>
      <c r="C6" s="13" t="s">
        <v>696</v>
      </c>
      <c r="D6" s="4"/>
    </row>
    <row r="7" spans="1:5" ht="20.100000000000001" customHeight="1">
      <c r="A7" s="13" t="s">
        <v>37</v>
      </c>
      <c r="B7" s="13" t="s">
        <v>694</v>
      </c>
      <c r="C7" s="13" t="s">
        <v>696</v>
      </c>
      <c r="D7" s="4"/>
    </row>
    <row r="8" spans="1:5" ht="20.100000000000001" customHeight="1">
      <c r="A8" s="13" t="s">
        <v>37</v>
      </c>
      <c r="B8" s="13" t="s">
        <v>694</v>
      </c>
      <c r="C8" s="13" t="s">
        <v>696</v>
      </c>
      <c r="D8" s="4"/>
    </row>
    <row r="9" spans="1:5" ht="20.100000000000001" customHeight="1">
      <c r="A9" s="13" t="s">
        <v>5</v>
      </c>
      <c r="B9" s="13" t="s">
        <v>694</v>
      </c>
      <c r="C9" s="13" t="s">
        <v>697</v>
      </c>
      <c r="D9" s="4"/>
    </row>
    <row r="10" spans="1:5" ht="20.100000000000001" customHeight="1">
      <c r="A10" s="13" t="s">
        <v>80</v>
      </c>
      <c r="B10" s="13" t="s">
        <v>694</v>
      </c>
      <c r="C10" s="13" t="s">
        <v>696</v>
      </c>
      <c r="D10" s="4"/>
    </row>
    <row r="11" spans="1:5" ht="20.100000000000001" customHeight="1">
      <c r="A11" s="13" t="s">
        <v>13</v>
      </c>
      <c r="B11" s="13" t="s">
        <v>694</v>
      </c>
      <c r="C11" s="13" t="s">
        <v>696</v>
      </c>
      <c r="D11" s="4"/>
    </row>
    <row r="12" spans="1:5" ht="20.100000000000001" customHeight="1">
      <c r="A12" s="13" t="s">
        <v>13</v>
      </c>
      <c r="B12" s="13" t="s">
        <v>694</v>
      </c>
      <c r="C12" s="13" t="s">
        <v>696</v>
      </c>
      <c r="D12" s="4"/>
    </row>
    <row r="13" spans="1:5" ht="20.100000000000001" customHeight="1">
      <c r="A13" s="13" t="s">
        <v>82</v>
      </c>
      <c r="B13" s="13" t="s">
        <v>694</v>
      </c>
      <c r="C13" s="13" t="s">
        <v>696</v>
      </c>
      <c r="D13" s="4"/>
    </row>
    <row r="14" spans="1:5" ht="20.100000000000001" customHeight="1">
      <c r="A14" s="13" t="s">
        <v>82</v>
      </c>
      <c r="B14" s="13" t="s">
        <v>694</v>
      </c>
      <c r="C14" s="13" t="s">
        <v>696</v>
      </c>
      <c r="D14" s="4"/>
    </row>
    <row r="15" spans="1:5" ht="20.100000000000001" customHeight="1">
      <c r="A15" s="13" t="s">
        <v>82</v>
      </c>
      <c r="B15" s="13" t="s">
        <v>694</v>
      </c>
      <c r="C15" s="13" t="s">
        <v>696</v>
      </c>
      <c r="D15" s="4"/>
    </row>
    <row r="16" spans="1:5" ht="20.100000000000001" customHeight="1">
      <c r="A16" s="13" t="s">
        <v>82</v>
      </c>
      <c r="B16" s="13" t="s">
        <v>694</v>
      </c>
      <c r="C16" s="13" t="s">
        <v>698</v>
      </c>
      <c r="D16" s="4"/>
    </row>
    <row r="17" spans="1:7" ht="20.100000000000001" customHeight="1">
      <c r="A17" s="13" t="s">
        <v>82</v>
      </c>
      <c r="B17" s="13" t="s">
        <v>699</v>
      </c>
      <c r="C17" s="13" t="s">
        <v>698</v>
      </c>
      <c r="D17" s="4"/>
    </row>
    <row r="18" spans="1:7" ht="20.100000000000001" customHeight="1">
      <c r="A18" s="13" t="s">
        <v>700</v>
      </c>
      <c r="B18" s="13" t="s">
        <v>694</v>
      </c>
      <c r="C18" s="13" t="s">
        <v>701</v>
      </c>
      <c r="D18" s="4"/>
    </row>
    <row r="19" spans="1:7" ht="20.100000000000001" customHeight="1">
      <c r="A19" s="13" t="s">
        <v>702</v>
      </c>
      <c r="B19" s="13" t="s">
        <v>694</v>
      </c>
      <c r="C19" s="13" t="s">
        <v>697</v>
      </c>
      <c r="D19" s="4"/>
    </row>
    <row r="20" spans="1:7" ht="20.100000000000001" customHeight="1">
      <c r="A20" s="13" t="s">
        <v>703</v>
      </c>
      <c r="B20" s="13" t="s">
        <v>694</v>
      </c>
      <c r="C20" s="13" t="s">
        <v>701</v>
      </c>
      <c r="D20" s="4"/>
    </row>
    <row r="21" spans="1:7" ht="20.100000000000001" customHeight="1">
      <c r="A21" s="13" t="s">
        <v>703</v>
      </c>
      <c r="B21" s="13" t="s">
        <v>694</v>
      </c>
      <c r="C21" s="13" t="s">
        <v>696</v>
      </c>
      <c r="D21" s="4"/>
    </row>
    <row r="22" spans="1:7" ht="20.100000000000001" customHeight="1">
      <c r="A22" s="13" t="s">
        <v>704</v>
      </c>
      <c r="B22" s="13" t="s">
        <v>694</v>
      </c>
      <c r="C22" s="13" t="s">
        <v>696</v>
      </c>
      <c r="D22" s="4"/>
    </row>
    <row r="23" spans="1:7" ht="39" customHeight="1">
      <c r="A23" s="458" t="s">
        <v>705</v>
      </c>
      <c r="B23" s="447"/>
      <c r="C23" s="447"/>
    </row>
    <row r="24" spans="1:7" ht="60" customHeight="1">
      <c r="A24" s="564"/>
      <c r="B24" s="564"/>
      <c r="C24" s="564"/>
    </row>
    <row r="25" spans="1:7" ht="32.25" customHeight="1">
      <c r="A25" s="12" t="s">
        <v>706</v>
      </c>
      <c r="B25" s="18" t="s">
        <v>694</v>
      </c>
      <c r="C25" s="18" t="s">
        <v>707</v>
      </c>
      <c r="D25" s="18" t="s">
        <v>696</v>
      </c>
      <c r="E25" s="18" t="s">
        <v>708</v>
      </c>
      <c r="F25" s="18" t="s">
        <v>709</v>
      </c>
      <c r="G25" s="4"/>
    </row>
    <row r="26" spans="1:7" ht="20.100000000000001" customHeight="1">
      <c r="A26" s="13" t="s">
        <v>37</v>
      </c>
      <c r="B26" s="204">
        <v>5</v>
      </c>
      <c r="C26" s="204">
        <v>0</v>
      </c>
      <c r="D26" s="204">
        <v>4</v>
      </c>
      <c r="E26" s="204">
        <v>1</v>
      </c>
      <c r="F26" s="204">
        <v>0</v>
      </c>
      <c r="G26" s="4"/>
    </row>
    <row r="27" spans="1:7" ht="20.100000000000001" customHeight="1">
      <c r="A27" s="13" t="s">
        <v>5</v>
      </c>
      <c r="B27" s="204">
        <v>1</v>
      </c>
      <c r="C27" s="204">
        <v>0</v>
      </c>
      <c r="D27" s="378"/>
      <c r="E27" s="204">
        <v>1</v>
      </c>
      <c r="F27" s="204">
        <v>0</v>
      </c>
      <c r="G27" s="4"/>
    </row>
    <row r="28" spans="1:7" ht="20.100000000000001" customHeight="1">
      <c r="A28" s="13" t="s">
        <v>80</v>
      </c>
      <c r="B28" s="204">
        <v>1</v>
      </c>
      <c r="C28" s="204">
        <v>0</v>
      </c>
      <c r="D28" s="204">
        <v>1</v>
      </c>
      <c r="E28" s="204">
        <v>0</v>
      </c>
      <c r="F28" s="204">
        <v>0</v>
      </c>
      <c r="G28" s="4"/>
    </row>
    <row r="29" spans="1:7" ht="20.100000000000001" customHeight="1">
      <c r="A29" s="13" t="s">
        <v>13</v>
      </c>
      <c r="B29" s="204">
        <v>2</v>
      </c>
      <c r="C29" s="204">
        <v>0</v>
      </c>
      <c r="D29" s="204">
        <v>2</v>
      </c>
      <c r="E29" s="204">
        <v>0</v>
      </c>
      <c r="F29" s="204">
        <v>0</v>
      </c>
      <c r="G29" s="4"/>
    </row>
    <row r="30" spans="1:7" ht="20.100000000000001" customHeight="1">
      <c r="A30" s="13" t="s">
        <v>82</v>
      </c>
      <c r="B30" s="204">
        <v>4</v>
      </c>
      <c r="C30" s="204">
        <v>1</v>
      </c>
      <c r="D30" s="204">
        <v>3</v>
      </c>
      <c r="E30" s="204">
        <v>0</v>
      </c>
      <c r="F30" s="204">
        <v>2</v>
      </c>
      <c r="G30" s="4"/>
    </row>
    <row r="31" spans="1:7" ht="20.100000000000001" customHeight="1">
      <c r="A31" s="13" t="s">
        <v>305</v>
      </c>
      <c r="B31" s="204">
        <v>5</v>
      </c>
      <c r="C31" s="204">
        <v>0</v>
      </c>
      <c r="D31" s="204">
        <v>2</v>
      </c>
      <c r="E31" s="204">
        <v>3</v>
      </c>
      <c r="F31" s="204">
        <v>0</v>
      </c>
      <c r="G31" s="4"/>
    </row>
    <row r="32" spans="1:7" ht="20.100000000000001" customHeight="1">
      <c r="A32" s="175" t="s">
        <v>710</v>
      </c>
      <c r="B32" s="88">
        <v>18</v>
      </c>
      <c r="C32" s="88">
        <v>1</v>
      </c>
      <c r="D32" s="88">
        <v>12</v>
      </c>
      <c r="E32" s="88">
        <v>5</v>
      </c>
      <c r="F32" s="88">
        <v>2</v>
      </c>
      <c r="G32" s="4"/>
    </row>
    <row r="33" spans="1:6" ht="25.5" customHeight="1">
      <c r="A33" s="458" t="s">
        <v>711</v>
      </c>
      <c r="B33" s="447"/>
      <c r="C33" s="447"/>
      <c r="D33" s="447"/>
      <c r="E33" s="447"/>
      <c r="F33" s="447"/>
    </row>
  </sheetData>
  <sheetProtection algorithmName="SHA-512" hashValue="NMt/l7LmL5hCt+SaoUNLlYPoPqGhwAvdNkosYOo9A5slf8FlazeDMmQKyKlZ+OmwaclR75tbGIJ1lK8ancrReA==" saltValue="AV567j4x4fCkQddFLQJO8A==" spinCount="100000" sheet="1" objects="1" scenarios="1"/>
  <customSheetViews>
    <customSheetView guid="{5E62BE79-A4FD-4E7A-98EF-5A09C5274723}" showGridLines="0" showRuler="0">
      <selection activeCell="D10" sqref="D10"/>
      <pageMargins left="0.75" right="0.75" top="1" bottom="1" header="0.5" footer="0.5"/>
    </customSheetView>
  </customSheetViews>
  <mergeCells count="5">
    <mergeCell ref="A1:D1"/>
    <mergeCell ref="A2:C2"/>
    <mergeCell ref="A23:C23"/>
    <mergeCell ref="A24:C24"/>
    <mergeCell ref="A33:F3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E32"/>
  <sheetViews>
    <sheetView showGridLines="0" showRuler="0" topLeftCell="A10" workbookViewId="0">
      <selection activeCell="G27" sqref="G27"/>
    </sheetView>
  </sheetViews>
  <sheetFormatPr baseColWidth="10" defaultColWidth="13.7109375" defaultRowHeight="12.75"/>
  <cols>
    <col min="1" max="1" width="26.140625" customWidth="1"/>
    <col min="2" max="3" width="22.42578125" customWidth="1"/>
    <col min="4" max="4" width="104.5703125" customWidth="1"/>
  </cols>
  <sheetData>
    <row r="1" spans="1:5">
      <c r="A1" s="565" t="s">
        <v>1011</v>
      </c>
      <c r="B1" s="565"/>
      <c r="C1" s="565"/>
      <c r="D1" s="566"/>
    </row>
    <row r="2" spans="1:5" ht="60" customHeight="1"/>
    <row r="3" spans="1:5" ht="42.75" customHeight="1">
      <c r="A3" s="2" t="s">
        <v>712</v>
      </c>
      <c r="B3" s="3" t="s">
        <v>713</v>
      </c>
      <c r="C3" s="3" t="s">
        <v>1073</v>
      </c>
      <c r="D3" s="3" t="s">
        <v>714</v>
      </c>
      <c r="E3" s="4"/>
    </row>
    <row r="4" spans="1:5" ht="20.100000000000001" customHeight="1">
      <c r="A4" s="493" t="s">
        <v>129</v>
      </c>
      <c r="B4" s="189" t="s">
        <v>80</v>
      </c>
      <c r="C4" s="292"/>
      <c r="D4" s="294"/>
      <c r="E4" s="4"/>
    </row>
    <row r="5" spans="1:5" ht="20.100000000000001" customHeight="1">
      <c r="A5" s="493"/>
      <c r="B5" s="192" t="s">
        <v>130</v>
      </c>
      <c r="C5" s="207">
        <v>2019</v>
      </c>
      <c r="D5" s="5" t="s">
        <v>715</v>
      </c>
      <c r="E5" s="4"/>
    </row>
    <row r="6" spans="1:5" ht="20.100000000000001" customHeight="1">
      <c r="A6" s="444"/>
      <c r="B6" s="192" t="s">
        <v>131</v>
      </c>
      <c r="C6" s="207">
        <v>2019</v>
      </c>
      <c r="D6" s="5" t="s">
        <v>716</v>
      </c>
      <c r="E6" s="4"/>
    </row>
    <row r="7" spans="1:5" ht="20.100000000000001" customHeight="1">
      <c r="A7" s="493"/>
      <c r="B7" s="192" t="s">
        <v>717</v>
      </c>
      <c r="C7" s="207">
        <v>2019</v>
      </c>
      <c r="D7" s="5" t="s">
        <v>718</v>
      </c>
      <c r="E7" s="4"/>
    </row>
    <row r="8" spans="1:5" ht="20.100000000000001" customHeight="1">
      <c r="A8" s="493" t="s">
        <v>132</v>
      </c>
      <c r="B8" s="189" t="s">
        <v>305</v>
      </c>
      <c r="C8" s="306"/>
      <c r="D8" s="2"/>
      <c r="E8" s="4"/>
    </row>
    <row r="9" spans="1:5" ht="20.100000000000001" customHeight="1">
      <c r="A9" s="493"/>
      <c r="B9" s="192" t="s">
        <v>133</v>
      </c>
      <c r="C9" s="207">
        <v>2019</v>
      </c>
      <c r="D9" s="5" t="s">
        <v>716</v>
      </c>
      <c r="E9" s="4"/>
    </row>
    <row r="10" spans="1:5" ht="20.100000000000001" customHeight="1">
      <c r="A10" s="493"/>
      <c r="B10" s="189" t="s">
        <v>5</v>
      </c>
      <c r="C10" s="292"/>
      <c r="D10" s="294"/>
      <c r="E10" s="4"/>
    </row>
    <row r="11" spans="1:5" ht="20.100000000000001" customHeight="1">
      <c r="A11" s="493"/>
      <c r="B11" s="192" t="s">
        <v>39</v>
      </c>
      <c r="C11" s="207">
        <v>2019</v>
      </c>
      <c r="D11" s="5" t="s">
        <v>1087</v>
      </c>
      <c r="E11" s="4"/>
    </row>
    <row r="12" spans="1:5" ht="20.100000000000001" customHeight="1">
      <c r="A12" s="493"/>
      <c r="B12" s="192" t="s">
        <v>135</v>
      </c>
      <c r="C12" s="207">
        <v>2019</v>
      </c>
      <c r="D12" s="5" t="s">
        <v>1087</v>
      </c>
      <c r="E12" s="4"/>
    </row>
    <row r="13" spans="1:5" ht="20.100000000000001" customHeight="1">
      <c r="A13" s="493"/>
      <c r="B13" s="192" t="s">
        <v>6</v>
      </c>
      <c r="C13" s="207">
        <v>2019</v>
      </c>
      <c r="D13" s="5" t="s">
        <v>1087</v>
      </c>
      <c r="E13" s="4"/>
    </row>
    <row r="14" spans="1:5" ht="20.100000000000001" customHeight="1">
      <c r="A14" s="444"/>
      <c r="B14" s="189" t="s">
        <v>84</v>
      </c>
      <c r="C14" s="414"/>
      <c r="D14" s="414"/>
      <c r="E14" s="4"/>
    </row>
    <row r="15" spans="1:5" ht="20.100000000000001" customHeight="1">
      <c r="A15" s="444"/>
      <c r="B15" s="192" t="s">
        <v>719</v>
      </c>
      <c r="C15" s="207">
        <v>2017</v>
      </c>
      <c r="D15" s="5" t="s">
        <v>720</v>
      </c>
      <c r="E15" s="4"/>
    </row>
    <row r="16" spans="1:5" ht="20.100000000000001" customHeight="1">
      <c r="A16" s="493"/>
      <c r="B16" s="189" t="s">
        <v>9</v>
      </c>
      <c r="C16" s="292"/>
      <c r="D16" s="294"/>
      <c r="E16" s="4"/>
    </row>
    <row r="17" spans="1:5" ht="20.100000000000001" customHeight="1">
      <c r="A17" s="493"/>
      <c r="B17" s="195" t="s">
        <v>10</v>
      </c>
      <c r="C17" s="207">
        <v>2019</v>
      </c>
      <c r="D17" s="5" t="s">
        <v>1087</v>
      </c>
      <c r="E17" s="4"/>
    </row>
    <row r="18" spans="1:5" ht="20.100000000000001" customHeight="1">
      <c r="A18" s="493" t="s">
        <v>137</v>
      </c>
      <c r="B18" s="189" t="s">
        <v>37</v>
      </c>
      <c r="C18" s="292"/>
      <c r="D18" s="294"/>
      <c r="E18" s="4"/>
    </row>
    <row r="19" spans="1:5" ht="20.100000000000001" customHeight="1">
      <c r="A19" s="493"/>
      <c r="B19" s="195" t="s">
        <v>38</v>
      </c>
      <c r="C19" s="207">
        <v>2019</v>
      </c>
      <c r="D19" s="5" t="s">
        <v>1087</v>
      </c>
      <c r="E19" s="4"/>
    </row>
    <row r="20" spans="1:5" ht="20.100000000000001" customHeight="1">
      <c r="A20" s="493"/>
      <c r="B20" s="189" t="s">
        <v>82</v>
      </c>
      <c r="C20" s="292"/>
      <c r="D20" s="294"/>
      <c r="E20" s="4"/>
    </row>
    <row r="21" spans="1:5" ht="39.950000000000003" customHeight="1">
      <c r="A21" s="444"/>
      <c r="B21" s="195" t="s">
        <v>721</v>
      </c>
      <c r="C21" s="207">
        <v>2019</v>
      </c>
      <c r="D21" s="5" t="s">
        <v>722</v>
      </c>
      <c r="E21" s="4"/>
    </row>
    <row r="22" spans="1:5" ht="20.100000000000001" customHeight="1">
      <c r="A22" s="493"/>
      <c r="B22" s="195" t="s">
        <v>138</v>
      </c>
      <c r="C22" s="207">
        <v>2017</v>
      </c>
      <c r="D22" s="5" t="s">
        <v>723</v>
      </c>
      <c r="E22" s="4"/>
    </row>
    <row r="23" spans="1:5" ht="20.100000000000001" customHeight="1">
      <c r="A23" s="444"/>
      <c r="B23" s="195" t="s">
        <v>724</v>
      </c>
      <c r="C23" s="207">
        <v>2018</v>
      </c>
      <c r="D23" s="5" t="s">
        <v>725</v>
      </c>
      <c r="E23" s="4"/>
    </row>
    <row r="24" spans="1:5" ht="20.100000000000001" customHeight="1">
      <c r="A24" s="493"/>
      <c r="B24" s="189" t="s">
        <v>13</v>
      </c>
      <c r="C24" s="292"/>
      <c r="D24" s="294"/>
      <c r="E24" s="4"/>
    </row>
    <row r="25" spans="1:5" ht="20.100000000000001" customHeight="1">
      <c r="A25" s="444"/>
      <c r="B25" s="195" t="s">
        <v>726</v>
      </c>
      <c r="C25" s="207">
        <v>2019</v>
      </c>
      <c r="D25" s="5" t="s">
        <v>718</v>
      </c>
      <c r="E25" s="4"/>
    </row>
    <row r="26" spans="1:5" ht="20.100000000000001" customHeight="1">
      <c r="A26" s="493"/>
      <c r="B26" s="195" t="s">
        <v>13</v>
      </c>
      <c r="C26" s="207">
        <v>2018</v>
      </c>
      <c r="D26" s="5" t="s">
        <v>727</v>
      </c>
      <c r="E26" s="4"/>
    </row>
    <row r="27" spans="1:5" ht="20.100000000000001" customHeight="1">
      <c r="A27" s="444"/>
      <c r="B27" s="195" t="s">
        <v>728</v>
      </c>
      <c r="C27" s="207">
        <v>2017</v>
      </c>
      <c r="D27" s="35" t="s">
        <v>723</v>
      </c>
      <c r="E27" s="4"/>
    </row>
    <row r="28" spans="1:5" ht="20.100000000000001" customHeight="1">
      <c r="A28" s="493" t="s">
        <v>154</v>
      </c>
      <c r="B28" s="189" t="s">
        <v>25</v>
      </c>
      <c r="C28" s="292"/>
      <c r="D28" s="294"/>
      <c r="E28" s="4"/>
    </row>
    <row r="29" spans="1:5" ht="20.100000000000001" customHeight="1">
      <c r="A29" s="493"/>
      <c r="B29" s="195" t="s">
        <v>26</v>
      </c>
      <c r="C29" s="207">
        <v>2019</v>
      </c>
      <c r="D29" s="5" t="s">
        <v>716</v>
      </c>
      <c r="E29" s="4"/>
    </row>
    <row r="30" spans="1:5" ht="20.100000000000001" customHeight="1">
      <c r="A30" s="493"/>
      <c r="B30" s="195" t="s">
        <v>29</v>
      </c>
      <c r="C30" s="207">
        <v>2019</v>
      </c>
      <c r="D30" s="5" t="s">
        <v>716</v>
      </c>
      <c r="E30" s="4"/>
    </row>
    <row r="31" spans="1:5" ht="20.100000000000001" customHeight="1">
      <c r="A31" s="65" t="s">
        <v>141</v>
      </c>
      <c r="B31" s="12" t="s">
        <v>729</v>
      </c>
      <c r="C31" s="223">
        <v>1</v>
      </c>
      <c r="D31" s="2"/>
      <c r="E31" s="4"/>
    </row>
    <row r="32" spans="1:5" ht="60.75" customHeight="1">
      <c r="A32" s="448" t="s">
        <v>1088</v>
      </c>
      <c r="B32" s="447"/>
      <c r="C32" s="447"/>
      <c r="D32" s="447"/>
    </row>
  </sheetData>
  <sheetProtection algorithmName="SHA-512" hashValue="7MfWKRy4gEwtSfCfr28w+hn4msbUvsnuFN/7xsuK3US89UU3Lwco+fxyaOq0Wi1XChvyPNsF8MEixRgsJjKtJw==" saltValue="iP/x7pnp2XkJas4hwOF0sQ==" spinCount="100000" sheet="1" objects="1" scenarios="1"/>
  <customSheetViews>
    <customSheetView guid="{5E62BE79-A4FD-4E7A-98EF-5A09C5274723}" showGridLines="0" showRuler="0">
      <selection activeCell="B24" sqref="B24"/>
      <pageMargins left="0.75" right="0.75" top="1" bottom="1" header="0.5" footer="0.5"/>
    </customSheetView>
  </customSheetViews>
  <mergeCells count="6">
    <mergeCell ref="A32:D32"/>
    <mergeCell ref="A1:D1"/>
    <mergeCell ref="A4:A7"/>
    <mergeCell ref="A8:A17"/>
    <mergeCell ref="A18:A27"/>
    <mergeCell ref="A28:A30"/>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X31"/>
  <sheetViews>
    <sheetView showGridLines="0" showRuler="0" workbookViewId="0">
      <selection activeCell="D22" sqref="D22"/>
    </sheetView>
  </sheetViews>
  <sheetFormatPr baseColWidth="10" defaultColWidth="13.7109375" defaultRowHeight="12.75"/>
  <cols>
    <col min="1" max="1" width="26.140625" customWidth="1"/>
    <col min="2" max="8" width="21.140625" customWidth="1"/>
  </cols>
  <sheetData>
    <row r="1" spans="1:24" ht="13.5" customHeight="1">
      <c r="A1" s="449" t="s">
        <v>1012</v>
      </c>
      <c r="B1" s="449"/>
      <c r="C1" s="449"/>
      <c r="D1" s="449"/>
      <c r="E1" s="450"/>
      <c r="F1" s="449"/>
      <c r="G1" s="14"/>
      <c r="H1" s="14"/>
      <c r="I1" s="14"/>
      <c r="J1" s="14"/>
      <c r="K1" s="14"/>
      <c r="L1" s="14"/>
      <c r="M1" s="14"/>
      <c r="N1" s="14"/>
      <c r="O1" s="14"/>
      <c r="P1" s="14"/>
      <c r="Q1" s="14"/>
      <c r="R1" s="14"/>
      <c r="S1" s="14"/>
      <c r="T1" s="14"/>
      <c r="U1" s="14"/>
      <c r="V1" s="14"/>
      <c r="W1" s="14"/>
      <c r="X1" s="14"/>
    </row>
    <row r="2" spans="1:24" ht="60" customHeight="1">
      <c r="A2" s="55"/>
      <c r="B2" s="55"/>
      <c r="C2" s="55"/>
      <c r="D2" s="55"/>
      <c r="F2" s="55"/>
      <c r="G2" s="55"/>
      <c r="H2" s="55"/>
      <c r="I2" s="14"/>
      <c r="J2" s="14"/>
      <c r="K2" s="14"/>
      <c r="L2" s="14"/>
      <c r="M2" s="14"/>
      <c r="N2" s="14"/>
      <c r="O2" s="14"/>
      <c r="P2" s="14"/>
      <c r="Q2" s="14"/>
      <c r="R2" s="14"/>
      <c r="S2" s="14"/>
      <c r="T2" s="14"/>
      <c r="U2" s="14"/>
      <c r="V2" s="14"/>
      <c r="W2" s="14"/>
      <c r="X2" s="14"/>
    </row>
    <row r="3" spans="1:24" ht="16.5" customHeight="1">
      <c r="A3" s="550" t="s">
        <v>730</v>
      </c>
      <c r="B3" s="543" t="s">
        <v>118</v>
      </c>
      <c r="C3" s="567" t="s">
        <v>731</v>
      </c>
      <c r="D3" s="567"/>
      <c r="E3" s="444"/>
      <c r="F3" s="567" t="s">
        <v>732</v>
      </c>
      <c r="G3" s="567"/>
      <c r="H3" s="567"/>
      <c r="I3" s="4"/>
      <c r="J3" s="14"/>
      <c r="K3" s="14"/>
      <c r="L3" s="14"/>
      <c r="M3" s="14"/>
      <c r="N3" s="14"/>
      <c r="O3" s="14"/>
      <c r="P3" s="14"/>
      <c r="Q3" s="14"/>
      <c r="R3" s="14"/>
      <c r="S3" s="14"/>
      <c r="T3" s="14"/>
      <c r="U3" s="14"/>
      <c r="V3" s="14"/>
      <c r="W3" s="14"/>
      <c r="X3" s="14"/>
    </row>
    <row r="4" spans="1:24" ht="78" customHeight="1">
      <c r="A4" s="550"/>
      <c r="B4" s="543"/>
      <c r="C4" s="3" t="s">
        <v>733</v>
      </c>
      <c r="D4" s="3" t="s">
        <v>734</v>
      </c>
      <c r="E4" s="3" t="s">
        <v>735</v>
      </c>
      <c r="F4" s="3" t="s">
        <v>736</v>
      </c>
      <c r="G4" s="428" t="s">
        <v>1074</v>
      </c>
      <c r="H4" s="428" t="s">
        <v>1075</v>
      </c>
      <c r="I4" s="4"/>
      <c r="J4" s="14"/>
      <c r="K4" s="14"/>
      <c r="L4" s="14"/>
      <c r="M4" s="14"/>
      <c r="N4" s="14"/>
      <c r="O4" s="14"/>
      <c r="P4" s="14"/>
      <c r="Q4" s="14"/>
      <c r="R4" s="14"/>
      <c r="S4" s="14"/>
      <c r="T4" s="14"/>
      <c r="U4" s="14"/>
      <c r="V4" s="14"/>
      <c r="W4" s="14"/>
      <c r="X4" s="14"/>
    </row>
    <row r="5" spans="1:24" ht="20.100000000000001" customHeight="1">
      <c r="A5" s="65" t="s">
        <v>129</v>
      </c>
      <c r="B5" s="18" t="s">
        <v>80</v>
      </c>
      <c r="C5" s="207">
        <v>105</v>
      </c>
      <c r="D5" s="207">
        <v>95</v>
      </c>
      <c r="E5" s="308">
        <v>0.9</v>
      </c>
      <c r="F5" s="207">
        <v>29</v>
      </c>
      <c r="G5" s="207">
        <v>11</v>
      </c>
      <c r="H5" s="308">
        <v>0.38</v>
      </c>
      <c r="I5" s="4"/>
      <c r="J5" s="14"/>
      <c r="K5" s="14"/>
      <c r="L5" s="14"/>
      <c r="M5" s="14"/>
      <c r="N5" s="14"/>
      <c r="O5" s="14"/>
      <c r="P5" s="14"/>
      <c r="Q5" s="14"/>
      <c r="R5" s="14"/>
      <c r="S5" s="14"/>
      <c r="T5" s="14"/>
      <c r="U5" s="14"/>
      <c r="V5" s="14"/>
      <c r="W5" s="14"/>
      <c r="X5" s="14"/>
    </row>
    <row r="6" spans="1:24" ht="20.100000000000001" customHeight="1">
      <c r="A6" s="65" t="s">
        <v>132</v>
      </c>
      <c r="B6" s="18" t="s">
        <v>305</v>
      </c>
      <c r="C6" s="207">
        <v>207</v>
      </c>
      <c r="D6" s="207">
        <v>139</v>
      </c>
      <c r="E6" s="308">
        <v>0.67</v>
      </c>
      <c r="F6" s="207">
        <v>52</v>
      </c>
      <c r="G6" s="207">
        <v>0</v>
      </c>
      <c r="H6" s="308">
        <v>0</v>
      </c>
      <c r="I6" s="4"/>
      <c r="J6" s="14"/>
      <c r="K6" s="14"/>
      <c r="L6" s="14"/>
      <c r="M6" s="14"/>
      <c r="N6" s="14"/>
      <c r="O6" s="14"/>
      <c r="P6" s="14"/>
      <c r="Q6" s="14"/>
      <c r="R6" s="14"/>
      <c r="S6" s="14"/>
      <c r="T6" s="14"/>
      <c r="U6" s="14"/>
      <c r="V6" s="14"/>
      <c r="W6" s="14"/>
      <c r="X6" s="14"/>
    </row>
    <row r="7" spans="1:24" ht="20.100000000000001" customHeight="1">
      <c r="A7" s="65" t="s">
        <v>137</v>
      </c>
      <c r="B7" s="18" t="s">
        <v>13</v>
      </c>
      <c r="C7" s="207">
        <v>218</v>
      </c>
      <c r="D7" s="207">
        <v>76</v>
      </c>
      <c r="E7" s="308">
        <v>0.35000000000000003</v>
      </c>
      <c r="F7" s="207">
        <v>39</v>
      </c>
      <c r="G7" s="207">
        <v>26</v>
      </c>
      <c r="H7" s="308">
        <v>0.67</v>
      </c>
      <c r="I7" s="4"/>
    </row>
    <row r="8" spans="1:24" ht="20.100000000000001" customHeight="1">
      <c r="A8" s="65" t="s">
        <v>154</v>
      </c>
      <c r="B8" s="18" t="s">
        <v>25</v>
      </c>
      <c r="C8" s="207">
        <v>217</v>
      </c>
      <c r="D8" s="207">
        <v>148</v>
      </c>
      <c r="E8" s="308">
        <v>0.68</v>
      </c>
      <c r="F8" s="207">
        <v>57</v>
      </c>
      <c r="G8" s="207">
        <v>0</v>
      </c>
      <c r="H8" s="308">
        <v>0</v>
      </c>
      <c r="I8" s="4"/>
    </row>
    <row r="9" spans="1:24" ht="20.100000000000001" customHeight="1">
      <c r="A9" s="65" t="s">
        <v>141</v>
      </c>
      <c r="B9" s="12" t="s">
        <v>85</v>
      </c>
      <c r="C9" s="309">
        <v>747</v>
      </c>
      <c r="D9" s="309">
        <v>458</v>
      </c>
      <c r="E9" s="223">
        <v>0.61</v>
      </c>
      <c r="F9" s="309">
        <v>177</v>
      </c>
      <c r="G9" s="309">
        <v>37</v>
      </c>
      <c r="H9" s="310">
        <v>0.21</v>
      </c>
      <c r="I9" s="4"/>
      <c r="J9" s="14"/>
      <c r="K9" s="14"/>
      <c r="L9" s="14"/>
      <c r="M9" s="14"/>
      <c r="N9" s="14"/>
      <c r="O9" s="14"/>
      <c r="P9" s="14"/>
      <c r="Q9" s="14"/>
      <c r="R9" s="14"/>
      <c r="S9" s="14"/>
      <c r="T9" s="14"/>
      <c r="U9" s="14"/>
      <c r="V9" s="14"/>
      <c r="W9" s="14"/>
      <c r="X9" s="14"/>
    </row>
    <row r="10" spans="1:24" ht="63" customHeight="1">
      <c r="A10" s="446" t="s">
        <v>737</v>
      </c>
      <c r="B10" s="446"/>
      <c r="C10" s="446"/>
      <c r="D10" s="446"/>
      <c r="E10" s="447"/>
      <c r="F10" s="446"/>
      <c r="G10" s="446"/>
      <c r="H10" s="446"/>
      <c r="I10" s="14"/>
      <c r="J10" s="14"/>
      <c r="K10" s="14"/>
      <c r="L10" s="14"/>
      <c r="M10" s="14"/>
      <c r="N10" s="14"/>
      <c r="O10" s="14"/>
      <c r="P10" s="14"/>
      <c r="Q10" s="14"/>
      <c r="R10" s="14"/>
      <c r="S10" s="14"/>
      <c r="T10" s="14"/>
      <c r="U10" s="14"/>
      <c r="V10" s="14"/>
      <c r="W10" s="14"/>
      <c r="X10" s="14"/>
    </row>
    <row r="28" spans="4:4">
      <c r="D28" s="377"/>
    </row>
    <row r="31" spans="4:4" ht="120.75" customHeight="1"/>
  </sheetData>
  <sheetProtection algorithmName="SHA-512" hashValue="mVqjMXmkK2pdFCYVz+GoZM4zrsznOv59E3tL2wXgaWHyXGRgX6f/vdLZKmU3qrTSeuj1HeBa6oSCvRYK467vnA==" saltValue="uYGz4Wog/aIyI/oJVqVjag==" spinCount="100000" sheet="1" objects="1" scenarios="1"/>
  <customSheetViews>
    <customSheetView guid="{5E62BE79-A4FD-4E7A-98EF-5A09C5274723}" showGridLines="0" showRuler="0">
      <selection activeCell="D22" sqref="D22"/>
      <pageMargins left="0.75" right="0.75" top="1" bottom="1" header="0.5" footer="0.5"/>
    </customSheetView>
  </customSheetViews>
  <mergeCells count="6">
    <mergeCell ref="A10:H10"/>
    <mergeCell ref="A1:F1"/>
    <mergeCell ref="C3:E3"/>
    <mergeCell ref="B3:B4"/>
    <mergeCell ref="A3:A4"/>
    <mergeCell ref="F3:H3"/>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J31"/>
  <sheetViews>
    <sheetView showGridLines="0" showRuler="0" workbookViewId="0">
      <selection activeCell="C18" sqref="C18"/>
    </sheetView>
  </sheetViews>
  <sheetFormatPr baseColWidth="10" defaultColWidth="13.7109375" defaultRowHeight="12.75"/>
  <cols>
    <col min="1" max="1" width="26.140625" customWidth="1"/>
    <col min="2" max="2" width="25.140625" customWidth="1"/>
    <col min="3" max="9" width="17.28515625" customWidth="1"/>
  </cols>
  <sheetData>
    <row r="1" spans="1:10">
      <c r="A1" s="449" t="s">
        <v>1013</v>
      </c>
      <c r="B1" s="449"/>
      <c r="C1" s="449"/>
      <c r="D1" s="449"/>
      <c r="E1" s="449"/>
    </row>
    <row r="2" spans="1:10" ht="60" customHeight="1"/>
    <row r="3" spans="1:10" ht="21.75" customHeight="1">
      <c r="A3" s="550" t="s">
        <v>738</v>
      </c>
      <c r="B3" s="543" t="s">
        <v>594</v>
      </c>
      <c r="C3" s="567" t="s">
        <v>739</v>
      </c>
      <c r="D3" s="567"/>
      <c r="E3" s="567" t="s">
        <v>740</v>
      </c>
      <c r="F3" s="567"/>
      <c r="G3" s="567"/>
      <c r="H3" s="567"/>
      <c r="I3" s="307"/>
      <c r="J3" s="4"/>
    </row>
    <row r="4" spans="1:10" ht="36.75" customHeight="1">
      <c r="A4" s="550"/>
      <c r="B4" s="543"/>
      <c r="C4" s="3" t="s">
        <v>741</v>
      </c>
      <c r="D4" s="3" t="s">
        <v>742</v>
      </c>
      <c r="E4" s="3" t="s">
        <v>743</v>
      </c>
      <c r="F4" s="3" t="s">
        <v>744</v>
      </c>
      <c r="G4" s="3" t="s">
        <v>745</v>
      </c>
      <c r="H4" s="3" t="s">
        <v>746</v>
      </c>
      <c r="I4" s="3" t="s">
        <v>747</v>
      </c>
      <c r="J4" s="4"/>
    </row>
    <row r="5" spans="1:10" ht="20.100000000000001" customHeight="1">
      <c r="A5" s="493" t="s">
        <v>129</v>
      </c>
      <c r="B5" s="192" t="s">
        <v>537</v>
      </c>
      <c r="C5" s="207">
        <v>3</v>
      </c>
      <c r="D5" s="220">
        <v>12</v>
      </c>
      <c r="E5" s="220">
        <v>110</v>
      </c>
      <c r="F5" s="220">
        <v>0</v>
      </c>
      <c r="G5" s="220">
        <v>0</v>
      </c>
      <c r="H5" s="220">
        <v>16</v>
      </c>
      <c r="I5" s="300">
        <v>0.8</v>
      </c>
      <c r="J5" s="4"/>
    </row>
    <row r="6" spans="1:10" ht="20.100000000000001" customHeight="1">
      <c r="A6" s="493"/>
      <c r="B6" s="192" t="s">
        <v>130</v>
      </c>
      <c r="C6" s="207">
        <v>1</v>
      </c>
      <c r="D6" s="220">
        <v>2</v>
      </c>
      <c r="E6" s="220">
        <v>318</v>
      </c>
      <c r="F6" s="220">
        <v>60</v>
      </c>
      <c r="G6" s="220">
        <v>20</v>
      </c>
      <c r="H6" s="220">
        <v>0</v>
      </c>
      <c r="I6" s="300">
        <v>1</v>
      </c>
      <c r="J6" s="4"/>
    </row>
    <row r="7" spans="1:10" ht="20.100000000000001" customHeight="1">
      <c r="A7" s="493"/>
      <c r="B7" s="192" t="s">
        <v>131</v>
      </c>
      <c r="C7" s="207">
        <v>13</v>
      </c>
      <c r="D7" s="220">
        <v>17</v>
      </c>
      <c r="E7" s="220">
        <v>499</v>
      </c>
      <c r="F7" s="220">
        <v>147</v>
      </c>
      <c r="G7" s="220">
        <v>6</v>
      </c>
      <c r="H7" s="220">
        <v>0</v>
      </c>
      <c r="I7" s="300">
        <v>1</v>
      </c>
      <c r="J7" s="4"/>
    </row>
    <row r="8" spans="1:10" ht="20.100000000000001" customHeight="1">
      <c r="A8" s="493" t="s">
        <v>132</v>
      </c>
      <c r="B8" s="195" t="s">
        <v>719</v>
      </c>
      <c r="C8" s="201" t="s">
        <v>65</v>
      </c>
      <c r="D8" s="220">
        <v>69</v>
      </c>
      <c r="E8" s="220">
        <v>4</v>
      </c>
      <c r="F8" s="220">
        <v>76</v>
      </c>
      <c r="G8" s="220">
        <v>18</v>
      </c>
      <c r="H8" s="220">
        <v>0</v>
      </c>
      <c r="I8" s="300">
        <v>1</v>
      </c>
      <c r="J8" s="4"/>
    </row>
    <row r="9" spans="1:10" ht="20.100000000000001" customHeight="1">
      <c r="A9" s="444"/>
      <c r="B9" s="195" t="s">
        <v>10</v>
      </c>
      <c r="C9" s="201" t="s">
        <v>65</v>
      </c>
      <c r="D9" s="220">
        <v>60</v>
      </c>
      <c r="E9" s="220">
        <v>1686</v>
      </c>
      <c r="F9" s="220">
        <v>570</v>
      </c>
      <c r="G9" s="220">
        <v>100</v>
      </c>
      <c r="H9" s="220">
        <v>0</v>
      </c>
      <c r="I9" s="300">
        <v>1</v>
      </c>
      <c r="J9" s="4"/>
    </row>
    <row r="10" spans="1:10" ht="20.100000000000001" customHeight="1">
      <c r="A10" s="493" t="s">
        <v>137</v>
      </c>
      <c r="B10" s="195" t="s">
        <v>38</v>
      </c>
      <c r="C10" s="207">
        <v>2</v>
      </c>
      <c r="D10" s="220">
        <v>2</v>
      </c>
      <c r="E10" s="220">
        <v>19</v>
      </c>
      <c r="F10" s="220">
        <v>44</v>
      </c>
      <c r="G10" s="220">
        <v>50</v>
      </c>
      <c r="H10" s="220">
        <v>0</v>
      </c>
      <c r="I10" s="300">
        <v>1</v>
      </c>
      <c r="J10" s="4"/>
    </row>
    <row r="11" spans="1:10" ht="20.100000000000001" customHeight="1">
      <c r="A11" s="493"/>
      <c r="B11" s="195" t="s">
        <v>138</v>
      </c>
      <c r="C11" s="207">
        <v>10</v>
      </c>
      <c r="D11" s="220">
        <v>30</v>
      </c>
      <c r="E11" s="220">
        <v>22</v>
      </c>
      <c r="F11" s="220">
        <v>135</v>
      </c>
      <c r="G11" s="220">
        <v>51</v>
      </c>
      <c r="H11" s="220">
        <v>0</v>
      </c>
      <c r="I11" s="300">
        <v>0.92</v>
      </c>
      <c r="J11" s="4"/>
    </row>
    <row r="12" spans="1:10" ht="20.100000000000001" customHeight="1">
      <c r="A12" s="493"/>
      <c r="B12" s="195" t="s">
        <v>748</v>
      </c>
      <c r="C12" s="220">
        <v>2223</v>
      </c>
      <c r="D12" s="220">
        <v>14742</v>
      </c>
      <c r="E12" s="220">
        <v>8</v>
      </c>
      <c r="F12" s="220">
        <v>662</v>
      </c>
      <c r="G12" s="220">
        <v>594</v>
      </c>
      <c r="H12" s="220">
        <v>0</v>
      </c>
      <c r="I12" s="300">
        <v>1</v>
      </c>
      <c r="J12" s="4"/>
    </row>
    <row r="13" spans="1:10" ht="59.1" customHeight="1">
      <c r="A13" s="446" t="s">
        <v>749</v>
      </c>
      <c r="B13" s="446"/>
      <c r="C13" s="446"/>
      <c r="D13" s="446"/>
      <c r="E13" s="446"/>
      <c r="F13" s="446"/>
      <c r="G13" s="446"/>
      <c r="H13" s="446"/>
      <c r="I13" s="446"/>
    </row>
    <row r="28" spans="4:4">
      <c r="D28" s="377"/>
    </row>
    <row r="31" spans="4:4" ht="120.75" customHeight="1"/>
  </sheetData>
  <sheetProtection algorithmName="SHA-512" hashValue="2cwmA0cD9cgkbE9HMMAPT0evzOPpFzE5nl1dL8bN0jEGfUOHsLX02vFRbL69AUlkWkSpSSJVlF8ADNH4RuFawQ==" saltValue="zO9+C9PhIJWtBMXLAOaLgw==" spinCount="100000" sheet="1" objects="1" scenarios="1"/>
  <customSheetViews>
    <customSheetView guid="{5E62BE79-A4FD-4E7A-98EF-5A09C5274723}" showGridLines="0" showRuler="0">
      <selection activeCell="C18" sqref="C18"/>
      <pageMargins left="0.75" right="0.75" top="1" bottom="1" header="0.5" footer="0.5"/>
    </customSheetView>
  </customSheetViews>
  <mergeCells count="9">
    <mergeCell ref="A10:A12"/>
    <mergeCell ref="A13:I13"/>
    <mergeCell ref="A1:E1"/>
    <mergeCell ref="A8:A9"/>
    <mergeCell ref="A3:A4"/>
    <mergeCell ref="B3:B4"/>
    <mergeCell ref="A5:A7"/>
    <mergeCell ref="C3:D3"/>
    <mergeCell ref="E3:H3"/>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M32"/>
  <sheetViews>
    <sheetView showGridLines="0" showRuler="0" workbookViewId="0">
      <selection activeCell="A2" sqref="A2:XFD2"/>
    </sheetView>
  </sheetViews>
  <sheetFormatPr baseColWidth="10" defaultColWidth="13.7109375" defaultRowHeight="12.75"/>
  <cols>
    <col min="1" max="8" width="26.140625" customWidth="1"/>
  </cols>
  <sheetData>
    <row r="1" spans="1:13">
      <c r="A1" s="449" t="s">
        <v>1014</v>
      </c>
      <c r="B1" s="449"/>
      <c r="C1" s="449"/>
      <c r="D1" s="450"/>
      <c r="E1" s="450"/>
    </row>
    <row r="2" spans="1:13" ht="60" customHeight="1"/>
    <row r="3" spans="1:13" ht="41.25" customHeight="1">
      <c r="A3" s="2" t="s">
        <v>750</v>
      </c>
      <c r="B3" s="3" t="s">
        <v>594</v>
      </c>
      <c r="C3" s="3" t="s">
        <v>751</v>
      </c>
      <c r="D3" s="3" t="s">
        <v>752</v>
      </c>
      <c r="E3" s="3" t="s">
        <v>753</v>
      </c>
      <c r="F3" s="3" t="s">
        <v>754</v>
      </c>
      <c r="G3" s="3" t="s">
        <v>755</v>
      </c>
      <c r="H3" s="3" t="s">
        <v>756</v>
      </c>
      <c r="I3" s="4"/>
    </row>
    <row r="4" spans="1:13" ht="20.100000000000001" customHeight="1">
      <c r="A4" s="493" t="s">
        <v>129</v>
      </c>
      <c r="B4" s="189" t="s">
        <v>80</v>
      </c>
      <c r="C4" s="292"/>
      <c r="D4" s="292"/>
      <c r="E4" s="292"/>
      <c r="F4" s="292"/>
      <c r="G4" s="292"/>
      <c r="H4" s="292"/>
      <c r="I4" s="4"/>
    </row>
    <row r="5" spans="1:13" ht="20.100000000000001" customHeight="1">
      <c r="A5" s="493"/>
      <c r="B5" s="192" t="s">
        <v>130</v>
      </c>
      <c r="C5" s="5" t="s">
        <v>306</v>
      </c>
      <c r="D5" s="220">
        <v>2436</v>
      </c>
      <c r="E5" s="5" t="s">
        <v>757</v>
      </c>
      <c r="F5" s="220">
        <v>424</v>
      </c>
      <c r="G5" s="220">
        <v>185</v>
      </c>
      <c r="H5" s="220">
        <v>609</v>
      </c>
      <c r="I5" s="4"/>
      <c r="J5" s="14"/>
      <c r="K5" s="14"/>
      <c r="L5" s="14"/>
      <c r="M5" s="14"/>
    </row>
    <row r="6" spans="1:13" ht="20.100000000000001" customHeight="1">
      <c r="A6" s="493"/>
      <c r="B6" s="192" t="s">
        <v>131</v>
      </c>
      <c r="C6" s="5" t="s">
        <v>306</v>
      </c>
      <c r="D6" s="220">
        <v>5168</v>
      </c>
      <c r="E6" s="5" t="s">
        <v>758</v>
      </c>
      <c r="F6" s="220">
        <v>584</v>
      </c>
      <c r="G6" s="220">
        <v>708</v>
      </c>
      <c r="H6" s="220">
        <v>1292</v>
      </c>
      <c r="I6" s="4"/>
      <c r="J6" s="14"/>
      <c r="K6" s="14"/>
      <c r="L6" s="14"/>
      <c r="M6" s="14"/>
    </row>
    <row r="7" spans="1:13" ht="20.100000000000001" customHeight="1">
      <c r="A7" s="493" t="s">
        <v>137</v>
      </c>
      <c r="B7" s="189" t="s">
        <v>82</v>
      </c>
      <c r="C7" s="294"/>
      <c r="D7" s="292"/>
      <c r="E7" s="292"/>
      <c r="F7" s="292"/>
      <c r="G7" s="292"/>
      <c r="H7" s="292"/>
      <c r="I7" s="4"/>
    </row>
    <row r="8" spans="1:13" ht="20.100000000000001" customHeight="1">
      <c r="A8" s="493"/>
      <c r="B8" s="195" t="s">
        <v>138</v>
      </c>
      <c r="C8" s="5" t="s">
        <v>306</v>
      </c>
      <c r="D8" s="220">
        <v>1404</v>
      </c>
      <c r="E8" s="5" t="s">
        <v>759</v>
      </c>
      <c r="F8" s="207">
        <v>43</v>
      </c>
      <c r="G8" s="207">
        <v>191</v>
      </c>
      <c r="H8" s="207">
        <v>248</v>
      </c>
      <c r="I8" s="4"/>
      <c r="J8" s="14"/>
      <c r="K8" s="14"/>
      <c r="L8" s="14"/>
      <c r="M8" s="14"/>
    </row>
    <row r="9" spans="1:13" ht="20.100000000000001" customHeight="1">
      <c r="A9" s="493"/>
      <c r="B9" s="189" t="s">
        <v>13</v>
      </c>
      <c r="C9" s="294"/>
      <c r="D9" s="292"/>
      <c r="E9" s="294"/>
      <c r="F9" s="292"/>
      <c r="G9" s="292"/>
      <c r="H9" s="292"/>
      <c r="I9" s="4"/>
    </row>
    <row r="10" spans="1:13" ht="20.100000000000001" customHeight="1">
      <c r="A10" s="493"/>
      <c r="B10" s="195" t="s">
        <v>14</v>
      </c>
      <c r="C10" s="5" t="s">
        <v>306</v>
      </c>
      <c r="D10" s="207">
        <v>58</v>
      </c>
      <c r="E10" s="5" t="s">
        <v>758</v>
      </c>
      <c r="F10" s="207">
        <v>17</v>
      </c>
      <c r="G10" s="207">
        <v>43</v>
      </c>
      <c r="H10" s="207">
        <v>60</v>
      </c>
      <c r="I10" s="4"/>
      <c r="J10" s="14"/>
      <c r="K10" s="14"/>
      <c r="L10" s="14"/>
      <c r="M10" s="14"/>
    </row>
    <row r="11" spans="1:13" ht="20.100000000000001" customHeight="1">
      <c r="A11" s="493" t="s">
        <v>154</v>
      </c>
      <c r="B11" s="189" t="s">
        <v>25</v>
      </c>
      <c r="C11" s="294"/>
      <c r="D11" s="292"/>
      <c r="E11" s="292"/>
      <c r="F11" s="292"/>
      <c r="G11" s="292"/>
      <c r="H11" s="292"/>
      <c r="I11" s="4"/>
    </row>
    <row r="12" spans="1:13" ht="20.100000000000001" customHeight="1">
      <c r="A12" s="493"/>
      <c r="B12" s="192" t="s">
        <v>29</v>
      </c>
      <c r="C12" s="5" t="s">
        <v>306</v>
      </c>
      <c r="D12" s="220">
        <v>2460</v>
      </c>
      <c r="E12" s="5" t="s">
        <v>760</v>
      </c>
      <c r="F12" s="207">
        <v>246</v>
      </c>
      <c r="G12" s="207">
        <v>0</v>
      </c>
      <c r="H12" s="207">
        <v>246</v>
      </c>
      <c r="I12" s="4"/>
      <c r="J12" s="14"/>
      <c r="K12" s="14"/>
      <c r="L12" s="14"/>
      <c r="M12" s="14"/>
    </row>
    <row r="13" spans="1:13" ht="43.35" customHeight="1">
      <c r="A13" s="446" t="s">
        <v>761</v>
      </c>
      <c r="B13" s="447"/>
      <c r="C13" s="447"/>
      <c r="D13" s="447"/>
      <c r="E13" s="447"/>
      <c r="F13" s="447"/>
      <c r="G13" s="447"/>
      <c r="H13" s="447"/>
    </row>
    <row r="29" spans="4:4">
      <c r="D29" s="377"/>
    </row>
    <row r="32" spans="4:4" ht="120.75" customHeight="1"/>
  </sheetData>
  <sheetProtection algorithmName="SHA-512" hashValue="yKDz+74CH2iPaqUWV8M2k+VsZLV/IDPuD34hQqISl9mtspoaKWhGTn3PcQuAUtng5XMOrZkLOSrtU5rp73/w1Q==" saltValue="p6nCA61NFTAa+UlB6GliQw==" spinCount="100000" sheet="1" objects="1" scenarios="1"/>
  <customSheetViews>
    <customSheetView guid="{5E62BE79-A4FD-4E7A-98EF-5A09C5274723}" showGridLines="0" showRuler="0">
      <selection activeCell="A2" sqref="A2:XFD2"/>
      <pageMargins left="0.75" right="0.75" top="1" bottom="1" header="0.5" footer="0.5"/>
    </customSheetView>
  </customSheetViews>
  <mergeCells count="5">
    <mergeCell ref="A1:E1"/>
    <mergeCell ref="A4:A6"/>
    <mergeCell ref="A7:A10"/>
    <mergeCell ref="A11:A12"/>
    <mergeCell ref="A13:H13"/>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D31"/>
  <sheetViews>
    <sheetView showGridLines="0" showRuler="0" topLeftCell="A10" workbookViewId="0">
      <selection activeCell="C18" sqref="C18"/>
    </sheetView>
  </sheetViews>
  <sheetFormatPr baseColWidth="10" defaultColWidth="13.7109375" defaultRowHeight="12.75"/>
  <cols>
    <col min="1" max="1" width="39.7109375" customWidth="1"/>
    <col min="2" max="2" width="47.85546875" customWidth="1"/>
    <col min="3" max="3" width="45.7109375" customWidth="1"/>
    <col min="4" max="5" width="25.5703125" customWidth="1"/>
  </cols>
  <sheetData>
    <row r="1" spans="1:4" ht="17.25" customHeight="1">
      <c r="A1" s="449" t="s">
        <v>1015</v>
      </c>
      <c r="B1" s="449"/>
      <c r="C1" s="450"/>
      <c r="D1" s="450"/>
    </row>
    <row r="2" spans="1:4" ht="60" customHeight="1"/>
    <row r="3" spans="1:4" ht="30.75" customHeight="1">
      <c r="A3" s="311" t="s">
        <v>762</v>
      </c>
      <c r="B3" s="415" t="s">
        <v>1016</v>
      </c>
      <c r="C3" s="4"/>
    </row>
    <row r="4" spans="1:4" ht="20.100000000000001" customHeight="1">
      <c r="A4" s="234" t="s">
        <v>657</v>
      </c>
      <c r="B4" s="234" t="s">
        <v>763</v>
      </c>
      <c r="C4" s="4"/>
      <c r="D4" s="50"/>
    </row>
    <row r="5" spans="1:4" ht="20.100000000000001" customHeight="1">
      <c r="A5" s="312" t="s">
        <v>764</v>
      </c>
      <c r="B5" s="312" t="s">
        <v>765</v>
      </c>
      <c r="C5" s="4"/>
      <c r="D5" s="50"/>
    </row>
    <row r="6" spans="1:4" ht="20.100000000000001" customHeight="1">
      <c r="A6" s="234" t="s">
        <v>655</v>
      </c>
      <c r="B6" s="234" t="s">
        <v>766</v>
      </c>
      <c r="C6" s="4"/>
      <c r="D6" s="313"/>
    </row>
    <row r="7" spans="1:4" ht="60" customHeight="1">
      <c r="A7" s="234" t="s">
        <v>767</v>
      </c>
      <c r="B7" s="234" t="s">
        <v>768</v>
      </c>
      <c r="C7" s="4"/>
    </row>
    <row r="8" spans="1:4" ht="60" customHeight="1">
      <c r="A8" s="234" t="s">
        <v>769</v>
      </c>
      <c r="B8" s="234" t="s">
        <v>770</v>
      </c>
      <c r="C8" s="4"/>
    </row>
    <row r="9" spans="1:4" ht="91.5" customHeight="1">
      <c r="A9" s="234" t="s">
        <v>771</v>
      </c>
      <c r="B9" s="234" t="s">
        <v>772</v>
      </c>
      <c r="C9" s="4"/>
    </row>
    <row r="10" spans="1:4" ht="91.5" customHeight="1">
      <c r="A10" s="234" t="s">
        <v>773</v>
      </c>
      <c r="B10" s="234" t="s">
        <v>774</v>
      </c>
      <c r="C10" s="4"/>
    </row>
    <row r="11" spans="1:4" ht="91.5" customHeight="1">
      <c r="A11" s="234" t="s">
        <v>775</v>
      </c>
      <c r="B11" s="234" t="s">
        <v>776</v>
      </c>
      <c r="C11" s="4"/>
    </row>
    <row r="12" spans="1:4" ht="39.950000000000003" customHeight="1">
      <c r="A12" s="234" t="s">
        <v>777</v>
      </c>
      <c r="B12" s="234" t="s">
        <v>778</v>
      </c>
      <c r="C12" s="4"/>
    </row>
    <row r="13" spans="1:4" ht="20.100000000000001" customHeight="1">
      <c r="A13" s="234" t="s">
        <v>779</v>
      </c>
      <c r="B13" s="234" t="s">
        <v>780</v>
      </c>
      <c r="C13" s="4"/>
    </row>
    <row r="14" spans="1:4" ht="20.100000000000001" customHeight="1">
      <c r="A14" s="234" t="s">
        <v>781</v>
      </c>
      <c r="B14" s="234" t="s">
        <v>782</v>
      </c>
      <c r="C14" s="4"/>
    </row>
    <row r="15" spans="1:4" ht="20.100000000000001" customHeight="1">
      <c r="A15" s="234" t="s">
        <v>656</v>
      </c>
      <c r="B15" s="234" t="s">
        <v>783</v>
      </c>
      <c r="C15" s="4"/>
    </row>
    <row r="16" spans="1:4" ht="20.100000000000001" customHeight="1">
      <c r="A16" s="234" t="s">
        <v>784</v>
      </c>
      <c r="B16" s="234" t="s">
        <v>785</v>
      </c>
      <c r="C16" s="4"/>
    </row>
    <row r="17" spans="1:4" ht="20.100000000000001" customHeight="1">
      <c r="A17" s="234" t="s">
        <v>786</v>
      </c>
      <c r="B17" s="234" t="s">
        <v>787</v>
      </c>
      <c r="C17" s="4"/>
    </row>
    <row r="18" spans="1:4" ht="240" customHeight="1">
      <c r="A18" s="568" t="s">
        <v>1076</v>
      </c>
      <c r="B18" s="447"/>
    </row>
    <row r="19" spans="1:4" ht="145.9" customHeight="1"/>
    <row r="28" spans="1:4">
      <c r="D28" s="377"/>
    </row>
    <row r="31" spans="1:4" ht="120.75" customHeight="1"/>
  </sheetData>
  <sheetProtection algorithmName="SHA-512" hashValue="X/lf5QjC3hvESxidJZZ3oXChkvzMwm1SdGpbu5B7zeDhvzdhu2wi5BsJimuLlPfrXE4fl509Xh+OyRR6gsnk3w==" saltValue="IR3f6KzI9wciuNKwPqr/hw==" spinCount="100000" sheet="1" objects="1" scenarios="1"/>
  <customSheetViews>
    <customSheetView guid="{5E62BE79-A4FD-4E7A-98EF-5A09C5274723}" showGridLines="0" showRuler="0" topLeftCell="A10">
      <selection activeCell="C18" sqref="C18"/>
      <pageMargins left="0.75" right="0.75" top="1" bottom="1" header="0.5" footer="0.5"/>
    </customSheetView>
  </customSheetViews>
  <mergeCells count="2">
    <mergeCell ref="A1:D1"/>
    <mergeCell ref="A18:B18"/>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Q32"/>
  <sheetViews>
    <sheetView showGridLines="0" showRuler="0" workbookViewId="0">
      <selection activeCell="B17" sqref="B17"/>
    </sheetView>
  </sheetViews>
  <sheetFormatPr baseColWidth="10" defaultColWidth="13.7109375" defaultRowHeight="12.75"/>
  <cols>
    <col min="1" max="1" width="26.140625" customWidth="1"/>
    <col min="2" max="5" width="24.85546875" customWidth="1"/>
    <col min="6" max="6" width="26.140625" customWidth="1"/>
  </cols>
  <sheetData>
    <row r="1" spans="1:17">
      <c r="A1" s="449" t="s">
        <v>1017</v>
      </c>
      <c r="B1" s="449"/>
      <c r="C1" s="449"/>
      <c r="D1" s="450"/>
    </row>
    <row r="2" spans="1:17" ht="60" customHeight="1"/>
    <row r="3" spans="1:17" ht="52.5" customHeight="1">
      <c r="A3" s="2" t="s">
        <v>788</v>
      </c>
      <c r="B3" s="3" t="s">
        <v>594</v>
      </c>
      <c r="C3" s="3" t="s">
        <v>789</v>
      </c>
      <c r="D3" s="3" t="s">
        <v>790</v>
      </c>
      <c r="E3" s="428" t="s">
        <v>1078</v>
      </c>
      <c r="F3" s="4"/>
    </row>
    <row r="4" spans="1:17" ht="20.100000000000001" customHeight="1">
      <c r="A4" s="493" t="s">
        <v>129</v>
      </c>
      <c r="B4" s="80" t="s">
        <v>80</v>
      </c>
      <c r="C4" s="181"/>
      <c r="D4" s="181"/>
      <c r="E4" s="181"/>
      <c r="F4" s="4"/>
    </row>
    <row r="5" spans="1:17" ht="20.100000000000001" customHeight="1">
      <c r="A5" s="493"/>
      <c r="B5" s="164" t="s">
        <v>130</v>
      </c>
      <c r="C5" s="258">
        <v>0</v>
      </c>
      <c r="D5" s="314" t="s">
        <v>318</v>
      </c>
      <c r="E5" s="314" t="s">
        <v>318</v>
      </c>
      <c r="F5" s="4"/>
    </row>
    <row r="6" spans="1:17" ht="20.100000000000001" customHeight="1">
      <c r="A6" s="493"/>
      <c r="B6" s="164" t="s">
        <v>131</v>
      </c>
      <c r="C6" s="258">
        <v>0</v>
      </c>
      <c r="D6" s="314" t="s">
        <v>318</v>
      </c>
      <c r="E6" s="314" t="s">
        <v>318</v>
      </c>
      <c r="F6" s="4"/>
    </row>
    <row r="7" spans="1:17" ht="20.100000000000001" customHeight="1">
      <c r="A7" s="493" t="s">
        <v>132</v>
      </c>
      <c r="B7" s="80" t="s">
        <v>81</v>
      </c>
      <c r="C7" s="181"/>
      <c r="D7" s="181"/>
      <c r="E7" s="181"/>
      <c r="F7" s="4"/>
    </row>
    <row r="8" spans="1:17" ht="20.100000000000001" customHeight="1">
      <c r="A8" s="493"/>
      <c r="B8" s="164" t="s">
        <v>133</v>
      </c>
      <c r="C8" s="258">
        <v>0</v>
      </c>
      <c r="D8" s="314" t="s">
        <v>318</v>
      </c>
      <c r="E8" s="314" t="s">
        <v>318</v>
      </c>
      <c r="F8" s="4"/>
    </row>
    <row r="9" spans="1:17" ht="20.100000000000001" customHeight="1">
      <c r="A9" s="493"/>
      <c r="B9" s="80" t="s">
        <v>5</v>
      </c>
      <c r="C9" s="181"/>
      <c r="D9" s="181"/>
      <c r="E9" s="181"/>
      <c r="F9" s="4"/>
    </row>
    <row r="10" spans="1:17" ht="20.100000000000001" customHeight="1">
      <c r="A10" s="493"/>
      <c r="B10" s="164" t="s">
        <v>39</v>
      </c>
      <c r="C10" s="258">
        <v>0</v>
      </c>
      <c r="D10" s="314" t="s">
        <v>318</v>
      </c>
      <c r="E10" s="314" t="s">
        <v>318</v>
      </c>
      <c r="F10" s="4"/>
    </row>
    <row r="11" spans="1:17" ht="20.100000000000001" customHeight="1">
      <c r="A11" s="493"/>
      <c r="B11" s="164" t="s">
        <v>135</v>
      </c>
      <c r="C11" s="258">
        <v>0</v>
      </c>
      <c r="D11" s="314" t="s">
        <v>318</v>
      </c>
      <c r="E11" s="314" t="s">
        <v>318</v>
      </c>
      <c r="F11" s="4"/>
    </row>
    <row r="12" spans="1:17" ht="20.100000000000001" customHeight="1">
      <c r="A12" s="493"/>
      <c r="B12" s="164" t="s">
        <v>6</v>
      </c>
      <c r="C12" s="258">
        <v>0</v>
      </c>
      <c r="D12" s="314" t="s">
        <v>318</v>
      </c>
      <c r="E12" s="314" t="s">
        <v>318</v>
      </c>
      <c r="F12" s="4"/>
    </row>
    <row r="13" spans="1:17" ht="20.100000000000001" customHeight="1">
      <c r="A13" s="493"/>
      <c r="B13" s="164" t="s">
        <v>136</v>
      </c>
      <c r="C13" s="258">
        <v>0</v>
      </c>
      <c r="D13" s="314" t="s">
        <v>318</v>
      </c>
      <c r="E13" s="314" t="s">
        <v>318</v>
      </c>
      <c r="F13" s="4"/>
    </row>
    <row r="14" spans="1:17" ht="20.100000000000001" customHeight="1">
      <c r="A14" s="493"/>
      <c r="B14" s="80" t="s">
        <v>9</v>
      </c>
      <c r="C14" s="181"/>
      <c r="D14" s="181"/>
      <c r="E14" s="181"/>
      <c r="F14" s="4"/>
    </row>
    <row r="15" spans="1:17" ht="111" customHeight="1">
      <c r="A15" s="493"/>
      <c r="B15" s="169" t="s">
        <v>10</v>
      </c>
      <c r="C15" s="258">
        <v>1</v>
      </c>
      <c r="D15" s="258">
        <v>1</v>
      </c>
      <c r="E15" s="413" t="s">
        <v>791</v>
      </c>
      <c r="F15" s="4"/>
      <c r="G15" s="14"/>
      <c r="H15" s="14"/>
      <c r="I15" s="14"/>
      <c r="J15" s="14"/>
      <c r="K15" s="14"/>
      <c r="L15" s="14"/>
      <c r="M15" s="14"/>
      <c r="N15" s="14"/>
      <c r="O15" s="14"/>
      <c r="P15" s="14"/>
      <c r="Q15" s="14"/>
    </row>
    <row r="16" spans="1:17" ht="20.100000000000001" customHeight="1">
      <c r="A16" s="493" t="s">
        <v>137</v>
      </c>
      <c r="B16" s="80" t="s">
        <v>37</v>
      </c>
      <c r="C16" s="181"/>
      <c r="D16" s="181"/>
      <c r="E16" s="181"/>
      <c r="F16" s="4"/>
    </row>
    <row r="17" spans="1:6" ht="20.100000000000001" customHeight="1">
      <c r="A17" s="493"/>
      <c r="B17" s="169" t="s">
        <v>38</v>
      </c>
      <c r="C17" s="258">
        <v>0</v>
      </c>
      <c r="D17" s="314" t="s">
        <v>318</v>
      </c>
      <c r="E17" s="314" t="s">
        <v>318</v>
      </c>
      <c r="F17" s="4"/>
    </row>
    <row r="18" spans="1:6" ht="20.100000000000001" customHeight="1">
      <c r="A18" s="493"/>
      <c r="B18" s="80" t="s">
        <v>82</v>
      </c>
      <c r="C18" s="181"/>
      <c r="D18" s="181"/>
      <c r="E18" s="181"/>
      <c r="F18" s="4"/>
    </row>
    <row r="19" spans="1:6" ht="20.100000000000001" customHeight="1">
      <c r="A19" s="493"/>
      <c r="B19" s="169" t="s">
        <v>138</v>
      </c>
      <c r="C19" s="258">
        <v>0</v>
      </c>
      <c r="D19" s="314" t="s">
        <v>318</v>
      </c>
      <c r="E19" s="314" t="s">
        <v>318</v>
      </c>
      <c r="F19" s="4"/>
    </row>
    <row r="20" spans="1:6" ht="20.100000000000001" customHeight="1">
      <c r="A20" s="493"/>
      <c r="B20" s="80" t="s">
        <v>13</v>
      </c>
      <c r="C20" s="181"/>
      <c r="D20" s="181"/>
      <c r="E20" s="181"/>
      <c r="F20" s="4"/>
    </row>
    <row r="21" spans="1:6" ht="20.100000000000001" customHeight="1">
      <c r="A21" s="493"/>
      <c r="B21" s="169" t="s">
        <v>14</v>
      </c>
      <c r="C21" s="258">
        <v>0</v>
      </c>
      <c r="D21" s="314" t="s">
        <v>318</v>
      </c>
      <c r="E21" s="314" t="s">
        <v>318</v>
      </c>
      <c r="F21" s="4"/>
    </row>
    <row r="22" spans="1:6" ht="20.100000000000001" customHeight="1">
      <c r="A22" s="493" t="s">
        <v>154</v>
      </c>
      <c r="B22" s="80" t="s">
        <v>25</v>
      </c>
      <c r="C22" s="181"/>
      <c r="D22" s="181"/>
      <c r="E22" s="181"/>
      <c r="F22" s="4"/>
    </row>
    <row r="23" spans="1:6" ht="20.100000000000001" customHeight="1">
      <c r="A23" s="493"/>
      <c r="B23" s="164" t="s">
        <v>26</v>
      </c>
      <c r="C23" s="258">
        <v>0</v>
      </c>
      <c r="D23" s="314" t="s">
        <v>318</v>
      </c>
      <c r="E23" s="314" t="s">
        <v>318</v>
      </c>
      <c r="F23" s="4"/>
    </row>
    <row r="24" spans="1:6" ht="20.100000000000001" customHeight="1">
      <c r="A24" s="493"/>
      <c r="B24" s="164" t="s">
        <v>140</v>
      </c>
      <c r="C24" s="314"/>
      <c r="D24" s="314" t="s">
        <v>318</v>
      </c>
      <c r="E24" s="314" t="s">
        <v>318</v>
      </c>
      <c r="F24" s="4"/>
    </row>
    <row r="25" spans="1:6" ht="20.100000000000001" customHeight="1">
      <c r="A25" s="493"/>
      <c r="B25" s="164" t="s">
        <v>29</v>
      </c>
      <c r="C25" s="258">
        <v>0</v>
      </c>
      <c r="D25" s="314" t="s">
        <v>318</v>
      </c>
      <c r="E25" s="314" t="s">
        <v>318</v>
      </c>
      <c r="F25" s="4"/>
    </row>
    <row r="26" spans="1:6" ht="20.100000000000001" customHeight="1">
      <c r="A26" s="65" t="s">
        <v>141</v>
      </c>
      <c r="B26" s="87" t="s">
        <v>85</v>
      </c>
      <c r="C26" s="88">
        <v>1</v>
      </c>
      <c r="D26" s="88">
        <v>1</v>
      </c>
      <c r="E26" s="181"/>
      <c r="F26" s="4"/>
    </row>
    <row r="27" spans="1:6" ht="82.5" customHeight="1">
      <c r="A27" s="445" t="s">
        <v>1077</v>
      </c>
      <c r="B27" s="447"/>
      <c r="C27" s="447"/>
      <c r="D27" s="447"/>
      <c r="E27" s="447"/>
    </row>
    <row r="29" spans="1:6" ht="42.6" customHeight="1">
      <c r="D29" s="377"/>
    </row>
    <row r="32" spans="1:6" ht="120.75" customHeight="1"/>
  </sheetData>
  <sheetProtection algorithmName="SHA-512" hashValue="Z1fW5g8G12SJGYUQpQziSrIvH83fhfxgkBzSaEOdlY78nwuo2G4W28rHSFdYJAH0O9jK67N33C1FQvodeYGTvQ==" saltValue="lXgTnFQRECBI79gEpLtt/w==" spinCount="100000" sheet="1" objects="1" scenarios="1"/>
  <customSheetViews>
    <customSheetView guid="{5E62BE79-A4FD-4E7A-98EF-5A09C5274723}" showGridLines="0" showRuler="0">
      <selection activeCell="B17" sqref="B17"/>
      <pageMargins left="0.75" right="0.75" top="1" bottom="1" header="0.5" footer="0.5"/>
    </customSheetView>
  </customSheetViews>
  <mergeCells count="6">
    <mergeCell ref="A27:E27"/>
    <mergeCell ref="A1:D1"/>
    <mergeCell ref="A4:A6"/>
    <mergeCell ref="A7:A15"/>
    <mergeCell ref="A16:A21"/>
    <mergeCell ref="A22:A25"/>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E32"/>
  <sheetViews>
    <sheetView showGridLines="0" showRuler="0" workbookViewId="0">
      <selection activeCell="C3" sqref="C3"/>
    </sheetView>
  </sheetViews>
  <sheetFormatPr baseColWidth="10" defaultColWidth="13.7109375" defaultRowHeight="12.75"/>
  <cols>
    <col min="1" max="1" width="27.5703125" customWidth="1"/>
    <col min="2" max="6" width="26.140625" customWidth="1"/>
  </cols>
  <sheetData>
    <row r="1" spans="1:5">
      <c r="A1" s="449" t="s">
        <v>1018</v>
      </c>
      <c r="B1" s="449"/>
      <c r="C1" s="449"/>
      <c r="D1" s="450"/>
    </row>
    <row r="2" spans="1:5" ht="60" customHeight="1"/>
    <row r="3" spans="1:5" ht="39.75" customHeight="1">
      <c r="A3" s="2" t="s">
        <v>792</v>
      </c>
      <c r="B3" s="3" t="s">
        <v>594</v>
      </c>
      <c r="C3" s="3" t="s">
        <v>793</v>
      </c>
      <c r="D3" s="3" t="s">
        <v>794</v>
      </c>
      <c r="E3" s="4"/>
    </row>
    <row r="4" spans="1:5" ht="20.100000000000001" customHeight="1">
      <c r="A4" s="493" t="s">
        <v>129</v>
      </c>
      <c r="B4" s="189" t="s">
        <v>80</v>
      </c>
      <c r="C4" s="292"/>
      <c r="D4" s="292"/>
      <c r="E4" s="4"/>
    </row>
    <row r="5" spans="1:5" ht="20.100000000000001" customHeight="1">
      <c r="A5" s="493"/>
      <c r="B5" s="192" t="s">
        <v>130</v>
      </c>
      <c r="C5" s="190" t="s">
        <v>306</v>
      </c>
      <c r="D5" s="207">
        <v>29</v>
      </c>
      <c r="E5" s="4"/>
    </row>
    <row r="6" spans="1:5" ht="20.100000000000001" customHeight="1">
      <c r="A6" s="493"/>
      <c r="B6" s="192" t="s">
        <v>131</v>
      </c>
      <c r="C6" s="190" t="s">
        <v>304</v>
      </c>
      <c r="D6" s="201" t="s">
        <v>318</v>
      </c>
      <c r="E6" s="4"/>
    </row>
    <row r="7" spans="1:5" ht="20.100000000000001" customHeight="1">
      <c r="A7" s="493" t="s">
        <v>132</v>
      </c>
      <c r="B7" s="189" t="s">
        <v>81</v>
      </c>
      <c r="C7" s="292"/>
      <c r="D7" s="295"/>
      <c r="E7" s="4"/>
    </row>
    <row r="8" spans="1:5" ht="20.100000000000001" customHeight="1">
      <c r="A8" s="493"/>
      <c r="B8" s="192" t="s">
        <v>133</v>
      </c>
      <c r="C8" s="190" t="s">
        <v>304</v>
      </c>
      <c r="D8" s="201" t="s">
        <v>318</v>
      </c>
      <c r="E8" s="4"/>
    </row>
    <row r="9" spans="1:5" ht="20.100000000000001" customHeight="1">
      <c r="A9" s="493"/>
      <c r="B9" s="189" t="s">
        <v>5</v>
      </c>
      <c r="C9" s="292"/>
      <c r="D9" s="295"/>
      <c r="E9" s="4"/>
    </row>
    <row r="10" spans="1:5" ht="20.100000000000001" customHeight="1">
      <c r="A10" s="493"/>
      <c r="B10" s="192" t="s">
        <v>39</v>
      </c>
      <c r="C10" s="190" t="s">
        <v>304</v>
      </c>
      <c r="D10" s="201" t="s">
        <v>318</v>
      </c>
      <c r="E10" s="4"/>
    </row>
    <row r="11" spans="1:5" ht="20.100000000000001" customHeight="1">
      <c r="A11" s="493"/>
      <c r="B11" s="192" t="s">
        <v>135</v>
      </c>
      <c r="C11" s="190" t="s">
        <v>304</v>
      </c>
      <c r="D11" s="201" t="s">
        <v>318</v>
      </c>
      <c r="E11" s="4"/>
    </row>
    <row r="12" spans="1:5" ht="20.100000000000001" customHeight="1">
      <c r="A12" s="493"/>
      <c r="B12" s="192" t="s">
        <v>6</v>
      </c>
      <c r="C12" s="190" t="s">
        <v>304</v>
      </c>
      <c r="D12" s="201" t="s">
        <v>318</v>
      </c>
      <c r="E12" s="4"/>
    </row>
    <row r="13" spans="1:5" ht="20.100000000000001" customHeight="1">
      <c r="A13" s="493"/>
      <c r="B13" s="192" t="s">
        <v>136</v>
      </c>
      <c r="C13" s="190" t="s">
        <v>304</v>
      </c>
      <c r="D13" s="201" t="s">
        <v>318</v>
      </c>
      <c r="E13" s="4"/>
    </row>
    <row r="14" spans="1:5" ht="20.100000000000001" customHeight="1">
      <c r="A14" s="493"/>
      <c r="B14" s="189" t="s">
        <v>9</v>
      </c>
      <c r="C14" s="292"/>
      <c r="D14" s="295"/>
      <c r="E14" s="4"/>
    </row>
    <row r="15" spans="1:5" ht="20.100000000000001" customHeight="1">
      <c r="A15" s="493"/>
      <c r="B15" s="195" t="s">
        <v>10</v>
      </c>
      <c r="C15" s="190" t="s">
        <v>304</v>
      </c>
      <c r="D15" s="201" t="s">
        <v>318</v>
      </c>
      <c r="E15" s="4"/>
    </row>
    <row r="16" spans="1:5" ht="20.100000000000001" customHeight="1">
      <c r="A16" s="493" t="s">
        <v>137</v>
      </c>
      <c r="B16" s="189" t="s">
        <v>37</v>
      </c>
      <c r="C16" s="292"/>
      <c r="D16" s="295"/>
      <c r="E16" s="4"/>
    </row>
    <row r="17" spans="1:5" ht="20.100000000000001" customHeight="1">
      <c r="A17" s="493"/>
      <c r="B17" s="195" t="s">
        <v>38</v>
      </c>
      <c r="C17" s="190" t="s">
        <v>304</v>
      </c>
      <c r="D17" s="201" t="s">
        <v>318</v>
      </c>
      <c r="E17" s="4"/>
    </row>
    <row r="18" spans="1:5" ht="20.100000000000001" customHeight="1">
      <c r="A18" s="493"/>
      <c r="B18" s="189" t="s">
        <v>82</v>
      </c>
      <c r="C18" s="292"/>
      <c r="D18" s="295"/>
      <c r="E18" s="4"/>
    </row>
    <row r="19" spans="1:5" ht="20.100000000000001" customHeight="1">
      <c r="A19" s="493"/>
      <c r="B19" s="195" t="s">
        <v>138</v>
      </c>
      <c r="C19" s="190" t="s">
        <v>304</v>
      </c>
      <c r="D19" s="201" t="s">
        <v>318</v>
      </c>
      <c r="E19" s="4"/>
    </row>
    <row r="20" spans="1:5" ht="20.100000000000001" customHeight="1">
      <c r="A20" s="493"/>
      <c r="B20" s="189" t="s">
        <v>13</v>
      </c>
      <c r="C20" s="292"/>
      <c r="D20" s="295"/>
      <c r="E20" s="4"/>
    </row>
    <row r="21" spans="1:5" ht="20.100000000000001" customHeight="1">
      <c r="A21" s="493"/>
      <c r="B21" s="195" t="s">
        <v>14</v>
      </c>
      <c r="C21" s="190" t="s">
        <v>304</v>
      </c>
      <c r="D21" s="201" t="s">
        <v>318</v>
      </c>
      <c r="E21" s="4"/>
    </row>
    <row r="22" spans="1:5" ht="20.100000000000001" customHeight="1">
      <c r="A22" s="493" t="s">
        <v>154</v>
      </c>
      <c r="B22" s="189" t="s">
        <v>25</v>
      </c>
      <c r="C22" s="292"/>
      <c r="D22" s="295"/>
      <c r="E22" s="4"/>
    </row>
    <row r="23" spans="1:5" ht="20.100000000000001" customHeight="1">
      <c r="A23" s="493"/>
      <c r="B23" s="192" t="s">
        <v>26</v>
      </c>
      <c r="C23" s="190" t="s">
        <v>304</v>
      </c>
      <c r="D23" s="201" t="s">
        <v>318</v>
      </c>
      <c r="E23" s="4"/>
    </row>
    <row r="24" spans="1:5" ht="20.100000000000001" customHeight="1">
      <c r="A24" s="493"/>
      <c r="B24" s="192" t="s">
        <v>140</v>
      </c>
      <c r="C24" s="190" t="s">
        <v>304</v>
      </c>
      <c r="D24" s="201" t="s">
        <v>318</v>
      </c>
      <c r="E24" s="4"/>
    </row>
    <row r="25" spans="1:5" ht="20.100000000000001" customHeight="1">
      <c r="A25" s="493"/>
      <c r="B25" s="192" t="s">
        <v>29</v>
      </c>
      <c r="C25" s="190" t="s">
        <v>304</v>
      </c>
      <c r="D25" s="201" t="s">
        <v>318</v>
      </c>
      <c r="E25" s="4"/>
    </row>
    <row r="26" spans="1:5" ht="20.100000000000001" customHeight="1">
      <c r="A26" s="65" t="s">
        <v>141</v>
      </c>
      <c r="B26" s="12" t="s">
        <v>85</v>
      </c>
      <c r="C26" s="309">
        <v>1</v>
      </c>
      <c r="D26" s="309">
        <v>29</v>
      </c>
      <c r="E26" s="4"/>
    </row>
    <row r="27" spans="1:5" ht="89.25" customHeight="1">
      <c r="A27" s="445" t="s">
        <v>1079</v>
      </c>
      <c r="B27" s="447"/>
      <c r="C27" s="447"/>
      <c r="D27" s="447"/>
    </row>
    <row r="29" spans="1:5">
      <c r="D29" s="377"/>
    </row>
    <row r="32" spans="1:5" ht="120.75" customHeight="1"/>
  </sheetData>
  <sheetProtection algorithmName="SHA-512" hashValue="29ow1xp2+65cCKfKhpYLtpKQobl5kwzRFRn2/m36Al3sZ+sujsZFFMxgWXSwRaxBt6mYYut7334U4sqOD3Zmug==" saltValue="oZiA1hfQrtG1WfueatgTlg==" spinCount="100000" sheet="1" objects="1" scenarios="1"/>
  <customSheetViews>
    <customSheetView guid="{5E62BE79-A4FD-4E7A-98EF-5A09C5274723}" showGridLines="0" showRuler="0">
      <selection activeCell="C3" sqref="C3"/>
      <pageMargins left="0.75" right="0.75" top="1" bottom="1" header="0.5" footer="0.5"/>
    </customSheetView>
  </customSheetViews>
  <mergeCells count="6">
    <mergeCell ref="A27:D27"/>
    <mergeCell ref="A1:D1"/>
    <mergeCell ref="A4:A6"/>
    <mergeCell ref="A7:A15"/>
    <mergeCell ref="A16:A21"/>
    <mergeCell ref="A22:A25"/>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G32"/>
  <sheetViews>
    <sheetView showGridLines="0" showRuler="0" workbookViewId="0">
      <selection activeCell="A2" sqref="A2:XFD2"/>
    </sheetView>
  </sheetViews>
  <sheetFormatPr baseColWidth="10" defaultColWidth="13.7109375" defaultRowHeight="12.75"/>
  <cols>
    <col min="1" max="6" width="23.5703125" customWidth="1"/>
  </cols>
  <sheetData>
    <row r="1" spans="1:7">
      <c r="A1" s="449" t="s">
        <v>1019</v>
      </c>
      <c r="B1" s="449"/>
      <c r="C1" s="449"/>
      <c r="D1" s="449"/>
      <c r="E1" s="449"/>
      <c r="F1" s="14"/>
      <c r="G1" s="14"/>
    </row>
    <row r="2" spans="1:7" ht="60" customHeight="1">
      <c r="A2" s="55"/>
      <c r="B2" s="55"/>
      <c r="C2" s="55"/>
      <c r="D2" s="55"/>
      <c r="E2" s="55"/>
      <c r="F2" s="55"/>
      <c r="G2" s="14"/>
    </row>
    <row r="3" spans="1:7" ht="68.25" customHeight="1">
      <c r="A3" s="2" t="s">
        <v>795</v>
      </c>
      <c r="B3" s="3" t="s">
        <v>594</v>
      </c>
      <c r="C3" s="3" t="s">
        <v>796</v>
      </c>
      <c r="D3" s="3" t="s">
        <v>797</v>
      </c>
      <c r="E3" s="3" t="s">
        <v>798</v>
      </c>
      <c r="F3" s="3" t="s">
        <v>799</v>
      </c>
      <c r="G3" s="4"/>
    </row>
    <row r="4" spans="1:7" ht="20.100000000000001" customHeight="1">
      <c r="A4" s="529" t="s">
        <v>129</v>
      </c>
      <c r="B4" s="189" t="s">
        <v>80</v>
      </c>
      <c r="C4" s="292"/>
      <c r="D4" s="292"/>
      <c r="E4" s="292"/>
      <c r="F4" s="292"/>
      <c r="G4" s="4"/>
    </row>
    <row r="5" spans="1:7" ht="20.100000000000001" customHeight="1">
      <c r="A5" s="530"/>
      <c r="B5" s="192" t="s">
        <v>130</v>
      </c>
      <c r="C5" s="315" t="s">
        <v>221</v>
      </c>
      <c r="D5" s="5" t="s">
        <v>306</v>
      </c>
      <c r="E5" s="5" t="s">
        <v>306</v>
      </c>
      <c r="F5" s="5" t="s">
        <v>306</v>
      </c>
      <c r="G5" s="4"/>
    </row>
    <row r="6" spans="1:7" ht="20.100000000000001" customHeight="1">
      <c r="A6" s="531"/>
      <c r="B6" s="192" t="s">
        <v>131</v>
      </c>
      <c r="C6" s="316" t="s">
        <v>158</v>
      </c>
      <c r="D6" s="5" t="s">
        <v>306</v>
      </c>
      <c r="E6" s="5" t="s">
        <v>306</v>
      </c>
      <c r="F6" s="5" t="s">
        <v>306</v>
      </c>
      <c r="G6" s="4"/>
    </row>
    <row r="7" spans="1:7" ht="20.100000000000001" customHeight="1">
      <c r="A7" s="529" t="s">
        <v>132</v>
      </c>
      <c r="B7" s="189" t="s">
        <v>81</v>
      </c>
      <c r="C7" s="294"/>
      <c r="D7" s="294"/>
      <c r="E7" s="294"/>
      <c r="F7" s="294"/>
      <c r="G7" s="4"/>
    </row>
    <row r="8" spans="1:7" ht="20.100000000000001" customHeight="1">
      <c r="A8" s="531"/>
      <c r="B8" s="192" t="s">
        <v>133</v>
      </c>
      <c r="C8" s="316" t="s">
        <v>160</v>
      </c>
      <c r="D8" s="5" t="s">
        <v>306</v>
      </c>
      <c r="E8" s="5" t="s">
        <v>306</v>
      </c>
      <c r="F8" s="5" t="s">
        <v>306</v>
      </c>
      <c r="G8" s="4"/>
    </row>
    <row r="9" spans="1:7" ht="20.100000000000001" customHeight="1">
      <c r="A9" s="529"/>
      <c r="B9" s="189" t="s">
        <v>82</v>
      </c>
      <c r="C9" s="294"/>
      <c r="D9" s="294"/>
      <c r="E9" s="294"/>
      <c r="F9" s="294"/>
      <c r="G9" s="4"/>
    </row>
    <row r="10" spans="1:7" ht="20.100000000000001" customHeight="1">
      <c r="A10" s="530"/>
      <c r="B10" s="195" t="s">
        <v>138</v>
      </c>
      <c r="C10" s="316" t="s">
        <v>800</v>
      </c>
      <c r="D10" s="5" t="s">
        <v>306</v>
      </c>
      <c r="E10" s="5" t="s">
        <v>306</v>
      </c>
      <c r="F10" s="5" t="s">
        <v>306</v>
      </c>
      <c r="G10" s="4"/>
    </row>
    <row r="11" spans="1:7" ht="20.100000000000001" customHeight="1">
      <c r="A11" s="530"/>
      <c r="B11" s="189" t="s">
        <v>13</v>
      </c>
      <c r="C11" s="294"/>
      <c r="D11" s="294"/>
      <c r="E11" s="294"/>
      <c r="F11" s="294"/>
      <c r="G11" s="4"/>
    </row>
    <row r="12" spans="1:7" ht="20.100000000000001" customHeight="1">
      <c r="A12" s="531"/>
      <c r="B12" s="195" t="s">
        <v>14</v>
      </c>
      <c r="C12" s="316" t="s">
        <v>801</v>
      </c>
      <c r="D12" s="5" t="s">
        <v>306</v>
      </c>
      <c r="E12" s="5" t="s">
        <v>306</v>
      </c>
      <c r="F12" s="5" t="s">
        <v>306</v>
      </c>
      <c r="G12" s="4"/>
    </row>
    <row r="13" spans="1:7" ht="20.100000000000001" customHeight="1">
      <c r="A13" s="529" t="s">
        <v>154</v>
      </c>
      <c r="B13" s="189" t="s">
        <v>25</v>
      </c>
      <c r="C13" s="294"/>
      <c r="D13" s="294"/>
      <c r="E13" s="294"/>
      <c r="F13" s="294"/>
      <c r="G13" s="4"/>
    </row>
    <row r="14" spans="1:7" ht="20.100000000000001" customHeight="1">
      <c r="A14" s="530"/>
      <c r="B14" s="192" t="s">
        <v>26</v>
      </c>
      <c r="C14" s="316" t="s">
        <v>800</v>
      </c>
      <c r="D14" s="5" t="s">
        <v>306</v>
      </c>
      <c r="E14" s="5" t="s">
        <v>306</v>
      </c>
      <c r="F14" s="5" t="s">
        <v>306</v>
      </c>
      <c r="G14" s="4"/>
    </row>
    <row r="15" spans="1:7" ht="20.100000000000001" customHeight="1">
      <c r="A15" s="530"/>
      <c r="B15" s="192" t="s">
        <v>140</v>
      </c>
      <c r="C15" s="316" t="s">
        <v>159</v>
      </c>
      <c r="D15" s="5" t="s">
        <v>306</v>
      </c>
      <c r="E15" s="5" t="s">
        <v>306</v>
      </c>
      <c r="F15" s="5" t="s">
        <v>306</v>
      </c>
      <c r="G15" s="4"/>
    </row>
    <row r="16" spans="1:7" ht="20.100000000000001" customHeight="1">
      <c r="A16" s="531"/>
      <c r="B16" s="192" t="s">
        <v>29</v>
      </c>
      <c r="C16" s="316" t="s">
        <v>221</v>
      </c>
      <c r="D16" s="5" t="s">
        <v>306</v>
      </c>
      <c r="E16" s="5" t="s">
        <v>306</v>
      </c>
      <c r="F16" s="5" t="s">
        <v>306</v>
      </c>
      <c r="G16" s="4"/>
    </row>
    <row r="17" spans="1:7" ht="50.25" customHeight="1">
      <c r="A17" s="446" t="s">
        <v>802</v>
      </c>
      <c r="B17" s="446"/>
      <c r="C17" s="446"/>
      <c r="D17" s="446"/>
      <c r="E17" s="446"/>
      <c r="F17" s="446"/>
      <c r="G17" s="14"/>
    </row>
    <row r="18" spans="1:7">
      <c r="A18" s="14"/>
      <c r="B18" s="14"/>
      <c r="C18" s="14"/>
      <c r="D18" s="14"/>
      <c r="E18" s="14"/>
      <c r="F18" s="14"/>
      <c r="G18" s="14"/>
    </row>
    <row r="19" spans="1:7">
      <c r="A19" s="14"/>
      <c r="B19" s="14"/>
      <c r="C19" s="14"/>
      <c r="D19" s="14"/>
      <c r="E19" s="14"/>
      <c r="F19" s="14"/>
      <c r="G19" s="14"/>
    </row>
    <row r="20" spans="1:7">
      <c r="A20" s="269"/>
      <c r="B20" s="269"/>
      <c r="C20" s="269"/>
      <c r="D20" s="269"/>
      <c r="E20" s="269"/>
      <c r="F20" s="269"/>
      <c r="G20" s="14"/>
    </row>
    <row r="29" spans="1:7">
      <c r="D29" s="377"/>
    </row>
    <row r="32" spans="1:7" ht="120.75" customHeight="1"/>
  </sheetData>
  <sheetProtection algorithmName="SHA-512" hashValue="G+AWQCU6J0vtgs1tSSGloKIdkG9GtIMTyaw5yBqSRGtwwkwQEzaqiWlfUe1U+DnjKcrbDsq8c8zEvn9f8gTiyQ==" saltValue="6/sPJaSzOySH3v4K5DNiig==" spinCount="100000" sheet="1" objects="1" scenarios="1"/>
  <customSheetViews>
    <customSheetView guid="{5E62BE79-A4FD-4E7A-98EF-5A09C5274723}" showGridLines="0" showRuler="0">
      <selection activeCell="A2" sqref="A2:XFD2"/>
      <pageMargins left="0.75" right="0.75" top="1" bottom="1" header="0.5" footer="0.5"/>
      <pageSetup orientation="portrait" r:id="rId1"/>
    </customSheetView>
  </customSheetViews>
  <mergeCells count="6">
    <mergeCell ref="A17:F17"/>
    <mergeCell ref="A1:E1"/>
    <mergeCell ref="A4:A6"/>
    <mergeCell ref="A7:A8"/>
    <mergeCell ref="A9:A12"/>
    <mergeCell ref="A13:A16"/>
  </mergeCells>
  <pageMargins left="0.75" right="0.75" top="1" bottom="1" header="0.5" footer="0.5"/>
  <pageSetup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J31"/>
  <sheetViews>
    <sheetView showGridLines="0" showRuler="0" topLeftCell="A10" workbookViewId="0">
      <selection activeCell="F15" sqref="F15"/>
    </sheetView>
  </sheetViews>
  <sheetFormatPr baseColWidth="10" defaultColWidth="13.7109375" defaultRowHeight="12.75"/>
  <cols>
    <col min="1" max="1" width="25.7109375" customWidth="1"/>
    <col min="2" max="5" width="23.7109375" customWidth="1"/>
    <col min="6" max="6" width="30.28515625" customWidth="1"/>
  </cols>
  <sheetData>
    <row r="1" spans="1:10">
      <c r="A1" s="449" t="s">
        <v>803</v>
      </c>
      <c r="B1" s="569"/>
      <c r="C1" s="569"/>
      <c r="D1" s="569"/>
    </row>
    <row r="2" spans="1:10" ht="60" customHeight="1">
      <c r="F2" s="183"/>
    </row>
    <row r="3" spans="1:10" ht="28.5" customHeight="1">
      <c r="A3" s="2" t="s">
        <v>804</v>
      </c>
      <c r="B3" s="3" t="s">
        <v>805</v>
      </c>
      <c r="C3" s="3" t="s">
        <v>806</v>
      </c>
      <c r="D3" s="3" t="s">
        <v>807</v>
      </c>
      <c r="E3" s="3" t="s">
        <v>808</v>
      </c>
      <c r="F3" s="4"/>
    </row>
    <row r="4" spans="1:10" ht="20.100000000000001" customHeight="1">
      <c r="A4" s="493" t="s">
        <v>129</v>
      </c>
      <c r="B4" s="189" t="s">
        <v>80</v>
      </c>
      <c r="C4" s="317">
        <v>6500000</v>
      </c>
      <c r="D4" s="317">
        <v>130000</v>
      </c>
      <c r="E4" s="317">
        <v>6630000</v>
      </c>
      <c r="F4" s="4"/>
      <c r="G4" s="14"/>
      <c r="H4" s="14"/>
      <c r="I4" s="14"/>
      <c r="J4" s="14"/>
    </row>
    <row r="5" spans="1:10" ht="20.100000000000001" customHeight="1">
      <c r="A5" s="493"/>
      <c r="B5" s="192" t="s">
        <v>130</v>
      </c>
      <c r="C5" s="318">
        <v>4200000</v>
      </c>
      <c r="D5" s="318">
        <v>90000</v>
      </c>
      <c r="E5" s="318">
        <v>4290000</v>
      </c>
      <c r="F5" s="4"/>
      <c r="G5" s="14"/>
      <c r="H5" s="14"/>
      <c r="I5" s="14"/>
    </row>
    <row r="6" spans="1:10" ht="20.100000000000001" customHeight="1">
      <c r="A6" s="493"/>
      <c r="B6" s="192" t="s">
        <v>131</v>
      </c>
      <c r="C6" s="318">
        <v>2300000</v>
      </c>
      <c r="D6" s="318">
        <v>40000</v>
      </c>
      <c r="E6" s="318">
        <v>2340000</v>
      </c>
      <c r="F6" s="4"/>
      <c r="G6" s="14"/>
      <c r="H6" s="14"/>
      <c r="I6" s="14"/>
    </row>
    <row r="7" spans="1:10" ht="20.100000000000001" customHeight="1">
      <c r="A7" s="493" t="s">
        <v>132</v>
      </c>
      <c r="B7" s="189" t="s">
        <v>81</v>
      </c>
      <c r="C7" s="317">
        <v>550000</v>
      </c>
      <c r="D7" s="317">
        <v>0</v>
      </c>
      <c r="E7" s="317">
        <v>550000</v>
      </c>
      <c r="F7" s="4"/>
      <c r="G7" s="14"/>
      <c r="H7" s="14"/>
      <c r="I7" s="14"/>
    </row>
    <row r="8" spans="1:10" ht="20.100000000000001" customHeight="1">
      <c r="A8" s="493"/>
      <c r="B8" s="192" t="s">
        <v>133</v>
      </c>
      <c r="C8" s="318">
        <v>550000</v>
      </c>
      <c r="D8" s="318">
        <v>0</v>
      </c>
      <c r="E8" s="318">
        <v>550000</v>
      </c>
      <c r="F8" s="4"/>
      <c r="G8" s="14"/>
      <c r="H8" s="14"/>
      <c r="I8" s="14"/>
    </row>
    <row r="9" spans="1:10" ht="20.100000000000001" customHeight="1">
      <c r="A9" s="493"/>
      <c r="B9" s="189" t="s">
        <v>5</v>
      </c>
      <c r="C9" s="317">
        <v>430000</v>
      </c>
      <c r="D9" s="317">
        <v>2250000</v>
      </c>
      <c r="E9" s="317">
        <v>2680000</v>
      </c>
      <c r="F9" s="4"/>
      <c r="G9" s="14"/>
      <c r="H9" s="14"/>
      <c r="I9" s="14"/>
    </row>
    <row r="10" spans="1:10" ht="20.100000000000001" customHeight="1">
      <c r="A10" s="493"/>
      <c r="B10" s="192" t="s">
        <v>39</v>
      </c>
      <c r="C10" s="318">
        <v>170000</v>
      </c>
      <c r="D10" s="318">
        <v>30000</v>
      </c>
      <c r="E10" s="318">
        <v>200000</v>
      </c>
      <c r="F10" s="4"/>
      <c r="G10" s="14"/>
      <c r="H10" s="14"/>
      <c r="I10" s="14"/>
    </row>
    <row r="11" spans="1:10" ht="20.100000000000001" customHeight="1">
      <c r="A11" s="493"/>
      <c r="B11" s="192" t="s">
        <v>135</v>
      </c>
      <c r="C11" s="318">
        <v>0</v>
      </c>
      <c r="D11" s="318">
        <v>100000</v>
      </c>
      <c r="E11" s="318">
        <v>100000</v>
      </c>
      <c r="F11" s="4"/>
      <c r="G11" s="14"/>
      <c r="H11" s="14"/>
      <c r="I11" s="14"/>
    </row>
    <row r="12" spans="1:10" ht="20.100000000000001" customHeight="1">
      <c r="A12" s="493"/>
      <c r="B12" s="192" t="s">
        <v>6</v>
      </c>
      <c r="C12" s="318">
        <v>230000</v>
      </c>
      <c r="D12" s="318">
        <v>330000</v>
      </c>
      <c r="E12" s="318">
        <v>560000</v>
      </c>
      <c r="F12" s="4"/>
      <c r="G12" s="14"/>
      <c r="I12" s="14"/>
    </row>
    <row r="13" spans="1:10" ht="20.100000000000001" customHeight="1">
      <c r="A13" s="493"/>
      <c r="B13" s="192" t="s">
        <v>136</v>
      </c>
      <c r="C13" s="318">
        <v>30000</v>
      </c>
      <c r="D13" s="318">
        <v>70000</v>
      </c>
      <c r="E13" s="318">
        <v>110000</v>
      </c>
      <c r="F13" s="4"/>
    </row>
    <row r="14" spans="1:10" ht="20.100000000000001" customHeight="1">
      <c r="A14" s="444"/>
      <c r="B14" s="192" t="s">
        <v>809</v>
      </c>
      <c r="C14" s="318">
        <v>0</v>
      </c>
      <c r="D14" s="318">
        <v>1710000</v>
      </c>
      <c r="E14" s="318">
        <v>1710000</v>
      </c>
      <c r="F14" s="4"/>
    </row>
    <row r="15" spans="1:10" ht="20.100000000000001" customHeight="1">
      <c r="A15" s="493"/>
      <c r="B15" s="189" t="s">
        <v>9</v>
      </c>
      <c r="C15" s="317">
        <v>1550000</v>
      </c>
      <c r="D15" s="317">
        <v>370000</v>
      </c>
      <c r="E15" s="317">
        <v>1920000</v>
      </c>
      <c r="F15" s="4"/>
    </row>
    <row r="16" spans="1:10" ht="20.100000000000001" customHeight="1">
      <c r="A16" s="493"/>
      <c r="B16" s="195" t="s">
        <v>10</v>
      </c>
      <c r="C16" s="318">
        <v>1550000</v>
      </c>
      <c r="D16" s="318">
        <v>370000</v>
      </c>
      <c r="E16" s="318">
        <v>1920000</v>
      </c>
      <c r="F16" s="4"/>
    </row>
    <row r="17" spans="1:9" ht="20.100000000000001" customHeight="1">
      <c r="A17" s="493" t="s">
        <v>137</v>
      </c>
      <c r="B17" s="189" t="s">
        <v>37</v>
      </c>
      <c r="C17" s="317">
        <v>5320000</v>
      </c>
      <c r="D17" s="317">
        <v>0</v>
      </c>
      <c r="E17" s="317">
        <v>5320000</v>
      </c>
      <c r="F17" s="4"/>
    </row>
    <row r="18" spans="1:9" ht="20.100000000000001" customHeight="1">
      <c r="A18" s="493"/>
      <c r="B18" s="195" t="s">
        <v>38</v>
      </c>
      <c r="C18" s="318">
        <v>5320000</v>
      </c>
      <c r="D18" s="318">
        <v>0</v>
      </c>
      <c r="E18" s="318">
        <v>5320000</v>
      </c>
      <c r="F18" s="4"/>
    </row>
    <row r="19" spans="1:9" ht="20.100000000000001" customHeight="1">
      <c r="A19" s="493"/>
      <c r="B19" s="189" t="s">
        <v>82</v>
      </c>
      <c r="C19" s="317">
        <v>460000</v>
      </c>
      <c r="D19" s="317">
        <v>130000</v>
      </c>
      <c r="E19" s="317">
        <v>600000</v>
      </c>
      <c r="F19" s="4"/>
    </row>
    <row r="20" spans="1:9" ht="20.100000000000001" customHeight="1">
      <c r="A20" s="493"/>
      <c r="B20" s="195" t="s">
        <v>138</v>
      </c>
      <c r="C20" s="318">
        <v>460000</v>
      </c>
      <c r="D20" s="318">
        <v>130000</v>
      </c>
      <c r="E20" s="318">
        <v>600000</v>
      </c>
      <c r="F20" s="4"/>
    </row>
    <row r="21" spans="1:9" ht="20.100000000000001" customHeight="1">
      <c r="A21" s="493"/>
      <c r="B21" s="189" t="s">
        <v>13</v>
      </c>
      <c r="C21" s="317">
        <v>4160000</v>
      </c>
      <c r="D21" s="317">
        <v>450000</v>
      </c>
      <c r="E21" s="317">
        <v>4610000</v>
      </c>
      <c r="F21" s="4"/>
    </row>
    <row r="22" spans="1:9" ht="20.100000000000001" customHeight="1">
      <c r="A22" s="493"/>
      <c r="B22" s="195" t="s">
        <v>14</v>
      </c>
      <c r="C22" s="318">
        <v>4160000</v>
      </c>
      <c r="D22" s="318">
        <v>450000</v>
      </c>
      <c r="E22" s="318">
        <v>4610000</v>
      </c>
      <c r="F22" s="4"/>
    </row>
    <row r="23" spans="1:9" ht="20.100000000000001" customHeight="1">
      <c r="A23" s="493" t="s">
        <v>154</v>
      </c>
      <c r="B23" s="189" t="s">
        <v>25</v>
      </c>
      <c r="C23" s="317">
        <v>900000</v>
      </c>
      <c r="D23" s="317">
        <v>120000</v>
      </c>
      <c r="E23" s="317">
        <v>1020000</v>
      </c>
      <c r="F23" s="4"/>
    </row>
    <row r="24" spans="1:9" ht="20.100000000000001" customHeight="1">
      <c r="A24" s="493"/>
      <c r="B24" s="192" t="s">
        <v>26</v>
      </c>
      <c r="C24" s="318">
        <v>210000</v>
      </c>
      <c r="D24" s="318">
        <v>40000</v>
      </c>
      <c r="E24" s="318">
        <v>250000</v>
      </c>
      <c r="F24" s="4"/>
    </row>
    <row r="25" spans="1:9" ht="20.100000000000001" customHeight="1">
      <c r="A25" s="444"/>
      <c r="B25" s="192" t="s">
        <v>140</v>
      </c>
      <c r="C25" s="318">
        <v>180000</v>
      </c>
      <c r="D25" s="318">
        <v>0</v>
      </c>
      <c r="E25" s="318">
        <v>180000</v>
      </c>
      <c r="F25" s="4"/>
    </row>
    <row r="26" spans="1:9" ht="20.100000000000001" customHeight="1">
      <c r="A26" s="493"/>
      <c r="B26" s="192" t="s">
        <v>29</v>
      </c>
      <c r="C26" s="318">
        <v>510000</v>
      </c>
      <c r="D26" s="318">
        <v>80000</v>
      </c>
      <c r="E26" s="318">
        <v>590000</v>
      </c>
      <c r="F26" s="4"/>
    </row>
    <row r="27" spans="1:9" ht="20.100000000000001" customHeight="1">
      <c r="A27" s="65" t="s">
        <v>141</v>
      </c>
      <c r="B27" s="12" t="s">
        <v>85</v>
      </c>
      <c r="C27" s="317">
        <v>19870000</v>
      </c>
      <c r="D27" s="317">
        <v>3460000</v>
      </c>
      <c r="E27" s="317">
        <v>23330000</v>
      </c>
      <c r="F27" s="4"/>
      <c r="G27" s="14"/>
      <c r="H27" s="14"/>
      <c r="I27" s="14"/>
    </row>
    <row r="28" spans="1:9" ht="120" customHeight="1">
      <c r="A28" s="458" t="s">
        <v>810</v>
      </c>
      <c r="B28" s="458"/>
      <c r="C28" s="458"/>
      <c r="D28" s="458"/>
      <c r="E28" s="458"/>
      <c r="F28" s="14"/>
    </row>
    <row r="31" spans="1:9" ht="120.75" customHeight="1"/>
  </sheetData>
  <sheetProtection algorithmName="SHA-512" hashValue="XNOSnohkVEOZU7AYNUPQePuQ8yHlvm4bG3NNcBxDIagX2c7GzwV+rcTpH6fp2IiL8PvS8dzIF3h3WCyQxk3yqA==" saltValue="nY8iN9q/dW/IGGQYEnMdAQ==" spinCount="100000" sheet="1" objects="1" scenarios="1"/>
  <customSheetViews>
    <customSheetView guid="{5E62BE79-A4FD-4E7A-98EF-5A09C5274723}" showGridLines="0" showRuler="0" topLeftCell="A10">
      <selection activeCell="F15" sqref="F15"/>
      <pageMargins left="0.75" right="0.75" top="1" bottom="1" header="0.5" footer="0.5"/>
    </customSheetView>
  </customSheetViews>
  <mergeCells count="6">
    <mergeCell ref="A23:A26"/>
    <mergeCell ref="A28:E28"/>
    <mergeCell ref="A1:D1"/>
    <mergeCell ref="A4:A6"/>
    <mergeCell ref="A7:A16"/>
    <mergeCell ref="A17:A22"/>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I77"/>
  <sheetViews>
    <sheetView showGridLines="0" showRuler="0" topLeftCell="A19" workbookViewId="0">
      <selection activeCell="C16" sqref="C16"/>
    </sheetView>
  </sheetViews>
  <sheetFormatPr baseColWidth="10" defaultColWidth="13.7109375" defaultRowHeight="12.75"/>
  <cols>
    <col min="1" max="8" width="21.7109375" customWidth="1"/>
  </cols>
  <sheetData>
    <row r="1" spans="1:9">
      <c r="A1" s="449" t="s">
        <v>811</v>
      </c>
      <c r="B1" s="449"/>
      <c r="C1" s="449"/>
      <c r="D1" s="450"/>
    </row>
    <row r="2" spans="1:9" ht="60" customHeight="1"/>
    <row r="3" spans="1:9" ht="18.75" customHeight="1">
      <c r="A3" s="570" t="s">
        <v>812</v>
      </c>
      <c r="B3" s="570"/>
      <c r="C3" s="570"/>
      <c r="D3" s="570"/>
      <c r="E3" s="570"/>
      <c r="F3" s="570"/>
      <c r="G3" s="570"/>
      <c r="H3" s="570"/>
      <c r="I3" s="4"/>
    </row>
    <row r="4" spans="1:9" ht="27.6" customHeight="1">
      <c r="A4" s="319" t="s">
        <v>118</v>
      </c>
      <c r="B4" s="319" t="s">
        <v>813</v>
      </c>
      <c r="C4" s="319" t="s">
        <v>814</v>
      </c>
      <c r="D4" s="319" t="s">
        <v>815</v>
      </c>
      <c r="E4" s="319" t="s">
        <v>816</v>
      </c>
      <c r="F4" s="319" t="s">
        <v>817</v>
      </c>
      <c r="G4" s="319" t="s">
        <v>818</v>
      </c>
      <c r="H4" s="319" t="s">
        <v>85</v>
      </c>
      <c r="I4" s="4"/>
    </row>
    <row r="5" spans="1:9" ht="20.100000000000001" customHeight="1">
      <c r="A5" s="320" t="s">
        <v>37</v>
      </c>
      <c r="B5" s="321">
        <v>86700000</v>
      </c>
      <c r="C5" s="321">
        <v>56500000</v>
      </c>
      <c r="D5" s="321">
        <v>55000000</v>
      </c>
      <c r="E5" s="321">
        <v>400000</v>
      </c>
      <c r="F5" s="321">
        <v>63400000</v>
      </c>
      <c r="G5" s="321">
        <v>5300000</v>
      </c>
      <c r="H5" s="322">
        <v>267.3</v>
      </c>
      <c r="I5" s="4"/>
    </row>
    <row r="6" spans="1:9" ht="20.100000000000001" customHeight="1">
      <c r="A6" s="320" t="s">
        <v>25</v>
      </c>
      <c r="B6" s="321">
        <v>858900000</v>
      </c>
      <c r="C6" s="321">
        <v>291600000</v>
      </c>
      <c r="D6" s="321">
        <v>246000000</v>
      </c>
      <c r="E6" s="321">
        <v>12500000</v>
      </c>
      <c r="F6" s="321">
        <v>211000000</v>
      </c>
      <c r="G6" s="321">
        <v>1000000</v>
      </c>
      <c r="H6" s="322">
        <v>1620.5</v>
      </c>
      <c r="I6" s="4"/>
    </row>
    <row r="7" spans="1:9" ht="20.100000000000001" customHeight="1">
      <c r="A7" s="320" t="s">
        <v>5</v>
      </c>
      <c r="B7" s="321">
        <v>463700000</v>
      </c>
      <c r="C7" s="321">
        <v>242700000</v>
      </c>
      <c r="D7" s="321">
        <v>212600000</v>
      </c>
      <c r="E7" s="321">
        <v>9300000</v>
      </c>
      <c r="F7" s="321">
        <v>-29800000</v>
      </c>
      <c r="G7" s="321">
        <v>2700000</v>
      </c>
      <c r="H7" s="322">
        <v>901.2</v>
      </c>
      <c r="I7" s="4"/>
    </row>
    <row r="8" spans="1:9" ht="20.100000000000001" customHeight="1">
      <c r="A8" s="320" t="s">
        <v>80</v>
      </c>
      <c r="B8" s="321">
        <v>493100000</v>
      </c>
      <c r="C8" s="321">
        <v>120100000</v>
      </c>
      <c r="D8" s="321">
        <v>246100000</v>
      </c>
      <c r="E8" s="321">
        <v>3600000</v>
      </c>
      <c r="F8" s="321">
        <v>236800000</v>
      </c>
      <c r="G8" s="321">
        <v>6600000</v>
      </c>
      <c r="H8" s="322">
        <v>1106.4000000000001</v>
      </c>
      <c r="I8" s="4"/>
    </row>
    <row r="9" spans="1:9" ht="20.100000000000001" customHeight="1">
      <c r="A9" s="320" t="s">
        <v>9</v>
      </c>
      <c r="B9" s="321">
        <v>262100000.00000003</v>
      </c>
      <c r="C9" s="321">
        <v>182500000</v>
      </c>
      <c r="D9" s="321">
        <v>128100000</v>
      </c>
      <c r="E9" s="321">
        <v>16800000</v>
      </c>
      <c r="F9" s="321">
        <v>141100000</v>
      </c>
      <c r="G9" s="321">
        <v>1900000</v>
      </c>
      <c r="H9" s="322">
        <v>732.5</v>
      </c>
      <c r="I9" s="4"/>
    </row>
    <row r="10" spans="1:9" ht="20.100000000000001" customHeight="1">
      <c r="A10" s="320" t="s">
        <v>13</v>
      </c>
      <c r="B10" s="321">
        <v>371600000</v>
      </c>
      <c r="C10" s="321">
        <v>77600000</v>
      </c>
      <c r="D10" s="321">
        <v>185300000</v>
      </c>
      <c r="E10" s="321">
        <v>2100000</v>
      </c>
      <c r="F10" s="321">
        <v>34600000</v>
      </c>
      <c r="G10" s="321">
        <v>4600000</v>
      </c>
      <c r="H10" s="322">
        <v>675.9</v>
      </c>
      <c r="I10" s="4"/>
    </row>
    <row r="11" spans="1:9" ht="20.100000000000001" customHeight="1">
      <c r="A11" s="320" t="s">
        <v>82</v>
      </c>
      <c r="B11" s="321">
        <v>215700000</v>
      </c>
      <c r="C11" s="321">
        <v>61800000</v>
      </c>
      <c r="D11" s="321">
        <v>56600000</v>
      </c>
      <c r="E11" s="323">
        <v>0</v>
      </c>
      <c r="F11" s="321">
        <v>55000000</v>
      </c>
      <c r="G11" s="321">
        <v>600000</v>
      </c>
      <c r="H11" s="322">
        <v>389.6</v>
      </c>
      <c r="I11" s="4"/>
    </row>
    <row r="12" spans="1:9" ht="20.100000000000001" customHeight="1">
      <c r="A12" s="320" t="s">
        <v>81</v>
      </c>
      <c r="B12" s="321">
        <v>329800000</v>
      </c>
      <c r="C12" s="321">
        <v>282600000</v>
      </c>
      <c r="D12" s="321">
        <v>67000000</v>
      </c>
      <c r="E12" s="321">
        <v>1622900000</v>
      </c>
      <c r="F12" s="321">
        <v>20000000</v>
      </c>
      <c r="G12" s="321">
        <v>600000</v>
      </c>
      <c r="H12" s="322">
        <v>2322.9</v>
      </c>
      <c r="I12" s="4"/>
    </row>
    <row r="13" spans="1:9" ht="20.100000000000001" customHeight="1">
      <c r="A13" s="324" t="s">
        <v>85</v>
      </c>
      <c r="B13" s="325">
        <v>3081600000</v>
      </c>
      <c r="C13" s="325">
        <v>1315400000</v>
      </c>
      <c r="D13" s="326">
        <v>1196.7</v>
      </c>
      <c r="E13" s="325">
        <v>1667600000</v>
      </c>
      <c r="F13" s="325">
        <v>732200000</v>
      </c>
      <c r="G13" s="325">
        <v>23300000</v>
      </c>
      <c r="H13" s="327">
        <v>8016.3</v>
      </c>
      <c r="I13" s="4"/>
    </row>
    <row r="14" spans="1:9" ht="147.75" customHeight="1">
      <c r="A14" s="452" t="s">
        <v>819</v>
      </c>
      <c r="B14" s="447"/>
      <c r="C14" s="447"/>
      <c r="D14" s="447"/>
      <c r="E14" s="447"/>
      <c r="F14" s="447"/>
      <c r="G14" s="447"/>
      <c r="H14" s="447"/>
    </row>
    <row r="15" spans="1:9" ht="60" customHeight="1">
      <c r="D15" s="328"/>
      <c r="E15" s="328"/>
    </row>
    <row r="16" spans="1:9" ht="30" customHeight="1">
      <c r="A16" s="570" t="s">
        <v>820</v>
      </c>
      <c r="B16" s="570"/>
      <c r="C16" s="4"/>
    </row>
    <row r="17" spans="1:5" ht="20.100000000000001" customHeight="1">
      <c r="A17" s="324" t="s">
        <v>118</v>
      </c>
      <c r="B17" s="329" t="s">
        <v>821</v>
      </c>
      <c r="C17" s="4"/>
    </row>
    <row r="18" spans="1:5" ht="20.100000000000001" customHeight="1">
      <c r="A18" s="320" t="s">
        <v>37</v>
      </c>
      <c r="B18" s="321">
        <v>546200000</v>
      </c>
      <c r="C18" s="4"/>
      <c r="D18" s="328"/>
    </row>
    <row r="19" spans="1:5" ht="20.100000000000001" customHeight="1">
      <c r="A19" s="320" t="s">
        <v>25</v>
      </c>
      <c r="B19" s="321">
        <v>2192100000</v>
      </c>
      <c r="C19" s="4"/>
      <c r="D19" s="328"/>
      <c r="E19" s="328"/>
    </row>
    <row r="20" spans="1:5" ht="20.100000000000001" customHeight="1">
      <c r="A20" s="320" t="s">
        <v>5</v>
      </c>
      <c r="B20" s="321">
        <v>881800000</v>
      </c>
      <c r="C20" s="4"/>
      <c r="D20" s="328"/>
    </row>
    <row r="21" spans="1:5" ht="20.100000000000001" customHeight="1">
      <c r="A21" s="320" t="s">
        <v>80</v>
      </c>
      <c r="B21" s="321">
        <v>1466800000</v>
      </c>
      <c r="C21" s="4"/>
      <c r="D21" s="328"/>
    </row>
    <row r="22" spans="1:5" ht="20.100000000000001" customHeight="1">
      <c r="A22" s="320" t="s">
        <v>9</v>
      </c>
      <c r="B22" s="321">
        <v>691100000</v>
      </c>
      <c r="C22" s="4"/>
      <c r="D22" s="328"/>
    </row>
    <row r="23" spans="1:5" ht="20.100000000000001" customHeight="1">
      <c r="A23" s="320" t="s">
        <v>13</v>
      </c>
      <c r="B23" s="321">
        <v>738600000</v>
      </c>
      <c r="C23" s="4"/>
      <c r="D23" s="328"/>
    </row>
    <row r="24" spans="1:5" ht="20.100000000000001" customHeight="1">
      <c r="A24" s="320" t="s">
        <v>82</v>
      </c>
      <c r="B24" s="321">
        <v>734200000</v>
      </c>
      <c r="C24" s="4"/>
      <c r="D24" s="328"/>
    </row>
    <row r="25" spans="1:5" ht="20.100000000000001" customHeight="1">
      <c r="A25" s="320" t="s">
        <v>81</v>
      </c>
      <c r="B25" s="321">
        <v>448500000</v>
      </c>
      <c r="C25" s="4"/>
      <c r="D25" s="328"/>
    </row>
    <row r="26" spans="1:5" ht="20.100000000000001" customHeight="1">
      <c r="A26" s="320" t="s">
        <v>85</v>
      </c>
      <c r="B26" s="326">
        <v>7699.3</v>
      </c>
      <c r="C26" s="4"/>
      <c r="D26" s="328"/>
    </row>
    <row r="27" spans="1:5" ht="167.45" customHeight="1">
      <c r="A27" s="448" t="s">
        <v>822</v>
      </c>
      <c r="B27" s="448"/>
    </row>
    <row r="28" spans="1:5" ht="16.7" customHeight="1">
      <c r="D28" s="377"/>
    </row>
    <row r="29" spans="1:5" ht="16.7" customHeight="1"/>
    <row r="30" spans="1:5" ht="24.2" customHeight="1">
      <c r="A30" s="14"/>
      <c r="B30" s="14"/>
      <c r="C30" s="14"/>
      <c r="D30" s="14"/>
    </row>
    <row r="31" spans="1:5" ht="120.75" customHeight="1">
      <c r="A31" s="14"/>
      <c r="B31" s="14"/>
      <c r="C31" s="14"/>
      <c r="D31" s="14"/>
    </row>
    <row r="32" spans="1:5" ht="16.7" customHeight="1">
      <c r="A32" s="14"/>
      <c r="B32" s="14"/>
      <c r="C32" s="14"/>
      <c r="D32" s="14"/>
    </row>
    <row r="33" spans="1:4" ht="16.7" customHeight="1">
      <c r="A33" s="14"/>
      <c r="B33" s="14"/>
      <c r="C33" s="14"/>
      <c r="D33" s="14"/>
    </row>
    <row r="34" spans="1:4" ht="16.7" customHeight="1">
      <c r="A34" s="14"/>
      <c r="B34" s="14"/>
      <c r="C34" s="14"/>
      <c r="D34" s="14"/>
    </row>
    <row r="35" spans="1:4" ht="16.7" customHeight="1">
      <c r="A35" s="14"/>
      <c r="B35" s="14"/>
      <c r="C35" s="14"/>
      <c r="D35" s="14"/>
    </row>
    <row r="36" spans="1:4" ht="16.7" customHeight="1">
      <c r="A36" s="14"/>
      <c r="B36" s="14"/>
      <c r="C36" s="14"/>
      <c r="D36" s="14"/>
    </row>
    <row r="37" spans="1:4" ht="16.7" customHeight="1">
      <c r="A37" s="14"/>
      <c r="B37" s="14"/>
      <c r="C37" s="14"/>
      <c r="D37" s="14"/>
    </row>
    <row r="38" spans="1:4" ht="16.7" customHeight="1">
      <c r="A38" s="14"/>
      <c r="B38" s="14"/>
      <c r="C38" s="14"/>
      <c r="D38" s="14"/>
    </row>
    <row r="39" spans="1:4" ht="16.7" customHeight="1">
      <c r="A39" s="14"/>
      <c r="B39" s="14"/>
      <c r="C39" s="14"/>
      <c r="D39" s="14"/>
    </row>
    <row r="40" spans="1:4" ht="16.7" customHeight="1">
      <c r="A40" s="14"/>
      <c r="B40" s="14"/>
      <c r="C40" s="14"/>
      <c r="D40" s="14"/>
    </row>
    <row r="41" spans="1:4" ht="27.6" customHeight="1">
      <c r="A41" s="14"/>
      <c r="B41" s="14"/>
      <c r="C41" s="14"/>
      <c r="D41" s="14"/>
    </row>
    <row r="42" spans="1:4" ht="16.7" customHeight="1"/>
    <row r="43" spans="1:4" ht="16.7" customHeight="1"/>
    <row r="44" spans="1:4" ht="16.7" customHeight="1">
      <c r="A44" s="14"/>
      <c r="B44" s="14"/>
    </row>
    <row r="45" spans="1:4" ht="16.7" customHeight="1">
      <c r="A45" s="14"/>
      <c r="B45" s="14"/>
    </row>
    <row r="46" spans="1:4" ht="16.7" customHeight="1">
      <c r="A46" s="14"/>
      <c r="B46" s="14"/>
    </row>
    <row r="47" spans="1:4" ht="16.7" customHeight="1">
      <c r="A47" s="14"/>
      <c r="B47" s="14"/>
    </row>
    <row r="48" spans="1:4" ht="16.7" customHeight="1">
      <c r="A48" s="14"/>
      <c r="B48" s="14"/>
    </row>
    <row r="49" spans="1:2" ht="16.7" customHeight="1">
      <c r="A49" s="14"/>
      <c r="B49" s="14"/>
    </row>
    <row r="50" spans="1:2" ht="16.7" customHeight="1">
      <c r="A50" s="14"/>
      <c r="B50" s="14"/>
    </row>
    <row r="51" spans="1:2" ht="16.7" customHeight="1">
      <c r="A51" s="14"/>
      <c r="B51" s="14"/>
    </row>
    <row r="52" spans="1:2" ht="16.7" customHeight="1">
      <c r="A52" s="14"/>
      <c r="B52" s="14"/>
    </row>
    <row r="53" spans="1:2" ht="16.7" customHeight="1">
      <c r="A53" s="14"/>
      <c r="B53" s="14"/>
    </row>
    <row r="54" spans="1:2" ht="16.7" customHeight="1">
      <c r="A54" s="14"/>
      <c r="B54" s="14"/>
    </row>
    <row r="55" spans="1:2" ht="16.7" customHeight="1">
      <c r="A55" s="14"/>
      <c r="B55" s="14"/>
    </row>
    <row r="56" spans="1:2" ht="47.45" customHeight="1">
      <c r="A56" s="14"/>
      <c r="B56" s="14"/>
    </row>
    <row r="57" spans="1:2" ht="16.7" customHeight="1"/>
    <row r="58" spans="1:2" ht="16.7" customHeight="1"/>
    <row r="59" spans="1:2" ht="16.7" customHeight="1"/>
    <row r="60" spans="1:2" ht="16.7" customHeight="1"/>
    <row r="61" spans="1:2" ht="16.7" customHeight="1"/>
    <row r="62" spans="1:2" ht="16.7" customHeight="1"/>
    <row r="63" spans="1:2" ht="16.7" customHeight="1"/>
    <row r="64" spans="1:2" ht="16.7" customHeight="1"/>
    <row r="65" ht="16.7" customHeight="1"/>
    <row r="66" ht="16.7" customHeight="1"/>
    <row r="67" ht="16.7" customHeight="1"/>
    <row r="68" ht="16.7" customHeight="1"/>
    <row r="69" ht="16.7" customHeight="1"/>
    <row r="70" ht="16.7" customHeight="1"/>
    <row r="71" ht="16.7" customHeight="1"/>
    <row r="72" ht="16.7" customHeight="1"/>
    <row r="73" ht="16.7" customHeight="1"/>
    <row r="74" ht="16.7" customHeight="1"/>
    <row r="75" ht="16.7" customHeight="1"/>
    <row r="76" ht="16.7" customHeight="1"/>
    <row r="77" ht="16.7" customHeight="1"/>
  </sheetData>
  <sheetProtection algorithmName="SHA-512" hashValue="3PnCy1ht4EC1A6xoT8fm2tDBHCTKhlnDLLAWiaGDx5Nn29RIz2ZCOkoxURCClD+WxCcljuTCrW2UYNhKlHhTeA==" saltValue="yNahWcjj6GQ/SYGBecywnQ==" spinCount="100000" sheet="1" objects="1" scenarios="1"/>
  <customSheetViews>
    <customSheetView guid="{5E62BE79-A4FD-4E7A-98EF-5A09C5274723}" showGridLines="0" showRuler="0" topLeftCell="A19">
      <selection activeCell="C16" sqref="C16"/>
      <pageMargins left="0.75" right="0.75" top="1" bottom="1" header="0.5" footer="0.5"/>
    </customSheetView>
  </customSheetViews>
  <mergeCells count="5">
    <mergeCell ref="A1:D1"/>
    <mergeCell ref="A14:H14"/>
    <mergeCell ref="A16:B16"/>
    <mergeCell ref="A27:B27"/>
    <mergeCell ref="A3:H3"/>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J31"/>
  <sheetViews>
    <sheetView showGridLines="0" showRuler="0" topLeftCell="A10" workbookViewId="0">
      <selection activeCell="C20" sqref="C20"/>
    </sheetView>
  </sheetViews>
  <sheetFormatPr baseColWidth="10" defaultColWidth="13.7109375" defaultRowHeight="12.75"/>
  <cols>
    <col min="1" max="1" width="40" customWidth="1"/>
    <col min="2" max="6" width="16.7109375" customWidth="1"/>
  </cols>
  <sheetData>
    <row r="1" spans="1:10">
      <c r="A1" s="449" t="s">
        <v>823</v>
      </c>
      <c r="B1" s="449"/>
      <c r="C1" s="449"/>
      <c r="D1" s="449"/>
      <c r="E1" s="450"/>
      <c r="F1" s="450"/>
    </row>
    <row r="2" spans="1:10" ht="60" customHeight="1"/>
    <row r="3" spans="1:10" ht="20.100000000000001" customHeight="1">
      <c r="A3" s="437" t="s">
        <v>824</v>
      </c>
      <c r="B3" s="330"/>
      <c r="C3" s="331"/>
      <c r="D3" s="331"/>
      <c r="E3" s="331"/>
      <c r="F3" s="331"/>
    </row>
    <row r="4" spans="1:10" ht="20.100000000000001" customHeight="1">
      <c r="A4" s="438" t="s">
        <v>825</v>
      </c>
      <c r="B4" s="35"/>
      <c r="C4" s="35"/>
      <c r="D4" s="35"/>
      <c r="E4" s="35"/>
      <c r="F4" s="35"/>
    </row>
    <row r="5" spans="1:10" ht="36" customHeight="1">
      <c r="A5" s="439" t="s">
        <v>1093</v>
      </c>
      <c r="B5" s="269"/>
      <c r="C5" s="269"/>
      <c r="D5" s="269"/>
      <c r="E5" s="269"/>
      <c r="F5" s="269"/>
    </row>
    <row r="6" spans="1:10" ht="60" customHeight="1"/>
    <row r="7" spans="1:10" ht="55.5" customHeight="1">
      <c r="A7" s="12" t="s">
        <v>826</v>
      </c>
      <c r="B7" s="18" t="s">
        <v>827</v>
      </c>
      <c r="C7" s="18" t="s">
        <v>828</v>
      </c>
      <c r="D7" s="18" t="s">
        <v>829</v>
      </c>
      <c r="E7" s="18" t="s">
        <v>830</v>
      </c>
      <c r="F7" s="18" t="s">
        <v>831</v>
      </c>
      <c r="G7" s="18" t="s">
        <v>832</v>
      </c>
      <c r="H7" s="18" t="s">
        <v>833</v>
      </c>
      <c r="I7" s="4"/>
    </row>
    <row r="8" spans="1:10" ht="20.100000000000001" customHeight="1">
      <c r="A8" s="25" t="s">
        <v>557</v>
      </c>
      <c r="B8" s="332">
        <v>849900000</v>
      </c>
      <c r="C8" s="332">
        <v>25300000</v>
      </c>
      <c r="D8" s="333">
        <v>0.03</v>
      </c>
      <c r="E8" s="332">
        <v>688300000</v>
      </c>
      <c r="F8" s="333">
        <v>0.81</v>
      </c>
      <c r="G8" s="332">
        <v>713500000</v>
      </c>
      <c r="H8" s="334">
        <v>0.84</v>
      </c>
      <c r="I8" s="4"/>
    </row>
    <row r="9" spans="1:10" ht="20.100000000000001" customHeight="1">
      <c r="A9" s="25" t="s">
        <v>25</v>
      </c>
      <c r="B9" s="332">
        <v>1143100000</v>
      </c>
      <c r="C9" s="332">
        <v>429100000</v>
      </c>
      <c r="D9" s="333">
        <v>0.375</v>
      </c>
      <c r="E9" s="332">
        <v>648900000</v>
      </c>
      <c r="F9" s="333">
        <v>0.56799999999999995</v>
      </c>
      <c r="G9" s="332">
        <v>1078100000</v>
      </c>
      <c r="H9" s="334">
        <v>0.94299999999999995</v>
      </c>
      <c r="I9" s="4"/>
    </row>
    <row r="10" spans="1:10" ht="20.100000000000001" customHeight="1">
      <c r="A10" s="25" t="s">
        <v>569</v>
      </c>
      <c r="B10" s="332">
        <v>745600000</v>
      </c>
      <c r="C10" s="332">
        <v>247400000</v>
      </c>
      <c r="D10" s="333">
        <v>0.33200000000000002</v>
      </c>
      <c r="E10" s="332">
        <v>467800000</v>
      </c>
      <c r="F10" s="333">
        <v>0.627</v>
      </c>
      <c r="G10" s="332">
        <v>715200000</v>
      </c>
      <c r="H10" s="334">
        <v>0.95900000000000007</v>
      </c>
      <c r="I10" s="4"/>
    </row>
    <row r="11" spans="1:10" ht="20.100000000000001" customHeight="1">
      <c r="A11" s="25" t="s">
        <v>570</v>
      </c>
      <c r="B11" s="332">
        <v>939800000</v>
      </c>
      <c r="C11" s="332">
        <v>351500000</v>
      </c>
      <c r="D11" s="333">
        <v>0.374</v>
      </c>
      <c r="E11" s="332">
        <v>498000000</v>
      </c>
      <c r="F11" s="333">
        <v>0.53</v>
      </c>
      <c r="G11" s="332">
        <v>849400000</v>
      </c>
      <c r="H11" s="334">
        <v>0.90400000000000003</v>
      </c>
      <c r="I11" s="4"/>
    </row>
    <row r="12" spans="1:10" ht="20.100000000000001" customHeight="1">
      <c r="A12" s="98" t="s">
        <v>85</v>
      </c>
      <c r="B12" s="335">
        <v>3678500000</v>
      </c>
      <c r="C12" s="335">
        <v>1053200000</v>
      </c>
      <c r="D12" s="336">
        <v>0.28600000000000003</v>
      </c>
      <c r="E12" s="335">
        <v>2303000000</v>
      </c>
      <c r="F12" s="336">
        <v>0.626</v>
      </c>
      <c r="G12" s="335">
        <v>3356200000</v>
      </c>
      <c r="H12" s="337">
        <v>0.91200000000000003</v>
      </c>
      <c r="I12" s="4"/>
    </row>
    <row r="13" spans="1:10" ht="59.1" customHeight="1">
      <c r="A13" s="448" t="s">
        <v>834</v>
      </c>
      <c r="B13" s="447"/>
      <c r="C13" s="447"/>
      <c r="D13" s="447"/>
      <c r="E13" s="447"/>
      <c r="F13" s="447"/>
      <c r="G13" s="447"/>
      <c r="H13" s="447"/>
    </row>
    <row r="15" spans="1:10" ht="33.75" customHeight="1">
      <c r="A15" s="12" t="s">
        <v>1118</v>
      </c>
      <c r="B15" s="573">
        <v>2017</v>
      </c>
      <c r="C15" s="574"/>
      <c r="D15" s="573">
        <v>2018</v>
      </c>
      <c r="E15" s="574"/>
      <c r="F15" s="573">
        <v>2019</v>
      </c>
      <c r="G15" s="574"/>
      <c r="H15" s="432"/>
      <c r="I15" s="432"/>
      <c r="J15" s="432"/>
    </row>
    <row r="16" spans="1:10" ht="20.100000000000001" customHeight="1">
      <c r="A16" s="12" t="s">
        <v>1091</v>
      </c>
      <c r="B16" s="12" t="s">
        <v>1108</v>
      </c>
      <c r="C16" s="12" t="s">
        <v>1109</v>
      </c>
      <c r="D16" s="12" t="s">
        <v>1108</v>
      </c>
      <c r="E16" s="12" t="s">
        <v>1109</v>
      </c>
      <c r="F16" s="12" t="s">
        <v>1108</v>
      </c>
      <c r="G16" s="12" t="s">
        <v>1109</v>
      </c>
      <c r="H16" s="432"/>
      <c r="I16" s="432"/>
      <c r="J16" s="432"/>
    </row>
    <row r="17" spans="1:10" ht="20.100000000000001" customHeight="1">
      <c r="A17" s="433" t="s">
        <v>557</v>
      </c>
      <c r="B17" s="435">
        <v>10</v>
      </c>
      <c r="C17" s="435">
        <v>16.8</v>
      </c>
      <c r="D17" s="435">
        <v>14</v>
      </c>
      <c r="E17" s="435">
        <v>21.6</v>
      </c>
      <c r="F17" s="435">
        <v>22</v>
      </c>
      <c r="G17" s="435">
        <v>25.3</v>
      </c>
      <c r="H17" s="432"/>
      <c r="I17" s="432"/>
      <c r="J17" s="432"/>
    </row>
    <row r="18" spans="1:10" ht="20.100000000000001" customHeight="1">
      <c r="A18" s="433" t="s">
        <v>25</v>
      </c>
      <c r="B18" s="435">
        <v>96</v>
      </c>
      <c r="C18" s="435">
        <v>197.9</v>
      </c>
      <c r="D18" s="435">
        <v>160</v>
      </c>
      <c r="E18" s="435">
        <v>357.7</v>
      </c>
      <c r="F18" s="435">
        <v>273</v>
      </c>
      <c r="G18" s="435">
        <v>429.1</v>
      </c>
      <c r="H18" s="432"/>
      <c r="I18" s="432"/>
      <c r="J18" s="432"/>
    </row>
    <row r="19" spans="1:10" ht="20.100000000000001" customHeight="1">
      <c r="A19" s="434" t="s">
        <v>1092</v>
      </c>
      <c r="B19" s="436">
        <v>220</v>
      </c>
      <c r="C19" s="436">
        <v>358.3</v>
      </c>
      <c r="D19" s="436">
        <v>368</v>
      </c>
      <c r="E19" s="436">
        <v>439.1</v>
      </c>
      <c r="F19" s="436">
        <v>385</v>
      </c>
      <c r="G19" s="436">
        <v>247.4</v>
      </c>
      <c r="H19" s="432"/>
      <c r="I19" s="432"/>
      <c r="J19" s="432"/>
    </row>
    <row r="20" spans="1:10" ht="20.100000000000001" customHeight="1">
      <c r="A20" s="433" t="s">
        <v>570</v>
      </c>
      <c r="B20" s="435">
        <v>80</v>
      </c>
      <c r="C20" s="435">
        <v>85.6</v>
      </c>
      <c r="D20" s="435">
        <v>279</v>
      </c>
      <c r="E20" s="435">
        <v>284.60000000000002</v>
      </c>
      <c r="F20" s="435">
        <v>320</v>
      </c>
      <c r="G20" s="435">
        <v>351.5</v>
      </c>
      <c r="H20" s="432"/>
      <c r="I20" s="432"/>
      <c r="J20" s="432"/>
    </row>
    <row r="21" spans="1:10" ht="20.100000000000001" customHeight="1">
      <c r="A21" s="442" t="s">
        <v>85</v>
      </c>
      <c r="B21" s="443">
        <f>SUM(B17:B20)</f>
        <v>406</v>
      </c>
      <c r="C21" s="443">
        <v>658.5</v>
      </c>
      <c r="D21" s="443">
        <f>SUM(D17:D20)</f>
        <v>821</v>
      </c>
      <c r="E21" s="443">
        <f>SUM(E17:E20)</f>
        <v>1103</v>
      </c>
      <c r="F21" s="443">
        <f>SUM(F17:F20)</f>
        <v>1000</v>
      </c>
      <c r="G21" s="443">
        <v>1053.2</v>
      </c>
      <c r="H21" s="432"/>
      <c r="I21" s="432"/>
      <c r="J21" s="432"/>
    </row>
    <row r="22" spans="1:10" ht="36.75" customHeight="1">
      <c r="A22" s="571" t="s">
        <v>1107</v>
      </c>
      <c r="B22" s="572"/>
      <c r="C22" s="572"/>
      <c r="D22" s="572"/>
      <c r="E22" s="572"/>
      <c r="F22" s="572"/>
      <c r="G22" s="572"/>
      <c r="H22" s="432"/>
      <c r="I22" s="432"/>
      <c r="J22" s="432"/>
    </row>
    <row r="23" spans="1:10">
      <c r="A23" s="555"/>
      <c r="B23" s="495"/>
      <c r="C23" s="495"/>
      <c r="D23" s="495"/>
      <c r="E23" s="495"/>
      <c r="F23" s="495"/>
      <c r="G23" s="495"/>
      <c r="H23" s="432"/>
      <c r="I23" s="432"/>
      <c r="J23" s="432"/>
    </row>
    <row r="24" spans="1:10">
      <c r="A24" s="555"/>
      <c r="B24" s="495"/>
      <c r="C24" s="495"/>
      <c r="D24" s="495"/>
      <c r="E24" s="495"/>
      <c r="F24" s="495"/>
      <c r="G24" s="495"/>
    </row>
    <row r="28" spans="1:10">
      <c r="D28" s="377"/>
    </row>
    <row r="31" spans="1:10" ht="120.75" customHeight="1"/>
  </sheetData>
  <sheetProtection algorithmName="SHA-512" hashValue="qqnqtQl/QHlvJNiOsrLcLniHJlBEL1BEDQkDmhXK59gaUB4bEI9qfpSD7JcHDGgqZF6pD/YyrMskXscwWimnog==" saltValue="B+h3r7Oji6vhH/c3h1vvvA==" spinCount="100000" sheet="1" objects="1" scenarios="1"/>
  <customSheetViews>
    <customSheetView guid="{5E62BE79-A4FD-4E7A-98EF-5A09C5274723}" showGridLines="0" showRuler="0">
      <selection activeCell="C16" sqref="C16"/>
      <pageMargins left="0.75" right="0.75" top="1" bottom="1" header="0.5" footer="0.5"/>
    </customSheetView>
  </customSheetViews>
  <mergeCells count="8">
    <mergeCell ref="A22:G22"/>
    <mergeCell ref="A23:G23"/>
    <mergeCell ref="A24:G24"/>
    <mergeCell ref="A1:F1"/>
    <mergeCell ref="A13:H13"/>
    <mergeCell ref="B15:C15"/>
    <mergeCell ref="D15:E15"/>
    <mergeCell ref="F15:G15"/>
  </mergeCells>
  <pageMargins left="0.75" right="0.75" top="1" bottom="1" header="0.5" footer="0.5"/>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E31"/>
  <sheetViews>
    <sheetView showGridLines="0" showRuler="0" topLeftCell="A19" workbookViewId="0">
      <selection activeCell="D36" sqref="D36"/>
    </sheetView>
  </sheetViews>
  <sheetFormatPr baseColWidth="10" defaultColWidth="13.7109375" defaultRowHeight="12.75"/>
  <cols>
    <col min="1" max="1" width="22" customWidth="1"/>
    <col min="2" max="4" width="28.28515625" customWidth="1"/>
  </cols>
  <sheetData>
    <row r="1" spans="1:5" ht="19.149999999999999" customHeight="1">
      <c r="A1" s="449" t="s">
        <v>835</v>
      </c>
      <c r="B1" s="449"/>
      <c r="C1" s="449"/>
    </row>
    <row r="2" spans="1:5" ht="60" customHeight="1"/>
    <row r="3" spans="1:5" ht="20.100000000000001" customHeight="1">
      <c r="A3" s="532" t="s">
        <v>836</v>
      </c>
      <c r="B3" s="532"/>
      <c r="C3" s="532"/>
      <c r="D3" s="532"/>
      <c r="E3" s="4"/>
    </row>
    <row r="4" spans="1:5" ht="20.100000000000001" customHeight="1">
      <c r="A4" s="65" t="s">
        <v>118</v>
      </c>
      <c r="B4" s="65" t="s">
        <v>837</v>
      </c>
      <c r="C4" s="65" t="s">
        <v>838</v>
      </c>
      <c r="D4" s="65" t="s">
        <v>839</v>
      </c>
      <c r="E4" s="4"/>
    </row>
    <row r="5" spans="1:5" ht="20.100000000000001" customHeight="1">
      <c r="A5" s="13" t="s">
        <v>37</v>
      </c>
      <c r="B5" s="338">
        <v>23400000</v>
      </c>
      <c r="C5" s="323">
        <v>40100000</v>
      </c>
      <c r="D5" s="323">
        <v>63400000</v>
      </c>
      <c r="E5" s="4"/>
    </row>
    <row r="6" spans="1:5" ht="20.100000000000001" customHeight="1">
      <c r="A6" s="13" t="s">
        <v>25</v>
      </c>
      <c r="B6" s="338">
        <v>58600000</v>
      </c>
      <c r="C6" s="323">
        <v>152400000</v>
      </c>
      <c r="D6" s="323">
        <v>211000000</v>
      </c>
      <c r="E6" s="4"/>
    </row>
    <row r="7" spans="1:5" ht="20.100000000000001" customHeight="1">
      <c r="A7" s="13" t="s">
        <v>5</v>
      </c>
      <c r="B7" s="338">
        <v>0</v>
      </c>
      <c r="C7" s="323">
        <v>-29800000</v>
      </c>
      <c r="D7" s="323">
        <v>-29800000</v>
      </c>
      <c r="E7" s="4"/>
    </row>
    <row r="8" spans="1:5" ht="20.100000000000001" customHeight="1">
      <c r="A8" s="13" t="s">
        <v>80</v>
      </c>
      <c r="B8" s="338">
        <v>75400000</v>
      </c>
      <c r="C8" s="323">
        <v>161400000</v>
      </c>
      <c r="D8" s="323">
        <v>236800000</v>
      </c>
      <c r="E8" s="4"/>
    </row>
    <row r="9" spans="1:5" ht="20.100000000000001" customHeight="1">
      <c r="A9" s="13" t="s">
        <v>9</v>
      </c>
      <c r="B9" s="338">
        <v>2400000</v>
      </c>
      <c r="C9" s="323">
        <v>138700000</v>
      </c>
      <c r="D9" s="323">
        <v>141100000</v>
      </c>
      <c r="E9" s="4"/>
    </row>
    <row r="10" spans="1:5" ht="20.100000000000001" customHeight="1">
      <c r="A10" s="13" t="s">
        <v>13</v>
      </c>
      <c r="B10" s="338">
        <v>0</v>
      </c>
      <c r="C10" s="323">
        <v>34600000</v>
      </c>
      <c r="D10" s="323">
        <v>34600000</v>
      </c>
      <c r="E10" s="4"/>
    </row>
    <row r="11" spans="1:5" ht="20.100000000000001" customHeight="1">
      <c r="A11" s="13" t="s">
        <v>82</v>
      </c>
      <c r="B11" s="338">
        <v>43800000</v>
      </c>
      <c r="C11" s="323">
        <v>11200000</v>
      </c>
      <c r="D11" s="323">
        <v>55000000</v>
      </c>
      <c r="E11" s="4"/>
    </row>
    <row r="12" spans="1:5" ht="20.100000000000001" customHeight="1">
      <c r="A12" s="13" t="s">
        <v>840</v>
      </c>
      <c r="B12" s="338">
        <v>0</v>
      </c>
      <c r="C12" s="323">
        <v>20000000</v>
      </c>
      <c r="D12" s="323">
        <v>20000000</v>
      </c>
      <c r="E12" s="4"/>
    </row>
    <row r="13" spans="1:5" ht="20.100000000000001" customHeight="1">
      <c r="A13" s="3" t="s">
        <v>142</v>
      </c>
      <c r="B13" s="339">
        <v>203500000</v>
      </c>
      <c r="C13" s="340">
        <v>528700000.00000006</v>
      </c>
      <c r="D13" s="340">
        <v>732200000</v>
      </c>
      <c r="E13" s="4"/>
    </row>
    <row r="14" spans="1:5" ht="73.349999999999994" customHeight="1">
      <c r="A14" s="452" t="s">
        <v>841</v>
      </c>
      <c r="B14" s="452"/>
      <c r="C14" s="452"/>
      <c r="D14" s="452"/>
    </row>
    <row r="15" spans="1:5" ht="60" customHeight="1"/>
    <row r="16" spans="1:5" ht="20.100000000000001" customHeight="1">
      <c r="A16" s="575" t="s">
        <v>842</v>
      </c>
      <c r="B16" s="576"/>
      <c r="C16" s="4"/>
    </row>
    <row r="17" spans="1:4" ht="20.100000000000001" customHeight="1">
      <c r="A17" s="65" t="s">
        <v>118</v>
      </c>
      <c r="B17" s="65" t="s">
        <v>843</v>
      </c>
      <c r="C17" s="4"/>
    </row>
    <row r="18" spans="1:4" ht="20.100000000000001" customHeight="1">
      <c r="A18" s="25" t="s">
        <v>37</v>
      </c>
      <c r="B18" s="341">
        <v>-0.94000000000000006</v>
      </c>
      <c r="C18" s="4"/>
    </row>
    <row r="19" spans="1:4" ht="20.100000000000001" customHeight="1">
      <c r="A19" s="234" t="s">
        <v>25</v>
      </c>
      <c r="B19" s="341">
        <v>0.38</v>
      </c>
      <c r="C19" s="4"/>
    </row>
    <row r="20" spans="1:4" ht="20.100000000000001" customHeight="1">
      <c r="A20" s="234" t="s">
        <v>5</v>
      </c>
      <c r="B20" s="341">
        <v>-1.03</v>
      </c>
      <c r="C20" s="4"/>
    </row>
    <row r="21" spans="1:4" ht="20.100000000000001" customHeight="1">
      <c r="A21" s="234" t="s">
        <v>80</v>
      </c>
      <c r="B21" s="341">
        <v>0.34</v>
      </c>
      <c r="C21" s="4"/>
    </row>
    <row r="22" spans="1:4" ht="20.100000000000001" customHeight="1">
      <c r="A22" s="234" t="s">
        <v>9</v>
      </c>
      <c r="B22" s="341">
        <v>0.11</v>
      </c>
      <c r="C22" s="4"/>
    </row>
    <row r="23" spans="1:4" ht="20.100000000000001" customHeight="1">
      <c r="A23" s="234" t="s">
        <v>13</v>
      </c>
      <c r="B23" s="342">
        <v>1.29</v>
      </c>
      <c r="C23" s="4"/>
    </row>
    <row r="24" spans="1:4" ht="20.100000000000001" customHeight="1">
      <c r="A24" s="234" t="s">
        <v>82</v>
      </c>
      <c r="B24" s="342">
        <v>0.26</v>
      </c>
      <c r="C24" s="4"/>
    </row>
    <row r="25" spans="1:4" ht="20.100000000000001" customHeight="1">
      <c r="A25" s="234" t="s">
        <v>840</v>
      </c>
      <c r="B25" s="342">
        <v>0.14000000000000001</v>
      </c>
      <c r="C25" s="4"/>
    </row>
    <row r="26" spans="1:4" ht="20.100000000000001" customHeight="1">
      <c r="A26" s="234" t="s">
        <v>844</v>
      </c>
      <c r="B26" s="342">
        <v>0.11</v>
      </c>
      <c r="C26" s="4"/>
    </row>
    <row r="27" spans="1:4" ht="20.100000000000001" customHeight="1">
      <c r="A27" s="65" t="s">
        <v>845</v>
      </c>
      <c r="B27" s="343">
        <v>0.23</v>
      </c>
      <c r="C27" s="4"/>
    </row>
    <row r="28" spans="1:4" ht="95.85" customHeight="1">
      <c r="A28" s="452" t="s">
        <v>846</v>
      </c>
      <c r="B28" s="452"/>
      <c r="D28" s="377"/>
    </row>
    <row r="31" spans="1:4" ht="120.75" customHeight="1"/>
  </sheetData>
  <sheetProtection algorithmName="SHA-512" hashValue="fOOnZc4Nz13QnAPmaAlGmcK/KW/mu7a5hIS5V1rrWfqXi0zKTBuRBYlBgYkbJDHN9L4I8hCVn2T+XhVPcFMQHQ==" saltValue="HjJkDfzNaw+eaMRV+mnCZQ==" spinCount="100000" sheet="1" objects="1" scenarios="1"/>
  <customSheetViews>
    <customSheetView guid="{5E62BE79-A4FD-4E7A-98EF-5A09C5274723}" showGridLines="0" showRuler="0" topLeftCell="A19">
      <selection activeCell="D36" sqref="D36"/>
      <pageMargins left="0.75" right="0.75" top="1" bottom="1" header="0.5" footer="0.5"/>
    </customSheetView>
  </customSheetViews>
  <mergeCells count="5">
    <mergeCell ref="A1:C1"/>
    <mergeCell ref="A3:D3"/>
    <mergeCell ref="A16:B16"/>
    <mergeCell ref="A14:D14"/>
    <mergeCell ref="A28:B28"/>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G31"/>
  <sheetViews>
    <sheetView showGridLines="0" showRuler="0" topLeftCell="A16" workbookViewId="0">
      <selection activeCell="A20" sqref="A20:XFD20"/>
    </sheetView>
  </sheetViews>
  <sheetFormatPr baseColWidth="10" defaultColWidth="13.7109375" defaultRowHeight="12.75"/>
  <cols>
    <col min="1" max="1" width="24.28515625" customWidth="1"/>
    <col min="2" max="6" width="16.28515625" customWidth="1"/>
  </cols>
  <sheetData>
    <row r="1" spans="1:7">
      <c r="A1" s="577" t="s">
        <v>847</v>
      </c>
      <c r="B1" s="450"/>
      <c r="C1" s="450"/>
      <c r="D1" s="450"/>
    </row>
    <row r="2" spans="1:7" ht="60" customHeight="1"/>
    <row r="3" spans="1:7" ht="30" customHeight="1">
      <c r="A3" s="344" t="s">
        <v>848</v>
      </c>
      <c r="B3" s="345" t="s">
        <v>158</v>
      </c>
      <c r="C3" s="345" t="s">
        <v>159</v>
      </c>
      <c r="D3" s="345" t="s">
        <v>160</v>
      </c>
      <c r="E3" s="345">
        <v>2018</v>
      </c>
      <c r="F3" s="345">
        <v>2019</v>
      </c>
      <c r="G3" s="4"/>
    </row>
    <row r="4" spans="1:7" ht="20.100000000000001" customHeight="1">
      <c r="A4" s="346" t="s">
        <v>849</v>
      </c>
      <c r="B4" s="347">
        <v>13027</v>
      </c>
      <c r="C4" s="347">
        <v>10804</v>
      </c>
      <c r="D4" s="347">
        <v>12569</v>
      </c>
      <c r="E4" s="347">
        <v>12442</v>
      </c>
      <c r="F4" s="347">
        <v>16636</v>
      </c>
      <c r="G4" s="4"/>
    </row>
    <row r="5" spans="1:7" ht="20.100000000000001" customHeight="1">
      <c r="A5" s="346" t="s">
        <v>850</v>
      </c>
      <c r="B5" s="347">
        <v>13749</v>
      </c>
      <c r="C5" s="347">
        <v>9312</v>
      </c>
      <c r="D5" s="347">
        <v>12111</v>
      </c>
      <c r="E5" s="347">
        <v>11765</v>
      </c>
      <c r="F5" s="347">
        <v>15026</v>
      </c>
      <c r="G5" s="4"/>
    </row>
    <row r="6" spans="1:7" ht="20.100000000000001" customHeight="1">
      <c r="A6" s="346" t="s">
        <v>85</v>
      </c>
      <c r="B6" s="348">
        <v>26776</v>
      </c>
      <c r="C6" s="348">
        <v>20116</v>
      </c>
      <c r="D6" s="348">
        <v>24680</v>
      </c>
      <c r="E6" s="348">
        <v>24207</v>
      </c>
      <c r="F6" s="348">
        <v>31662</v>
      </c>
      <c r="G6" s="4"/>
    </row>
    <row r="7" spans="1:7" ht="44.25" customHeight="1">
      <c r="A7" s="481" t="s">
        <v>851</v>
      </c>
      <c r="B7" s="447"/>
      <c r="C7" s="447"/>
      <c r="D7" s="447"/>
      <c r="E7" s="447"/>
      <c r="F7" s="447"/>
    </row>
    <row r="8" spans="1:7" ht="60" customHeight="1"/>
    <row r="9" spans="1:7" ht="30.75" customHeight="1">
      <c r="A9" s="344" t="s">
        <v>852</v>
      </c>
      <c r="B9" s="349" t="s">
        <v>158</v>
      </c>
      <c r="C9" s="349" t="s">
        <v>159</v>
      </c>
      <c r="D9" s="349" t="s">
        <v>160</v>
      </c>
      <c r="E9" s="349">
        <v>2018</v>
      </c>
      <c r="F9" s="349">
        <v>2019</v>
      </c>
      <c r="G9" s="4"/>
    </row>
    <row r="10" spans="1:7" ht="20.100000000000001" customHeight="1">
      <c r="A10" s="346" t="s">
        <v>557</v>
      </c>
      <c r="B10" s="347">
        <v>1998</v>
      </c>
      <c r="C10" s="347">
        <v>1954</v>
      </c>
      <c r="D10" s="347">
        <v>1953</v>
      </c>
      <c r="E10" s="347">
        <v>2043</v>
      </c>
      <c r="F10" s="347">
        <v>2192</v>
      </c>
      <c r="G10" s="4"/>
    </row>
    <row r="11" spans="1:7" ht="20.100000000000001" customHeight="1">
      <c r="A11" s="346" t="s">
        <v>853</v>
      </c>
      <c r="B11" s="347">
        <v>5380</v>
      </c>
      <c r="C11" s="347">
        <v>2683</v>
      </c>
      <c r="D11" s="347">
        <v>2895</v>
      </c>
      <c r="E11" s="347">
        <v>2824</v>
      </c>
      <c r="F11" s="347">
        <v>2874</v>
      </c>
      <c r="G11" s="4"/>
    </row>
    <row r="12" spans="1:7" ht="20.100000000000001" customHeight="1">
      <c r="A12" s="346" t="s">
        <v>854</v>
      </c>
      <c r="B12" s="347">
        <v>3743</v>
      </c>
      <c r="C12" s="347">
        <v>4438</v>
      </c>
      <c r="D12" s="347">
        <v>4838</v>
      </c>
      <c r="E12" s="347">
        <v>4762</v>
      </c>
      <c r="F12" s="347">
        <v>7260</v>
      </c>
      <c r="G12" s="4"/>
    </row>
    <row r="13" spans="1:7" ht="20.100000000000001" customHeight="1">
      <c r="A13" s="346" t="s">
        <v>855</v>
      </c>
      <c r="B13" s="347">
        <v>1906</v>
      </c>
      <c r="C13" s="347">
        <v>1729</v>
      </c>
      <c r="D13" s="347">
        <v>2883</v>
      </c>
      <c r="E13" s="347">
        <v>2813</v>
      </c>
      <c r="F13" s="347">
        <v>4310</v>
      </c>
      <c r="G13" s="4"/>
    </row>
    <row r="14" spans="1:7" ht="20.100000000000001" customHeight="1">
      <c r="A14" s="346" t="s">
        <v>85</v>
      </c>
      <c r="B14" s="348">
        <v>13027</v>
      </c>
      <c r="C14" s="348">
        <v>10804</v>
      </c>
      <c r="D14" s="348">
        <v>12569</v>
      </c>
      <c r="E14" s="348">
        <v>12442</v>
      </c>
      <c r="F14" s="348">
        <v>16636</v>
      </c>
      <c r="G14" s="4"/>
    </row>
    <row r="15" spans="1:7" ht="20.100000000000001" customHeight="1">
      <c r="A15" s="481" t="s">
        <v>856</v>
      </c>
      <c r="B15" s="447"/>
      <c r="C15" s="447"/>
      <c r="D15" s="447"/>
      <c r="E15" s="447"/>
      <c r="F15" s="447"/>
    </row>
    <row r="16" spans="1:7" ht="20.100000000000001" customHeight="1">
      <c r="A16" s="459"/>
      <c r="B16" s="459"/>
      <c r="C16" s="459"/>
      <c r="D16" s="459"/>
      <c r="E16" s="459"/>
      <c r="F16" s="459"/>
    </row>
    <row r="17" spans="1:7" ht="20.100000000000001" customHeight="1">
      <c r="A17" s="459"/>
      <c r="B17" s="459"/>
      <c r="C17" s="459"/>
      <c r="D17" s="459"/>
      <c r="E17" s="459"/>
      <c r="F17" s="459"/>
    </row>
    <row r="18" spans="1:7" ht="20.100000000000001" customHeight="1">
      <c r="A18" s="459"/>
      <c r="B18" s="459"/>
      <c r="C18" s="459"/>
      <c r="D18" s="459"/>
      <c r="E18" s="459"/>
      <c r="F18" s="459"/>
    </row>
    <row r="19" spans="1:7" ht="36" customHeight="1">
      <c r="A19" s="578"/>
      <c r="B19" s="459"/>
      <c r="C19" s="459"/>
      <c r="D19" s="459"/>
      <c r="E19" s="459"/>
      <c r="F19" s="459"/>
    </row>
    <row r="20" spans="1:7" ht="60" customHeight="1"/>
    <row r="21" spans="1:7" ht="31.5" customHeight="1">
      <c r="A21" s="344" t="s">
        <v>857</v>
      </c>
      <c r="B21" s="345" t="s">
        <v>158</v>
      </c>
      <c r="C21" s="345" t="s">
        <v>159</v>
      </c>
      <c r="D21" s="345" t="s">
        <v>160</v>
      </c>
      <c r="E21" s="345">
        <v>2018</v>
      </c>
      <c r="F21" s="345">
        <v>2019</v>
      </c>
      <c r="G21" s="4"/>
    </row>
    <row r="22" spans="1:7" ht="20.100000000000001" customHeight="1">
      <c r="A22" s="346" t="s">
        <v>557</v>
      </c>
      <c r="B22" s="347">
        <v>3130</v>
      </c>
      <c r="C22" s="347">
        <v>2022</v>
      </c>
      <c r="D22" s="347">
        <v>3261</v>
      </c>
      <c r="E22" s="347">
        <v>3469</v>
      </c>
      <c r="F22" s="347">
        <v>3448</v>
      </c>
      <c r="G22" s="4"/>
    </row>
    <row r="23" spans="1:7" ht="20.100000000000001" customHeight="1">
      <c r="A23" s="346" t="s">
        <v>858</v>
      </c>
      <c r="B23" s="347">
        <v>4871</v>
      </c>
      <c r="C23" s="347">
        <v>2038</v>
      </c>
      <c r="D23" s="347">
        <v>1541</v>
      </c>
      <c r="E23" s="347">
        <v>1539</v>
      </c>
      <c r="F23" s="347">
        <v>1706</v>
      </c>
      <c r="G23" s="4"/>
    </row>
    <row r="24" spans="1:7" ht="20.100000000000001" customHeight="1">
      <c r="A24" s="346" t="s">
        <v>854</v>
      </c>
      <c r="B24" s="347">
        <v>1422</v>
      </c>
      <c r="C24" s="347">
        <v>1556</v>
      </c>
      <c r="D24" s="347">
        <v>2237</v>
      </c>
      <c r="E24" s="347">
        <v>1580</v>
      </c>
      <c r="F24" s="347">
        <v>4699</v>
      </c>
      <c r="G24" s="4"/>
    </row>
    <row r="25" spans="1:7" ht="20.100000000000001" customHeight="1">
      <c r="A25" s="346" t="s">
        <v>855</v>
      </c>
      <c r="B25" s="347">
        <v>4326</v>
      </c>
      <c r="C25" s="347">
        <v>3696</v>
      </c>
      <c r="D25" s="347">
        <v>5072</v>
      </c>
      <c r="E25" s="347">
        <v>5177</v>
      </c>
      <c r="F25" s="347">
        <v>5173</v>
      </c>
      <c r="G25" s="4"/>
    </row>
    <row r="26" spans="1:7" ht="20.100000000000001" customHeight="1">
      <c r="A26" s="346" t="s">
        <v>85</v>
      </c>
      <c r="B26" s="348">
        <v>13749</v>
      </c>
      <c r="C26" s="348">
        <v>9312</v>
      </c>
      <c r="D26" s="348">
        <v>12111</v>
      </c>
      <c r="E26" s="348">
        <v>11765</v>
      </c>
      <c r="F26" s="348">
        <v>15026</v>
      </c>
      <c r="G26" s="4"/>
    </row>
    <row r="27" spans="1:7" ht="100.5" customHeight="1">
      <c r="A27" s="560" t="s">
        <v>859</v>
      </c>
      <c r="B27" s="560"/>
      <c r="C27" s="560"/>
      <c r="D27" s="560"/>
      <c r="E27" s="560"/>
      <c r="F27" s="560"/>
    </row>
    <row r="28" spans="1:7">
      <c r="A28" s="350"/>
      <c r="B28" s="350"/>
      <c r="C28" s="350"/>
      <c r="D28" s="350"/>
      <c r="E28" s="350"/>
      <c r="F28" s="350"/>
    </row>
    <row r="29" spans="1:7">
      <c r="A29" s="350"/>
      <c r="B29" s="350"/>
      <c r="C29" s="350"/>
      <c r="D29" s="350"/>
      <c r="E29" s="350"/>
      <c r="F29" s="350"/>
    </row>
    <row r="30" spans="1:7" ht="120.75" customHeight="1"/>
    <row r="31" spans="1:7" ht="35.85" customHeight="1"/>
  </sheetData>
  <sheetProtection algorithmName="SHA-512" hashValue="of0wb56QUitVfxUZuq7bcuJJrCb+lXh7PYYfmwQZjPsqNuJnNZAGOZDCKwe8XWO2e0+B91aiFMnGdo2zTZIkrA==" saltValue="Npmaxzo7H96CTc/6eVum+g==" spinCount="100000" sheet="1" objects="1" scenarios="1"/>
  <customSheetViews>
    <customSheetView guid="{5E62BE79-A4FD-4E7A-98EF-5A09C5274723}" showGridLines="0" showRuler="0" topLeftCell="A16">
      <selection activeCell="A20" sqref="A20:XFD20"/>
      <pageMargins left="0.75" right="0.75" top="1" bottom="1" header="0.5" footer="0.5"/>
    </customSheetView>
  </customSheetViews>
  <mergeCells count="4">
    <mergeCell ref="A1:D1"/>
    <mergeCell ref="A7:F7"/>
    <mergeCell ref="A15:F19"/>
    <mergeCell ref="A27:F27"/>
  </mergeCells>
  <pageMargins left="0.75" right="0.75" top="1" bottom="1" header="0.5" footer="0.5"/>
  <ignoredErrors>
    <ignoredError sqref="B3:D3 B9:D9 B21:D21"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F31"/>
  <sheetViews>
    <sheetView showGridLines="0" showRuler="0" workbookViewId="0">
      <selection activeCell="A9" sqref="A9:XFD9"/>
    </sheetView>
  </sheetViews>
  <sheetFormatPr baseColWidth="10" defaultColWidth="13.7109375" defaultRowHeight="12.75"/>
  <cols>
    <col min="1" max="1" width="34.28515625" customWidth="1"/>
    <col min="2" max="6" width="19.5703125" customWidth="1"/>
  </cols>
  <sheetData>
    <row r="1" spans="1:6" ht="15.75">
      <c r="A1" s="579" t="s">
        <v>1020</v>
      </c>
      <c r="B1" s="579"/>
      <c r="C1" s="579"/>
      <c r="D1" s="579"/>
      <c r="E1" s="35"/>
    </row>
    <row r="2" spans="1:6" ht="60" customHeight="1"/>
    <row r="3" spans="1:6" ht="44.1" customHeight="1">
      <c r="A3" s="2" t="s">
        <v>860</v>
      </c>
      <c r="B3" s="3" t="s">
        <v>861</v>
      </c>
      <c r="C3" s="3" t="s">
        <v>862</v>
      </c>
      <c r="D3" s="3" t="s">
        <v>863</v>
      </c>
      <c r="E3" s="3" t="s">
        <v>864</v>
      </c>
      <c r="F3" s="3" t="s">
        <v>865</v>
      </c>
    </row>
    <row r="4" spans="1:6" ht="20.100000000000001" customHeight="1">
      <c r="A4" s="98" t="s">
        <v>866</v>
      </c>
      <c r="B4" s="351">
        <v>37</v>
      </c>
      <c r="C4" s="352">
        <v>291604</v>
      </c>
      <c r="D4" s="351">
        <v>139</v>
      </c>
      <c r="E4" s="352">
        <v>288190</v>
      </c>
      <c r="F4" s="353">
        <v>1</v>
      </c>
    </row>
    <row r="5" spans="1:6" ht="20.100000000000001" customHeight="1">
      <c r="A5" s="98" t="s">
        <v>867</v>
      </c>
      <c r="B5" s="351">
        <v>320</v>
      </c>
      <c r="C5" s="352">
        <v>87094</v>
      </c>
      <c r="D5" s="351">
        <v>1964</v>
      </c>
      <c r="E5" s="352">
        <v>79445</v>
      </c>
      <c r="F5" s="353">
        <v>1.1000000000000001</v>
      </c>
    </row>
    <row r="6" spans="1:6" ht="20.100000000000001" customHeight="1">
      <c r="A6" s="98" t="s">
        <v>868</v>
      </c>
      <c r="B6" s="351">
        <v>1082</v>
      </c>
      <c r="C6" s="352">
        <v>57146</v>
      </c>
      <c r="D6" s="351">
        <v>3003</v>
      </c>
      <c r="E6" s="352">
        <v>66443</v>
      </c>
      <c r="F6" s="353">
        <v>0.9</v>
      </c>
    </row>
    <row r="7" spans="1:6" ht="20.100000000000001" customHeight="1">
      <c r="A7" s="98" t="s">
        <v>869</v>
      </c>
      <c r="B7" s="351">
        <v>984</v>
      </c>
      <c r="C7" s="352">
        <v>37102</v>
      </c>
      <c r="D7" s="351">
        <v>9107</v>
      </c>
      <c r="E7" s="352">
        <v>33739</v>
      </c>
      <c r="F7" s="353">
        <v>1.1000000000000001</v>
      </c>
    </row>
    <row r="8" spans="1:6">
      <c r="A8" s="446" t="s">
        <v>870</v>
      </c>
      <c r="B8" s="447"/>
      <c r="C8" s="447"/>
      <c r="D8" s="447"/>
      <c r="E8" s="447"/>
      <c r="F8" s="447"/>
    </row>
    <row r="9" spans="1:6" ht="60" customHeight="1"/>
    <row r="10" spans="1:6" ht="43.35" customHeight="1">
      <c r="A10" s="2" t="s">
        <v>871</v>
      </c>
      <c r="B10" s="3" t="s">
        <v>861</v>
      </c>
      <c r="C10" s="3" t="s">
        <v>862</v>
      </c>
      <c r="D10" s="3" t="s">
        <v>863</v>
      </c>
      <c r="E10" s="3" t="s">
        <v>864</v>
      </c>
      <c r="F10" s="3" t="s">
        <v>865</v>
      </c>
    </row>
    <row r="11" spans="1:6" ht="20.100000000000001" customHeight="1">
      <c r="A11" s="98" t="s">
        <v>37</v>
      </c>
      <c r="B11" s="228">
        <v>132</v>
      </c>
      <c r="C11" s="352">
        <v>28054</v>
      </c>
      <c r="D11" s="228">
        <v>1314</v>
      </c>
      <c r="E11" s="352">
        <v>26592</v>
      </c>
      <c r="F11" s="158">
        <v>1.1000000000000001</v>
      </c>
    </row>
    <row r="12" spans="1:6" ht="20.100000000000001" customHeight="1">
      <c r="A12" s="98" t="s">
        <v>25</v>
      </c>
      <c r="B12" s="228">
        <v>642</v>
      </c>
      <c r="C12" s="352">
        <v>75353</v>
      </c>
      <c r="D12" s="228">
        <v>2230</v>
      </c>
      <c r="E12" s="352">
        <v>92930</v>
      </c>
      <c r="F12" s="158">
        <v>0.8</v>
      </c>
    </row>
    <row r="13" spans="1:6" ht="20.100000000000001" customHeight="1">
      <c r="A13" s="98" t="s">
        <v>5</v>
      </c>
      <c r="B13" s="228">
        <v>469</v>
      </c>
      <c r="C13" s="352">
        <v>68047</v>
      </c>
      <c r="D13" s="228">
        <v>2692</v>
      </c>
      <c r="E13" s="352">
        <v>71741</v>
      </c>
      <c r="F13" s="158">
        <v>0.9</v>
      </c>
    </row>
    <row r="14" spans="1:6" ht="20.100000000000001" customHeight="1">
      <c r="A14" s="98" t="s">
        <v>80</v>
      </c>
      <c r="B14" s="228">
        <v>265</v>
      </c>
      <c r="C14" s="352">
        <v>22695</v>
      </c>
      <c r="D14" s="228">
        <v>1912</v>
      </c>
      <c r="E14" s="352">
        <v>24181</v>
      </c>
      <c r="F14" s="158">
        <v>0.9</v>
      </c>
    </row>
    <row r="15" spans="1:6" ht="20.100000000000001" customHeight="1">
      <c r="A15" s="98" t="s">
        <v>13</v>
      </c>
      <c r="B15" s="228">
        <v>128</v>
      </c>
      <c r="C15" s="352">
        <v>46235</v>
      </c>
      <c r="D15" s="228">
        <v>1331</v>
      </c>
      <c r="E15" s="352">
        <v>39998</v>
      </c>
      <c r="F15" s="158">
        <v>1.2</v>
      </c>
    </row>
    <row r="16" spans="1:6" ht="20.100000000000001" customHeight="1">
      <c r="A16" s="98" t="s">
        <v>82</v>
      </c>
      <c r="B16" s="228">
        <v>209</v>
      </c>
      <c r="C16" s="352">
        <v>14759</v>
      </c>
      <c r="D16" s="228">
        <v>1113</v>
      </c>
      <c r="E16" s="352">
        <v>16648</v>
      </c>
      <c r="F16" s="158">
        <v>0.9</v>
      </c>
    </row>
    <row r="17" spans="1:6" ht="20.100000000000001" customHeight="1">
      <c r="A17" s="98" t="s">
        <v>81</v>
      </c>
      <c r="B17" s="228">
        <v>250</v>
      </c>
      <c r="C17" s="352">
        <v>124419</v>
      </c>
      <c r="D17" s="228">
        <v>841</v>
      </c>
      <c r="E17" s="352">
        <v>118594</v>
      </c>
      <c r="F17" s="158">
        <v>1</v>
      </c>
    </row>
    <row r="18" spans="1:6" ht="20.100000000000001" customHeight="1">
      <c r="A18" s="98" t="s">
        <v>9</v>
      </c>
      <c r="B18" s="228">
        <v>301</v>
      </c>
      <c r="C18" s="352">
        <v>20163</v>
      </c>
      <c r="D18" s="228">
        <v>2697</v>
      </c>
      <c r="E18" s="352">
        <v>17039</v>
      </c>
      <c r="F18" s="158">
        <v>1.2</v>
      </c>
    </row>
    <row r="19" spans="1:6" ht="34.15" customHeight="1">
      <c r="A19" s="446" t="s">
        <v>872</v>
      </c>
      <c r="B19" s="447"/>
      <c r="C19" s="447"/>
      <c r="D19" s="447"/>
      <c r="E19" s="447"/>
      <c r="F19" s="447"/>
    </row>
    <row r="20" spans="1:6" ht="26.65" customHeight="1">
      <c r="A20" s="459"/>
      <c r="B20" s="459"/>
      <c r="C20" s="459"/>
      <c r="D20" s="459"/>
      <c r="E20" s="459"/>
      <c r="F20" s="459"/>
    </row>
    <row r="28" spans="1:6">
      <c r="D28" s="377"/>
    </row>
    <row r="31" spans="1:6" ht="120.75" customHeight="1"/>
  </sheetData>
  <sheetProtection algorithmName="SHA-512" hashValue="yUyQFtcoiwE9dZx0A0zjXnrKy+jZujBpofCKO4rOcBB5IX+3pRqHSAcXCK5cRJMQjoPRD0GqCOzs3JhYJlc9QQ==" saltValue="pAPyzeWuePxNJ6B0udUDiQ==" spinCount="100000" sheet="1" objects="1" scenarios="1"/>
  <customSheetViews>
    <customSheetView guid="{5E62BE79-A4FD-4E7A-98EF-5A09C5274723}" showGridLines="0" showRuler="0">
      <selection activeCell="A9" sqref="A9:XFD9"/>
      <pageMargins left="0.75" right="0.75" top="1" bottom="1" header="0.5" footer="0.5"/>
    </customSheetView>
  </customSheetViews>
  <mergeCells count="3">
    <mergeCell ref="A1:D1"/>
    <mergeCell ref="A8:F8"/>
    <mergeCell ref="A19:F20"/>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K44"/>
  <sheetViews>
    <sheetView showGridLines="0" showRuler="0" topLeftCell="A34" workbookViewId="0">
      <selection activeCell="I35" sqref="I35"/>
    </sheetView>
  </sheetViews>
  <sheetFormatPr baseColWidth="10" defaultColWidth="13.7109375" defaultRowHeight="12.75"/>
  <cols>
    <col min="1" max="1" width="26.28515625" customWidth="1"/>
    <col min="2" max="9" width="15.42578125" customWidth="1"/>
  </cols>
  <sheetData>
    <row r="1" spans="1:11">
      <c r="A1" s="577" t="s">
        <v>1021</v>
      </c>
      <c r="B1" s="450"/>
      <c r="C1" s="450"/>
      <c r="D1" s="450"/>
    </row>
    <row r="2" spans="1:11" ht="60" customHeight="1"/>
    <row r="3" spans="1:11" ht="34.15" customHeight="1">
      <c r="A3" s="2" t="s">
        <v>873</v>
      </c>
      <c r="B3" s="79" t="s">
        <v>874</v>
      </c>
      <c r="C3" s="79" t="s">
        <v>875</v>
      </c>
      <c r="D3" s="79" t="s">
        <v>85</v>
      </c>
      <c r="E3" s="89"/>
      <c r="F3" s="84"/>
      <c r="G3" s="84"/>
      <c r="H3" s="84"/>
      <c r="I3" s="84"/>
      <c r="J3" s="84"/>
      <c r="K3" s="84"/>
    </row>
    <row r="4" spans="1:11" ht="20.100000000000001" customHeight="1">
      <c r="A4" s="92" t="s">
        <v>37</v>
      </c>
      <c r="B4" s="179">
        <v>132</v>
      </c>
      <c r="C4" s="179">
        <v>1314</v>
      </c>
      <c r="D4" s="179">
        <v>1446</v>
      </c>
      <c r="E4" s="89"/>
      <c r="F4" s="84"/>
      <c r="G4" s="84"/>
      <c r="H4" s="84"/>
      <c r="I4" s="84"/>
      <c r="J4" s="84"/>
      <c r="K4" s="84"/>
    </row>
    <row r="5" spans="1:11" ht="20.100000000000001" customHeight="1">
      <c r="A5" s="92" t="s">
        <v>25</v>
      </c>
      <c r="B5" s="179">
        <v>642</v>
      </c>
      <c r="C5" s="179">
        <v>2230</v>
      </c>
      <c r="D5" s="179">
        <v>2872</v>
      </c>
      <c r="E5" s="89"/>
      <c r="F5" s="84"/>
      <c r="G5" s="84"/>
      <c r="H5" s="84"/>
      <c r="I5" s="84"/>
      <c r="J5" s="84"/>
      <c r="K5" s="84"/>
    </row>
    <row r="6" spans="1:11" ht="20.100000000000001" customHeight="1">
      <c r="A6" s="92" t="s">
        <v>5</v>
      </c>
      <c r="B6" s="179">
        <v>469</v>
      </c>
      <c r="C6" s="179">
        <v>2692</v>
      </c>
      <c r="D6" s="179">
        <v>3161</v>
      </c>
      <c r="E6" s="89"/>
      <c r="F6" s="84"/>
      <c r="G6" s="84"/>
      <c r="H6" s="84"/>
      <c r="I6" s="84"/>
      <c r="J6" s="84"/>
      <c r="K6" s="84"/>
    </row>
    <row r="7" spans="1:11" ht="20.100000000000001" customHeight="1">
      <c r="A7" s="92" t="s">
        <v>876</v>
      </c>
      <c r="B7" s="179">
        <v>3</v>
      </c>
      <c r="C7" s="179">
        <v>12</v>
      </c>
      <c r="D7" s="179">
        <v>15</v>
      </c>
      <c r="E7" s="89"/>
      <c r="F7" s="84"/>
      <c r="G7" s="84"/>
      <c r="H7" s="84"/>
      <c r="I7" s="84"/>
      <c r="J7" s="84"/>
      <c r="K7" s="84"/>
    </row>
    <row r="8" spans="1:11" ht="20.100000000000001" customHeight="1">
      <c r="A8" s="92" t="s">
        <v>877</v>
      </c>
      <c r="B8" s="179">
        <v>2</v>
      </c>
      <c r="C8" s="179">
        <v>32</v>
      </c>
      <c r="D8" s="179">
        <v>34</v>
      </c>
      <c r="E8" s="89"/>
      <c r="F8" s="84"/>
      <c r="G8" s="84"/>
      <c r="H8" s="84"/>
      <c r="I8" s="84"/>
      <c r="J8" s="84"/>
      <c r="K8" s="84"/>
    </row>
    <row r="9" spans="1:11" ht="20.100000000000001" customHeight="1">
      <c r="A9" s="92" t="s">
        <v>80</v>
      </c>
      <c r="B9" s="179">
        <v>265</v>
      </c>
      <c r="C9" s="179">
        <v>1912</v>
      </c>
      <c r="D9" s="179">
        <v>2177</v>
      </c>
      <c r="E9" s="89"/>
      <c r="F9" s="84"/>
      <c r="G9" s="84"/>
      <c r="H9" s="84"/>
      <c r="I9" s="84"/>
      <c r="J9" s="84"/>
      <c r="K9" s="84"/>
    </row>
    <row r="10" spans="1:11" ht="20.100000000000001" customHeight="1">
      <c r="A10" s="92" t="s">
        <v>84</v>
      </c>
      <c r="B10" s="179">
        <v>13</v>
      </c>
      <c r="C10" s="179">
        <v>30</v>
      </c>
      <c r="D10" s="179">
        <v>43</v>
      </c>
      <c r="E10" s="89"/>
      <c r="F10" s="84"/>
      <c r="G10" s="84"/>
      <c r="H10" s="84"/>
      <c r="I10" s="84"/>
      <c r="J10" s="84"/>
      <c r="K10" s="84"/>
    </row>
    <row r="11" spans="1:11" ht="20.100000000000001" customHeight="1">
      <c r="A11" s="92" t="s">
        <v>878</v>
      </c>
      <c r="B11" s="179">
        <v>9</v>
      </c>
      <c r="C11" s="179">
        <v>9</v>
      </c>
      <c r="D11" s="179">
        <v>18</v>
      </c>
      <c r="E11" s="89"/>
      <c r="F11" s="84"/>
      <c r="G11" s="84"/>
      <c r="H11" s="84"/>
      <c r="I11" s="84"/>
      <c r="J11" s="84"/>
      <c r="K11" s="84"/>
    </row>
    <row r="12" spans="1:11" ht="20.100000000000001" customHeight="1">
      <c r="A12" s="92" t="s">
        <v>13</v>
      </c>
      <c r="B12" s="179">
        <v>128</v>
      </c>
      <c r="C12" s="179">
        <v>1331</v>
      </c>
      <c r="D12" s="179">
        <v>1459</v>
      </c>
      <c r="E12" s="89"/>
      <c r="F12" s="84"/>
      <c r="G12" s="84"/>
      <c r="H12" s="84"/>
      <c r="I12" s="84"/>
      <c r="J12" s="84"/>
      <c r="K12" s="84"/>
    </row>
    <row r="13" spans="1:11" ht="20.100000000000001" customHeight="1">
      <c r="A13" s="92" t="s">
        <v>82</v>
      </c>
      <c r="B13" s="179">
        <v>209</v>
      </c>
      <c r="C13" s="179">
        <v>1113</v>
      </c>
      <c r="D13" s="179">
        <v>1322</v>
      </c>
      <c r="E13" s="89"/>
      <c r="F13" s="84"/>
      <c r="G13" s="84"/>
      <c r="H13" s="84"/>
      <c r="I13" s="84"/>
      <c r="J13" s="84"/>
      <c r="K13" s="84"/>
    </row>
    <row r="14" spans="1:11" ht="20.100000000000001" customHeight="1">
      <c r="A14" s="92" t="s">
        <v>81</v>
      </c>
      <c r="B14" s="179">
        <v>250</v>
      </c>
      <c r="C14" s="179">
        <v>841</v>
      </c>
      <c r="D14" s="179">
        <v>1091</v>
      </c>
      <c r="E14" s="89"/>
      <c r="F14" s="84"/>
      <c r="G14" s="84"/>
      <c r="H14" s="84"/>
      <c r="I14" s="84"/>
      <c r="J14" s="84"/>
      <c r="K14" s="84"/>
    </row>
    <row r="15" spans="1:11" ht="20.100000000000001" customHeight="1">
      <c r="A15" s="92" t="s">
        <v>9</v>
      </c>
      <c r="B15" s="179">
        <v>301</v>
      </c>
      <c r="C15" s="179">
        <v>2697</v>
      </c>
      <c r="D15" s="179">
        <v>2998</v>
      </c>
      <c r="E15" s="89"/>
      <c r="F15" s="84"/>
      <c r="G15" s="84"/>
      <c r="H15" s="84"/>
      <c r="I15" s="84"/>
      <c r="J15" s="84"/>
      <c r="K15" s="84"/>
    </row>
    <row r="16" spans="1:11" ht="20.100000000000001" customHeight="1">
      <c r="A16" s="92" t="s">
        <v>85</v>
      </c>
      <c r="B16" s="354">
        <v>2423</v>
      </c>
      <c r="C16" s="354">
        <v>14213</v>
      </c>
      <c r="D16" s="354">
        <v>16636</v>
      </c>
      <c r="E16" s="89"/>
      <c r="F16" s="84"/>
      <c r="G16" s="84"/>
      <c r="H16" s="84"/>
      <c r="I16" s="84"/>
      <c r="J16" s="84"/>
      <c r="K16" s="84"/>
    </row>
    <row r="17" spans="1:11" ht="26.65" customHeight="1">
      <c r="A17" s="481" t="s">
        <v>879</v>
      </c>
      <c r="B17" s="481"/>
      <c r="C17" s="481"/>
      <c r="D17" s="481"/>
      <c r="E17" s="84"/>
      <c r="F17" s="84"/>
      <c r="G17" s="84"/>
      <c r="H17" s="84"/>
      <c r="I17" s="84"/>
      <c r="J17" s="84"/>
      <c r="K17" s="84"/>
    </row>
    <row r="18" spans="1:11" ht="60" customHeight="1">
      <c r="A18" s="90"/>
      <c r="B18" s="90"/>
      <c r="C18" s="90"/>
      <c r="D18" s="90"/>
      <c r="E18" s="84"/>
      <c r="F18" s="84"/>
      <c r="G18" s="84"/>
      <c r="H18" s="84"/>
      <c r="I18" s="84"/>
      <c r="J18" s="84"/>
      <c r="K18" s="84"/>
    </row>
    <row r="19" spans="1:11" ht="39.75" customHeight="1">
      <c r="A19" s="416" t="s">
        <v>1022</v>
      </c>
      <c r="B19" s="79" t="s">
        <v>874</v>
      </c>
      <c r="C19" s="79" t="s">
        <v>875</v>
      </c>
      <c r="D19" s="79" t="s">
        <v>85</v>
      </c>
      <c r="E19" s="89"/>
      <c r="F19" s="84"/>
      <c r="G19" s="84"/>
      <c r="H19" s="84"/>
      <c r="I19" s="84"/>
      <c r="J19" s="84"/>
      <c r="K19" s="84"/>
    </row>
    <row r="20" spans="1:11" ht="20.100000000000001" customHeight="1">
      <c r="A20" s="92" t="s">
        <v>880</v>
      </c>
      <c r="B20" s="179">
        <v>37</v>
      </c>
      <c r="C20" s="179">
        <v>139</v>
      </c>
      <c r="D20" s="179">
        <v>176</v>
      </c>
      <c r="E20" s="89"/>
      <c r="F20" s="84"/>
      <c r="G20" s="84"/>
      <c r="H20" s="84"/>
      <c r="I20" s="84"/>
      <c r="J20" s="84"/>
      <c r="K20" s="84"/>
    </row>
    <row r="21" spans="1:11" ht="20.100000000000001" customHeight="1">
      <c r="A21" s="92" t="s">
        <v>881</v>
      </c>
      <c r="B21" s="179">
        <v>320</v>
      </c>
      <c r="C21" s="179">
        <v>1964</v>
      </c>
      <c r="D21" s="179">
        <v>2284</v>
      </c>
      <c r="E21" s="89"/>
      <c r="F21" s="84"/>
      <c r="G21" s="84"/>
      <c r="H21" s="84"/>
      <c r="I21" s="84"/>
      <c r="J21" s="84"/>
      <c r="K21" s="84"/>
    </row>
    <row r="22" spans="1:11" ht="20.100000000000001" customHeight="1">
      <c r="A22" s="92" t="s">
        <v>882</v>
      </c>
      <c r="B22" s="179">
        <v>1082</v>
      </c>
      <c r="C22" s="179">
        <v>3003</v>
      </c>
      <c r="D22" s="179">
        <v>4085</v>
      </c>
      <c r="E22" s="89"/>
      <c r="F22" s="84"/>
      <c r="G22" s="84"/>
      <c r="H22" s="84"/>
      <c r="I22" s="84"/>
      <c r="J22" s="84"/>
      <c r="K22" s="84"/>
    </row>
    <row r="23" spans="1:11" ht="20.100000000000001" customHeight="1">
      <c r="A23" s="92" t="s">
        <v>883</v>
      </c>
      <c r="B23" s="179">
        <v>984</v>
      </c>
      <c r="C23" s="179">
        <v>9107</v>
      </c>
      <c r="D23" s="179">
        <v>10091</v>
      </c>
      <c r="E23" s="89"/>
      <c r="F23" s="84"/>
      <c r="G23" s="84"/>
      <c r="H23" s="84"/>
      <c r="I23" s="84"/>
      <c r="J23" s="84"/>
      <c r="K23" s="84"/>
    </row>
    <row r="24" spans="1:11" ht="20.100000000000001" customHeight="1">
      <c r="A24" s="92" t="s">
        <v>85</v>
      </c>
      <c r="B24" s="354">
        <v>2423</v>
      </c>
      <c r="C24" s="354">
        <v>14213</v>
      </c>
      <c r="D24" s="354">
        <v>16636</v>
      </c>
      <c r="E24" s="89"/>
      <c r="F24" s="84"/>
      <c r="G24" s="84"/>
      <c r="H24" s="84"/>
      <c r="I24" s="84"/>
      <c r="J24" s="84"/>
      <c r="K24" s="84"/>
    </row>
    <row r="25" spans="1:11">
      <c r="A25" s="481" t="s">
        <v>884</v>
      </c>
      <c r="B25" s="447"/>
      <c r="C25" s="447"/>
      <c r="D25" s="447"/>
    </row>
    <row r="26" spans="1:11" ht="60" customHeight="1">
      <c r="A26" s="355"/>
      <c r="B26" s="90"/>
      <c r="C26" s="90"/>
      <c r="D26" s="90"/>
      <c r="E26" s="90"/>
      <c r="F26" s="90"/>
      <c r="G26" s="84"/>
      <c r="H26" s="84"/>
      <c r="I26" s="84"/>
      <c r="J26" s="84"/>
      <c r="K26" s="84"/>
    </row>
    <row r="27" spans="1:11" ht="43.5" customHeight="1">
      <c r="A27" s="2" t="s">
        <v>885</v>
      </c>
      <c r="B27" s="91">
        <v>2015</v>
      </c>
      <c r="C27" s="91">
        <v>2016</v>
      </c>
      <c r="D27" s="376"/>
      <c r="E27" s="91">
        <v>2018</v>
      </c>
      <c r="F27" s="91">
        <v>2019</v>
      </c>
      <c r="G27" s="89"/>
      <c r="H27" s="84"/>
      <c r="I27" s="84"/>
      <c r="J27" s="84"/>
    </row>
    <row r="28" spans="1:11" ht="20.100000000000001" customHeight="1">
      <c r="A28" s="92" t="s">
        <v>886</v>
      </c>
      <c r="B28" s="128">
        <v>0.3</v>
      </c>
      <c r="C28" s="128">
        <v>0.3</v>
      </c>
      <c r="D28" s="128">
        <v>0.41700000000000004</v>
      </c>
      <c r="E28" s="128">
        <v>0.41700000000000004</v>
      </c>
      <c r="F28" s="128">
        <v>0.4</v>
      </c>
      <c r="G28" s="89"/>
      <c r="H28" s="84"/>
      <c r="I28" s="84"/>
      <c r="J28" s="84"/>
    </row>
    <row r="29" spans="1:11" ht="20.100000000000001" customHeight="1">
      <c r="A29" s="92" t="s">
        <v>887</v>
      </c>
      <c r="B29" s="128">
        <v>0.33</v>
      </c>
      <c r="C29" s="128">
        <v>0.33299999999999996</v>
      </c>
      <c r="D29" s="128">
        <v>0.33299999999999996</v>
      </c>
      <c r="E29" s="128">
        <v>0.25</v>
      </c>
      <c r="F29" s="128">
        <v>0.44400000000000001</v>
      </c>
      <c r="G29" s="89"/>
      <c r="H29" s="84"/>
      <c r="I29" s="84"/>
      <c r="J29" s="84"/>
    </row>
    <row r="30" spans="1:11" ht="20.100000000000001" customHeight="1">
      <c r="A30" s="92" t="s">
        <v>880</v>
      </c>
      <c r="B30" s="128">
        <v>0.15</v>
      </c>
      <c r="C30" s="128">
        <v>0.16300000000000001</v>
      </c>
      <c r="D30" s="128">
        <v>0.17399999999999999</v>
      </c>
      <c r="E30" s="128">
        <v>0.19500000000000001</v>
      </c>
      <c r="F30" s="128">
        <v>0.21</v>
      </c>
      <c r="G30" s="89"/>
      <c r="H30" s="84"/>
      <c r="I30" s="84"/>
      <c r="J30" s="84"/>
    </row>
    <row r="31" spans="1:11" ht="20.100000000000001" customHeight="1">
      <c r="A31" s="92" t="s">
        <v>881</v>
      </c>
      <c r="B31" s="128">
        <v>0.09</v>
      </c>
      <c r="C31" s="128">
        <v>0.122</v>
      </c>
      <c r="D31" s="128">
        <v>0.13600000000000001</v>
      </c>
      <c r="E31" s="128">
        <v>0.14599999999999999</v>
      </c>
      <c r="F31" s="128">
        <v>0.14000000000000001</v>
      </c>
      <c r="G31" s="89"/>
      <c r="H31" s="84"/>
      <c r="I31" s="84"/>
      <c r="J31" s="84"/>
    </row>
    <row r="32" spans="1:11" ht="20.100000000000001" customHeight="1">
      <c r="A32" s="92" t="s">
        <v>882</v>
      </c>
      <c r="B32" s="128">
        <v>0.23</v>
      </c>
      <c r="C32" s="128">
        <v>0.253</v>
      </c>
      <c r="D32" s="128">
        <v>0.25</v>
      </c>
      <c r="E32" s="128">
        <v>0.247</v>
      </c>
      <c r="F32" s="128">
        <v>0.26500000000000001</v>
      </c>
      <c r="G32" s="89"/>
      <c r="H32" s="84"/>
      <c r="I32" s="84"/>
      <c r="J32" s="84"/>
    </row>
    <row r="33" spans="1:10" ht="20.100000000000001" customHeight="1">
      <c r="A33" s="92" t="s">
        <v>883</v>
      </c>
      <c r="B33" s="128">
        <v>0.08</v>
      </c>
      <c r="C33" s="128">
        <v>0.11800000000000001</v>
      </c>
      <c r="D33" s="128">
        <v>0.115</v>
      </c>
      <c r="E33" s="128">
        <v>0.125</v>
      </c>
      <c r="F33" s="128">
        <v>9.8000000000000004E-2</v>
      </c>
      <c r="G33" s="89"/>
      <c r="H33" s="84"/>
      <c r="I33" s="84"/>
      <c r="J33" s="84"/>
    </row>
    <row r="34" spans="1:10" ht="20.100000000000001" customHeight="1">
      <c r="A34" s="92" t="s">
        <v>888</v>
      </c>
      <c r="B34" s="356">
        <v>0.11</v>
      </c>
      <c r="C34" s="356">
        <v>0.14800000000000002</v>
      </c>
      <c r="D34" s="356">
        <v>0.154</v>
      </c>
      <c r="E34" s="356">
        <v>0.157</v>
      </c>
      <c r="F34" s="356">
        <v>0.14599999999999999</v>
      </c>
      <c r="G34" s="20"/>
      <c r="H34" s="84"/>
      <c r="I34" s="84"/>
      <c r="J34" s="84"/>
    </row>
    <row r="35" spans="1:10" ht="26.65" customHeight="1">
      <c r="A35" s="481" t="s">
        <v>889</v>
      </c>
      <c r="B35" s="481"/>
      <c r="C35" s="481"/>
      <c r="D35" s="481"/>
      <c r="E35" s="481"/>
      <c r="F35" s="481"/>
      <c r="G35" s="35"/>
      <c r="H35" s="84"/>
      <c r="I35" s="84"/>
      <c r="J35" s="84"/>
    </row>
    <row r="36" spans="1:10" ht="26.65" customHeight="1">
      <c r="A36" s="578"/>
      <c r="B36" s="578"/>
      <c r="C36" s="578"/>
      <c r="D36" s="578"/>
      <c r="E36" s="578"/>
      <c r="F36" s="578"/>
      <c r="G36" s="35"/>
      <c r="H36" s="84"/>
      <c r="I36" s="84"/>
      <c r="J36" s="84"/>
    </row>
    <row r="37" spans="1:10" ht="60" customHeight="1">
      <c r="A37" s="90"/>
      <c r="B37" s="90"/>
      <c r="C37" s="90"/>
      <c r="D37" s="90"/>
      <c r="E37" s="90"/>
      <c r="F37" s="90"/>
      <c r="G37" s="90"/>
      <c r="H37" s="90"/>
      <c r="I37" s="90"/>
      <c r="J37" s="84"/>
    </row>
    <row r="38" spans="1:10" ht="53.25" customHeight="1">
      <c r="A38" s="2" t="s">
        <v>890</v>
      </c>
      <c r="B38" s="79" t="s">
        <v>891</v>
      </c>
      <c r="C38" s="79" t="s">
        <v>892</v>
      </c>
      <c r="D38" s="79" t="s">
        <v>893</v>
      </c>
      <c r="E38" s="79" t="s">
        <v>894</v>
      </c>
      <c r="F38" s="79" t="s">
        <v>895</v>
      </c>
      <c r="G38" s="79" t="s">
        <v>896</v>
      </c>
      <c r="H38" s="79" t="s">
        <v>897</v>
      </c>
      <c r="I38" s="79" t="s">
        <v>898</v>
      </c>
      <c r="J38" s="89"/>
    </row>
    <row r="39" spans="1:10" ht="20.100000000000001" customHeight="1">
      <c r="A39" s="92" t="s">
        <v>880</v>
      </c>
      <c r="B39" s="179">
        <v>0</v>
      </c>
      <c r="C39" s="130">
        <v>0</v>
      </c>
      <c r="D39" s="179">
        <v>93</v>
      </c>
      <c r="E39" s="130">
        <v>6.0000000000000001E-3</v>
      </c>
      <c r="F39" s="179">
        <v>83</v>
      </c>
      <c r="G39" s="130">
        <v>5.0000000000000001E-3</v>
      </c>
      <c r="H39" s="357">
        <v>176</v>
      </c>
      <c r="I39" s="128">
        <v>1.1000000000000001E-2</v>
      </c>
      <c r="J39" s="89"/>
    </row>
    <row r="40" spans="1:10" ht="20.100000000000001" customHeight="1">
      <c r="A40" s="92" t="s">
        <v>881</v>
      </c>
      <c r="B40" s="179">
        <v>61</v>
      </c>
      <c r="C40" s="130">
        <v>4.0000000000000001E-3</v>
      </c>
      <c r="D40" s="179">
        <v>1685</v>
      </c>
      <c r="E40" s="130">
        <v>0.10099999999999999</v>
      </c>
      <c r="F40" s="179">
        <v>531</v>
      </c>
      <c r="G40" s="128">
        <v>3.2000000000000001E-2</v>
      </c>
      <c r="H40" s="358">
        <v>2277</v>
      </c>
      <c r="I40" s="128">
        <v>0.13699999999999998</v>
      </c>
      <c r="J40" s="89"/>
    </row>
    <row r="41" spans="1:10" ht="20.100000000000001" customHeight="1">
      <c r="A41" s="92" t="s">
        <v>882</v>
      </c>
      <c r="B41" s="179">
        <v>724</v>
      </c>
      <c r="C41" s="130">
        <v>4.4000000000000004E-2</v>
      </c>
      <c r="D41" s="179">
        <v>2734</v>
      </c>
      <c r="E41" s="130">
        <v>0.16500000000000001</v>
      </c>
      <c r="F41" s="179">
        <v>624</v>
      </c>
      <c r="G41" s="128">
        <v>3.7999999999999999E-2</v>
      </c>
      <c r="H41" s="358">
        <v>4082</v>
      </c>
      <c r="I41" s="128">
        <v>0.24600000000000002</v>
      </c>
      <c r="J41" s="89"/>
    </row>
    <row r="42" spans="1:10" ht="20.100000000000001" customHeight="1">
      <c r="A42" s="92" t="s">
        <v>883</v>
      </c>
      <c r="B42" s="179">
        <v>1855</v>
      </c>
      <c r="C42" s="130">
        <v>0.11199999999999999</v>
      </c>
      <c r="D42" s="179">
        <v>6401</v>
      </c>
      <c r="E42" s="130">
        <v>0.38500000000000001</v>
      </c>
      <c r="F42" s="179">
        <v>1814</v>
      </c>
      <c r="G42" s="128">
        <v>0.109</v>
      </c>
      <c r="H42" s="358">
        <v>10070</v>
      </c>
      <c r="I42" s="128">
        <v>0.60599999999999998</v>
      </c>
      <c r="J42" s="89"/>
    </row>
    <row r="43" spans="1:10" ht="20.100000000000001" customHeight="1">
      <c r="A43" s="92" t="s">
        <v>85</v>
      </c>
      <c r="B43" s="354">
        <v>2640</v>
      </c>
      <c r="C43" s="359">
        <v>0.159</v>
      </c>
      <c r="D43" s="354">
        <v>10913</v>
      </c>
      <c r="E43" s="360">
        <v>0.65700000000000003</v>
      </c>
      <c r="F43" s="354">
        <v>3052</v>
      </c>
      <c r="G43" s="336">
        <v>0.184</v>
      </c>
      <c r="H43" s="354">
        <v>16605</v>
      </c>
      <c r="I43" s="356">
        <v>1</v>
      </c>
      <c r="J43" s="89"/>
    </row>
    <row r="44" spans="1:10" ht="36.6" customHeight="1">
      <c r="A44" s="458" t="s">
        <v>899</v>
      </c>
      <c r="B44" s="447"/>
      <c r="C44" s="447"/>
      <c r="D44" s="447"/>
      <c r="E44" s="447"/>
      <c r="F44" s="447"/>
      <c r="G44" s="447"/>
      <c r="H44" s="447"/>
      <c r="I44" s="447"/>
    </row>
  </sheetData>
  <sheetProtection algorithmName="SHA-512" hashValue="Sn2xXpR6GzNnabxRrbJPWYj2TAPYEF2Ln+Qa+PnLKDmx2kS6hrGvwAYrycLAh/bTPYOVrDv1dMaIrCubMWdhdw==" saltValue="R0Nhm7b7uFQcb/kx7fRyCw==" spinCount="100000" sheet="1" objects="1" scenarios="1"/>
  <customSheetViews>
    <customSheetView guid="{5E62BE79-A4FD-4E7A-98EF-5A09C5274723}" showGridLines="0" showRuler="0" topLeftCell="A34">
      <selection activeCell="I35" sqref="I35"/>
      <pageMargins left="0.75" right="0.75" top="1" bottom="1" header="0.5" footer="0.5"/>
    </customSheetView>
  </customSheetViews>
  <mergeCells count="5">
    <mergeCell ref="A1:D1"/>
    <mergeCell ref="A17:D17"/>
    <mergeCell ref="A25:D25"/>
    <mergeCell ref="A35:F36"/>
    <mergeCell ref="A44:I44"/>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G31"/>
  <sheetViews>
    <sheetView showGridLines="0" showRuler="0" topLeftCell="A22" workbookViewId="0">
      <selection activeCell="A26" sqref="A26:F26"/>
    </sheetView>
  </sheetViews>
  <sheetFormatPr baseColWidth="10" defaultColWidth="13.7109375" defaultRowHeight="12.75"/>
  <cols>
    <col min="1" max="1" width="31.85546875" customWidth="1"/>
    <col min="2" max="6" width="16.28515625" customWidth="1"/>
    <col min="7" max="7" width="15.140625" customWidth="1"/>
  </cols>
  <sheetData>
    <row r="1" spans="1:7">
      <c r="A1" s="577" t="s">
        <v>1023</v>
      </c>
      <c r="B1" s="450"/>
      <c r="C1" s="450"/>
      <c r="D1" s="450"/>
      <c r="E1" s="450"/>
    </row>
    <row r="2" spans="1:7" ht="60" customHeight="1"/>
    <row r="3" spans="1:7" ht="52.5" customHeight="1">
      <c r="A3" s="2" t="s">
        <v>900</v>
      </c>
      <c r="B3" s="91">
        <v>2015</v>
      </c>
      <c r="C3" s="91">
        <v>2016</v>
      </c>
      <c r="D3" s="91">
        <v>2017</v>
      </c>
      <c r="E3" s="91">
        <v>2018</v>
      </c>
      <c r="F3" s="91">
        <v>2019</v>
      </c>
      <c r="G3" s="89"/>
    </row>
    <row r="4" spans="1:7" ht="20.100000000000001" customHeight="1">
      <c r="A4" s="92" t="s">
        <v>37</v>
      </c>
      <c r="B4" s="252" t="s">
        <v>318</v>
      </c>
      <c r="C4" s="252" t="s">
        <v>318</v>
      </c>
      <c r="D4" s="252" t="s">
        <v>318</v>
      </c>
      <c r="E4" s="252" t="s">
        <v>318</v>
      </c>
      <c r="F4" s="130">
        <v>0.878</v>
      </c>
      <c r="G4" s="89"/>
    </row>
    <row r="5" spans="1:7" ht="20.100000000000001" customHeight="1">
      <c r="A5" s="92" t="s">
        <v>25</v>
      </c>
      <c r="B5" s="130">
        <v>0.12</v>
      </c>
      <c r="C5" s="130">
        <v>0.41000000000000003</v>
      </c>
      <c r="D5" s="130">
        <v>0.38500000000000001</v>
      </c>
      <c r="E5" s="130">
        <v>0.24300000000000002</v>
      </c>
      <c r="F5" s="130">
        <v>0.24</v>
      </c>
      <c r="G5" s="89"/>
    </row>
    <row r="6" spans="1:7" ht="20.100000000000001" customHeight="1">
      <c r="A6" s="92" t="s">
        <v>5</v>
      </c>
      <c r="B6" s="252" t="s">
        <v>318</v>
      </c>
      <c r="C6" s="252" t="s">
        <v>318</v>
      </c>
      <c r="D6" s="252" t="s">
        <v>318</v>
      </c>
      <c r="E6" s="252" t="s">
        <v>318</v>
      </c>
      <c r="F6" s="130">
        <v>6.6000000000000003E-2</v>
      </c>
      <c r="G6" s="89"/>
    </row>
    <row r="7" spans="1:7" ht="20.100000000000001" customHeight="1">
      <c r="A7" s="92" t="s">
        <v>876</v>
      </c>
      <c r="B7" s="130">
        <v>0</v>
      </c>
      <c r="C7" s="130">
        <v>0</v>
      </c>
      <c r="D7" s="130">
        <v>0</v>
      </c>
      <c r="E7" s="130">
        <v>0</v>
      </c>
      <c r="F7" s="130">
        <v>0</v>
      </c>
      <c r="G7" s="89"/>
    </row>
    <row r="8" spans="1:7" ht="20.100000000000001" customHeight="1">
      <c r="A8" s="92" t="s">
        <v>877</v>
      </c>
      <c r="B8" s="130">
        <v>0</v>
      </c>
      <c r="C8" s="130">
        <v>0</v>
      </c>
      <c r="D8" s="130">
        <v>0</v>
      </c>
      <c r="E8" s="130">
        <v>0</v>
      </c>
      <c r="F8" s="130">
        <v>0</v>
      </c>
      <c r="G8" s="89"/>
    </row>
    <row r="9" spans="1:7" ht="20.100000000000001" customHeight="1">
      <c r="A9" s="92" t="s">
        <v>901</v>
      </c>
      <c r="B9" s="130">
        <v>1</v>
      </c>
      <c r="C9" s="130">
        <v>1</v>
      </c>
      <c r="D9" s="130">
        <v>1</v>
      </c>
      <c r="E9" s="130">
        <v>0.97700000000000009</v>
      </c>
      <c r="F9" s="130">
        <v>0.85299999999999998</v>
      </c>
      <c r="G9" s="89"/>
    </row>
    <row r="10" spans="1:7" ht="20.100000000000001" customHeight="1">
      <c r="A10" s="92" t="s">
        <v>84</v>
      </c>
      <c r="B10" s="252" t="s">
        <v>318</v>
      </c>
      <c r="C10" s="252" t="s">
        <v>318</v>
      </c>
      <c r="D10" s="252" t="s">
        <v>318</v>
      </c>
      <c r="E10" s="252" t="s">
        <v>318</v>
      </c>
      <c r="F10" s="130">
        <v>0</v>
      </c>
      <c r="G10" s="89"/>
    </row>
    <row r="11" spans="1:7" ht="20.100000000000001" customHeight="1">
      <c r="A11" s="92" t="s">
        <v>9</v>
      </c>
      <c r="B11" s="252" t="s">
        <v>318</v>
      </c>
      <c r="C11" s="252" t="s">
        <v>318</v>
      </c>
      <c r="D11" s="252" t="s">
        <v>318</v>
      </c>
      <c r="E11" s="252" t="s">
        <v>318</v>
      </c>
      <c r="F11" s="130">
        <v>0.70599999999999996</v>
      </c>
      <c r="G11" s="4"/>
    </row>
    <row r="12" spans="1:7" ht="20.100000000000001" customHeight="1">
      <c r="A12" s="92" t="s">
        <v>902</v>
      </c>
      <c r="B12" s="130">
        <v>0</v>
      </c>
      <c r="C12" s="130">
        <v>0</v>
      </c>
      <c r="D12" s="130">
        <v>0</v>
      </c>
      <c r="E12" s="130">
        <v>0</v>
      </c>
      <c r="F12" s="130">
        <v>0</v>
      </c>
      <c r="G12" s="89"/>
    </row>
    <row r="13" spans="1:7" ht="20.100000000000001" customHeight="1">
      <c r="A13" s="92" t="s">
        <v>13</v>
      </c>
      <c r="B13" s="130">
        <v>0.28000000000000003</v>
      </c>
      <c r="C13" s="130">
        <v>0.28000000000000003</v>
      </c>
      <c r="D13" s="130">
        <v>0.28999999999999998</v>
      </c>
      <c r="E13" s="130">
        <v>0.34</v>
      </c>
      <c r="F13" s="130">
        <v>0.35899999999999999</v>
      </c>
      <c r="G13" s="89"/>
    </row>
    <row r="14" spans="1:7" ht="20.100000000000001" customHeight="1">
      <c r="A14" s="92" t="s">
        <v>82</v>
      </c>
      <c r="B14" s="252" t="s">
        <v>318</v>
      </c>
      <c r="C14" s="252" t="s">
        <v>318</v>
      </c>
      <c r="D14" s="130">
        <v>0</v>
      </c>
      <c r="E14" s="130">
        <v>0.45400000000000001</v>
      </c>
      <c r="F14" s="130">
        <v>0.42399999999999999</v>
      </c>
      <c r="G14" s="89"/>
    </row>
    <row r="15" spans="1:7" ht="20.100000000000001" customHeight="1">
      <c r="A15" s="92" t="s">
        <v>903</v>
      </c>
      <c r="B15" s="130">
        <v>0.4</v>
      </c>
      <c r="C15" s="130">
        <v>0.35000000000000003</v>
      </c>
      <c r="D15" s="130">
        <v>0.32299999999999995</v>
      </c>
      <c r="E15" s="130">
        <v>0.31</v>
      </c>
      <c r="F15" s="130">
        <v>0</v>
      </c>
      <c r="G15" s="89"/>
    </row>
    <row r="16" spans="1:7" ht="20.100000000000001" customHeight="1">
      <c r="A16" s="92" t="s">
        <v>85</v>
      </c>
      <c r="B16" s="361">
        <v>0.49</v>
      </c>
      <c r="C16" s="361">
        <v>0.51</v>
      </c>
      <c r="D16" s="361">
        <v>0.51</v>
      </c>
      <c r="E16" s="361">
        <v>0.42</v>
      </c>
      <c r="F16" s="361">
        <v>0.434</v>
      </c>
      <c r="G16" s="89"/>
    </row>
    <row r="17" spans="1:7" ht="42.6" customHeight="1">
      <c r="A17" s="481" t="s">
        <v>904</v>
      </c>
      <c r="B17" s="481"/>
      <c r="C17" s="481"/>
      <c r="D17" s="481"/>
      <c r="E17" s="481"/>
      <c r="F17" s="481"/>
      <c r="G17" s="362"/>
    </row>
    <row r="18" spans="1:7" ht="32.25" customHeight="1">
      <c r="A18" s="578"/>
      <c r="B18" s="578"/>
      <c r="C18" s="578"/>
      <c r="D18" s="578"/>
      <c r="E18" s="578"/>
      <c r="F18" s="578"/>
      <c r="G18" s="84"/>
    </row>
    <row r="19" spans="1:7" ht="60" customHeight="1"/>
    <row r="20" spans="1:7" ht="46.7" customHeight="1">
      <c r="A20" s="12" t="s">
        <v>905</v>
      </c>
      <c r="B20" s="580" t="s">
        <v>23</v>
      </c>
      <c r="C20" s="580"/>
      <c r="D20" s="580" t="s">
        <v>906</v>
      </c>
      <c r="E20" s="444"/>
      <c r="F20" s="444"/>
      <c r="G20" s="4"/>
    </row>
    <row r="21" spans="1:7" ht="49.15" customHeight="1">
      <c r="A21" s="363" t="s">
        <v>907</v>
      </c>
      <c r="B21" s="581" t="s">
        <v>908</v>
      </c>
      <c r="C21" s="581"/>
      <c r="D21" s="581" t="s">
        <v>909</v>
      </c>
      <c r="E21" s="444"/>
      <c r="F21" s="444"/>
      <c r="G21" s="4"/>
    </row>
    <row r="22" spans="1:7" ht="49.15" customHeight="1">
      <c r="A22" s="581" t="s">
        <v>910</v>
      </c>
      <c r="B22" s="581" t="s">
        <v>26</v>
      </c>
      <c r="C22" s="581"/>
      <c r="D22" s="581" t="s">
        <v>911</v>
      </c>
      <c r="E22" s="444"/>
      <c r="F22" s="444"/>
      <c r="G22" s="4"/>
    </row>
    <row r="23" spans="1:7" ht="49.15" customHeight="1">
      <c r="A23" s="581"/>
      <c r="B23" s="581" t="s">
        <v>140</v>
      </c>
      <c r="C23" s="581"/>
      <c r="D23" s="581" t="s">
        <v>912</v>
      </c>
      <c r="E23" s="444"/>
      <c r="F23" s="444"/>
      <c r="G23" s="4"/>
    </row>
    <row r="24" spans="1:7" ht="49.15" customHeight="1">
      <c r="A24" s="363" t="s">
        <v>913</v>
      </c>
      <c r="B24" s="581" t="s">
        <v>10</v>
      </c>
      <c r="C24" s="581"/>
      <c r="D24" s="581" t="s">
        <v>911</v>
      </c>
      <c r="E24" s="444"/>
      <c r="F24" s="444"/>
      <c r="G24" s="4"/>
    </row>
    <row r="25" spans="1:7" ht="94.5" customHeight="1">
      <c r="A25" s="363" t="s">
        <v>914</v>
      </c>
      <c r="B25" s="583" t="s">
        <v>915</v>
      </c>
      <c r="C25" s="522"/>
      <c r="D25" s="582" t="s">
        <v>1080</v>
      </c>
      <c r="E25" s="521"/>
      <c r="F25" s="522"/>
      <c r="G25" s="4"/>
    </row>
    <row r="26" spans="1:7" ht="40.5" customHeight="1">
      <c r="A26" s="518" t="s">
        <v>1081</v>
      </c>
      <c r="B26" s="560"/>
      <c r="C26" s="560"/>
      <c r="D26" s="560"/>
      <c r="E26" s="560"/>
      <c r="F26" s="560"/>
    </row>
    <row r="27" spans="1:7" ht="3.4" customHeight="1">
      <c r="A27" s="350"/>
    </row>
    <row r="28" spans="1:7" ht="60" customHeight="1"/>
    <row r="29" spans="1:7" ht="20.100000000000001" customHeight="1">
      <c r="A29" s="545" t="s">
        <v>916</v>
      </c>
      <c r="B29" s="489"/>
      <c r="C29" s="489"/>
      <c r="D29" s="489"/>
      <c r="E29" s="489"/>
      <c r="F29" s="490"/>
      <c r="G29" s="4"/>
    </row>
    <row r="30" spans="1:7" ht="20.100000000000001" customHeight="1">
      <c r="A30" s="485" t="s">
        <v>917</v>
      </c>
      <c r="B30" s="486"/>
      <c r="C30" s="486"/>
      <c r="D30" s="486"/>
      <c r="E30" s="486"/>
      <c r="F30" s="487"/>
      <c r="G30" s="4"/>
    </row>
    <row r="31" spans="1:7" ht="75.75" customHeight="1">
      <c r="A31" s="446" t="s">
        <v>918</v>
      </c>
      <c r="B31" s="446"/>
      <c r="C31" s="446"/>
      <c r="D31" s="446"/>
      <c r="E31" s="446"/>
      <c r="F31" s="446"/>
    </row>
  </sheetData>
  <sheetProtection algorithmName="SHA-512" hashValue="TFjR+GUwqDJG3u3VzUKubkylBmTUoeUXx+t269dEAcKswNSZC0AWF3bpYoi9TXeVZk4sDa1V3rZ9nxkI4pqciA==" saltValue="okYD3MoqTPy6RouyxXaS8Q==" spinCount="100000" sheet="1" objects="1" scenarios="1"/>
  <customSheetViews>
    <customSheetView guid="{5E62BE79-A4FD-4E7A-98EF-5A09C5274723}" showGridLines="0" showRuler="0" topLeftCell="A22">
      <selection activeCell="A26" sqref="A26:F26"/>
      <pageMargins left="0.75" right="0.75" top="1" bottom="1" header="0.5" footer="0.5"/>
    </customSheetView>
  </customSheetViews>
  <mergeCells count="19">
    <mergeCell ref="A31:F31"/>
    <mergeCell ref="A29:F29"/>
    <mergeCell ref="A30:F30"/>
    <mergeCell ref="A26:F26"/>
    <mergeCell ref="D25:F25"/>
    <mergeCell ref="B25:C25"/>
    <mergeCell ref="D24:F24"/>
    <mergeCell ref="D23:F23"/>
    <mergeCell ref="D22:F22"/>
    <mergeCell ref="A22:A23"/>
    <mergeCell ref="B23:C23"/>
    <mergeCell ref="B22:C22"/>
    <mergeCell ref="B24:C24"/>
    <mergeCell ref="A1:E1"/>
    <mergeCell ref="A17:F18"/>
    <mergeCell ref="D20:F20"/>
    <mergeCell ref="D21:F21"/>
    <mergeCell ref="B20:C20"/>
    <mergeCell ref="B21:C2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G63"/>
  <sheetViews>
    <sheetView showGridLines="0" showRuler="0" topLeftCell="A49" workbookViewId="0">
      <selection activeCell="A61" sqref="A61:C63"/>
    </sheetView>
  </sheetViews>
  <sheetFormatPr baseColWidth="10" defaultColWidth="13.7109375" defaultRowHeight="12.75"/>
  <cols>
    <col min="1" max="1" width="30.28515625" customWidth="1"/>
    <col min="2" max="4" width="14.42578125" customWidth="1"/>
  </cols>
  <sheetData>
    <row r="1" spans="1:5">
      <c r="A1" s="577" t="s">
        <v>1024</v>
      </c>
      <c r="B1" s="450"/>
      <c r="C1" s="450"/>
      <c r="D1" s="450"/>
    </row>
    <row r="2" spans="1:5" ht="60" customHeight="1"/>
    <row r="3" spans="1:5" ht="30" customHeight="1">
      <c r="A3" s="2" t="s">
        <v>919</v>
      </c>
      <c r="B3" s="79" t="s">
        <v>920</v>
      </c>
      <c r="C3" s="79" t="s">
        <v>921</v>
      </c>
      <c r="D3" s="79" t="s">
        <v>85</v>
      </c>
      <c r="E3" s="4"/>
    </row>
    <row r="4" spans="1:5" ht="20.100000000000001" customHeight="1">
      <c r="A4" s="92" t="s">
        <v>557</v>
      </c>
      <c r="B4" s="128">
        <v>9.0000000000000011E-3</v>
      </c>
      <c r="C4" s="128">
        <v>2.1000000000000001E-2</v>
      </c>
      <c r="D4" s="128">
        <v>0.03</v>
      </c>
      <c r="E4" s="4"/>
    </row>
    <row r="5" spans="1:5" ht="20.100000000000001" customHeight="1">
      <c r="A5" s="92" t="s">
        <v>25</v>
      </c>
      <c r="B5" s="128">
        <v>9.3000000000000013E-2</v>
      </c>
      <c r="C5" s="128">
        <v>3.2000000000000001E-2</v>
      </c>
      <c r="D5" s="128">
        <v>0.125</v>
      </c>
      <c r="E5" s="4"/>
    </row>
    <row r="6" spans="1:5" ht="20.100000000000001" customHeight="1">
      <c r="A6" s="92" t="s">
        <v>922</v>
      </c>
      <c r="B6" s="128">
        <v>0.05</v>
      </c>
      <c r="C6" s="128">
        <v>6.5000000000000002E-2</v>
      </c>
      <c r="D6" s="128">
        <v>0.115</v>
      </c>
      <c r="E6" s="4"/>
    </row>
    <row r="7" spans="1:5" ht="20.100000000000001" customHeight="1">
      <c r="A7" s="92" t="s">
        <v>923</v>
      </c>
      <c r="B7" s="128">
        <v>0.02</v>
      </c>
      <c r="C7" s="128">
        <v>4.2999999999999997E-2</v>
      </c>
      <c r="D7" s="128">
        <v>6.3E-2</v>
      </c>
      <c r="E7" s="4"/>
    </row>
    <row r="8" spans="1:5">
      <c r="A8" s="481" t="s">
        <v>924</v>
      </c>
      <c r="B8" s="447"/>
      <c r="C8" s="447"/>
      <c r="D8" s="447"/>
    </row>
    <row r="9" spans="1:5">
      <c r="A9" s="459"/>
      <c r="B9" s="459"/>
      <c r="C9" s="459"/>
      <c r="D9" s="459"/>
    </row>
    <row r="10" spans="1:5" ht="35.25" customHeight="1">
      <c r="A10" s="459"/>
      <c r="B10" s="459"/>
      <c r="C10" s="459"/>
      <c r="D10" s="459"/>
    </row>
    <row r="11" spans="1:5" ht="60" customHeight="1"/>
    <row r="12" spans="1:5" ht="27.75" customHeight="1">
      <c r="A12" s="2" t="s">
        <v>925</v>
      </c>
      <c r="B12" s="79" t="s">
        <v>926</v>
      </c>
      <c r="C12" s="79" t="s">
        <v>927</v>
      </c>
      <c r="D12" s="89"/>
    </row>
    <row r="13" spans="1:5" ht="20.100000000000001" customHeight="1">
      <c r="A13" s="92" t="s">
        <v>928</v>
      </c>
      <c r="B13" s="363"/>
      <c r="C13" s="363"/>
      <c r="D13" s="89"/>
    </row>
    <row r="14" spans="1:5" ht="20.100000000000001" customHeight="1">
      <c r="A14" s="92" t="s">
        <v>929</v>
      </c>
      <c r="B14" s="179">
        <v>254</v>
      </c>
      <c r="C14" s="128">
        <v>0.109</v>
      </c>
      <c r="D14" s="89"/>
    </row>
    <row r="15" spans="1:5" ht="20.100000000000001" customHeight="1">
      <c r="A15" s="92" t="s">
        <v>930</v>
      </c>
      <c r="B15" s="179">
        <v>913</v>
      </c>
      <c r="C15" s="128">
        <v>8.4000000000000005E-2</v>
      </c>
      <c r="D15" s="89"/>
    </row>
    <row r="16" spans="1:5" ht="20.100000000000001" customHeight="1">
      <c r="A16" s="92" t="s">
        <v>931</v>
      </c>
      <c r="B16" s="179">
        <v>383</v>
      </c>
      <c r="C16" s="128">
        <v>0.12</v>
      </c>
      <c r="D16" s="89"/>
    </row>
    <row r="17" spans="1:7">
      <c r="A17" s="481" t="s">
        <v>932</v>
      </c>
      <c r="B17" s="447"/>
      <c r="C17" s="447"/>
    </row>
    <row r="18" spans="1:7" ht="17.25" customHeight="1">
      <c r="A18" s="459"/>
      <c r="B18" s="459"/>
      <c r="C18" s="459"/>
    </row>
    <row r="19" spans="1:7" ht="60" customHeight="1"/>
    <row r="20" spans="1:7" ht="27.75" customHeight="1">
      <c r="A20" s="2" t="s">
        <v>933</v>
      </c>
      <c r="B20" s="79" t="s">
        <v>920</v>
      </c>
      <c r="C20" s="79" t="s">
        <v>921</v>
      </c>
      <c r="D20" s="4"/>
    </row>
    <row r="21" spans="1:7" ht="20.100000000000001" customHeight="1">
      <c r="A21" s="93" t="s">
        <v>221</v>
      </c>
      <c r="B21" s="128">
        <v>4.5999999999999999E-2</v>
      </c>
      <c r="C21" s="128">
        <v>4.9000000000000002E-2</v>
      </c>
      <c r="D21" s="4"/>
    </row>
    <row r="22" spans="1:7" ht="20.100000000000001" customHeight="1">
      <c r="A22" s="93" t="s">
        <v>220</v>
      </c>
      <c r="B22" s="128">
        <v>6.6000000000000003E-2</v>
      </c>
      <c r="C22" s="128">
        <v>4.4000000000000004E-2</v>
      </c>
      <c r="D22" s="4"/>
    </row>
    <row r="23" spans="1:7" ht="20.100000000000001" customHeight="1">
      <c r="A23" s="93" t="s">
        <v>160</v>
      </c>
      <c r="B23" s="128">
        <v>6.3E-2</v>
      </c>
      <c r="C23" s="128">
        <v>3.7000000000000005E-2</v>
      </c>
      <c r="D23" s="4"/>
    </row>
    <row r="24" spans="1:7" ht="20.100000000000001" customHeight="1">
      <c r="A24" s="93" t="s">
        <v>159</v>
      </c>
      <c r="B24" s="128">
        <v>0.05</v>
      </c>
      <c r="C24" s="128">
        <v>4.4000000000000004E-2</v>
      </c>
      <c r="D24" s="4"/>
    </row>
    <row r="25" spans="1:7" ht="20.100000000000001" customHeight="1">
      <c r="A25" s="93" t="s">
        <v>158</v>
      </c>
      <c r="B25" s="128">
        <v>3.2000000000000001E-2</v>
      </c>
      <c r="C25" s="128">
        <v>0.05</v>
      </c>
      <c r="D25" s="4"/>
    </row>
    <row r="26" spans="1:7" ht="63.75" customHeight="1">
      <c r="A26" s="481" t="s">
        <v>934</v>
      </c>
      <c r="B26" s="447"/>
      <c r="C26" s="447"/>
    </row>
    <row r="27" spans="1:7" ht="60" customHeight="1"/>
    <row r="28" spans="1:7" ht="39.200000000000003" customHeight="1">
      <c r="A28" s="2" t="s">
        <v>935</v>
      </c>
      <c r="B28" s="364">
        <v>2015</v>
      </c>
      <c r="C28" s="364">
        <v>2016</v>
      </c>
      <c r="D28" s="364">
        <v>2017</v>
      </c>
      <c r="E28" s="364">
        <v>2018</v>
      </c>
      <c r="F28" s="364">
        <v>2019</v>
      </c>
      <c r="G28" s="4"/>
    </row>
    <row r="29" spans="1:7" ht="20.100000000000001" customHeight="1">
      <c r="A29" s="87" t="s">
        <v>936</v>
      </c>
      <c r="B29" s="154"/>
      <c r="C29" s="154"/>
      <c r="D29" s="154"/>
      <c r="E29" s="154"/>
      <c r="F29" s="154"/>
      <c r="G29" s="4"/>
    </row>
    <row r="30" spans="1:7" ht="20.100000000000001" customHeight="1">
      <c r="A30" s="85" t="s">
        <v>921</v>
      </c>
      <c r="B30" s="179">
        <v>537</v>
      </c>
      <c r="C30" s="179">
        <v>399</v>
      </c>
      <c r="D30" s="179">
        <v>362</v>
      </c>
      <c r="E30" s="179">
        <v>399</v>
      </c>
      <c r="F30" s="179">
        <v>627</v>
      </c>
      <c r="G30" s="4"/>
    </row>
    <row r="31" spans="1:7" ht="20.100000000000001" customHeight="1">
      <c r="A31" s="85" t="s">
        <v>920</v>
      </c>
      <c r="B31" s="179">
        <v>340</v>
      </c>
      <c r="C31" s="179">
        <v>417</v>
      </c>
      <c r="D31" s="179">
        <v>563</v>
      </c>
      <c r="E31" s="179">
        <v>585</v>
      </c>
      <c r="F31" s="179">
        <v>581</v>
      </c>
      <c r="G31" s="4"/>
    </row>
    <row r="32" spans="1:7" ht="20.100000000000001" customHeight="1">
      <c r="A32" s="365" t="s">
        <v>937</v>
      </c>
      <c r="B32" s="354">
        <v>877</v>
      </c>
      <c r="C32" s="354">
        <v>816</v>
      </c>
      <c r="D32" s="354">
        <v>925</v>
      </c>
      <c r="E32" s="354">
        <v>984</v>
      </c>
      <c r="F32" s="354">
        <v>1208</v>
      </c>
      <c r="G32" s="4"/>
    </row>
    <row r="33" spans="1:7" ht="20.100000000000001" customHeight="1">
      <c r="A33" s="85" t="s">
        <v>938</v>
      </c>
      <c r="B33" s="128">
        <v>0.05</v>
      </c>
      <c r="C33" s="128">
        <v>0.04</v>
      </c>
      <c r="D33" s="128">
        <v>3.7999999999999999E-2</v>
      </c>
      <c r="E33" s="128">
        <v>4.0999999999999995E-2</v>
      </c>
      <c r="F33" s="128">
        <v>4.4999999999999998E-2</v>
      </c>
      <c r="G33" s="4"/>
    </row>
    <row r="34" spans="1:7" ht="20.100000000000001" customHeight="1">
      <c r="A34" s="85" t="s">
        <v>939</v>
      </c>
      <c r="B34" s="128">
        <v>0.03</v>
      </c>
      <c r="C34" s="128">
        <v>0.05</v>
      </c>
      <c r="D34" s="128">
        <v>5.9000000000000004E-2</v>
      </c>
      <c r="E34" s="128">
        <v>0.06</v>
      </c>
      <c r="F34" s="128">
        <v>4.0999999999999995E-2</v>
      </c>
      <c r="G34" s="4"/>
    </row>
    <row r="35" spans="1:7" ht="20.100000000000001" customHeight="1">
      <c r="A35" s="365" t="s">
        <v>940</v>
      </c>
      <c r="B35" s="356">
        <v>0.08</v>
      </c>
      <c r="C35" s="356">
        <v>0.09</v>
      </c>
      <c r="D35" s="356">
        <v>9.6999999999999989E-2</v>
      </c>
      <c r="E35" s="356">
        <v>0.10099999999999999</v>
      </c>
      <c r="F35" s="356">
        <v>8.5999999999999993E-2</v>
      </c>
      <c r="G35" s="4"/>
    </row>
    <row r="36" spans="1:7" ht="20.100000000000001" customHeight="1">
      <c r="A36" s="87" t="s">
        <v>941</v>
      </c>
      <c r="B36" s="154"/>
      <c r="C36" s="154"/>
      <c r="D36" s="154"/>
      <c r="E36" s="154"/>
      <c r="F36" s="154"/>
      <c r="G36" s="4"/>
    </row>
    <row r="37" spans="1:7" ht="20.100000000000001" customHeight="1">
      <c r="A37" s="85" t="s">
        <v>921</v>
      </c>
      <c r="B37" s="179">
        <v>104</v>
      </c>
      <c r="C37" s="179">
        <v>62</v>
      </c>
      <c r="D37" s="179">
        <v>53</v>
      </c>
      <c r="E37" s="179">
        <v>104</v>
      </c>
      <c r="F37" s="179">
        <v>172</v>
      </c>
      <c r="G37" s="4"/>
    </row>
    <row r="38" spans="1:7" ht="20.100000000000001" customHeight="1">
      <c r="A38" s="85" t="s">
        <v>920</v>
      </c>
      <c r="B38" s="179">
        <v>72</v>
      </c>
      <c r="C38" s="179">
        <v>108</v>
      </c>
      <c r="D38" s="179">
        <v>140</v>
      </c>
      <c r="E38" s="179">
        <v>169</v>
      </c>
      <c r="F38" s="179">
        <v>172</v>
      </c>
      <c r="G38" s="4"/>
    </row>
    <row r="39" spans="1:7" ht="20.100000000000001" customHeight="1">
      <c r="A39" s="365" t="s">
        <v>942</v>
      </c>
      <c r="B39" s="354">
        <v>176</v>
      </c>
      <c r="C39" s="354">
        <v>170</v>
      </c>
      <c r="D39" s="354">
        <v>193</v>
      </c>
      <c r="E39" s="354">
        <v>273</v>
      </c>
      <c r="F39" s="354">
        <v>344</v>
      </c>
      <c r="G39" s="4"/>
    </row>
    <row r="40" spans="1:7" ht="20.100000000000001" customHeight="1">
      <c r="A40" s="85" t="s">
        <v>938</v>
      </c>
      <c r="B40" s="128">
        <v>0.08</v>
      </c>
      <c r="C40" s="128">
        <v>0.04</v>
      </c>
      <c r="D40" s="128">
        <v>3.3000000000000002E-2</v>
      </c>
      <c r="E40" s="128">
        <v>0.06</v>
      </c>
      <c r="F40" s="128">
        <v>7.400000000000001E-2</v>
      </c>
      <c r="G40" s="4"/>
    </row>
    <row r="41" spans="1:7" ht="20.100000000000001" customHeight="1">
      <c r="A41" s="85" t="s">
        <v>939</v>
      </c>
      <c r="B41" s="128">
        <v>0.05</v>
      </c>
      <c r="C41" s="128">
        <v>0.08</v>
      </c>
      <c r="D41" s="128">
        <v>8.8000000000000009E-2</v>
      </c>
      <c r="E41" s="128">
        <v>9.8000000000000004E-2</v>
      </c>
      <c r="F41" s="128">
        <v>7.400000000000001E-2</v>
      </c>
      <c r="G41" s="4"/>
    </row>
    <row r="42" spans="1:7" ht="20.100000000000001" customHeight="1">
      <c r="A42" s="365" t="s">
        <v>943</v>
      </c>
      <c r="B42" s="356">
        <v>0.13</v>
      </c>
      <c r="C42" s="356">
        <v>0.12</v>
      </c>
      <c r="D42" s="356">
        <v>0.121</v>
      </c>
      <c r="E42" s="356">
        <v>0.159</v>
      </c>
      <c r="F42" s="356">
        <v>0.14699999999999999</v>
      </c>
      <c r="G42" s="4"/>
    </row>
    <row r="43" spans="1:7" ht="32.450000000000003" customHeight="1">
      <c r="A43" s="481" t="s">
        <v>944</v>
      </c>
      <c r="B43" s="447"/>
      <c r="C43" s="447"/>
      <c r="D43" s="447"/>
      <c r="E43" s="447"/>
      <c r="F43" s="447"/>
    </row>
    <row r="44" spans="1:7" ht="60" customHeight="1"/>
    <row r="45" spans="1:7" ht="38.25" customHeight="1">
      <c r="A45" s="2" t="s">
        <v>945</v>
      </c>
      <c r="B45" s="79" t="s">
        <v>946</v>
      </c>
      <c r="C45" s="79" t="s">
        <v>947</v>
      </c>
      <c r="D45" s="4"/>
    </row>
    <row r="46" spans="1:7" ht="20.100000000000001" customHeight="1">
      <c r="A46" s="87" t="s">
        <v>948</v>
      </c>
      <c r="B46" s="154"/>
      <c r="C46" s="154"/>
      <c r="D46" s="4"/>
    </row>
    <row r="47" spans="1:7" ht="20.100000000000001" customHeight="1">
      <c r="A47" s="366" t="s">
        <v>557</v>
      </c>
      <c r="B47" s="179">
        <v>678</v>
      </c>
      <c r="C47" s="128">
        <v>4.4999999999999998E-2</v>
      </c>
      <c r="D47" s="4"/>
    </row>
    <row r="48" spans="1:7" ht="20.100000000000001" customHeight="1">
      <c r="A48" s="366" t="s">
        <v>25</v>
      </c>
      <c r="B48" s="179">
        <v>523</v>
      </c>
      <c r="C48" s="128">
        <v>3.5000000000000003E-2</v>
      </c>
      <c r="D48" s="4"/>
    </row>
    <row r="49" spans="1:4" ht="20.100000000000001" customHeight="1">
      <c r="A49" s="366" t="s">
        <v>949</v>
      </c>
      <c r="B49" s="179">
        <v>587</v>
      </c>
      <c r="C49" s="128">
        <v>3.9E-2</v>
      </c>
      <c r="D49" s="4"/>
    </row>
    <row r="50" spans="1:4" ht="20.100000000000001" customHeight="1">
      <c r="A50" s="366" t="s">
        <v>950</v>
      </c>
      <c r="B50" s="179">
        <v>318</v>
      </c>
      <c r="C50" s="128">
        <v>2.1000000000000001E-2</v>
      </c>
      <c r="D50" s="4"/>
    </row>
    <row r="51" spans="1:4" ht="20.100000000000001" customHeight="1">
      <c r="A51" s="92" t="s">
        <v>946</v>
      </c>
      <c r="B51" s="179">
        <v>2106</v>
      </c>
      <c r="C51" s="128">
        <v>0.14000000000000001</v>
      </c>
      <c r="D51" s="4"/>
    </row>
    <row r="52" spans="1:4" ht="20.100000000000001" customHeight="1">
      <c r="A52" s="87" t="s">
        <v>951</v>
      </c>
      <c r="B52" s="154"/>
      <c r="C52" s="154"/>
      <c r="D52" s="4"/>
    </row>
    <row r="53" spans="1:4" ht="20.100000000000001" customHeight="1">
      <c r="A53" s="366" t="s">
        <v>874</v>
      </c>
      <c r="B53" s="179">
        <v>605</v>
      </c>
      <c r="C53" s="128">
        <v>0.04</v>
      </c>
      <c r="D53" s="4"/>
    </row>
    <row r="54" spans="1:4" ht="20.100000000000001" customHeight="1">
      <c r="A54" s="366" t="s">
        <v>875</v>
      </c>
      <c r="B54" s="179">
        <v>1501</v>
      </c>
      <c r="C54" s="128">
        <v>0.1</v>
      </c>
      <c r="D54" s="4"/>
    </row>
    <row r="55" spans="1:4" ht="20.100000000000001" customHeight="1">
      <c r="A55" s="92" t="s">
        <v>946</v>
      </c>
      <c r="B55" s="179">
        <v>2106</v>
      </c>
      <c r="C55" s="128">
        <v>0.14000000000000001</v>
      </c>
      <c r="D55" s="4"/>
    </row>
    <row r="56" spans="1:4" ht="20.100000000000001" customHeight="1">
      <c r="A56" s="87" t="s">
        <v>952</v>
      </c>
      <c r="B56" s="154"/>
      <c r="C56" s="154"/>
      <c r="D56" s="4"/>
    </row>
    <row r="57" spans="1:4" ht="20.100000000000001" customHeight="1">
      <c r="A57" s="85" t="s">
        <v>929</v>
      </c>
      <c r="B57" s="179">
        <v>1036</v>
      </c>
      <c r="C57" s="128">
        <v>6.9000000000000006E-2</v>
      </c>
      <c r="D57" s="4"/>
    </row>
    <row r="58" spans="1:4" ht="20.100000000000001" customHeight="1">
      <c r="A58" s="85" t="s">
        <v>930</v>
      </c>
      <c r="B58" s="179">
        <v>877</v>
      </c>
      <c r="C58" s="128">
        <v>5.7999999999999996E-2</v>
      </c>
      <c r="D58" s="4"/>
    </row>
    <row r="59" spans="1:4" ht="20.100000000000001" customHeight="1">
      <c r="A59" s="85" t="s">
        <v>931</v>
      </c>
      <c r="B59" s="179">
        <v>192</v>
      </c>
      <c r="C59" s="128">
        <v>1.3000000000000001E-2</v>
      </c>
      <c r="D59" s="4"/>
    </row>
    <row r="60" spans="1:4" ht="20.100000000000001" customHeight="1">
      <c r="A60" s="87" t="s">
        <v>953</v>
      </c>
      <c r="B60" s="367">
        <v>2105</v>
      </c>
      <c r="C60" s="368">
        <v>0.14000000000000001</v>
      </c>
      <c r="D60" s="4"/>
    </row>
    <row r="61" spans="1:4" ht="36.6" customHeight="1">
      <c r="A61" s="541" t="s">
        <v>1082</v>
      </c>
      <c r="B61" s="481"/>
      <c r="C61" s="481"/>
    </row>
    <row r="62" spans="1:4">
      <c r="A62" s="578"/>
      <c r="B62" s="578"/>
      <c r="C62" s="578"/>
    </row>
    <row r="63" spans="1:4" ht="59.25" customHeight="1">
      <c r="A63" s="578"/>
      <c r="B63" s="578"/>
      <c r="C63" s="578"/>
    </row>
  </sheetData>
  <sheetProtection algorithmName="SHA-512" hashValue="c52Xs1vxEsDXZ+SOrUX/vuF2wPfIB/MqFuK8ofdklh3Gxvyod2wu0EWX/rJTSBHFONfSeZPerUQ/gUkCpHyVuA==" saltValue="iuoGIICRJdwpuGXIux0suA==" spinCount="100000" sheet="1" objects="1" scenarios="1"/>
  <customSheetViews>
    <customSheetView guid="{5E62BE79-A4FD-4E7A-98EF-5A09C5274723}" showGridLines="0" showRuler="0" topLeftCell="A49">
      <selection activeCell="A61" sqref="A61:C63"/>
      <pageMargins left="0.75" right="0.75" top="1" bottom="1" header="0.5" footer="0.5"/>
    </customSheetView>
  </customSheetViews>
  <mergeCells count="6">
    <mergeCell ref="A61:C63"/>
    <mergeCell ref="A1:D1"/>
    <mergeCell ref="A8:D10"/>
    <mergeCell ref="A17:C18"/>
    <mergeCell ref="A26:C26"/>
    <mergeCell ref="A43:F43"/>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I55"/>
  <sheetViews>
    <sheetView showGridLines="0" showRuler="0" workbookViewId="0">
      <selection activeCell="H9" sqref="H6:H9"/>
    </sheetView>
  </sheetViews>
  <sheetFormatPr baseColWidth="10" defaultColWidth="13.7109375" defaultRowHeight="12.75"/>
  <cols>
    <col min="1" max="1" width="34.42578125" customWidth="1"/>
  </cols>
  <sheetData>
    <row r="1" spans="1:6" ht="15.75">
      <c r="A1" s="577" t="s">
        <v>1025</v>
      </c>
      <c r="B1" s="577"/>
      <c r="C1" s="577"/>
      <c r="D1" s="577"/>
      <c r="E1" s="577"/>
    </row>
    <row r="2" spans="1:6" ht="60" customHeight="1"/>
    <row r="3" spans="1:6" ht="42" customHeight="1">
      <c r="A3" s="2" t="s">
        <v>954</v>
      </c>
      <c r="B3" s="79" t="s">
        <v>946</v>
      </c>
      <c r="C3" s="79" t="s">
        <v>947</v>
      </c>
      <c r="D3" s="20"/>
      <c r="E3" s="84"/>
      <c r="F3" s="84"/>
    </row>
    <row r="4" spans="1:6" ht="20.100000000000001" customHeight="1">
      <c r="A4" s="87" t="s">
        <v>948</v>
      </c>
      <c r="B4" s="154"/>
      <c r="C4" s="154"/>
      <c r="D4" s="4"/>
    </row>
    <row r="5" spans="1:6" ht="20.100000000000001" customHeight="1">
      <c r="A5" s="366" t="s">
        <v>557</v>
      </c>
      <c r="B5" s="179">
        <v>678</v>
      </c>
      <c r="C5" s="128">
        <v>4.4999999999999998E-2</v>
      </c>
      <c r="D5" s="89"/>
      <c r="E5" s="84"/>
      <c r="F5" s="84"/>
    </row>
    <row r="6" spans="1:6" ht="20.100000000000001" customHeight="1">
      <c r="A6" s="366" t="s">
        <v>25</v>
      </c>
      <c r="B6" s="179">
        <v>523</v>
      </c>
      <c r="C6" s="128">
        <v>3.5000000000000003E-2</v>
      </c>
      <c r="D6" s="89"/>
      <c r="E6" s="84"/>
      <c r="F6" s="84"/>
    </row>
    <row r="7" spans="1:6" ht="20.100000000000001" customHeight="1">
      <c r="A7" s="366" t="s">
        <v>949</v>
      </c>
      <c r="B7" s="179">
        <v>587</v>
      </c>
      <c r="C7" s="128">
        <v>3.9E-2</v>
      </c>
      <c r="D7" s="89"/>
      <c r="E7" s="84"/>
      <c r="F7" s="84"/>
    </row>
    <row r="8" spans="1:6" ht="20.100000000000001" customHeight="1">
      <c r="A8" s="366" t="s">
        <v>950</v>
      </c>
      <c r="B8" s="179">
        <v>318</v>
      </c>
      <c r="C8" s="128">
        <v>2.1000000000000001E-2</v>
      </c>
      <c r="D8" s="89"/>
      <c r="E8" s="84"/>
      <c r="F8" s="84"/>
    </row>
    <row r="9" spans="1:6" ht="20.100000000000001" customHeight="1">
      <c r="A9" s="92" t="s">
        <v>946</v>
      </c>
      <c r="B9" s="179">
        <v>2106</v>
      </c>
      <c r="C9" s="128">
        <v>0.14000000000000001</v>
      </c>
      <c r="D9" s="89"/>
      <c r="E9" s="84"/>
      <c r="F9" s="84"/>
    </row>
    <row r="10" spans="1:6" ht="20.100000000000001" customHeight="1">
      <c r="A10" s="87" t="s">
        <v>951</v>
      </c>
      <c r="B10" s="154"/>
      <c r="C10" s="154"/>
      <c r="D10" s="89"/>
      <c r="E10" s="84"/>
      <c r="F10" s="84"/>
    </row>
    <row r="11" spans="1:6" ht="20.100000000000001" customHeight="1">
      <c r="A11" s="366" t="s">
        <v>874</v>
      </c>
      <c r="B11" s="179">
        <v>605</v>
      </c>
      <c r="C11" s="128">
        <v>0.04</v>
      </c>
      <c r="D11" s="89"/>
      <c r="E11" s="84"/>
      <c r="F11" s="84"/>
    </row>
    <row r="12" spans="1:6" ht="20.100000000000001" customHeight="1">
      <c r="A12" s="366" t="s">
        <v>875</v>
      </c>
      <c r="B12" s="179">
        <v>1501</v>
      </c>
      <c r="C12" s="128">
        <v>0.1</v>
      </c>
      <c r="D12" s="89"/>
      <c r="E12" s="84"/>
      <c r="F12" s="84"/>
    </row>
    <row r="13" spans="1:6" ht="20.100000000000001" customHeight="1">
      <c r="A13" s="92" t="s">
        <v>946</v>
      </c>
      <c r="B13" s="179">
        <v>2106</v>
      </c>
      <c r="C13" s="128">
        <v>0.14000000000000001</v>
      </c>
      <c r="D13" s="89"/>
      <c r="E13" s="84"/>
      <c r="F13" s="84"/>
    </row>
    <row r="14" spans="1:6" ht="20.100000000000001" customHeight="1">
      <c r="A14" s="87" t="s">
        <v>952</v>
      </c>
      <c r="B14" s="154"/>
      <c r="C14" s="154"/>
      <c r="D14" s="89"/>
      <c r="E14" s="84"/>
      <c r="F14" s="84"/>
    </row>
    <row r="15" spans="1:6" ht="20.100000000000001" customHeight="1">
      <c r="A15" s="85" t="s">
        <v>929</v>
      </c>
      <c r="B15" s="179">
        <v>1036</v>
      </c>
      <c r="C15" s="128">
        <v>6.9000000000000006E-2</v>
      </c>
      <c r="D15" s="89"/>
      <c r="E15" s="84"/>
      <c r="F15" s="84"/>
    </row>
    <row r="16" spans="1:6" ht="20.100000000000001" customHeight="1">
      <c r="A16" s="85" t="s">
        <v>930</v>
      </c>
      <c r="B16" s="179">
        <v>877</v>
      </c>
      <c r="C16" s="128">
        <v>5.7999999999999996E-2</v>
      </c>
      <c r="D16" s="4"/>
    </row>
    <row r="17" spans="1:9" ht="20.100000000000001" customHeight="1">
      <c r="A17" s="85" t="s">
        <v>931</v>
      </c>
      <c r="B17" s="179">
        <v>192</v>
      </c>
      <c r="C17" s="128">
        <v>1.3000000000000001E-2</v>
      </c>
      <c r="D17" s="4"/>
    </row>
    <row r="18" spans="1:9" ht="20.100000000000001" customHeight="1">
      <c r="A18" s="87" t="s">
        <v>955</v>
      </c>
      <c r="B18" s="367">
        <v>2105</v>
      </c>
      <c r="C18" s="368">
        <v>0.14000000000000001</v>
      </c>
      <c r="D18" s="4"/>
    </row>
    <row r="19" spans="1:9" ht="24.2" customHeight="1">
      <c r="A19" s="541" t="s">
        <v>1083</v>
      </c>
      <c r="B19" s="447"/>
      <c r="C19" s="447"/>
    </row>
    <row r="20" spans="1:9" ht="24.2" customHeight="1">
      <c r="A20" s="459"/>
      <c r="B20" s="459"/>
      <c r="C20" s="459"/>
    </row>
    <row r="21" spans="1:9" ht="41.25" customHeight="1">
      <c r="A21" s="459"/>
      <c r="B21" s="459"/>
      <c r="C21" s="459"/>
    </row>
    <row r="22" spans="1:9" ht="60" customHeight="1"/>
    <row r="23" spans="1:9" ht="62.45" customHeight="1">
      <c r="A23" s="2" t="s">
        <v>956</v>
      </c>
      <c r="B23" s="79" t="s">
        <v>957</v>
      </c>
      <c r="C23" s="79" t="s">
        <v>958</v>
      </c>
      <c r="D23" s="79" t="s">
        <v>959</v>
      </c>
      <c r="E23" s="79" t="s">
        <v>863</v>
      </c>
      <c r="F23" s="79" t="s">
        <v>960</v>
      </c>
      <c r="G23" s="79" t="s">
        <v>961</v>
      </c>
      <c r="H23" s="89"/>
      <c r="I23" s="84"/>
    </row>
    <row r="24" spans="1:9" ht="20.100000000000001" customHeight="1">
      <c r="A24" s="363" t="s">
        <v>880</v>
      </c>
      <c r="B24" s="369">
        <v>37</v>
      </c>
      <c r="C24" s="369">
        <v>37</v>
      </c>
      <c r="D24" s="370">
        <v>1</v>
      </c>
      <c r="E24" s="369">
        <v>139</v>
      </c>
      <c r="F24" s="369">
        <v>139</v>
      </c>
      <c r="G24" s="370">
        <v>1</v>
      </c>
      <c r="H24" s="89"/>
      <c r="I24" s="84"/>
    </row>
    <row r="25" spans="1:9" ht="20.100000000000001" customHeight="1">
      <c r="A25" s="363" t="s">
        <v>881</v>
      </c>
      <c r="B25" s="369">
        <v>320</v>
      </c>
      <c r="C25" s="369">
        <v>291</v>
      </c>
      <c r="D25" s="370">
        <v>0.91</v>
      </c>
      <c r="E25" s="369">
        <v>1964</v>
      </c>
      <c r="F25" s="369">
        <v>1834</v>
      </c>
      <c r="G25" s="370">
        <v>0.93</v>
      </c>
      <c r="H25" s="89"/>
      <c r="I25" s="84"/>
    </row>
    <row r="26" spans="1:9" ht="20.100000000000001" customHeight="1">
      <c r="A26" s="363" t="s">
        <v>882</v>
      </c>
      <c r="B26" s="369">
        <v>1082</v>
      </c>
      <c r="C26" s="369">
        <v>947</v>
      </c>
      <c r="D26" s="370">
        <v>0.88</v>
      </c>
      <c r="E26" s="369">
        <v>3003</v>
      </c>
      <c r="F26" s="369">
        <v>2723</v>
      </c>
      <c r="G26" s="370">
        <v>0.91</v>
      </c>
      <c r="H26" s="89"/>
      <c r="I26" s="84"/>
    </row>
    <row r="27" spans="1:9" ht="20.100000000000001" customHeight="1">
      <c r="A27" s="363" t="s">
        <v>962</v>
      </c>
      <c r="B27" s="369">
        <v>984</v>
      </c>
      <c r="C27" s="369">
        <v>465</v>
      </c>
      <c r="D27" s="375"/>
      <c r="E27" s="369">
        <v>9107</v>
      </c>
      <c r="F27" s="369">
        <v>4437</v>
      </c>
      <c r="G27" s="370">
        <v>0.49</v>
      </c>
      <c r="H27" s="89"/>
      <c r="I27" s="84"/>
    </row>
    <row r="28" spans="1:9" ht="20.100000000000001" customHeight="1">
      <c r="A28" s="363" t="s">
        <v>85</v>
      </c>
      <c r="B28" s="371">
        <v>2423</v>
      </c>
      <c r="C28" s="371">
        <v>1740</v>
      </c>
      <c r="D28" s="372">
        <v>0.72</v>
      </c>
      <c r="E28" s="371">
        <v>14213</v>
      </c>
      <c r="F28" s="371">
        <v>9133</v>
      </c>
      <c r="G28" s="372">
        <v>0.64</v>
      </c>
      <c r="H28" s="89"/>
      <c r="I28" s="84"/>
    </row>
    <row r="29" spans="1:9" ht="24.75" customHeight="1">
      <c r="A29" s="481" t="s">
        <v>963</v>
      </c>
      <c r="B29" s="447"/>
      <c r="C29" s="447"/>
      <c r="D29" s="447"/>
      <c r="E29" s="447"/>
      <c r="F29" s="447"/>
      <c r="G29" s="447"/>
    </row>
    <row r="30" spans="1:9" ht="60" customHeight="1"/>
    <row r="31" spans="1:9" ht="45" customHeight="1">
      <c r="A31" s="2" t="s">
        <v>964</v>
      </c>
      <c r="B31" s="91">
        <v>2015</v>
      </c>
      <c r="C31" s="91">
        <v>2016</v>
      </c>
      <c r="D31" s="91">
        <v>2017</v>
      </c>
      <c r="E31" s="91">
        <v>2018</v>
      </c>
      <c r="F31" s="91">
        <v>2019</v>
      </c>
      <c r="G31" s="4"/>
    </row>
    <row r="32" spans="1:9" ht="20.100000000000001" customHeight="1">
      <c r="A32" s="363" t="s">
        <v>965</v>
      </c>
      <c r="B32" s="373">
        <v>10</v>
      </c>
      <c r="C32" s="373">
        <v>7.9</v>
      </c>
      <c r="D32" s="373">
        <v>7.9</v>
      </c>
      <c r="E32" s="373">
        <v>8</v>
      </c>
      <c r="F32" s="373">
        <v>8.9</v>
      </c>
      <c r="G32" s="4"/>
    </row>
    <row r="33" spans="1:7" ht="20.100000000000001" customHeight="1">
      <c r="A33" s="363" t="s">
        <v>966</v>
      </c>
      <c r="B33" s="179">
        <v>869225</v>
      </c>
      <c r="C33" s="179">
        <v>671242</v>
      </c>
      <c r="D33" s="179">
        <v>828126</v>
      </c>
      <c r="E33" s="179">
        <v>808780</v>
      </c>
      <c r="F33" s="179">
        <v>736807</v>
      </c>
      <c r="G33" s="4"/>
    </row>
    <row r="34" spans="1:7" ht="34.5" customHeight="1">
      <c r="A34" s="481" t="s">
        <v>967</v>
      </c>
      <c r="B34" s="481"/>
      <c r="C34" s="481"/>
      <c r="D34" s="481"/>
      <c r="E34" s="481"/>
      <c r="F34" s="481"/>
    </row>
    <row r="35" spans="1:7">
      <c r="A35" s="578"/>
      <c r="B35" s="578"/>
      <c r="C35" s="578"/>
      <c r="D35" s="578"/>
      <c r="E35" s="578"/>
      <c r="F35" s="578"/>
    </row>
    <row r="36" spans="1:7" ht="60" customHeight="1"/>
    <row r="37" spans="1:7" ht="43.5" customHeight="1">
      <c r="A37" s="2" t="s">
        <v>968</v>
      </c>
      <c r="B37" s="91" t="s">
        <v>158</v>
      </c>
      <c r="C37" s="91" t="s">
        <v>159</v>
      </c>
      <c r="D37" s="91" t="s">
        <v>160</v>
      </c>
      <c r="E37" s="91" t="s">
        <v>220</v>
      </c>
      <c r="F37" s="91" t="s">
        <v>221</v>
      </c>
      <c r="G37" s="89"/>
    </row>
    <row r="38" spans="1:7" ht="20.100000000000001" customHeight="1">
      <c r="A38" s="363" t="s">
        <v>880</v>
      </c>
      <c r="B38" s="369">
        <v>22</v>
      </c>
      <c r="C38" s="369">
        <v>20</v>
      </c>
      <c r="D38" s="369">
        <v>14</v>
      </c>
      <c r="E38" s="369">
        <v>23</v>
      </c>
      <c r="F38" s="369">
        <v>5</v>
      </c>
      <c r="G38" s="89"/>
    </row>
    <row r="39" spans="1:7" ht="20.100000000000001" customHeight="1">
      <c r="A39" s="363" t="s">
        <v>881</v>
      </c>
      <c r="B39" s="369">
        <v>81</v>
      </c>
      <c r="C39" s="369">
        <v>83</v>
      </c>
      <c r="D39" s="369">
        <v>68</v>
      </c>
      <c r="E39" s="369">
        <v>85</v>
      </c>
      <c r="F39" s="369">
        <v>31</v>
      </c>
      <c r="G39" s="89"/>
    </row>
    <row r="40" spans="1:7" ht="20.100000000000001" customHeight="1">
      <c r="A40" s="363" t="s">
        <v>969</v>
      </c>
      <c r="B40" s="369">
        <v>34</v>
      </c>
      <c r="C40" s="369">
        <v>67</v>
      </c>
      <c r="D40" s="369">
        <v>66</v>
      </c>
      <c r="E40" s="369">
        <v>70</v>
      </c>
      <c r="F40" s="369">
        <v>36</v>
      </c>
      <c r="G40" s="89"/>
    </row>
    <row r="41" spans="1:7" ht="20.100000000000001" customHeight="1">
      <c r="A41" s="363" t="s">
        <v>962</v>
      </c>
      <c r="B41" s="369">
        <v>74</v>
      </c>
      <c r="C41" s="369">
        <v>57</v>
      </c>
      <c r="D41" s="369">
        <v>62</v>
      </c>
      <c r="E41" s="369">
        <v>60</v>
      </c>
      <c r="F41" s="369">
        <v>51</v>
      </c>
      <c r="G41" s="89"/>
    </row>
    <row r="42" spans="1:7">
      <c r="A42" s="481" t="s">
        <v>970</v>
      </c>
      <c r="B42" s="447"/>
      <c r="C42" s="447"/>
      <c r="D42" s="447"/>
      <c r="E42" s="447"/>
      <c r="F42" s="447"/>
    </row>
    <row r="43" spans="1:7">
      <c r="A43" s="459"/>
      <c r="B43" s="459"/>
      <c r="C43" s="459"/>
      <c r="D43" s="459"/>
      <c r="E43" s="459"/>
      <c r="F43" s="459"/>
    </row>
    <row r="44" spans="1:7">
      <c r="A44" s="459"/>
      <c r="B44" s="459"/>
      <c r="C44" s="459"/>
      <c r="D44" s="459"/>
      <c r="E44" s="459"/>
      <c r="F44" s="459"/>
    </row>
    <row r="45" spans="1:7" ht="60" customHeight="1"/>
    <row r="46" spans="1:7" ht="42" customHeight="1">
      <c r="A46" s="2" t="s">
        <v>971</v>
      </c>
      <c r="B46" s="79" t="s">
        <v>874</v>
      </c>
      <c r="C46" s="79" t="s">
        <v>875</v>
      </c>
      <c r="D46" s="4"/>
    </row>
    <row r="47" spans="1:7" ht="20.100000000000001" customHeight="1">
      <c r="A47" s="363" t="s">
        <v>880</v>
      </c>
      <c r="B47" s="369">
        <v>8</v>
      </c>
      <c r="C47" s="369">
        <v>4</v>
      </c>
      <c r="D47" s="4"/>
    </row>
    <row r="48" spans="1:7" ht="20.100000000000001" customHeight="1">
      <c r="A48" s="363" t="s">
        <v>881</v>
      </c>
      <c r="B48" s="369">
        <v>15</v>
      </c>
      <c r="C48" s="369">
        <v>34</v>
      </c>
      <c r="D48" s="4"/>
    </row>
    <row r="49" spans="1:4" ht="20.100000000000001" customHeight="1">
      <c r="A49" s="363" t="s">
        <v>969</v>
      </c>
      <c r="B49" s="369">
        <v>36</v>
      </c>
      <c r="C49" s="369">
        <v>35</v>
      </c>
      <c r="D49" s="4"/>
    </row>
    <row r="50" spans="1:4" ht="20.100000000000001" customHeight="1">
      <c r="A50" s="363" t="s">
        <v>962</v>
      </c>
      <c r="B50" s="369">
        <v>55</v>
      </c>
      <c r="C50" s="369">
        <v>51</v>
      </c>
      <c r="D50" s="4"/>
    </row>
    <row r="51" spans="1:4">
      <c r="A51" s="481" t="s">
        <v>972</v>
      </c>
      <c r="B51" s="447"/>
      <c r="C51" s="447"/>
    </row>
    <row r="52" spans="1:4">
      <c r="A52" s="459"/>
      <c r="B52" s="459"/>
      <c r="C52" s="459"/>
    </row>
    <row r="53" spans="1:4">
      <c r="A53" s="459"/>
      <c r="B53" s="459"/>
      <c r="C53" s="459"/>
    </row>
    <row r="54" spans="1:4">
      <c r="A54" s="459"/>
      <c r="B54" s="459"/>
      <c r="C54" s="459"/>
    </row>
    <row r="55" spans="1:4">
      <c r="A55" s="459"/>
      <c r="B55" s="459"/>
      <c r="C55" s="459"/>
    </row>
  </sheetData>
  <sheetProtection algorithmName="SHA-512" hashValue="WGVKi79gFf5HZABAFbJKydx8444c4kUQfX8qlDKU4BZ+78cOfJAv9R2GhszMNvJxb4tJzuticYkd61XXp2guSA==" saltValue="OPXueVA1PNGGIzkWQXAzow==" spinCount="100000" sheet="1" objects="1" scenarios="1"/>
  <customSheetViews>
    <customSheetView guid="{5E62BE79-A4FD-4E7A-98EF-5A09C5274723}" showGridLines="0" showRuler="0">
      <selection activeCell="H9" sqref="H6:H9"/>
      <pageMargins left="0.75" right="0.75" top="1" bottom="1" header="0.5" footer="0.5"/>
    </customSheetView>
  </customSheetViews>
  <mergeCells count="6">
    <mergeCell ref="A42:F44"/>
    <mergeCell ref="A51:C55"/>
    <mergeCell ref="A1:E1"/>
    <mergeCell ref="A19:C21"/>
    <mergeCell ref="A29:G29"/>
    <mergeCell ref="A34:F35"/>
  </mergeCells>
  <pageMargins left="0.75" right="0.75" top="1" bottom="1" header="0.5" footer="0.5"/>
  <ignoredErrors>
    <ignoredError sqref="B37:F3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2D6021BEA655B4CA1356DEB960F1DF5" ma:contentTypeVersion="13" ma:contentTypeDescription="Ein neues Dokument erstellen." ma:contentTypeScope="" ma:versionID="85a414592bcbeb076bab4e1d31c272a7">
  <xsd:schema xmlns:xsd="http://www.w3.org/2001/XMLSchema" xmlns:xs="http://www.w3.org/2001/XMLSchema" xmlns:p="http://schemas.microsoft.com/office/2006/metadata/properties" xmlns:ns2="5519d140-74f4-4611-8c63-87e701bdfda4" xmlns:ns3="c4e42e14-298e-456d-afab-c8bdce1e6052" targetNamespace="http://schemas.microsoft.com/office/2006/metadata/properties" ma:root="true" ma:fieldsID="120bc1badff8d03e12d9429ddd605c63" ns2:_="" ns3:_="">
    <xsd:import namespace="5519d140-74f4-4611-8c63-87e701bdfda4"/>
    <xsd:import namespace="c4e42e14-298e-456d-afab-c8bdce1e60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19d140-74f4-4611-8c63-87e701bdfd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e42e14-298e-456d-afab-c8bdce1e60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40354e2-5091-4085-873c-1aec571a9d3d}" ma:internalName="TaxCatchAll" ma:showField="CatchAllData" ma:web="c4e42e14-298e-456d-afab-c8bdce1e60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519d140-74f4-4611-8c63-87e701bdfda4">
      <Terms xmlns="http://schemas.microsoft.com/office/infopath/2007/PartnerControls"/>
    </lcf76f155ced4ddcb4097134ff3c332f>
    <TaxCatchAll xmlns="c4e42e14-298e-456d-afab-c8bdce1e6052" xsi:nil="true"/>
  </documentManagement>
</p:properties>
</file>

<file path=customXml/itemProps1.xml><?xml version="1.0" encoding="utf-8"?>
<ds:datastoreItem xmlns:ds="http://schemas.openxmlformats.org/officeDocument/2006/customXml" ds:itemID="{D77A63E3-6A0B-433D-8AA5-38A24273F22D}"/>
</file>

<file path=customXml/itemProps2.xml><?xml version="1.0" encoding="utf-8"?>
<ds:datastoreItem xmlns:ds="http://schemas.openxmlformats.org/officeDocument/2006/customXml" ds:itemID="{040F7A69-0DD3-4FD7-9378-44F49096454C}"/>
</file>

<file path=customXml/itemProps3.xml><?xml version="1.0" encoding="utf-8"?>
<ds:datastoreItem xmlns:ds="http://schemas.openxmlformats.org/officeDocument/2006/customXml" ds:itemID="{54115510-C560-4A77-8509-37579FE1A3A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39</vt:i4>
      </vt:variant>
    </vt:vector>
  </HeadingPairs>
  <TitlesOfParts>
    <vt:vector size="39" baseType="lpstr">
      <vt:lpstr>ABOUT THE ESG DATA TABLES</vt:lpstr>
      <vt:lpstr>Compliance-Significant Events</vt:lpstr>
      <vt:lpstr>Ethics-Anti-Corruption</vt:lpstr>
      <vt:lpstr>Policy Influence</vt:lpstr>
      <vt:lpstr>Air Quality</vt:lpstr>
      <vt:lpstr>Biodiversity</vt:lpstr>
      <vt:lpstr>Climate Change</vt:lpstr>
      <vt:lpstr>Closure and Reclamation</vt:lpstr>
      <vt:lpstr>Cyanide Management</vt:lpstr>
      <vt:lpstr>Materials Consumption</vt:lpstr>
      <vt:lpstr>Spills and Releases</vt:lpstr>
      <vt:lpstr>Tailings Management</vt:lpstr>
      <vt:lpstr>Water Stewardship</vt:lpstr>
      <vt:lpstr>Waste</vt:lpstr>
      <vt:lpstr>Emergency Preparedness</vt:lpstr>
      <vt:lpstr>Safety and Health</vt:lpstr>
      <vt:lpstr>ASM</vt:lpstr>
      <vt:lpstr>Community Development</vt:lpstr>
      <vt:lpstr>Community Impacts</vt:lpstr>
      <vt:lpstr>Complaints and Grievances</vt:lpstr>
      <vt:lpstr>HumRts-Allegations</vt:lpstr>
      <vt:lpstr>HumRts-Assessments</vt:lpstr>
      <vt:lpstr>HumRts-Supplier Screening</vt:lpstr>
      <vt:lpstr>HumRts-Training-Security</vt:lpstr>
      <vt:lpstr>HumRts-Training-Workforce</vt:lpstr>
      <vt:lpstr>HumRts-Indigenous Peoples</vt:lpstr>
      <vt:lpstr>Land or Resource Use Disputes</vt:lpstr>
      <vt:lpstr>Resettlement</vt:lpstr>
      <vt:lpstr>SIA and Engagement</vt:lpstr>
      <vt:lpstr>Community Investments</vt:lpstr>
      <vt:lpstr>Economic Value Generated-Distri</vt:lpstr>
      <vt:lpstr>Supply Chain Spending</vt:lpstr>
      <vt:lpstr>Tax Transparency</vt:lpstr>
      <vt:lpstr>Overview Workforce Demogrphics</vt:lpstr>
      <vt:lpstr>Compensation and Equal Remunera</vt:lpstr>
      <vt:lpstr>Diversity and Inclusion</vt:lpstr>
      <vt:lpstr>Labor-Mgmt Relations</vt:lpstr>
      <vt:lpstr>Talent Attraction and Retention</vt:lpstr>
      <vt:lpstr>Training and Professional Devel</vt:lpstr>
    </vt:vector>
  </TitlesOfParts>
  <Company>Workiva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Lutter, Franz Stephan</cp:lastModifiedBy>
  <cp:revision>2</cp:revision>
  <cp:lastPrinted>2020-05-27T02:35:26Z</cp:lastPrinted>
  <dcterms:created xsi:type="dcterms:W3CDTF">2020-05-26T17:57:32Z</dcterms:created>
  <dcterms:modified xsi:type="dcterms:W3CDTF">2024-02-29T13:15:05Z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0x010100A2D6021BEA655B4CA1356DEB960F1DF5</vt:lpwstr>
  </property>
  <property fmtid="{D5CDD505-2E9C-101B-9397-08002B2CF9AE}" pid="3" name="Order">
    <vt:r8>29105200</vt:r8>
  </property>
</Properties>
</file>