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workbookPr codeName="ThisWorkbook" defaultThemeVersion="166925"/>
  <mc:AlternateContent xmlns:mc="http://schemas.openxmlformats.org/markup-compatibility/2006">
    <mc:Choice Requires="x15">
      <x15ac:absPath xmlns:x15ac="http://schemas.microsoft.com/office/spreadsheetml/2010/11/ac" url="W:\WU\Projekte\GRU\01_Projekte\_Abgeschlossene Projekte\1332_FINEPRINT\02_Activities &amp; Work packages\WP1\Task 1.2_Mining\Mining and water\Copper\Data\Reports\"/>
    </mc:Choice>
  </mc:AlternateContent>
  <xr:revisionPtr revIDLastSave="0" documentId="14_{AAE1D169-304A-4B6B-ACC1-54583D9A591B}" xr6:coauthVersionLast="47" xr6:coauthVersionMax="47" xr10:uidLastSave="{00000000-0000-0000-0000-000000000000}"/>
  <bookViews>
    <workbookView xWindow="-120" yWindow="-120" windowWidth="29040" windowHeight="17640" tabRatio="881" firstSheet="18" activeTab="24" xr2:uid="{9E51601A-9BE6-44D2-8225-CF2A280A17E6}"/>
  </bookViews>
  <sheets>
    <sheet name="About" sheetId="31" r:id="rId1"/>
    <sheet name="Index" sheetId="48" r:id="rId2"/>
    <sheet name="References" sheetId="30" r:id="rId3"/>
    <sheet name="Health &amp; Safety" sheetId="23" r:id="rId4"/>
    <sheet name="Workforce" sheetId="24" r:id="rId5"/>
    <sheet name="2022 U.S. Employee Data EEO-1" sheetId="51" r:id="rId6"/>
    <sheet name="Communities" sheetId="22" r:id="rId7"/>
    <sheet name="Key Economic Contributions" sheetId="18" r:id="rId8"/>
    <sheet name="Cash Payments to Governments" sheetId="19" r:id="rId9"/>
    <sheet name="Economic Value Contributed" sheetId="9" r:id="rId10"/>
    <sheet name="Human Rights" sheetId="25" r:id="rId11"/>
    <sheet name="Business Ethics" sheetId="50" r:id="rId12"/>
    <sheet name="Procurement Spend Distribution" sheetId="46" r:id="rId13"/>
    <sheet name="Procurement - by site" sheetId="62" r:id="rId14"/>
    <sheet name="GHG Emissions" sheetId="52" r:id="rId15"/>
    <sheet name="GHG Emissions - 2030 Targets" sheetId="53" r:id="rId16"/>
    <sheet name="Dual Reporting" sheetId="63" r:id="rId17"/>
    <sheet name="Scope 3 Inventory Development" sheetId="55" r:id="rId18"/>
    <sheet name="Air Emissions" sheetId="16" r:id="rId19"/>
    <sheet name="Energy Consumption - by site" sheetId="56" r:id="rId20"/>
    <sheet name="2022 Energy Consumption - Type" sheetId="57" r:id="rId21"/>
    <sheet name="2022 Indirect Energy - Source" sheetId="58" r:id="rId22"/>
    <sheet name="2022 Direct Energy - Source" sheetId="59" r:id="rId23"/>
    <sheet name="Water" sheetId="13" r:id="rId24"/>
    <sheet name="Water - by region" sheetId="66" r:id="rId25"/>
    <sheet name="Mining.Mineral Processing Waste" sheetId="14" r:id="rId26"/>
    <sheet name="Non-Mineral Waste.Recycled" sheetId="45" r:id="rId27"/>
    <sheet name="Biodiversity and Land" sheetId="15" r:id="rId28"/>
    <sheet name="Tailings Impoundments" sheetId="26" r:id="rId29"/>
    <sheet name="Environmental Compliance" sheetId="17" r:id="rId30"/>
    <sheet name="SASB" sheetId="44" r:id="rId31"/>
    <sheet name="GRI Index; SDGs" sheetId="47" r:id="rId32"/>
    <sheet name="ICMM" sheetId="43" r:id="rId33"/>
  </sheets>
  <externalReferences>
    <externalReference r:id="rId34"/>
    <externalReference r:id="rId35"/>
    <externalReference r:id="rId36"/>
  </externalReferences>
  <definedNames>
    <definedName name="_xlnm._FilterDatabase" localSheetId="5" hidden="1">'2022 U.S. Employee Data EEO-1'!$A$7:$F$16</definedName>
    <definedName name="_xlnm._FilterDatabase" localSheetId="31" hidden="1">'GRI Index; SDGs'!$A$7:$F$209</definedName>
    <definedName name="_xlnm._FilterDatabase" localSheetId="30" hidden="1">SASB!$A$7:$F$24</definedName>
    <definedName name="Background">[1]!Table17[Background]</definedName>
    <definedName name="Candidate_Type">[1]!Table11[Candidate Type]</definedName>
    <definedName name="CIQWBGuid" hidden="1">"2cd8126d-26c3-430c-b7fa-a069e3a1fc62"</definedName>
    <definedName name="CuMo">[1]!Table8[CuMo]</definedName>
    <definedName name="DATA1">'[2]EDW-Hires'!#REF!</definedName>
    <definedName name="DATA17">'[2]EDW-Hires'!#REF!</definedName>
    <definedName name="DATA2">'[2]EDW-Hires'!#REF!</definedName>
    <definedName name="Degree">[1]!Table13[Degree]</definedName>
    <definedName name="_xlnm.Print_Area" localSheetId="22">'2022 Direct Energy - Source'!$A$1:$M$35</definedName>
    <definedName name="_xlnm.Print_Area" localSheetId="20">'2022 Energy Consumption - Type'!$A$1:$L$34</definedName>
    <definedName name="_xlnm.Print_Area" localSheetId="21">'2022 Indirect Energy - Source'!$A$1:$M$38</definedName>
    <definedName name="_xlnm.Print_Area" localSheetId="5">'2022 U.S. Employee Data EEO-1'!$A$1:$P$24</definedName>
    <definedName name="_xlnm.Print_Area" localSheetId="0">About!$B$1:$O$7</definedName>
    <definedName name="_xlnm.Print_Area" localSheetId="18">'Air Emissions'!$A$1:$F$16</definedName>
    <definedName name="_xlnm.Print_Area" localSheetId="27">'Biodiversity and Land'!$A$1:$F$18</definedName>
    <definedName name="_xlnm.Print_Area" localSheetId="11">'Business Ethics'!$A$1:$F$13</definedName>
    <definedName name="_xlnm.Print_Area" localSheetId="8">'Cash Payments to Governments'!$A$1:$G$37</definedName>
    <definedName name="_xlnm.Print_Area" localSheetId="6">Communities!$A$1:$F$50</definedName>
    <definedName name="_xlnm.Print_Area" localSheetId="16">'Dual Reporting'!$A$1:$D$49</definedName>
    <definedName name="_xlnm.Print_Area" localSheetId="9">'Economic Value Contributed'!$A$1:$F$10</definedName>
    <definedName name="_xlnm.Print_Area" localSheetId="19">'Energy Consumption - by site'!$A$1:$G$85</definedName>
    <definedName name="_xlnm.Print_Area" localSheetId="29">'Environmental Compliance'!$A$1:$F$22</definedName>
    <definedName name="_xlnm.Print_Area" localSheetId="14">'GHG Emissions'!$A$1:$G$91</definedName>
    <definedName name="_xlnm.Print_Area" localSheetId="15">'GHG Emissions - 2030 Targets'!$A$1:$G$23</definedName>
    <definedName name="_xlnm.Print_Area" localSheetId="31">'GRI Index; SDGs'!$A$1:$G$212</definedName>
    <definedName name="_xlnm.Print_Area" localSheetId="3">'Health &amp; Safety'!$A$1:$F$45</definedName>
    <definedName name="_xlnm.Print_Area" localSheetId="10">'Human Rights'!$A$1:$F$11</definedName>
    <definedName name="_xlnm.Print_Area" localSheetId="32">ICMM!$A$1:$E$44</definedName>
    <definedName name="_xlnm.Print_Area" localSheetId="1">Index!$A$1:$A$33</definedName>
    <definedName name="_xlnm.Print_Area" localSheetId="7">'Key Economic Contributions'!$A$1:$G$24</definedName>
    <definedName name="_xlnm.Print_Area" localSheetId="25">'Mining.Mineral Processing Waste'!$A$1:$F$10</definedName>
    <definedName name="_xlnm.Print_Area" localSheetId="26">'Non-Mineral Waste.Recycled'!$A$1:$F$22</definedName>
    <definedName name="_xlnm.Print_Area" localSheetId="13">'Procurement - by site'!$A$1:$I$40</definedName>
    <definedName name="_xlnm.Print_Area" localSheetId="12">'Procurement Spend Distribution'!$A$1:$F$14</definedName>
    <definedName name="_xlnm.Print_Area" localSheetId="2">References!$A$1:$B$43</definedName>
    <definedName name="_xlnm.Print_Area" localSheetId="30">SASB!$A$1:$G$39</definedName>
    <definedName name="_xlnm.Print_Area" localSheetId="17">'Scope 3 Inventory Development'!$A$1:$D$49</definedName>
    <definedName name="_xlnm.Print_Area" localSheetId="28">'Tailings Impoundments'!$A$1:$F$18</definedName>
    <definedName name="_xlnm.Print_Area" localSheetId="23">Water!$A$1:$F$138</definedName>
    <definedName name="_xlnm.Print_Area" localSheetId="24">'Water - by region'!$A$1:$H$140</definedName>
    <definedName name="_xlnm.Print_Area" localSheetId="4">Workforce!$A$1:$F$96</definedName>
    <definedName name="_xlnm.Print_Titles" localSheetId="5">'2022 U.S. Employee Data EEO-1'!$4:$23</definedName>
    <definedName name="_xlnm.Print_Titles" localSheetId="30">SASB!$1:$7</definedName>
    <definedName name="_xlnm.Print_Titles" localSheetId="24">'Water - by region'!$3:$4</definedName>
    <definedName name="Drug_Test">[1]!Table19[Drug Test]</definedName>
    <definedName name="Education_Verification">[1]!Table18[Education Verification]</definedName>
    <definedName name="Exception_Type">[1]!Table5[Exception Type]</definedName>
    <definedName name="ExpatLocations" localSheetId="11">#REF!</definedName>
    <definedName name="ExpatLocations" localSheetId="14">#REF!</definedName>
    <definedName name="ExpatLocations" localSheetId="17">#REF!</definedName>
    <definedName name="ExpatLocations">#REF!</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41666.7099189815</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inkedIn">[1]!Table26[LinkedIn]</definedName>
    <definedName name="LocationGroups">[3]Inputs!$AG$3:$AG$8</definedName>
    <definedName name="Major_Discipline">[1]!Table14[Major Discipline]</definedName>
    <definedName name="Physical">[1]!Table20[Physical]</definedName>
    <definedName name="Recruiter">[1]!Table1[Recruiter]</definedName>
    <definedName name="Reporting_Site">[1]v!$CU$1:$CU$23</definedName>
    <definedName name="Requisition_Status">[1]!Table10[Requisition Status]</definedName>
    <definedName name="Role_Discipline_Type">[1]!Table6[Role Discipline Type]</definedName>
    <definedName name="Schools">[1]!Table4[Schools]</definedName>
    <definedName name="Season">[1]!Table2[Season]</definedName>
    <definedName name="SheetNames">REPLACE(GET.WORKBOOK(1),1,FIND("]",GET.WORKBOOK(1)),"")</definedName>
    <definedName name="Site">[1]!Table9[Site]</definedName>
    <definedName name="Student_Status">[1]!Table16[Student Status]</definedName>
    <definedName name="TEST2">'[2]EDW-Hires'!#REF!</definedName>
    <definedName name="TEST3">'[2]EDW-Hires'!#REF!</definedName>
    <definedName name="Tower">[1]!Table7[Tower]</definedName>
    <definedName name="Verification">[1]!Table15[Verification]</definedName>
    <definedName name="Visa_Assistance">[1]!Table21[Visa Assistance]</definedName>
    <definedName name="Welcome_Pack">[1]!Table3[Welcome Pack]</definedName>
    <definedName name="YesNo" localSheetId="11">#REF!</definedName>
    <definedName name="YesNo" localSheetId="14">#REF!</definedName>
    <definedName name="YesNo" localSheetId="17">#REF!</definedName>
    <definedName name="YesNo">#REF!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6" i="13" l="1"/>
  <c r="D50" i="13"/>
  <c r="D49" i="13"/>
  <c r="B16" i="13"/>
  <c r="C16" i="13"/>
  <c r="D16" i="13"/>
  <c r="E16" i="13"/>
  <c r="H132" i="66"/>
  <c r="D34" i="13"/>
  <c r="D45" i="13" s="1"/>
  <c r="B34" i="13"/>
  <c r="C34" i="13"/>
  <c r="J28" i="48"/>
  <c r="A28" i="48" l="1"/>
  <c r="G131" i="66" l="1"/>
  <c r="G132" i="66" s="1"/>
  <c r="F131" i="66"/>
  <c r="F132" i="66" s="1"/>
  <c r="E131" i="66"/>
  <c r="E132" i="66" s="1"/>
  <c r="D131" i="66"/>
  <c r="D132" i="66" s="1"/>
  <c r="H131" i="66"/>
  <c r="I34" i="62" l="1"/>
  <c r="H34" i="62"/>
  <c r="F34" i="62"/>
  <c r="G34" i="62" s="1"/>
  <c r="E34" i="62"/>
  <c r="C34" i="62"/>
  <c r="D34" i="62" s="1"/>
  <c r="I31" i="62" l="1"/>
  <c r="G31" i="62"/>
  <c r="D31" i="62"/>
  <c r="C33" i="63"/>
  <c r="C28" i="63"/>
  <c r="C22" i="63"/>
  <c r="C18" i="63"/>
  <c r="C35" i="63" l="1"/>
  <c r="D33" i="63"/>
  <c r="D28" i="63"/>
  <c r="D22" i="63"/>
  <c r="D18" i="63"/>
  <c r="D20" i="62"/>
  <c r="D16" i="62"/>
  <c r="D15" i="62"/>
  <c r="H16" i="62"/>
  <c r="I16" i="62" s="1"/>
  <c r="F16" i="62"/>
  <c r="E16" i="62"/>
  <c r="C16" i="62"/>
  <c r="H20" i="62"/>
  <c r="F20" i="62"/>
  <c r="G20" i="62" s="1"/>
  <c r="E20" i="62"/>
  <c r="C20" i="62"/>
  <c r="H26" i="62"/>
  <c r="I26" i="62" s="1"/>
  <c r="F26" i="62"/>
  <c r="E26" i="62"/>
  <c r="D26" i="62" s="1"/>
  <c r="C26" i="62"/>
  <c r="I30" i="62"/>
  <c r="H32" i="62"/>
  <c r="F32" i="62"/>
  <c r="G32" i="62" s="1"/>
  <c r="E32" i="62"/>
  <c r="C32" i="62"/>
  <c r="I10" i="62"/>
  <c r="I9" i="62"/>
  <c r="I8" i="62"/>
  <c r="I7" i="62"/>
  <c r="I19" i="62"/>
  <c r="I13" i="62"/>
  <c r="I18" i="62"/>
  <c r="I6" i="62"/>
  <c r="I29" i="62"/>
  <c r="I28" i="62"/>
  <c r="I25" i="62"/>
  <c r="I23" i="62"/>
  <c r="I22" i="62"/>
  <c r="I15" i="62"/>
  <c r="I12" i="62"/>
  <c r="I5" i="62"/>
  <c r="G30" i="62"/>
  <c r="G29" i="62"/>
  <c r="G28" i="62"/>
  <c r="G25" i="62"/>
  <c r="G23" i="62"/>
  <c r="G22" i="62"/>
  <c r="G19" i="62"/>
  <c r="G18" i="62"/>
  <c r="G15" i="62"/>
  <c r="G13" i="62"/>
  <c r="G12" i="62"/>
  <c r="G10" i="62"/>
  <c r="G9" i="62"/>
  <c r="G8" i="62"/>
  <c r="G7" i="62"/>
  <c r="G6" i="62"/>
  <c r="G5" i="62"/>
  <c r="D30" i="62"/>
  <c r="D29" i="62"/>
  <c r="D28" i="62"/>
  <c r="D25" i="62"/>
  <c r="D23" i="62"/>
  <c r="D22" i="62"/>
  <c r="D19" i="62"/>
  <c r="D18" i="62"/>
  <c r="D13" i="62"/>
  <c r="D12" i="62"/>
  <c r="D10" i="62"/>
  <c r="D9" i="62"/>
  <c r="D8" i="62"/>
  <c r="D7" i="62"/>
  <c r="D6" i="62"/>
  <c r="D5" i="62"/>
  <c r="L33" i="58"/>
  <c r="K33" i="58"/>
  <c r="J33" i="58"/>
  <c r="I33" i="58"/>
  <c r="H33" i="58"/>
  <c r="G33" i="58"/>
  <c r="F33" i="58"/>
  <c r="E33" i="58"/>
  <c r="D33" i="58"/>
  <c r="C33" i="58"/>
  <c r="M33" i="58"/>
  <c r="G33" i="59"/>
  <c r="D33" i="57"/>
  <c r="D32" i="62" l="1"/>
  <c r="I20" i="62"/>
  <c r="G16" i="62"/>
  <c r="G26" i="62"/>
  <c r="I32" i="62"/>
  <c r="D35" i="63"/>
  <c r="M31" i="58"/>
  <c r="L31" i="58"/>
  <c r="K31" i="58"/>
  <c r="J31" i="58"/>
  <c r="I31" i="58"/>
  <c r="H31" i="58"/>
  <c r="G31" i="58"/>
  <c r="F31" i="58"/>
  <c r="E31" i="58"/>
  <c r="D31" i="58"/>
  <c r="C31" i="58"/>
  <c r="M26" i="58"/>
  <c r="L26" i="58"/>
  <c r="K26" i="58"/>
  <c r="J26" i="58"/>
  <c r="I26" i="58"/>
  <c r="H26" i="58"/>
  <c r="G26" i="58"/>
  <c r="F26" i="58"/>
  <c r="E26" i="58"/>
  <c r="D26" i="58"/>
  <c r="C26" i="58"/>
  <c r="M20" i="58"/>
  <c r="L20" i="58"/>
  <c r="K20" i="58"/>
  <c r="J20" i="58"/>
  <c r="I20" i="58"/>
  <c r="H20" i="58"/>
  <c r="G20" i="58"/>
  <c r="F20" i="58"/>
  <c r="E20" i="58"/>
  <c r="D20" i="58"/>
  <c r="C20" i="58"/>
  <c r="M16" i="58"/>
  <c r="L16" i="58"/>
  <c r="K16" i="58"/>
  <c r="J16" i="58"/>
  <c r="I16" i="58"/>
  <c r="H16" i="58"/>
  <c r="G16" i="58"/>
  <c r="F16" i="58"/>
  <c r="E16" i="58"/>
  <c r="D16" i="58"/>
  <c r="C16" i="58"/>
  <c r="G71" i="56"/>
  <c r="G66" i="56"/>
  <c r="G57" i="56"/>
  <c r="G53" i="56"/>
  <c r="G36" i="56"/>
  <c r="G31" i="56"/>
  <c r="G78" i="56" s="1"/>
  <c r="G22" i="56"/>
  <c r="G77" i="56" s="1"/>
  <c r="G18" i="56"/>
  <c r="G76" i="56" s="1"/>
  <c r="G71" i="52"/>
  <c r="G66" i="52"/>
  <c r="G57" i="52"/>
  <c r="G53" i="52"/>
  <c r="G36" i="52"/>
  <c r="G79" i="52" s="1"/>
  <c r="G31" i="52"/>
  <c r="G22" i="52"/>
  <c r="G77" i="52" s="1"/>
  <c r="G18" i="52"/>
  <c r="G76" i="52" s="1"/>
  <c r="G78" i="52" l="1"/>
  <c r="G73" i="52"/>
  <c r="G79" i="56"/>
  <c r="G80" i="56" s="1"/>
  <c r="G73" i="56"/>
  <c r="G38" i="52"/>
  <c r="G80" i="52"/>
  <c r="G38" i="56"/>
  <c r="M31" i="59" l="1"/>
  <c r="L31" i="59"/>
  <c r="K31" i="59"/>
  <c r="J31" i="59"/>
  <c r="I31" i="59"/>
  <c r="H31" i="59"/>
  <c r="G31" i="59"/>
  <c r="F31" i="59"/>
  <c r="E31" i="59"/>
  <c r="D31" i="59"/>
  <c r="C31" i="59"/>
  <c r="M26" i="59"/>
  <c r="L26" i="59"/>
  <c r="K26" i="59"/>
  <c r="J26" i="59"/>
  <c r="I26" i="59"/>
  <c r="H26" i="59"/>
  <c r="H33" i="59" s="1"/>
  <c r="G26" i="59"/>
  <c r="F26" i="59"/>
  <c r="E26" i="59"/>
  <c r="D26" i="59"/>
  <c r="C26" i="59"/>
  <c r="M20" i="59"/>
  <c r="L20" i="59"/>
  <c r="K20" i="59"/>
  <c r="J20" i="59"/>
  <c r="I20" i="59"/>
  <c r="H20" i="59"/>
  <c r="G20" i="59"/>
  <c r="F20" i="59"/>
  <c r="E20" i="59"/>
  <c r="D20" i="59"/>
  <c r="C20" i="59"/>
  <c r="M16" i="59"/>
  <c r="L16" i="59"/>
  <c r="K16" i="59"/>
  <c r="J16" i="59"/>
  <c r="I16" i="59"/>
  <c r="H16" i="59"/>
  <c r="G16" i="59"/>
  <c r="F16" i="59"/>
  <c r="E16" i="59"/>
  <c r="D16" i="59"/>
  <c r="C16" i="59"/>
  <c r="J31" i="57"/>
  <c r="I31" i="57"/>
  <c r="G31" i="57"/>
  <c r="F31" i="57"/>
  <c r="D31" i="57"/>
  <c r="C31" i="57"/>
  <c r="K30" i="57"/>
  <c r="L30" i="57" s="1"/>
  <c r="H30" i="57"/>
  <c r="E30" i="57"/>
  <c r="K29" i="57"/>
  <c r="L29" i="57" s="1"/>
  <c r="H29" i="57"/>
  <c r="E29" i="57"/>
  <c r="K28" i="57"/>
  <c r="H28" i="57"/>
  <c r="E28" i="57"/>
  <c r="J26" i="57"/>
  <c r="I26" i="57"/>
  <c r="G26" i="57"/>
  <c r="F26" i="57"/>
  <c r="D26" i="57"/>
  <c r="C26" i="57"/>
  <c r="L25" i="57"/>
  <c r="K25" i="57"/>
  <c r="H25" i="57"/>
  <c r="E25" i="57"/>
  <c r="K23" i="57"/>
  <c r="L23" i="57" s="1"/>
  <c r="H23" i="57"/>
  <c r="H26" i="57" s="1"/>
  <c r="E23" i="57"/>
  <c r="K22" i="57"/>
  <c r="K26" i="57" s="1"/>
  <c r="L26" i="57" s="1"/>
  <c r="H22" i="57"/>
  <c r="E22" i="57"/>
  <c r="J20" i="57"/>
  <c r="I20" i="57"/>
  <c r="G20" i="57"/>
  <c r="F20" i="57"/>
  <c r="H20" i="57" s="1"/>
  <c r="D20" i="57"/>
  <c r="C20" i="57"/>
  <c r="K19" i="57"/>
  <c r="L19" i="57" s="1"/>
  <c r="H19" i="57"/>
  <c r="E19" i="57"/>
  <c r="K18" i="57"/>
  <c r="L18" i="57" s="1"/>
  <c r="H18" i="57"/>
  <c r="E18" i="57"/>
  <c r="J16" i="57"/>
  <c r="I16" i="57"/>
  <c r="G16" i="57"/>
  <c r="F16" i="57"/>
  <c r="D16" i="57"/>
  <c r="C16" i="57"/>
  <c r="K15" i="57"/>
  <c r="L15" i="57" s="1"/>
  <c r="E15" i="57"/>
  <c r="K13" i="57"/>
  <c r="L13" i="57" s="1"/>
  <c r="H13" i="57"/>
  <c r="E13" i="57"/>
  <c r="K12" i="57"/>
  <c r="L12" i="57" s="1"/>
  <c r="H12" i="57"/>
  <c r="E12" i="57"/>
  <c r="K10" i="57"/>
  <c r="L10" i="57" s="1"/>
  <c r="H10" i="57"/>
  <c r="E10" i="57"/>
  <c r="K9" i="57"/>
  <c r="L9" i="57" s="1"/>
  <c r="H9" i="57"/>
  <c r="E9" i="57"/>
  <c r="K8" i="57"/>
  <c r="L8" i="57" s="1"/>
  <c r="H8" i="57"/>
  <c r="E8" i="57"/>
  <c r="K7" i="57"/>
  <c r="L7" i="57" s="1"/>
  <c r="H7" i="57"/>
  <c r="E7" i="57"/>
  <c r="K6" i="57"/>
  <c r="H6" i="57"/>
  <c r="E6" i="57"/>
  <c r="K5" i="57"/>
  <c r="L5" i="57" s="1"/>
  <c r="H5" i="57"/>
  <c r="E5" i="57"/>
  <c r="E76" i="56"/>
  <c r="F71" i="56"/>
  <c r="E71" i="56"/>
  <c r="D71" i="56"/>
  <c r="C71" i="56"/>
  <c r="F66" i="56"/>
  <c r="E66" i="56"/>
  <c r="D66" i="56"/>
  <c r="C66" i="56"/>
  <c r="F57" i="56"/>
  <c r="E57" i="56"/>
  <c r="D57" i="56"/>
  <c r="C57" i="56"/>
  <c r="F53" i="56"/>
  <c r="E53" i="56"/>
  <c r="D53" i="56"/>
  <c r="C53" i="56"/>
  <c r="F36" i="56"/>
  <c r="F79" i="56" s="1"/>
  <c r="E36" i="56"/>
  <c r="E79" i="56" s="1"/>
  <c r="D36" i="56"/>
  <c r="D79" i="56" s="1"/>
  <c r="C36" i="56"/>
  <c r="F31" i="56"/>
  <c r="F78" i="56" s="1"/>
  <c r="E31" i="56"/>
  <c r="E78" i="56" s="1"/>
  <c r="D31" i="56"/>
  <c r="D78" i="56" s="1"/>
  <c r="C31" i="56"/>
  <c r="C78" i="56" s="1"/>
  <c r="F22" i="56"/>
  <c r="F77" i="56" s="1"/>
  <c r="E22" i="56"/>
  <c r="D22" i="56"/>
  <c r="D77" i="56" s="1"/>
  <c r="C22" i="56"/>
  <c r="C77" i="56" s="1"/>
  <c r="F18" i="56"/>
  <c r="F76" i="56" s="1"/>
  <c r="E18" i="56"/>
  <c r="D18" i="56"/>
  <c r="D76" i="56" s="1"/>
  <c r="C18" i="56"/>
  <c r="C76" i="56" s="1"/>
  <c r="F71" i="52"/>
  <c r="E71" i="52"/>
  <c r="D71" i="52"/>
  <c r="C71" i="52"/>
  <c r="F66" i="52"/>
  <c r="F73" i="52" s="1"/>
  <c r="E66" i="52"/>
  <c r="D66" i="52"/>
  <c r="C66" i="52"/>
  <c r="F57" i="52"/>
  <c r="E57" i="52"/>
  <c r="D57" i="52"/>
  <c r="C57" i="52"/>
  <c r="F53" i="52"/>
  <c r="E53" i="52"/>
  <c r="D53" i="52"/>
  <c r="C53" i="52"/>
  <c r="F36" i="52"/>
  <c r="E36" i="52"/>
  <c r="D36" i="52"/>
  <c r="D79" i="52" s="1"/>
  <c r="C36" i="52"/>
  <c r="C38" i="52" s="1"/>
  <c r="F31" i="52"/>
  <c r="F78" i="52" s="1"/>
  <c r="E31" i="52"/>
  <c r="D31" i="52"/>
  <c r="D78" i="52" s="1"/>
  <c r="C31" i="52"/>
  <c r="C78" i="52" s="1"/>
  <c r="F22" i="52"/>
  <c r="F77" i="52" s="1"/>
  <c r="E22" i="52"/>
  <c r="E77" i="52" s="1"/>
  <c r="D22" i="52"/>
  <c r="D77" i="52" s="1"/>
  <c r="C22" i="52"/>
  <c r="C77" i="52" s="1"/>
  <c r="F18" i="52"/>
  <c r="F76" i="52" s="1"/>
  <c r="E18" i="52"/>
  <c r="E76" i="52" s="1"/>
  <c r="D18" i="52"/>
  <c r="C18" i="52"/>
  <c r="C76" i="52" s="1"/>
  <c r="D73" i="52" l="1"/>
  <c r="F38" i="52"/>
  <c r="C73" i="52"/>
  <c r="D38" i="52"/>
  <c r="E73" i="52"/>
  <c r="C79" i="52"/>
  <c r="C80" i="52" s="1"/>
  <c r="C79" i="56"/>
  <c r="C80" i="56" s="1"/>
  <c r="E77" i="56"/>
  <c r="E80" i="56" s="1"/>
  <c r="F80" i="56"/>
  <c r="E33" i="59"/>
  <c r="F33" i="57"/>
  <c r="K20" i="57"/>
  <c r="L20" i="57" s="1"/>
  <c r="G33" i="57"/>
  <c r="M33" i="59"/>
  <c r="D33" i="59"/>
  <c r="I33" i="59"/>
  <c r="E26" i="57"/>
  <c r="J33" i="59"/>
  <c r="L33" i="59"/>
  <c r="E20" i="57"/>
  <c r="F33" i="59"/>
  <c r="C33" i="59"/>
  <c r="K33" i="59"/>
  <c r="I33" i="57"/>
  <c r="J33" i="57"/>
  <c r="L22" i="57"/>
  <c r="K16" i="57"/>
  <c r="L33" i="57" s="1"/>
  <c r="E31" i="57"/>
  <c r="E38" i="52"/>
  <c r="H31" i="57"/>
  <c r="E16" i="57"/>
  <c r="K31" i="57"/>
  <c r="L31" i="57" s="1"/>
  <c r="C33" i="57"/>
  <c r="H16" i="57"/>
  <c r="D80" i="56"/>
  <c r="L6" i="57"/>
  <c r="L28" i="57"/>
  <c r="F80" i="52"/>
  <c r="E80" i="52"/>
  <c r="E79" i="52"/>
  <c r="D76" i="52"/>
  <c r="D80" i="52" s="1"/>
  <c r="F79" i="52"/>
  <c r="E78" i="52"/>
  <c r="H33" i="57" l="1"/>
  <c r="L16" i="57"/>
  <c r="E33" i="57"/>
  <c r="E8" i="26" l="1"/>
  <c r="E16" i="45"/>
  <c r="E10" i="45"/>
  <c r="I5" i="48"/>
  <c r="I6" i="48" s="1"/>
  <c r="J3" i="48"/>
  <c r="J2" i="48"/>
  <c r="J6" i="48"/>
  <c r="E18" i="45" l="1"/>
  <c r="E19" i="45" s="1"/>
  <c r="A3" i="48"/>
  <c r="A2" i="48"/>
  <c r="I7" i="48"/>
  <c r="D13" i="46"/>
  <c r="C13" i="46"/>
  <c r="B13" i="46"/>
  <c r="D7" i="46"/>
  <c r="C7" i="46"/>
  <c r="B7" i="46"/>
  <c r="D6" i="46"/>
  <c r="C6" i="46"/>
  <c r="B6" i="46"/>
  <c r="D5" i="46"/>
  <c r="C5" i="46"/>
  <c r="B5" i="46"/>
  <c r="J5" i="48"/>
  <c r="J7" i="48"/>
  <c r="A5" i="48" l="1"/>
  <c r="A6" i="48"/>
  <c r="I8" i="48"/>
  <c r="C8" i="46"/>
  <c r="C11" i="46" s="1"/>
  <c r="D8" i="46"/>
  <c r="D9" i="46" s="1"/>
  <c r="B11" i="46"/>
  <c r="B8" i="46"/>
  <c r="B10" i="46" s="1"/>
  <c r="F16" i="45"/>
  <c r="D16" i="45"/>
  <c r="C16" i="45"/>
  <c r="B16" i="45"/>
  <c r="F10" i="45"/>
  <c r="D10" i="45"/>
  <c r="C10" i="45"/>
  <c r="B10" i="45"/>
  <c r="B18" i="45" s="1"/>
  <c r="B19" i="45" s="1"/>
  <c r="J8" i="48"/>
  <c r="D11" i="46" l="1"/>
  <c r="D10" i="46"/>
  <c r="F18" i="45"/>
  <c r="F19" i="45" s="1"/>
  <c r="I9" i="48"/>
  <c r="A7" i="48"/>
  <c r="C10" i="46"/>
  <c r="C9" i="46"/>
  <c r="B9" i="46"/>
  <c r="C18" i="45"/>
  <c r="C19" i="45" s="1"/>
  <c r="D18" i="45"/>
  <c r="D19" i="45" s="1"/>
  <c r="J9" i="48"/>
  <c r="A9" i="48" l="1"/>
  <c r="I10" i="48"/>
  <c r="A8" i="48"/>
  <c r="J10" i="48"/>
  <c r="I11" i="48" l="1"/>
  <c r="A10" i="48"/>
  <c r="J11" i="48"/>
  <c r="I13" i="48" l="1"/>
  <c r="A11" i="48"/>
  <c r="J13" i="48"/>
  <c r="I14" i="48" l="1"/>
  <c r="A13" i="48"/>
  <c r="J14" i="48"/>
  <c r="I15" i="48" l="1"/>
  <c r="I16" i="48" s="1"/>
  <c r="A14" i="48"/>
  <c r="J15" i="48"/>
  <c r="I18" i="48" l="1"/>
  <c r="A15" i="48"/>
  <c r="J16" i="48"/>
  <c r="A16" i="48" l="1"/>
  <c r="I19" i="48"/>
  <c r="D8" i="26"/>
  <c r="C8" i="26"/>
  <c r="B8" i="26"/>
  <c r="F8" i="26"/>
  <c r="J18" i="48"/>
  <c r="A18" i="48" l="1"/>
  <c r="I20" i="48"/>
  <c r="J19" i="48"/>
  <c r="A19" i="48" l="1"/>
  <c r="I21" i="48"/>
  <c r="J20" i="48"/>
  <c r="A20" i="48" l="1"/>
  <c r="I22" i="48"/>
  <c r="J21" i="48"/>
  <c r="A21" i="48" l="1"/>
  <c r="I23" i="48"/>
  <c r="J22" i="48"/>
  <c r="A22" i="48" l="1"/>
  <c r="I24" i="48"/>
  <c r="I25" i="48" s="1"/>
  <c r="I26" i="48" s="1"/>
  <c r="I27" i="48" s="1"/>
  <c r="J24" i="48"/>
  <c r="J23" i="48"/>
  <c r="I28" i="48" l="1"/>
  <c r="A23" i="48"/>
  <c r="A24" i="48"/>
  <c r="J27" i="48"/>
  <c r="J25" i="48"/>
  <c r="I29" i="48" l="1"/>
  <c r="A25" i="48"/>
  <c r="J26" i="48"/>
  <c r="I30" i="48" l="1"/>
  <c r="A26" i="48"/>
  <c r="J29" i="48"/>
  <c r="A29" i="48" l="1"/>
  <c r="I31" i="48"/>
  <c r="A27" i="48"/>
  <c r="J30" i="48"/>
  <c r="A30" i="48" l="1"/>
  <c r="I32" i="48"/>
  <c r="J31" i="48"/>
  <c r="A31" i="48" l="1"/>
  <c r="I33" i="48"/>
  <c r="J32" i="48"/>
  <c r="A32" i="48" l="1"/>
  <c r="I35" i="48"/>
  <c r="J33" i="48"/>
  <c r="A33" i="48" l="1"/>
  <c r="I36" i="48"/>
  <c r="J35" i="48"/>
  <c r="A35" i="48" l="1"/>
  <c r="I37" i="48"/>
  <c r="J37" i="48"/>
  <c r="J36" i="48"/>
  <c r="A36" i="48" l="1"/>
  <c r="A37" i="48"/>
</calcChain>
</file>

<file path=xl/sharedStrings.xml><?xml version="1.0" encoding="utf-8"?>
<sst xmlns="http://schemas.openxmlformats.org/spreadsheetml/2006/main" count="2417" uniqueCount="1342">
  <si>
    <t>GOVERNANCE</t>
  </si>
  <si>
    <t>Business Ethics</t>
  </si>
  <si>
    <r>
      <t>Principles of Business Conduct Training</t>
    </r>
    <r>
      <rPr>
        <vertAlign val="superscript"/>
        <sz val="8"/>
        <color theme="1"/>
        <rFont val="Century Gothic"/>
        <family val="2"/>
      </rPr>
      <t>1</t>
    </r>
    <r>
      <rPr>
        <sz val="8"/>
        <color theme="1"/>
        <rFont val="Century Gothic"/>
        <family val="2"/>
      </rPr>
      <t xml:space="preserve">
Completion Rate - FCX Global</t>
    </r>
  </si>
  <si>
    <r>
      <t>Principles of Business Conduct Training</t>
    </r>
    <r>
      <rPr>
        <vertAlign val="superscript"/>
        <sz val="8"/>
        <color theme="1"/>
        <rFont val="Century Gothic"/>
        <family val="2"/>
      </rPr>
      <t>1</t>
    </r>
    <r>
      <rPr>
        <sz val="8"/>
        <color theme="1"/>
        <rFont val="Century Gothic"/>
        <family val="2"/>
      </rPr>
      <t xml:space="preserve">
Completion Rate - Management Level</t>
    </r>
  </si>
  <si>
    <r>
      <t>Anti-Corruption Training</t>
    </r>
    <r>
      <rPr>
        <vertAlign val="superscript"/>
        <sz val="8"/>
        <color theme="1"/>
        <rFont val="Century Gothic"/>
        <family val="2"/>
      </rPr>
      <t>1</t>
    </r>
    <r>
      <rPr>
        <sz val="8"/>
        <color theme="1"/>
        <rFont val="Century Gothic"/>
        <family val="2"/>
      </rPr>
      <t xml:space="preserve">
Completion Rate</t>
    </r>
  </si>
  <si>
    <r>
      <t xml:space="preserve">Economic Value Contributed </t>
    </r>
    <r>
      <rPr>
        <sz val="8"/>
        <color theme="1"/>
        <rFont val="Century Gothic"/>
        <family val="2"/>
      </rPr>
      <t>($ millions)</t>
    </r>
  </si>
  <si>
    <r>
      <t>Direct Economic Contributions</t>
    </r>
    <r>
      <rPr>
        <vertAlign val="superscript"/>
        <sz val="8"/>
        <color theme="1"/>
        <rFont val="Century Gothic"/>
        <family val="2"/>
      </rPr>
      <t>1</t>
    </r>
  </si>
  <si>
    <t>Local</t>
  </si>
  <si>
    <t>National</t>
  </si>
  <si>
    <t>Outside Home Country</t>
  </si>
  <si>
    <t>Total Procurement Spend Distribution</t>
  </si>
  <si>
    <t>% Local</t>
  </si>
  <si>
    <t>% National</t>
  </si>
  <si>
    <t>% Outside Home Country</t>
  </si>
  <si>
    <t>Number of Local Suppliers</t>
  </si>
  <si>
    <t xml:space="preserve">Local </t>
  </si>
  <si>
    <t>Bagdad</t>
  </si>
  <si>
    <t>Morenci</t>
  </si>
  <si>
    <t>Sierrita</t>
  </si>
  <si>
    <t>Climax</t>
  </si>
  <si>
    <t>Henderson</t>
  </si>
  <si>
    <t>Tyrone</t>
  </si>
  <si>
    <t>El Abra</t>
  </si>
  <si>
    <t>Cerro Verde</t>
  </si>
  <si>
    <t>Rotterdam</t>
  </si>
  <si>
    <t>Stowmarket</t>
  </si>
  <si>
    <t>El Paso Refinery &amp; Rod</t>
  </si>
  <si>
    <t>Miami Smelter &amp; Rod</t>
  </si>
  <si>
    <t>Atlantic Copper Smelter &amp; Refinery</t>
  </si>
  <si>
    <t>Safford / Lone Star</t>
  </si>
  <si>
    <t>Chino / Cobre</t>
  </si>
  <si>
    <t>% of Total</t>
  </si>
  <si>
    <t>($ millions)</t>
  </si>
  <si>
    <t>Spend on Goods</t>
  </si>
  <si>
    <t>Total Procurement Spend</t>
  </si>
  <si>
    <t>ENVIRONMENT</t>
  </si>
  <si>
    <t>Groundwater</t>
  </si>
  <si>
    <t>Surface water</t>
  </si>
  <si>
    <t>Stormwater</t>
  </si>
  <si>
    <t>Third-party Sources</t>
  </si>
  <si>
    <r>
      <t>Total New Water Withdrawn</t>
    </r>
    <r>
      <rPr>
        <vertAlign val="superscript"/>
        <sz val="8"/>
        <color theme="1"/>
        <rFont val="Century Gothic"/>
        <family val="2"/>
      </rPr>
      <t>1</t>
    </r>
    <r>
      <rPr>
        <sz val="8"/>
        <color theme="1"/>
        <rFont val="Century Gothic"/>
        <family val="2"/>
      </rPr>
      <t xml:space="preserve"> </t>
    </r>
  </si>
  <si>
    <r>
      <t>Total Water Discharged</t>
    </r>
    <r>
      <rPr>
        <vertAlign val="superscript"/>
        <sz val="8"/>
        <color theme="1"/>
        <rFont val="Century Gothic"/>
        <family val="2"/>
      </rPr>
      <t>3</t>
    </r>
  </si>
  <si>
    <t>N/A</t>
  </si>
  <si>
    <r>
      <t>Water Use Efficiency</t>
    </r>
    <r>
      <rPr>
        <vertAlign val="superscript"/>
        <sz val="8"/>
        <color theme="1"/>
        <rFont val="Century Gothic"/>
        <family val="2"/>
      </rPr>
      <t>4</t>
    </r>
    <r>
      <rPr>
        <sz val="8"/>
        <color theme="1"/>
        <rFont val="Century Gothic"/>
        <family val="2"/>
      </rPr>
      <t> (%)</t>
    </r>
  </si>
  <si>
    <t>1. New water withdrawal includes new water that is received or extracted by operation and used for the first time. New water withdrawals include high quality freshwater and lower quality water and are categorized by type: groundwater, surface water, stormwater, sea water or third-party water. Water withdrawals exclude water diverted away from operational areas without use.</t>
  </si>
  <si>
    <t>2. Water recycle/reuse rate = (total water recycled + reused) / total water utilized.</t>
  </si>
  <si>
    <t>4. Water use efficiency rate = total water recycled + reused / (total water utilization – discharged water).</t>
  </si>
  <si>
    <r>
      <t xml:space="preserve"> Low Quality</t>
    </r>
    <r>
      <rPr>
        <b/>
        <vertAlign val="superscript"/>
        <sz val="8"/>
        <color theme="0"/>
        <rFont val="Century Gothic"/>
        <family val="2"/>
      </rPr>
      <t>1</t>
    </r>
  </si>
  <si>
    <t xml:space="preserve"> Total </t>
  </si>
  <si>
    <t>Water Withdrawals</t>
  </si>
  <si>
    <t>Surface Water</t>
  </si>
  <si>
    <t>Sea Water</t>
  </si>
  <si>
    <r>
      <t>Total New Water Withdrawn</t>
    </r>
    <r>
      <rPr>
        <vertAlign val="superscript"/>
        <sz val="8"/>
        <color theme="1"/>
        <rFont val="Century Gothic"/>
        <family val="2"/>
      </rPr>
      <t>2</t>
    </r>
  </si>
  <si>
    <r>
      <t>Water Discharged Off-site</t>
    </r>
    <r>
      <rPr>
        <b/>
        <vertAlign val="superscript"/>
        <sz val="8"/>
        <color rgb="FF000000"/>
        <rFont val="Century Gothic"/>
        <family val="2"/>
      </rPr>
      <t>3</t>
    </r>
  </si>
  <si>
    <t>To Surface</t>
  </si>
  <si>
    <t>To Third-party</t>
  </si>
  <si>
    <t>Total Water Discharged Off-site</t>
  </si>
  <si>
    <t>Change in Water Storage Volume</t>
  </si>
  <si>
    <r>
      <t>Total Water Consumption</t>
    </r>
    <r>
      <rPr>
        <b/>
        <vertAlign val="superscript"/>
        <sz val="8"/>
        <color theme="1"/>
        <rFont val="Century Gothic"/>
        <family val="2"/>
      </rPr>
      <t>5</t>
    </r>
  </si>
  <si>
    <t>2. New water withdrawal includes new water that is received or extracted by operation and used for the first time. This includes high quality freshwater and lower quality water and are categorized by type: groundwater, surface water, stormwater, sea water or third-party water. Water withdrawals exclude water diverted away from operational areas without use.</t>
  </si>
  <si>
    <t>5. Water consumption = Total water withdrawn - discharged water - change in water storage volume.</t>
  </si>
  <si>
    <t>6. Water recycle / reuse rate = total water reused + recycled / total water utilized.</t>
  </si>
  <si>
    <t>7. Water use efficiency rate = total water reused + recycled / (total water utilization – discharged water).</t>
  </si>
  <si>
    <t>ICMM WATER QUALITY CATEGORIES</t>
  </si>
  <si>
    <r>
      <t>High Quality
(Freshwater</t>
    </r>
    <r>
      <rPr>
        <vertAlign val="superscript"/>
        <sz val="7"/>
        <color rgb="FF000000"/>
        <rFont val="Century Gothic"/>
        <family val="2"/>
      </rPr>
      <t>1</t>
    </r>
    <r>
      <rPr>
        <sz val="7"/>
        <color rgb="FF000000"/>
        <rFont val="Century Gothic"/>
        <family val="2"/>
      </rPr>
      <t>)</t>
    </r>
  </si>
  <si>
    <t>Low Quality</t>
  </si>
  <si>
    <t>WATER SUPPLY RISKS</t>
  </si>
  <si>
    <t>OPERATION</t>
  </si>
  <si>
    <r>
      <t>WATER SOURCES</t>
    </r>
    <r>
      <rPr>
        <b/>
        <vertAlign val="superscript"/>
        <sz val="8"/>
        <rFont val="Century Gothic"/>
        <family val="2"/>
      </rPr>
      <t>2</t>
    </r>
  </si>
  <si>
    <r>
      <t>WATER STRESS</t>
    </r>
    <r>
      <rPr>
        <b/>
        <vertAlign val="superscript"/>
        <sz val="8"/>
        <rFont val="Century Gothic"/>
        <family val="2"/>
      </rPr>
      <t>3</t>
    </r>
  </si>
  <si>
    <t>Low-Med</t>
  </si>
  <si>
    <t>Arizona</t>
  </si>
  <si>
    <t>High</t>
  </si>
  <si>
    <t>X</t>
  </si>
  <si>
    <t>Arequipa, Peru</t>
  </si>
  <si>
    <t>Chino</t>
  </si>
  <si>
    <t>New Mexico</t>
  </si>
  <si>
    <t>Colorado</t>
  </si>
  <si>
    <t>Extremely High</t>
  </si>
  <si>
    <t>Calama, Chile</t>
  </si>
  <si>
    <t>Med-High</t>
  </si>
  <si>
    <t>Miami</t>
  </si>
  <si>
    <t>PT-FI</t>
  </si>
  <si>
    <t>Low</t>
  </si>
  <si>
    <t>Papua, Indonesia</t>
  </si>
  <si>
    <t>Safford</t>
  </si>
  <si>
    <t xml:space="preserve">1. Climate conditions based on the Köppen-Geiger climate classification terminology. </t>
  </si>
  <si>
    <t>2. Water sources can include groundwater, surface water, stormwater, sea water, or third-party sources (including effluent).</t>
  </si>
  <si>
    <r>
      <t xml:space="preserve">Mining &amp; Mineral Processing Waste </t>
    </r>
    <r>
      <rPr>
        <sz val="8"/>
        <color theme="1"/>
        <rFont val="Century Gothic"/>
        <family val="2"/>
      </rPr>
      <t>(million metric tons)</t>
    </r>
  </si>
  <si>
    <t xml:space="preserve">Tailings </t>
  </si>
  <si>
    <t xml:space="preserve">Overburden and Waste Rock </t>
  </si>
  <si>
    <t>Recycled</t>
  </si>
  <si>
    <t xml:space="preserve">Disposed - Landfill </t>
  </si>
  <si>
    <t>Disposed - Other</t>
  </si>
  <si>
    <t>Disposed On-site</t>
  </si>
  <si>
    <t>Total Non-Hazardous Waste and Recyclable Material</t>
  </si>
  <si>
    <t>Stored On-site</t>
  </si>
  <si>
    <t>Treated</t>
  </si>
  <si>
    <t>Total Hazardous Waste and Recyclable Material</t>
  </si>
  <si>
    <t>% Recycled</t>
  </si>
  <si>
    <r>
      <t xml:space="preserve">Land </t>
    </r>
    <r>
      <rPr>
        <sz val="8"/>
        <color theme="1"/>
        <rFont val="Century Gothic"/>
        <family val="2"/>
      </rPr>
      <t>(in hectares)</t>
    </r>
  </si>
  <si>
    <t xml:space="preserve">New land disturbed during the year </t>
  </si>
  <si>
    <r>
      <t xml:space="preserve">Air Emissions </t>
    </r>
    <r>
      <rPr>
        <sz val="8"/>
        <color theme="1"/>
        <rFont val="Century Gothic"/>
        <family val="2"/>
      </rPr>
      <t>(thousand metric tons)</t>
    </r>
  </si>
  <si>
    <r>
      <t>NO</t>
    </r>
    <r>
      <rPr>
        <vertAlign val="subscript"/>
        <sz val="8"/>
        <rFont val="Century Gothic"/>
        <family val="2"/>
      </rPr>
      <t>X</t>
    </r>
    <r>
      <rPr>
        <sz val="8"/>
        <rFont val="Century Gothic"/>
        <family val="2"/>
      </rPr>
      <t xml:space="preserve"> (excluding N</t>
    </r>
    <r>
      <rPr>
        <vertAlign val="subscript"/>
        <sz val="8"/>
        <rFont val="Century Gothic"/>
        <family val="2"/>
      </rPr>
      <t>2</t>
    </r>
    <r>
      <rPr>
        <sz val="8"/>
        <rFont val="Century Gothic"/>
        <family val="2"/>
      </rPr>
      <t>O), oxides of nitrogen</t>
    </r>
  </si>
  <si>
    <r>
      <t>SO</t>
    </r>
    <r>
      <rPr>
        <vertAlign val="subscript"/>
        <sz val="8"/>
        <rFont val="Century Gothic"/>
        <family val="2"/>
      </rPr>
      <t>X</t>
    </r>
    <r>
      <rPr>
        <sz val="8"/>
        <rFont val="Century Gothic"/>
        <family val="2"/>
      </rPr>
      <t>, oxides of sulfur</t>
    </r>
  </si>
  <si>
    <r>
      <t>PM</t>
    </r>
    <r>
      <rPr>
        <vertAlign val="subscript"/>
        <sz val="8"/>
        <rFont val="Century Gothic"/>
        <family val="2"/>
      </rPr>
      <t>10</t>
    </r>
    <r>
      <rPr>
        <sz val="8"/>
        <rFont val="Century Gothic"/>
        <family val="2"/>
      </rPr>
      <t>, particulate matter</t>
    </r>
  </si>
  <si>
    <t>Hg, mercury</t>
  </si>
  <si>
    <t>Pb, lead</t>
  </si>
  <si>
    <t>Ozone Depleting Substances,  CFC-11 equivalent</t>
  </si>
  <si>
    <r>
      <t>NOVs related to permit exceedances, spills, releases or other compliance matters</t>
    </r>
    <r>
      <rPr>
        <vertAlign val="superscript"/>
        <sz val="8"/>
        <color theme="1"/>
        <rFont val="Century Gothic"/>
        <family val="2"/>
      </rPr>
      <t>3</t>
    </r>
  </si>
  <si>
    <r>
      <t>Spend on Services</t>
    </r>
    <r>
      <rPr>
        <b/>
        <vertAlign val="superscript"/>
        <sz val="8"/>
        <color theme="0"/>
        <rFont val="Century Gothic"/>
        <family val="2"/>
      </rPr>
      <t>1</t>
    </r>
  </si>
  <si>
    <t>South America</t>
  </si>
  <si>
    <t>Indonesia</t>
  </si>
  <si>
    <t>Europe</t>
  </si>
  <si>
    <t>Total</t>
  </si>
  <si>
    <t xml:space="preserve">   Interest</t>
  </si>
  <si>
    <t>1. Includes parent company results.</t>
  </si>
  <si>
    <t>Corporate Income Taxes, Net of Refunds</t>
  </si>
  <si>
    <t>Withholding Taxes on Foreign Dividends</t>
  </si>
  <si>
    <t>Dividends</t>
  </si>
  <si>
    <t>Royalties and Net Severance Taxes</t>
  </si>
  <si>
    <t>Property Taxes</t>
  </si>
  <si>
    <t>2. Represents cash payments to governments by FCX's other business groups that are located outside of the countries where FCX conducts its primary operations.</t>
  </si>
  <si>
    <t>3. Includes payroll taxes collected on behalf of employees and paid to governments.</t>
  </si>
  <si>
    <t>North America</t>
  </si>
  <si>
    <t>Less:</t>
  </si>
  <si>
    <t xml:space="preserve">   Dividends</t>
  </si>
  <si>
    <t>5. Access challenges can include legal challenges or potential changes in law or regulations that could impact our access to certain water supplies.</t>
  </si>
  <si>
    <t xml:space="preserve">6. Third-party water sources are primarily sourced from wastewater effluent. </t>
  </si>
  <si>
    <r>
      <t>EXCESS WATER</t>
    </r>
    <r>
      <rPr>
        <b/>
        <vertAlign val="superscript"/>
        <sz val="8"/>
        <color theme="1"/>
        <rFont val="Century Gothic"/>
        <family val="2"/>
      </rPr>
      <t>4</t>
    </r>
  </si>
  <si>
    <r>
      <t>ACCESS CHALLENGES</t>
    </r>
    <r>
      <rPr>
        <b/>
        <vertAlign val="superscript"/>
        <sz val="8"/>
        <rFont val="Century Gothic"/>
        <family val="2"/>
      </rPr>
      <t>5</t>
    </r>
  </si>
  <si>
    <r>
      <t>Land rehabilitated during the year</t>
    </r>
    <r>
      <rPr>
        <vertAlign val="superscript"/>
        <sz val="8"/>
        <rFont val="Century Gothic"/>
        <family val="2"/>
      </rPr>
      <t>1</t>
    </r>
  </si>
  <si>
    <r>
      <t>Total land disturbed to be rehabilitated</t>
    </r>
    <r>
      <rPr>
        <vertAlign val="superscript"/>
        <sz val="8"/>
        <rFont val="Century Gothic"/>
        <family val="2"/>
      </rPr>
      <t>1</t>
    </r>
  </si>
  <si>
    <t>SOCIAL</t>
  </si>
  <si>
    <t>Communities</t>
  </si>
  <si>
    <t>Chile</t>
  </si>
  <si>
    <t>Community Grievances by Type (%)</t>
  </si>
  <si>
    <t>Environment</t>
  </si>
  <si>
    <t>Health &amp; Safety</t>
  </si>
  <si>
    <t>Cultural Heritage</t>
  </si>
  <si>
    <t>Land Rights</t>
  </si>
  <si>
    <t>Peru</t>
  </si>
  <si>
    <t>Total Number of Recordable Events</t>
  </si>
  <si>
    <r>
      <t>% High Risk</t>
    </r>
    <r>
      <rPr>
        <vertAlign val="superscript"/>
        <sz val="8"/>
        <color theme="1"/>
        <rFont val="Century Gothic"/>
        <family val="2"/>
      </rPr>
      <t>2</t>
    </r>
  </si>
  <si>
    <t>Contract Employees</t>
  </si>
  <si>
    <t xml:space="preserve"> </t>
  </si>
  <si>
    <t>Workforce</t>
  </si>
  <si>
    <t>Europe/Other</t>
  </si>
  <si>
    <t>Global Employees Under CLA</t>
  </si>
  <si>
    <t>Employees by Age Group</t>
  </si>
  <si>
    <t>&lt;30 Years</t>
  </si>
  <si>
    <t>30-50 Years</t>
  </si>
  <si>
    <t>&gt;50 Years</t>
  </si>
  <si>
    <t>Employees by Nationality</t>
  </si>
  <si>
    <t>Local Country National</t>
  </si>
  <si>
    <t>Expatriates/Third-Country Nationals</t>
  </si>
  <si>
    <t>White</t>
  </si>
  <si>
    <t>Hispanic/Latino</t>
  </si>
  <si>
    <t>American Indian/Alaskan Native</t>
  </si>
  <si>
    <t>Asian</t>
  </si>
  <si>
    <t>Black or African American</t>
  </si>
  <si>
    <t>Native Hawaiian or Other Pacific Islander</t>
  </si>
  <si>
    <t>Two or more races</t>
  </si>
  <si>
    <t>Undisclosed</t>
  </si>
  <si>
    <t>-</t>
  </si>
  <si>
    <t>Indigenous Papuan Representation</t>
  </si>
  <si>
    <t xml:space="preserve">Executive Management </t>
  </si>
  <si>
    <t>Men</t>
  </si>
  <si>
    <t>Women</t>
  </si>
  <si>
    <t>Total Employee Turnover</t>
  </si>
  <si>
    <t>Voluntary Turnover Rate</t>
  </si>
  <si>
    <r>
      <t>Number of Contractors</t>
    </r>
    <r>
      <rPr>
        <vertAlign val="superscript"/>
        <sz val="8"/>
        <color theme="1"/>
        <rFont val="Century Gothic"/>
        <family val="2"/>
      </rPr>
      <t>1</t>
    </r>
  </si>
  <si>
    <r>
      <t>Employees Covered Under Collective Labor Agreements (CLA)</t>
    </r>
    <r>
      <rPr>
        <u/>
        <vertAlign val="superscript"/>
        <sz val="8"/>
        <color theme="1"/>
        <rFont val="Century Gothic"/>
        <family val="2"/>
      </rPr>
      <t>2</t>
    </r>
  </si>
  <si>
    <t>Human Rights</t>
  </si>
  <si>
    <t>4. Includes customs and export duties, as well as withholding tax on foreign services.</t>
  </si>
  <si>
    <t>Total Tailings Impoundments</t>
  </si>
  <si>
    <r>
      <t>Number of Tailings Impoundments</t>
    </r>
    <r>
      <rPr>
        <b/>
        <vertAlign val="superscript"/>
        <sz val="8"/>
        <color theme="1"/>
        <rFont val="Century Gothic"/>
        <family val="2"/>
      </rPr>
      <t>1</t>
    </r>
  </si>
  <si>
    <t>REFERENCES</t>
  </si>
  <si>
    <t xml:space="preserve">Below is a list of documents and webpages mentioned in this databook. </t>
  </si>
  <si>
    <t>DOCUMENT NAME</t>
  </si>
  <si>
    <t>Annual Report on Sustainability</t>
  </si>
  <si>
    <t>Social Performance Policy</t>
  </si>
  <si>
    <t>Corporate Governance Guidelines</t>
  </si>
  <si>
    <t>Environmental Policy</t>
  </si>
  <si>
    <t>Human Rights Policy</t>
  </si>
  <si>
    <t>Principles of Business Conduct</t>
  </si>
  <si>
    <t>Responsible Sourcing of Minerals Policy</t>
  </si>
  <si>
    <t>OECD Step 5 Due Diligence Report</t>
  </si>
  <si>
    <t>Sustainability Reports and Documents</t>
  </si>
  <si>
    <t>Tailings Management Policy</t>
  </si>
  <si>
    <t xml:space="preserve">Environmental, Social and Governance (ESG) Performance Trend Data </t>
  </si>
  <si>
    <t xml:space="preserve">Date Updated: </t>
  </si>
  <si>
    <t>GHG Emissions</t>
  </si>
  <si>
    <r>
      <t xml:space="preserve">Scope 1 </t>
    </r>
    <r>
      <rPr>
        <sz val="8"/>
        <color theme="1"/>
        <rFont val="Century Gothic"/>
        <family val="2"/>
      </rPr>
      <t>(CO</t>
    </r>
    <r>
      <rPr>
        <vertAlign val="subscript"/>
        <sz val="8"/>
        <color theme="1"/>
        <rFont val="Century Gothic"/>
        <family val="2"/>
      </rPr>
      <t>2</t>
    </r>
    <r>
      <rPr>
        <sz val="8"/>
        <color theme="1"/>
        <rFont val="Century Gothic"/>
        <family val="2"/>
      </rPr>
      <t>e metric tons)</t>
    </r>
  </si>
  <si>
    <t>Bayway Rod &amp; Wire</t>
  </si>
  <si>
    <t>Kokkola Cobalt Refinery</t>
  </si>
  <si>
    <t>Scope 1 Total - FCX Global</t>
  </si>
  <si>
    <t>PT-FI (Grasberg)</t>
  </si>
  <si>
    <t>Energy Consumption by Site</t>
  </si>
  <si>
    <t>Direct Energy Total - FCX Global</t>
  </si>
  <si>
    <t>Indirect Energy Total - FCX Global</t>
  </si>
  <si>
    <t>Total - FCX Global</t>
  </si>
  <si>
    <t>Direct Energy</t>
  </si>
  <si>
    <t>Indirect Energy</t>
  </si>
  <si>
    <t>Total Energy</t>
  </si>
  <si>
    <t>% Renewable</t>
  </si>
  <si>
    <t>Renewable</t>
  </si>
  <si>
    <t>Nonrenewable</t>
  </si>
  <si>
    <t>Geothermal</t>
  </si>
  <si>
    <t>Solar</t>
  </si>
  <si>
    <t>Wind</t>
  </si>
  <si>
    <t>Nuclear</t>
  </si>
  <si>
    <t xml:space="preserve">Hydro </t>
  </si>
  <si>
    <t>Biomass</t>
  </si>
  <si>
    <t>Other Fossil</t>
  </si>
  <si>
    <t>Gas</t>
  </si>
  <si>
    <t>Oil</t>
  </si>
  <si>
    <t>Other</t>
  </si>
  <si>
    <t>Diesel</t>
  </si>
  <si>
    <t>B5 Biodiesel</t>
  </si>
  <si>
    <t>B20 Biodiesel</t>
  </si>
  <si>
    <t>B30 Biodiesel</t>
  </si>
  <si>
    <t>Gasoline</t>
  </si>
  <si>
    <t>Natural Gas</t>
  </si>
  <si>
    <t>Aviation Fuel</t>
  </si>
  <si>
    <t>Used Oil</t>
  </si>
  <si>
    <r>
      <t>El Abra</t>
    </r>
    <r>
      <rPr>
        <vertAlign val="superscript"/>
        <sz val="8"/>
        <color theme="1"/>
        <rFont val="Century Gothic"/>
        <family val="2"/>
      </rPr>
      <t>1</t>
    </r>
  </si>
  <si>
    <t xml:space="preserve">1. El Abra has a regenerative downhill conveyor system that is 20km in length that generates electricity for use on site as it transports material for processing. </t>
  </si>
  <si>
    <t>4. Large-scale water treatment plants have abated excess water risk at sites which would otherwise be considered at-risk.</t>
  </si>
  <si>
    <t>1. Amounts include items such as utilities and unapplied credits.</t>
  </si>
  <si>
    <t>1. Because of operational challenges as a result of the COVID-19 pandemic, our 2020 business ethics and anti-corruption training was voluntary for employees.</t>
  </si>
  <si>
    <r>
      <t>Employee Payroll Taxes</t>
    </r>
    <r>
      <rPr>
        <vertAlign val="superscript"/>
        <sz val="8"/>
        <color theme="1"/>
        <rFont val="Century Gothic"/>
        <family val="2"/>
      </rPr>
      <t>3</t>
    </r>
  </si>
  <si>
    <r>
      <t>Other Taxes &amp; Fees</t>
    </r>
    <r>
      <rPr>
        <vertAlign val="superscript"/>
        <sz val="8"/>
        <color theme="1"/>
        <rFont val="Century Gothic"/>
        <family val="2"/>
      </rPr>
      <t>4</t>
    </r>
  </si>
  <si>
    <t>1. Employee payroll taxes, dividends, property taxes and certain other taxes are included in payments to suppliers, and dividends and distributions in the summary of key economic contributions by operating region table as that data is derived primarily from FCX’s publicly reported segment data. Therefore, these taxes are excluded from cash payments to governments for purposes of reporting direct economic contributions on the Key Economic Contributions tab of this data booklet.</t>
  </si>
  <si>
    <t>2. Data include only employees covered under CLA; previously reported Indonesia data included employees who paid union dues regardless of union membership. In North America, our hourly employees continue to elect to work directly with company management rather than through union representation using our Guiding Principles contract, which adds value to the workforce and the company.</t>
  </si>
  <si>
    <t>Fort Madison Moly Special Products</t>
  </si>
  <si>
    <r>
      <t>Scope 2</t>
    </r>
    <r>
      <rPr>
        <b/>
        <vertAlign val="superscript"/>
        <sz val="8"/>
        <rFont val="Century Gothic"/>
        <family val="2"/>
      </rPr>
      <t>2</t>
    </r>
    <r>
      <rPr>
        <b/>
        <sz val="8"/>
        <rFont val="Century Gothic"/>
        <family val="2"/>
      </rPr>
      <t xml:space="preserve"> </t>
    </r>
    <r>
      <rPr>
        <sz val="8"/>
        <rFont val="Century Gothic"/>
        <family val="2"/>
      </rPr>
      <t>(CO</t>
    </r>
    <r>
      <rPr>
        <vertAlign val="subscript"/>
        <sz val="8"/>
        <rFont val="Century Gothic"/>
        <family val="2"/>
      </rPr>
      <t>2</t>
    </r>
    <r>
      <rPr>
        <sz val="8"/>
        <rFont val="Century Gothic"/>
        <family val="2"/>
      </rPr>
      <t>e metric tons)</t>
    </r>
  </si>
  <si>
    <r>
      <t>Scope 1 + 2</t>
    </r>
    <r>
      <rPr>
        <b/>
        <vertAlign val="superscript"/>
        <sz val="8"/>
        <rFont val="Century Gothic"/>
        <family val="2"/>
      </rPr>
      <t>2</t>
    </r>
    <r>
      <rPr>
        <b/>
        <sz val="8"/>
        <rFont val="Century Gothic"/>
        <family val="2"/>
      </rPr>
      <t xml:space="preserve"> </t>
    </r>
    <r>
      <rPr>
        <sz val="8"/>
        <rFont val="Century Gothic"/>
        <family val="2"/>
      </rPr>
      <t>(CO</t>
    </r>
    <r>
      <rPr>
        <vertAlign val="subscript"/>
        <sz val="8"/>
        <rFont val="Century Gothic"/>
        <family val="2"/>
      </rPr>
      <t>2</t>
    </r>
    <r>
      <rPr>
        <sz val="8"/>
        <rFont val="Century Gothic"/>
        <family val="2"/>
      </rPr>
      <t>e metric tons)</t>
    </r>
  </si>
  <si>
    <r>
      <t>Rotterdam</t>
    </r>
    <r>
      <rPr>
        <vertAlign val="superscript"/>
        <sz val="8"/>
        <rFont val="Century Gothic"/>
        <family val="2"/>
      </rPr>
      <t>3</t>
    </r>
  </si>
  <si>
    <t>Slags</t>
  </si>
  <si>
    <t xml:space="preserve">2. In 2019, there were multiple small (75 kg or less) but reportable events associated with a malfunctioning catalytic oxidizer at our Rotterdam molybdenum processing facility. </t>
  </si>
  <si>
    <t>Payments to Suppliers</t>
  </si>
  <si>
    <t>Employee Wages and Benefits</t>
  </si>
  <si>
    <t>Payments to Providers of Capital:</t>
  </si>
  <si>
    <t xml:space="preserve">   Dividends and Distributions</t>
  </si>
  <si>
    <t>Community Investments</t>
  </si>
  <si>
    <t>Cash Payments to Governments</t>
  </si>
  <si>
    <t xml:space="preserve">   Employee Payroll Taxes</t>
  </si>
  <si>
    <t xml:space="preserve">   Property Taxes</t>
  </si>
  <si>
    <t xml:space="preserve">   Other Taxes and Fees</t>
  </si>
  <si>
    <r>
      <t>Total Payments to Governments</t>
    </r>
    <r>
      <rPr>
        <vertAlign val="superscript"/>
        <sz val="8"/>
        <color theme="1"/>
        <rFont val="Century Gothic"/>
        <family val="2"/>
      </rPr>
      <t>1</t>
    </r>
  </si>
  <si>
    <r>
      <t>Third Party</t>
    </r>
    <r>
      <rPr>
        <vertAlign val="superscript"/>
        <sz val="8"/>
        <color theme="1"/>
        <rFont val="Century Gothic"/>
        <family val="2"/>
      </rPr>
      <t>6</t>
    </r>
  </si>
  <si>
    <t>3. Baseline water stress ratings are defined by a combination of the World Resources Institute’s (WRI) Aqueduct tool and its associated descriptors for baseline water stress, as well as our own qualitative assessments and local knowledge of the site-specific circumstances of withdrawal at each operation. The WRI Aqueduct tool measures baseline water stress as the ratio of total water withdrawals (including domestic, industrial, irrigation, and livestock consumptive and non-consumptive uses) to available renewable surface (including the impact of upstream consumptive water users and large dams on downstream water availability) and groundwater supplies. WRI classifications are as follows: low (&lt;10%); low to medium (10–20%); medium to high (20–40%); high (40–80%); extremely high (&gt;80%); arid and low water use; and no data.</t>
  </si>
  <si>
    <t xml:space="preserve">2. PT-FI generates its own electricity; as a result, there are no indirect energy entries in this table. </t>
  </si>
  <si>
    <r>
      <t>Reportable spills or releases of hazardous or toxic chemicals</t>
    </r>
    <r>
      <rPr>
        <vertAlign val="superscript"/>
        <sz val="8"/>
        <color theme="1"/>
        <rFont val="Century Gothic"/>
        <family val="2"/>
      </rPr>
      <t>1,2</t>
    </r>
  </si>
  <si>
    <t xml:space="preserve">Note: Reported amounts are approximate. </t>
  </si>
  <si>
    <t>TOPIC</t>
  </si>
  <si>
    <t>ACCOUNTING METRIC</t>
  </si>
  <si>
    <t>CATEGORY</t>
  </si>
  <si>
    <t xml:space="preserve">UNIT OF MEASURE </t>
  </si>
  <si>
    <t>CODE</t>
  </si>
  <si>
    <t>FCX RESPONSE</t>
  </si>
  <si>
    <t>Greenhouse Gas Emissions</t>
  </si>
  <si>
    <t>(1) Gross global Scope 1 emissions 
(2) Percentage covered under emissions-limiting regulations</t>
  </si>
  <si>
    <t>Quantitative</t>
  </si>
  <si>
    <r>
      <t>Metric tons (t) CO</t>
    </r>
    <r>
      <rPr>
        <vertAlign val="subscript"/>
        <sz val="8"/>
        <rFont val="Century Gothic"/>
        <family val="2"/>
      </rPr>
      <t>2</t>
    </r>
    <r>
      <rPr>
        <sz val="8"/>
        <rFont val="Century Gothic"/>
        <family val="2"/>
      </rPr>
      <t>-e, Percentage (%)</t>
    </r>
  </si>
  <si>
    <t>EM-MM-110a.1</t>
  </si>
  <si>
    <t>(1) ESG Performance Trend Data: Climate</t>
  </si>
  <si>
    <t>Discussion of long-term and short-term strategy or plan to manage Scope 1 emissions, emissions reduction targets, and an analysis of performance against those targets</t>
  </si>
  <si>
    <t>Discussion and Analysis</t>
  </si>
  <si>
    <t>EM-MM-110a.2</t>
  </si>
  <si>
    <t>Air Quality</t>
  </si>
  <si>
    <t>Metric tons (t)</t>
  </si>
  <si>
    <t>EM-MM-120a.1</t>
  </si>
  <si>
    <t>(1) ESG Performance Trend Data: Air Emissions</t>
  </si>
  <si>
    <t>Energy Management</t>
  </si>
  <si>
    <t>(1) Total energy consumed, (2) percentage grid electricity, (3) percentage renewable</t>
  </si>
  <si>
    <t>EM-MM-130a.1</t>
  </si>
  <si>
    <t>Water Management</t>
  </si>
  <si>
    <t>(1) Total freshwater withdrawn
(2) Total freshwater consumed,
+ percentage of each in regions with High or Extremely High Baseline Water Stress</t>
  </si>
  <si>
    <t>Thousand cubic meters (m³), Percentage (%)</t>
  </si>
  <si>
    <t>EM-MM-140a.1</t>
  </si>
  <si>
    <t>(1) ESG Performance Trend Data: Water</t>
  </si>
  <si>
    <t>Number of incidents of non-compliance associated with water quality permits, standards, and regulations</t>
  </si>
  <si>
    <t>Number</t>
  </si>
  <si>
    <t>EM-MM-140a.2</t>
  </si>
  <si>
    <t>Waste &amp; Hazardous Materials Management</t>
  </si>
  <si>
    <t>Biodiversity Impacts</t>
  </si>
  <si>
    <t>Description of environmental management policies and practices for active sites</t>
  </si>
  <si>
    <t>EM-MM-160a.1</t>
  </si>
  <si>
    <t>Percentage of mine sites where acid rock drainage is: (1) predicted to occur, (2) actively mitigated, and (3) under treatment or remediation</t>
  </si>
  <si>
    <t>Percentage (%)</t>
  </si>
  <si>
    <t>EM-MM-160a.2</t>
  </si>
  <si>
    <t>EM-MM-160a.3</t>
  </si>
  <si>
    <t>Security, Human Rights &amp; Rights of Indigenous Peoples</t>
  </si>
  <si>
    <t>EM-MM-210a.1</t>
  </si>
  <si>
    <t>Percentage(%)</t>
  </si>
  <si>
    <t>EM-MM-210a.2</t>
  </si>
  <si>
    <t>Discussion of engagement processes and due diligence practices with respect to human rights, indigenous rights, and operation in areas of conflict</t>
  </si>
  <si>
    <t>EM-MM-210a.3</t>
  </si>
  <si>
    <t>Community Relations</t>
  </si>
  <si>
    <t>Discussion of process to manage risks and opportunities associated with community rights and interests</t>
  </si>
  <si>
    <t>EM-MM-210b.1</t>
  </si>
  <si>
    <t>Number and duration of non-technical delays</t>
  </si>
  <si>
    <t>Number, Days</t>
  </si>
  <si>
    <t>EM-MM-210b.2</t>
  </si>
  <si>
    <t>Labor Relations</t>
  </si>
  <si>
    <t>Percentage of active workforce covered under collective bargaining agreements, broken down by U.S. and foreign employees</t>
  </si>
  <si>
    <t>EM-MM-310a.1</t>
  </si>
  <si>
    <t>Number and duration of strikes and lockouts</t>
  </si>
  <si>
    <t>EM-MM-310a.2</t>
  </si>
  <si>
    <t>Workforce Health &amp; Safety</t>
  </si>
  <si>
    <t>(1) MSHA all-incidence rate, (2) fatality rate, (3) near miss frequency rate (NMFR) and (4) average hours of health, safety, and emergency response training for (a) full-time employees and (b) contract employees</t>
  </si>
  <si>
    <t>Rate</t>
  </si>
  <si>
    <t>EM-MM-320a.1</t>
  </si>
  <si>
    <t>Business Ethics &amp; Transparency</t>
  </si>
  <si>
    <t>Description of the management system for prevention of corruption and bribery throughout the value chain</t>
  </si>
  <si>
    <t>EM-MM-510a.1</t>
  </si>
  <si>
    <t>Production in countries that have the 20 lowest rankings in Transparency International’s Corruption Perception Index</t>
  </si>
  <si>
    <t>Metric tons (t) saleable</t>
  </si>
  <si>
    <t>EM-MM-510a.2</t>
  </si>
  <si>
    <t>Activity Metric</t>
  </si>
  <si>
    <t>Production of (1) metal ores and (2) finished metal products</t>
  </si>
  <si>
    <t>EM-MM-000.A</t>
  </si>
  <si>
    <t>Total number of employees, percentage contractors</t>
  </si>
  <si>
    <t>Number, Percentage (%)</t>
  </si>
  <si>
    <t>EM-MM-000.B</t>
  </si>
  <si>
    <r>
      <t>Air emissions of the following pollutants: 
(1) CO, (2) NOx (excluding N</t>
    </r>
    <r>
      <rPr>
        <vertAlign val="subscript"/>
        <sz val="8"/>
        <rFont val="Century Gothic"/>
        <family val="2"/>
      </rPr>
      <t>2</t>
    </r>
    <r>
      <rPr>
        <sz val="8"/>
        <rFont val="Century Gothic"/>
        <family val="2"/>
      </rPr>
      <t>O), 
(3) SOx, (4) particulate matter (PM</t>
    </r>
    <r>
      <rPr>
        <vertAlign val="subscript"/>
        <sz val="8"/>
        <rFont val="Century Gothic"/>
        <family val="2"/>
      </rPr>
      <t>10</t>
    </r>
    <r>
      <rPr>
        <sz val="8"/>
        <rFont val="Century Gothic"/>
        <family val="2"/>
      </rPr>
      <t>), 
(5) mercury (Hg), (6) lead (Pb), and 
(7) volatile organic compounds (VOCs)</t>
    </r>
  </si>
  <si>
    <t>EM-MM-150a.4</t>
  </si>
  <si>
    <t>EM-MM-150a.5</t>
  </si>
  <si>
    <t>EM-MM-150a.6</t>
  </si>
  <si>
    <t>EM-MM-150a.7</t>
  </si>
  <si>
    <t>EM-MM-150a.8</t>
  </si>
  <si>
    <t>EM-MM-150a.9</t>
  </si>
  <si>
    <t>EM-MM-150a.10</t>
  </si>
  <si>
    <t>n/a</t>
  </si>
  <si>
    <t>Total weight of non-mineral waste generated</t>
  </si>
  <si>
    <t>Total weight of tailings produced</t>
  </si>
  <si>
    <t>Total weight of waste rock generated</t>
  </si>
  <si>
    <t>Total weight of hazardous waste generated</t>
  </si>
  <si>
    <t>Total weight of hazardous waste recycled</t>
  </si>
  <si>
    <t>Number of significant incidents associated with hazardous materials and waste management</t>
  </si>
  <si>
    <t>Description of waste and hazardous materials
management policies and procedures for active and inactive operations</t>
  </si>
  <si>
    <t>We are committed to reducing our environmental impact, which includes the effective management of our mining and non-mining wastes alike. Mining and mineral processing wastes are typically managed in designated, engineered stockpiles or impoundments. In addition to responsibly managing our mining and mineral processing waste, we continuously evaluate opportunities to reduce the quantity of non-mining waste generated. We seek to apply the standard protocol of reduce, reuse, recycle wherever possible and implement robust practices to identify, categorize, store and manage non-mining wastes. Through our asset recovery programs, we divert certain materials from the landfill, and we strive to increase recycling and reuse of those materials in our operations whenever possible. We also evaluate our hazardous waste streams and, when possible, substitute materials with lower toxicity into our processes.</t>
  </si>
  <si>
    <t>We are committed to sound environmental practices at all of our operations. Our Environmental Policy serves as the framework for the protection of natural resources in the regions where we live and work. In addition to maintaining compliance with laws and regulations, we utilize risk management strategies based on valid data and sound science throughout the mining life cycle, and we plan and conduct our operations in a manner that optimizes the economic use of resources while minimizing the adverse environmental effects. All our mining and mineral processing operations and technology centers maintain Environmental Management Systems (EMS) certified to ISO 14001:2015. Our practices and policies apply to all active sites across the portfolio and address critical environmental aspects including biodiversity, water stewardship, waste and hazardous chemicals, air emissions, and natural resource conservation and recycling. The environmental management programs implemented at our sites are based upon corporate policies, regulatory compliance, and voluntary commitments to good international industrial practices and standards and are verified through independent third-party assurance reviews. These programs are enabled through implementation of our risk register and project development sustainability review processes as well as project specific environmental and social impact assessments (ESIA).</t>
  </si>
  <si>
    <r>
      <t xml:space="preserve">We are committed to responsibly manage our relationships with host communities and Indigenous neighbors. Constructive dialogue is at the foundation of our relationships with host communities and stakeholders. Our engagements help to inform understanding of our actual, potential and perceived impacts. It also helps us build a localized understanding of what contributes to community welfare and long-term sustainability, and mutually identify relevant social investment and development priorities to support any gaps. Engagements also enable us to share information about our own operational activities, facilitate dialogue and ultimately build trust.
While our community programs are tailored to the site-specific dynamics of the operation and host community, our overarching objectives in partnership with our local stakeholders are to: (1) build enduring trust, (2) minimize or mitigate any negative impacts from our operations, (3) maximize the positive benefits, (4) support our communities in building resiliency and well-being over the life of the mine, and (5) develop the skills and capacity to thrive beyond the mine.
</t>
    </r>
    <r>
      <rPr>
        <i/>
        <sz val="8"/>
        <rFont val="Century Gothic"/>
        <family val="2"/>
      </rPr>
      <t xml:space="preserve">
For more information on our approach to management of risks and opportunities associated with community rights and interests, please see reference documents.</t>
    </r>
  </si>
  <si>
    <t>We have no production in the countries that have the 20 lowest rankings in Transparency International's Corruption Perception Index.</t>
  </si>
  <si>
    <t>Tailings Storage Facilities Management</t>
  </si>
  <si>
    <t>Tailings storage facility inventory table:
(1) facility name,
(2) location,
(3) ownership status,
(4) operational status,
(5) construction method,
(6) maximum permitted storage capacity,
(7) current amount of tailings stored,
(8) consequence classification,
(9) date of most recent independent technical review,
(10) material findings,
(11) mitigation measures,
(12) site-specific EPRP</t>
  </si>
  <si>
    <t>Quantitative; Discussion
and Analysis</t>
  </si>
  <si>
    <t>EM-MM-540a.1</t>
  </si>
  <si>
    <t>Summary of tailings management systems
and governance structure used to monitor and maintain the stability of tailings storage facilities</t>
  </si>
  <si>
    <t>EM-MM-540a.2</t>
  </si>
  <si>
    <t>Various</t>
  </si>
  <si>
    <t>EM-MM-540a.3</t>
  </si>
  <si>
    <t>Approach to development of Emergency
Preparedness and Response Plans (EPRPs) for tailings storage facilities</t>
  </si>
  <si>
    <t>Non-Hazardous</t>
  </si>
  <si>
    <t>Hazardous</t>
  </si>
  <si>
    <t>(terajoules)</t>
  </si>
  <si>
    <r>
      <t xml:space="preserve">Direct Energy </t>
    </r>
    <r>
      <rPr>
        <sz val="8"/>
        <color theme="1"/>
        <rFont val="Century Gothic"/>
        <family val="2"/>
      </rPr>
      <t>(terajoules)</t>
    </r>
  </si>
  <si>
    <r>
      <t xml:space="preserve">Indirect Energy </t>
    </r>
    <r>
      <rPr>
        <sz val="8"/>
        <color theme="1"/>
        <rFont val="Century Gothic"/>
        <family val="2"/>
      </rPr>
      <t>(terajoules)</t>
    </r>
  </si>
  <si>
    <r>
      <t xml:space="preserve">Total Energy </t>
    </r>
    <r>
      <rPr>
        <sz val="8"/>
        <rFont val="Century Gothic"/>
        <family val="2"/>
      </rPr>
      <t>(terajoules)</t>
    </r>
  </si>
  <si>
    <t>(terajoules, except percentages)</t>
  </si>
  <si>
    <t>Environmental Compliance Indicators</t>
  </si>
  <si>
    <t xml:space="preserve">3. NOV is Notice of Violation. When NOVs are rescinded based on the legal appeals process, prior year data are updated. </t>
  </si>
  <si>
    <t>2. Our risk matrix defines "high risk" events as incidents that have the potential to result in permanent disabilities or fatalities.</t>
  </si>
  <si>
    <t>GRI CONTENT INDEX</t>
  </si>
  <si>
    <t>SERIES</t>
  </si>
  <si>
    <t>MATERIAL TOPIC</t>
  </si>
  <si>
    <t>DISCLOSURE</t>
  </si>
  <si>
    <t>DISCLOSURE DESCRIPTION</t>
  </si>
  <si>
    <t xml:space="preserve">
UN SDGs</t>
  </si>
  <si>
    <t>SDG 8: Decent Work and Economic Growth</t>
  </si>
  <si>
    <t>SDG 8: Decent Work and Economic Growth
SDG 10: Reduced Inequalities</t>
  </si>
  <si>
    <t>SDG 17: Partnerships for the Goals</t>
  </si>
  <si>
    <t>Membership of associations</t>
  </si>
  <si>
    <t xml:space="preserve">Annual Report on Sustainability: Stakeholder Engagement &amp; Materiality
</t>
  </si>
  <si>
    <t>SDG 16: Peace, Justice and Strong Institutions</t>
  </si>
  <si>
    <t>Annual Report on Sustainability: Robust Governance
Proxy Statement: ESG / Sustainability</t>
  </si>
  <si>
    <t>SDG 16: Peace, Justice and Strong Institutions
SDG 17: Partnerships for the Goals</t>
  </si>
  <si>
    <t>SDG 5: Gender Equality
SDG 16: Peace, Justice and Strong Institutions</t>
  </si>
  <si>
    <t>Chair of the highest governance body</t>
  </si>
  <si>
    <t>Nominating and selecting the highest governance body</t>
  </si>
  <si>
    <t>Conflicts of interest</t>
  </si>
  <si>
    <t>Collective knowledge of highest governance body</t>
  </si>
  <si>
    <t>Evaluating the highest governance body’s performance</t>
  </si>
  <si>
    <t>Highest governance body’s role in sustainability reporting</t>
  </si>
  <si>
    <t>Communicating critical concerns</t>
  </si>
  <si>
    <t>Remuneration policies</t>
  </si>
  <si>
    <t>Process for determining remuneration</t>
  </si>
  <si>
    <t>SDG 8: Decent Work and Economic Growth
SDG 16: Peace, Justice and Strong Institutions</t>
  </si>
  <si>
    <t>Collective bargaining agreements</t>
  </si>
  <si>
    <t>Restatements of information</t>
  </si>
  <si>
    <t>External assurance</t>
  </si>
  <si>
    <t>GRI 200 ECONOMIC</t>
  </si>
  <si>
    <t>201-1</t>
  </si>
  <si>
    <t>Direct economic value generated and distributed</t>
  </si>
  <si>
    <t>Form 10-K: Part II, Consolidated Results
Annual Report on Sustainability: Community Resilience; Economic Contributions; Performance Data
Economic Impact on fcx.com</t>
  </si>
  <si>
    <t>SDG 1: No Poverty
SDG 2: Zero Hunger
SDG 5: Gender Equality
SDG 7: Affordable and Clean Energy
SDG 8: Decent Work and Economic Growth
SDG 9: Industry, Innovation and Infrastructure</t>
  </si>
  <si>
    <t>201-2</t>
  </si>
  <si>
    <t>Financial implications and other risks and opportunities due to climate change</t>
  </si>
  <si>
    <t xml:space="preserve">Form 10-K: Environmental Risks
Annual Report on Sustainability: Climate; Water Stewardship
Climate Report
Water Report </t>
  </si>
  <si>
    <t>SDG 13: Climate Action</t>
  </si>
  <si>
    <t>203-1</t>
  </si>
  <si>
    <t>Infrastructure investments and services supported</t>
  </si>
  <si>
    <t>SDG 2: Zero Hunger
SDG 5: Gender Equality
SDG 7: Affordable and Clean Energy
SDG 9: Industry Innovation and Infrastructure
SDG 11: Sustainable Cities and Communities</t>
  </si>
  <si>
    <t>203-2</t>
  </si>
  <si>
    <t>Significant indirect economic impacts</t>
  </si>
  <si>
    <t>Annual Report on Sustainability: Stakeholder Engagement &amp; Materiality; Communities &amp; Indigenous Peoples; Economic Contributions; Performance Data
Economic Impact on fcx.com</t>
  </si>
  <si>
    <t>SDG 1: No Poverty
SDG 2: Zero Hunger
SDG 3: Good Health and Well-Being
SDG 8: Decent Work and Economic Growth
SDG 10: Reduced Inequalities
SDG 17: Partnerships for the Goals</t>
  </si>
  <si>
    <t>204-1</t>
  </si>
  <si>
    <t>Proportion of spending on local suppliers</t>
  </si>
  <si>
    <t>SDG 12: Responsible Consumption and Production</t>
  </si>
  <si>
    <t>205-1</t>
  </si>
  <si>
    <t>Operations assessed for risks related to corruption</t>
  </si>
  <si>
    <t>205-2</t>
  </si>
  <si>
    <t>Communication and training about anti-corruption policies and procedures</t>
  </si>
  <si>
    <t>302-1</t>
  </si>
  <si>
    <t xml:space="preserve">Annual Report on Sustainability: Climate; Performance Data
Climate Report
Form 10-K: Part I, General
</t>
  </si>
  <si>
    <t>SDG 7: Affordable and Clean Energy
SDG 8: Decent Work and Economic Growth
SDG 12: Responsible Consumption and Production
SDG 13: Climate Action</t>
  </si>
  <si>
    <t>302-3</t>
  </si>
  <si>
    <t>Energy Intensity</t>
  </si>
  <si>
    <t>Annual Report on Sustainability: Climate; Performance Data
Climate Report</t>
  </si>
  <si>
    <t>SDG 7: Affordable and Clean Energy
SDG 8: Decent Work and Economic Growth
SDG 13: Climate Action</t>
  </si>
  <si>
    <t>302-4</t>
  </si>
  <si>
    <t>Reduction of energy consumption</t>
  </si>
  <si>
    <t>303-1</t>
  </si>
  <si>
    <t>Annual Report on Sustainability: Water Stewardship; Performance Data
Water Report</t>
  </si>
  <si>
    <t>SDG 6: Clean Water and Sanitation</t>
  </si>
  <si>
    <t>303-3</t>
  </si>
  <si>
    <t>303-5</t>
  </si>
  <si>
    <t>Water consumption</t>
  </si>
  <si>
    <t>SDG 6: Clean Water and Sanitation
SDG 12: Responsible Consumption and Production</t>
  </si>
  <si>
    <t>304-2</t>
  </si>
  <si>
    <t>Annual Report on Sustainability: Biodiversity; Tailings Management
Tailings Management on fcx.com</t>
  </si>
  <si>
    <t>304-3</t>
  </si>
  <si>
    <t>Habitats protected or restored</t>
  </si>
  <si>
    <t>MM1</t>
  </si>
  <si>
    <t>Amount of land (owned or leased, and managed for production activities or extractive use) disturbed or rehabilitated</t>
  </si>
  <si>
    <t>Annual Report on Sustainability: Biodiversity; Mine Closure &amp; Reclamation; Performance Data</t>
  </si>
  <si>
    <t>MM2</t>
  </si>
  <si>
    <t>The number and percentage of total sites identified as requiring biodiversity management plans according to stated criteria, and the number (percentage) of those sites with plans in place</t>
  </si>
  <si>
    <t>Annual Report on Sustainability: Biodiversity</t>
  </si>
  <si>
    <t>305-1</t>
  </si>
  <si>
    <t>SDG 3: Good Health and Well-Being
SDG 12: Responsible Consumption and Production
SDG 13: Climate Action
SDG 14: Life Below Water
SDG 15: Life on Land</t>
  </si>
  <si>
    <t>305-2</t>
  </si>
  <si>
    <t>Energy Indirect (Scope II) GHG emissions</t>
  </si>
  <si>
    <t>305-3</t>
  </si>
  <si>
    <t>Other indirect (Scope III) GHG emissions</t>
  </si>
  <si>
    <t>305-4</t>
  </si>
  <si>
    <t>GHG emissions intensity</t>
  </si>
  <si>
    <t>SDG 12: Responsible Consumption and Production
SDG 13: Climate Action
SDG 14: Life Below Water
SDG 15: Life on Land</t>
  </si>
  <si>
    <t>305-5</t>
  </si>
  <si>
    <t>Reduction of GHG emissions</t>
  </si>
  <si>
    <t>305-6</t>
  </si>
  <si>
    <t>Emissions of ozone-depleting substances (ODS)</t>
  </si>
  <si>
    <t>Annual Report on Sustainability: Performance Data</t>
  </si>
  <si>
    <t>SDG 3: Good Health and Well-Being
SDG 12: Responsible Consumption and Production
SDG 13: Climate Action</t>
  </si>
  <si>
    <t>305-7</t>
  </si>
  <si>
    <t>Nitrogen oxides (NOX), sulfur oxides (SOX), and other significant air emissions</t>
  </si>
  <si>
    <t>306-1</t>
  </si>
  <si>
    <t>306-2</t>
  </si>
  <si>
    <t>SDG 3: Good Health and Well-Being
SDG 6: Clean Water and Sanitation
SDG 12: Responsible Consumption and Production
SDG 13: Climate Action</t>
  </si>
  <si>
    <t>306-3</t>
  </si>
  <si>
    <t xml:space="preserve">Annual Report on Sustainability: Performance Targets; Environmental Compliance; Performance Data
</t>
  </si>
  <si>
    <t>SDG 3: Good Health and Well-Being
SDG 6: Clean Water and Sanitation
SDG 12: Responsible Consumption and Production
SDG 13: Climate Action
SDG 14: Life Below Water
SDG 15: Life on Land</t>
  </si>
  <si>
    <t>306-5</t>
  </si>
  <si>
    <t xml:space="preserve">Annual Report on Sustainability: Biodiversity; Tailings Management
Tailings Management Documents on fcx.com
</t>
  </si>
  <si>
    <t>MM3</t>
  </si>
  <si>
    <t>Total amounts of overburden, rock, tailings and sludges, and, their associated risks</t>
  </si>
  <si>
    <t>Annual Report on Sustainability: Tailings Management; Waste Management
Tailings Management Documents on fcx.com
Form 10-K: Part I, Operational Risks</t>
  </si>
  <si>
    <t>SDG 3: Good Health and Well-Being
SDG 6: Clean Water and Sanitation
SDG 11: Sustainable Cities and Communities
SDG 12: Responsible Consumption and Production</t>
  </si>
  <si>
    <t>GRI 300 ENVIRONMENTAL</t>
  </si>
  <si>
    <t>308 Supplier Environmental Assessment</t>
  </si>
  <si>
    <t>308-1</t>
  </si>
  <si>
    <t>New suppliers that were screened using environmental criteria</t>
  </si>
  <si>
    <t>GRI 400 SOCIAL</t>
  </si>
  <si>
    <t>Annual Report on Sustainability: Our Approach; Workforce</t>
  </si>
  <si>
    <t>401-1</t>
  </si>
  <si>
    <t>New employee hires and employee turnover</t>
  </si>
  <si>
    <t>Annual Report on Sustainability: Workforce</t>
  </si>
  <si>
    <t xml:space="preserve">SDG 5: Gender Equality
SDG 8: Decent Work and Economic Growth
SDG 10: Reduced Inequalities
</t>
  </si>
  <si>
    <t>MM4</t>
  </si>
  <si>
    <t>Number of strikes and lock-outs exceeding one week's duration, by country</t>
  </si>
  <si>
    <t>SDG 3: Good Health and Well-Being
SDG 8: Decent Work and Economic Growth
SDG 10: Reduced Inequalities</t>
  </si>
  <si>
    <t>403-1</t>
  </si>
  <si>
    <t>Occupational health and safety management system</t>
  </si>
  <si>
    <t>SDG 3: Good Health and Well-Being
SDG 8: Decent Work and Economic Growth</t>
  </si>
  <si>
    <t>403-2</t>
  </si>
  <si>
    <t>Hazard identification, risk assessment, and incident investigation</t>
  </si>
  <si>
    <t>403-3</t>
  </si>
  <si>
    <t>Occupational health services</t>
  </si>
  <si>
    <t>403-4</t>
  </si>
  <si>
    <t>Worker participation, consultation, and communication on occupational health and safety</t>
  </si>
  <si>
    <t>403-5</t>
  </si>
  <si>
    <t>Worker training on occupational health and safety</t>
  </si>
  <si>
    <t>403-6</t>
  </si>
  <si>
    <t>Promotion of worker health</t>
  </si>
  <si>
    <t>403-7</t>
  </si>
  <si>
    <t>Prevention and mitigation of occupational health and safety impacts directly linked by business relationships</t>
  </si>
  <si>
    <t>404-2</t>
  </si>
  <si>
    <t>Programs for upgrading employee skills and transition assistance programs</t>
  </si>
  <si>
    <t>Annual Report on Sustainability: Workforce
FMJobs.com</t>
  </si>
  <si>
    <t>SDG 4: Quality Education
SDG 8: Decent Work and Economic Growth</t>
  </si>
  <si>
    <t>405-1</t>
  </si>
  <si>
    <t>Diversity of governance bodies and employees</t>
  </si>
  <si>
    <t>Annual Report on Sustainability: Our Approach; Robust Governance; Workforce
Proxy Statement: Information About Director Nominees</t>
  </si>
  <si>
    <t>SDG 5: Gender Equality
SDG 8: Decent Work and Economic Growth</t>
  </si>
  <si>
    <t>405-2</t>
  </si>
  <si>
    <t>Ratio of basic salary and remuneration of women to men</t>
  </si>
  <si>
    <t>SDG 5: Gender Equality
SDG 8: Decent Work and Economic Growth
SDG 10: Reduced Inequalities</t>
  </si>
  <si>
    <t>406-1</t>
  </si>
  <si>
    <t>Incidents of discrimination and corrective actions taken</t>
  </si>
  <si>
    <t>Annual Report on Sustainability: Robust Governance; Workforce</t>
  </si>
  <si>
    <t>SDG 5: Gender Equality
SDG 8: Decent Work and Economic Growth
SDG 16: Peace, Justice and Strong Institutions</t>
  </si>
  <si>
    <t>407-1</t>
  </si>
  <si>
    <t>Operations and suppliers in which the right to freedom of association and collective bargaining may be at risk</t>
  </si>
  <si>
    <t>Annual Report on Sustainability: Our Approach; Responsible Value Chains; Human Rights
Human Rights Policy
Responsible Sourcing of Minerals Policy
Human Rights on fcx.com</t>
  </si>
  <si>
    <t>408-1</t>
  </si>
  <si>
    <t>Operations and suppliers at significant risk for incidents of child labor</t>
  </si>
  <si>
    <t>409-1</t>
  </si>
  <si>
    <t>Operations and suppliers at significant risk for incidents of forced or compulsory labor</t>
  </si>
  <si>
    <t>Annual Report on Sustainability: Our Approach
Human Rights Policy</t>
  </si>
  <si>
    <t>410-1</t>
  </si>
  <si>
    <t>Security personnel trained in human rights policies or procedures</t>
  </si>
  <si>
    <t>411-1</t>
  </si>
  <si>
    <t>Incidents of violations involving rights of indigenous peoples</t>
  </si>
  <si>
    <t>SDG 2: Zero Hunger
SDG 10: Reduced Inequalities</t>
  </si>
  <si>
    <t>MM5</t>
  </si>
  <si>
    <t>Total number of operations taking place in or adjacent to Indigenous Peoples' territories, and number and percentage of operations or sites where there are formal agreements with Indigenous Peoples' communities</t>
  </si>
  <si>
    <t>SDG 1: No Poverty
SDG 2: Zero Hunger
SDG 3: Good Health and Well-Being
SDG 10: Reduced Inequalities</t>
  </si>
  <si>
    <t>413-1</t>
  </si>
  <si>
    <t>Operations with local community engagement, impact assessments, and development programs</t>
  </si>
  <si>
    <t xml:space="preserve">SDG 4: Quality Education
SDG 8: Decent Work and Economic Growth
SDG 10: Reduced Inequalities
SDG 11: Sustainable Cities and Communities
</t>
  </si>
  <si>
    <t>MM6</t>
  </si>
  <si>
    <t>Number and description of significant disputes relating to land use, customary rights of local communities and Indigenous Peoples</t>
  </si>
  <si>
    <t>Communities &amp; Indigenous Peoples, Land Use and Customary Rights and Community Grievance Mechanisms on fcx.com</t>
  </si>
  <si>
    <t>SDG 1: No Poverty
SDG 2: Zero Hunger
SDG 8: Decent Work and Economic Growth
SDG 10: Reduced Inequalities
SDG 11: Sustainable Cities and Communities</t>
  </si>
  <si>
    <t>MM7</t>
  </si>
  <si>
    <t>The extent to which grievance mechanisms were used to resolve disputes relating to land use, customary rights of local communities and Indigenous Peoples, and the outcomes</t>
  </si>
  <si>
    <t>SDG 1: No Poverty
SDG 2: Zero Hunger
SDG 4: Quality Education
SDG 8: Decent Work and Economic Growth
SDG 10: Reduced Inequalities
SDG 11: Sustainable Cities and Communities</t>
  </si>
  <si>
    <t>414-1</t>
  </si>
  <si>
    <t>SDG 5: Gender Equality
SDG 8: Decent Work and Economic Growth
SDG 12: Responsible Consumption and Production
SDG 16: Peace, Justice and Strong Institutions</t>
  </si>
  <si>
    <t>M&amp;M Sector: Artisanal and Small-Scale Mining</t>
  </si>
  <si>
    <t>MM8</t>
  </si>
  <si>
    <t>Number (and percentage) of company operating sites where artisanal and small-scale mining (ASM) takes place on, or adjacent to, the site; the associated risks and the actions taken to manage and mitigate these risks</t>
  </si>
  <si>
    <t>M&amp;M Sector: Resettlement</t>
  </si>
  <si>
    <t>MM9</t>
  </si>
  <si>
    <t>Sites where resettlements took place, the number of households resettled in each, and how their livelihoods were affected in the process</t>
  </si>
  <si>
    <t>M&amp;M Sector: Closure Planning</t>
  </si>
  <si>
    <t>MM10</t>
  </si>
  <si>
    <t>Number and percentage of operations with closure plans</t>
  </si>
  <si>
    <t>Annual Report on Sustainability: Mine Closure &amp; Reclamation
Form 10-K: Risk Factors</t>
  </si>
  <si>
    <t>INDEX</t>
  </si>
  <si>
    <t>PEOPLE</t>
  </si>
  <si>
    <t xml:space="preserve">INTERNATIONAL COUNCIL OF MINING AND METALS (ICMM) PRINCIPLES </t>
  </si>
  <si>
    <r>
      <t xml:space="preserve">We disclose in alignment with the Performance Expectations at the </t>
    </r>
    <r>
      <rPr>
        <b/>
        <sz val="8"/>
        <color theme="1"/>
        <rFont val="Century Gothic"/>
        <family val="2"/>
      </rPr>
      <t>corporate</t>
    </r>
    <r>
      <rPr>
        <sz val="8"/>
        <color theme="1"/>
        <rFont val="Century Gothic"/>
        <family val="2"/>
      </rPr>
      <t xml:space="preserve"> level. For our asset-level reports, please see our website at fcx.com.</t>
    </r>
  </si>
  <si>
    <t>PRINCIPLE</t>
  </si>
  <si>
    <t>PRINCIPLE DESCRIPTION</t>
  </si>
  <si>
    <t>PERFORMANCE EXPECTATION</t>
  </si>
  <si>
    <t>DESCRIPTION</t>
  </si>
  <si>
    <t>PRINCIPLE 1: ETHICAL BUSINESS</t>
  </si>
  <si>
    <t>Apply ethical business practices and sound systems of corporate governance and transparency to support sustainable development.</t>
  </si>
  <si>
    <t>Establish systems to maintain compliance with applicable law.</t>
  </si>
  <si>
    <t>Implement policies and practices to prevent bribery, corruption and to publicly disclose facilitation payments.</t>
  </si>
  <si>
    <t>Implement policies and standards consistent with the ICMM policy framework.</t>
  </si>
  <si>
    <t>Assign accountability for sustainability performance at the Board and/or Executive Committee level.</t>
  </si>
  <si>
    <t>Disclose the value and beneficiaries of financial and in-kind political contributions whether directly or through an intermediary.</t>
  </si>
  <si>
    <t>PRINCIPLE 2: DECISION MAKING</t>
  </si>
  <si>
    <t xml:space="preserve">Integrate sustainable development in corporate strategy and decision-making processes. </t>
  </si>
  <si>
    <t>PRINCIPLE 3: HUMAN RIGHTS</t>
  </si>
  <si>
    <t>Respect human rights and the interests, cultures, customs and values of employees and communities affected by our activities.</t>
  </si>
  <si>
    <t>Avoid the involuntary physical or economic displacement of families and communities. Where this is not possible apply the mitigation hierarchy and implement actions or remedies that address residual adverse effects to restore or improve livelihoods and standards of living of displaced people.</t>
  </si>
  <si>
    <t>Implement, based on risk, a human rights and security approach consistent with the Voluntary Principles on Security and Human Rights.</t>
  </si>
  <si>
    <t>Respect the rights of workers by: not employing child or forced labour; avoiding human trafficking; not assigning hazardous/dangerous work to those under 18; eliminating harassment and discrimination; respecting freedom of association and collective bargaining and; providing a mechanism to address workers grievances.</t>
  </si>
  <si>
    <t>Respect the rights, interests, aspirations, culture and natural resource-based livelihoods of Indigenous Peoples in project design, development and operation; apply the mitigation hierarchy to address adverse impacts and; deliver sustainable benefits for Indigenous Peoples.</t>
  </si>
  <si>
    <t>PRINCIPLE 4: RISK MANAGEMENT</t>
  </si>
  <si>
    <t>Implement effective risk-management strategies and systems based on sound science
and which account for stakeholder perceptions of risks.</t>
  </si>
  <si>
    <t>Assess environmental and social risks and opportunities of new projects and of significant changes to existing operations in consultation with interested and affected stakeholders, and publicly disclose assessment results.</t>
  </si>
  <si>
    <t>Undertake risk-based due diligence on conflict and human rights that aligns with the OECD Due Diligence Guidance on Conflict-Affected and High-Risk Areas, when operating in, or sourcing from, a conflict-affected or high-risk area.</t>
  </si>
  <si>
    <t>Implement risk-based controls to avoid/prevent, minimise, mitigate and/or remedy health, safety and environmental impacts to workers, local communities, cultural heritage and the natural environment, based upon a recognised international standard or management system.</t>
  </si>
  <si>
    <t>Develop, maintain and test emergency response plans. Where risks to external stakeholders are significant, this should be in collaboration with potentially affected stakeholders and consistent with established industry good practice.</t>
  </si>
  <si>
    <t>PRINCIPLE 5: HEALTH AND SAFETY</t>
  </si>
  <si>
    <t>Pursue continual improvement in health and safety performance with the ultimate goal
of zero harm.</t>
  </si>
  <si>
    <t>Implement practices aimed at continually improving workplace health and safety, and monitor performance for the elimination of workplace fatalities, serious injuries and prevention of occupational diseases, based upon a recognised international standard or management system.</t>
  </si>
  <si>
    <t>Provide workers with training in accordance with their responsibilities for health and safety, and implement health surveillance and risk-based monitoring programmes based on occupational exposures.</t>
  </si>
  <si>
    <t>PRINCIPLE 6: ENVIRONMENTAL PERFORMANCE</t>
  </si>
  <si>
    <t>Pursue continual improvement in environmenal performance issues, such as water
stewardship, energy use and climate change.</t>
  </si>
  <si>
    <t>Implement water stewardship practices that provide for strong and transparent water governance, effective and efficient management of water at operations, and collaboration with stakeholders at a catchment level to achieve responsible and sustainable water use.</t>
  </si>
  <si>
    <t>Design, construct, operate, monitor and decommission tailings disposal/storage facilities using comprehensive, risk-based management and governance practices in line with internationally recognised good practice, to minimise the risk of catastrophic failure.</t>
  </si>
  <si>
    <t>Apply the mitigation hierarchy to prevent pollution, manage releases and waste, and address potential impacts on human health and the environment.</t>
  </si>
  <si>
    <t>Implement measures to improve energy efficiency and contribute to a low-carbon future, and report the outcomes based on internationally recognised protocols for measuring CO2 equivalent (GHG) emissions.</t>
  </si>
  <si>
    <t>PRINCIPLE 7: CONSERVATION OF BIODIVERSITY</t>
  </si>
  <si>
    <t>Contribute to the conservation of biodiversity and integrated approaches to
land-use planning.</t>
  </si>
  <si>
    <t>Neither explore nor develop new mines in World Heritage sites, respect legally designated protected areas, and design and operate any new operations or changes to existing operations to be compatible with the value for which such areas were designated.</t>
  </si>
  <si>
    <t>Assess and address risks and impacts to biodiversity and ecosystem services by implementing the mitigation hierarchy, with the ambition of achieving no-net-loss of biodiversity.</t>
  </si>
  <si>
    <t>PRINCIPLE 8: RESPONSIBLE PRODUCTION</t>
  </si>
  <si>
    <t>Facilitate and support the knowledge-base and systems for responsible design, use,
re-use, recycling and disposal of products containing metals and minerals.</t>
  </si>
  <si>
    <t>PRINCIPLE 9: SOCIAL PERFORMANCE</t>
  </si>
  <si>
    <t>Pursue continual improvement in social performance and contribute to the social,
economic and institutional development of host countries and communities.</t>
  </si>
  <si>
    <t>Implement inclusive approaches with local communities to identify their development priorities and support activities that contribute to their lasting social and economic wellbeing, in partnership with government, civil society and development agencies, as appropriate.</t>
  </si>
  <si>
    <t>Enable access by local enterprises to procurement and contracting opportunities across the project life-cycle, both directly and by encouraging larger contractors and suppliers, and also by supporting initiatives to enhance economic opportunities for local communities.</t>
  </si>
  <si>
    <t>Conduct stakeholder engagement based upon an analysis of the local context and provide local stakeholders with access to effective mechanisms for seeking resolution of grievances related to the company and its activities.</t>
  </si>
  <si>
    <t>Collaborate with government, where appropriate, to support improvements in environmental and social practices of local Artisanal and Small-scale Mining (ASM).</t>
  </si>
  <si>
    <t>PRINCIPLE 10: STAKEHOLDER ENGAGEMENT</t>
  </si>
  <si>
    <t>Proactively engage key stakeholders on sustainable development challenges and
opportunities in an open and transparent manner. Effectively report and independently
verify progress and performance.</t>
  </si>
  <si>
    <t>Identify and engage with key corporate-level external stakeholders on sustainable development issues in an open and transparent manner</t>
  </si>
  <si>
    <t>Publicly support the implementation of the Extractive Industries Transparency Initiative (EITI) and compile information on all material payments, at the appropriate levels of government, by country and by project.</t>
  </si>
  <si>
    <t>Site-Specific Tailings Management and Information</t>
  </si>
  <si>
    <t>4. Absolute targets include total (Scope 1 and 2) emissions.</t>
  </si>
  <si>
    <r>
      <t>Americas Copper</t>
    </r>
    <r>
      <rPr>
        <vertAlign val="superscript"/>
        <sz val="8"/>
        <rFont val="Century Gothic"/>
        <family val="2"/>
      </rPr>
      <t>2</t>
    </r>
    <r>
      <rPr>
        <sz val="8"/>
        <rFont val="Century Gothic"/>
        <family val="2"/>
      </rPr>
      <t xml:space="preserve"> - </t>
    </r>
    <r>
      <rPr>
        <i/>
        <sz val="8"/>
        <rFont val="Century Gothic"/>
        <family val="2"/>
      </rPr>
      <t>15% intensity reduction</t>
    </r>
  </si>
  <si>
    <r>
      <t>PT-FI (Grasberg)</t>
    </r>
    <r>
      <rPr>
        <vertAlign val="superscript"/>
        <sz val="8"/>
        <rFont val="Century Gothic"/>
        <family val="2"/>
      </rPr>
      <t>3</t>
    </r>
    <r>
      <rPr>
        <sz val="8"/>
        <rFont val="Century Gothic"/>
        <family val="2"/>
      </rPr>
      <t xml:space="preserve"> - </t>
    </r>
    <r>
      <rPr>
        <i/>
        <sz val="8"/>
        <rFont val="Century Gothic"/>
        <family val="2"/>
      </rPr>
      <t>30% intensity reduction</t>
    </r>
  </si>
  <si>
    <r>
      <t>Absolute Reduction Targets</t>
    </r>
    <r>
      <rPr>
        <vertAlign val="superscript"/>
        <sz val="8"/>
        <color theme="1"/>
        <rFont val="Century Gothic"/>
        <family val="2"/>
      </rPr>
      <t>4</t>
    </r>
  </si>
  <si>
    <r>
      <t xml:space="preserve">Atlantic Copper Smelter &amp; Refinery - </t>
    </r>
    <r>
      <rPr>
        <i/>
        <sz val="8"/>
        <rFont val="Century Gothic"/>
        <family val="2"/>
      </rPr>
      <t>50% absolute reduction</t>
    </r>
  </si>
  <si>
    <r>
      <t>Primary Molybdenum Sites</t>
    </r>
    <r>
      <rPr>
        <vertAlign val="superscript"/>
        <sz val="8"/>
        <rFont val="Century Gothic"/>
        <family val="2"/>
      </rPr>
      <t>5</t>
    </r>
    <r>
      <rPr>
        <sz val="8"/>
        <rFont val="Century Gothic"/>
        <family val="2"/>
      </rPr>
      <t xml:space="preserve"> - </t>
    </r>
    <r>
      <rPr>
        <i/>
        <sz val="8"/>
        <rFont val="Century Gothic"/>
        <family val="2"/>
      </rPr>
      <t>35% absolute reduction</t>
    </r>
  </si>
  <si>
    <t>Estimated FY 2020 Emissions</t>
  </si>
  <si>
    <t>Estimated FY 2021 Emissions</t>
  </si>
  <si>
    <t>Category 1: Purchased goods and services</t>
  </si>
  <si>
    <t>Category 2: Capital goods</t>
  </si>
  <si>
    <t>Included above</t>
  </si>
  <si>
    <t>Category 4: Upstream transportation and distribution</t>
  </si>
  <si>
    <t>Category 5: Waste generated in operations</t>
  </si>
  <si>
    <t>Minor Impact</t>
  </si>
  <si>
    <t>Category 6: Business travel</t>
  </si>
  <si>
    <t>Category 7: Employee commuting</t>
  </si>
  <si>
    <t>Category 8: Upstream leased assets</t>
  </si>
  <si>
    <t>Not applicable</t>
  </si>
  <si>
    <t>Downstream</t>
  </si>
  <si>
    <t>Category 9: Downstream transportation and distribution</t>
  </si>
  <si>
    <t>Category 10: Processing of sold products</t>
  </si>
  <si>
    <t>Category 11: Use of sold products</t>
  </si>
  <si>
    <t>Category 12: End-of-life treatment of sold products</t>
  </si>
  <si>
    <t>Category 13: Downstream leased assets</t>
  </si>
  <si>
    <t>Category 14: Franchises</t>
  </si>
  <si>
    <t>Category 15: Investments</t>
  </si>
  <si>
    <t>Total Scope 3 Emissions</t>
  </si>
  <si>
    <t>To be calculated</t>
  </si>
  <si>
    <t>Category 3: Fuel and energy-related activities</t>
  </si>
  <si>
    <r>
      <t xml:space="preserve">Scope 3 Emissions Inventory Development </t>
    </r>
    <r>
      <rPr>
        <sz val="8"/>
        <color theme="1"/>
        <rFont val="Century Gothic"/>
        <family val="2"/>
      </rPr>
      <t>(CO</t>
    </r>
    <r>
      <rPr>
        <vertAlign val="subscript"/>
        <sz val="8"/>
        <color theme="1"/>
        <rFont val="Century Gothic"/>
        <family val="2"/>
      </rPr>
      <t>2</t>
    </r>
    <r>
      <rPr>
        <sz val="8"/>
        <color theme="1"/>
        <rFont val="Century Gothic"/>
        <family val="2"/>
      </rPr>
      <t>e metric tons)</t>
    </r>
  </si>
  <si>
    <t>As of 2020 
Climate Report</t>
  </si>
  <si>
    <t>As of 2021 
Climate Report</t>
  </si>
  <si>
    <t>Baseline Year 2018</t>
  </si>
  <si>
    <t>Target Year 2030</t>
  </si>
  <si>
    <t>2030 GHG Emissions Reduction Target Performance</t>
  </si>
  <si>
    <t xml:space="preserve">Intensity Reduction Targets¹ </t>
  </si>
  <si>
    <t>3. PT-FI generates its own electricity. As a result, there are no Scope 2 emissions associated with PT-FI operations.</t>
  </si>
  <si>
    <t xml:space="preserve">2. Market-based emission factors were not applicable or available for certain markets were we operate, and therefore, location-based emission factors have been used in accordance with GHG Protocol - Scope 2 Guidance. The market-based calculation of Scope 2 emissions utilizes emission factors that are available at the time of inventory close. Emission factors are determined by each market according to their reporting schedule. Therefore, certain emission factors used in market-based calculations may be up to one year in arrears due to lag time. </t>
  </si>
  <si>
    <t>Business Partner Code of Conduct</t>
  </si>
  <si>
    <t>2021 UK Modern Slavery Act Statement</t>
  </si>
  <si>
    <t>Voluntary Principles on Security and Human Rights: 2021 Annual Report to the Plenary</t>
  </si>
  <si>
    <t>Land Use and Customary Rights at PT-FI</t>
  </si>
  <si>
    <t>Human Rights: Embedding Respect</t>
  </si>
  <si>
    <t>Human Rights: Due Diligence</t>
  </si>
  <si>
    <t>Environment: Tailings — Americas operations</t>
  </si>
  <si>
    <t>Environment: Tailings — Indonesia operations</t>
  </si>
  <si>
    <t>Environment: PT-FI External Audits</t>
  </si>
  <si>
    <t>Commodity Management</t>
  </si>
  <si>
    <t>Audits, Assessments, Assurance</t>
  </si>
  <si>
    <t>Annual Report on Sustainability: Communities &amp; Indigenous Peoples; Human Rights
Human Rights, Assessing and Managing Impacts, Communities &amp; Indigenous Peoples, Land Use and Customary Rights at PT-FI on fcx.com</t>
  </si>
  <si>
    <t>Annual Report on Sustainability: Communities &amp; Indigenous Peoples
Land Use and Customary Rights at PT-FI on fcx.com
Voluntary Principles Report</t>
  </si>
  <si>
    <t>Due Diligence</t>
  </si>
  <si>
    <t>Embedding Respect</t>
  </si>
  <si>
    <t>Security &amp; Human Rights</t>
  </si>
  <si>
    <t>Assessing &amp; Managing Impacts</t>
  </si>
  <si>
    <t>Public Health</t>
  </si>
  <si>
    <t>Freeport in my Community</t>
  </si>
  <si>
    <t>Tailings - Americas operations</t>
  </si>
  <si>
    <t>Tailings - Indonesia operations</t>
  </si>
  <si>
    <t>PT-FI External Audits</t>
  </si>
  <si>
    <t>Global Suppy Chain</t>
  </si>
  <si>
    <t>Human Rights: Security</t>
  </si>
  <si>
    <t>Communities &amp; Indigenous Peoples: Grievance Mechanism</t>
  </si>
  <si>
    <t>Communities &amp; Indigenous Peoples: Assessing &amp; Managing Impacts</t>
  </si>
  <si>
    <t>Communities &amp; Indigenous Peoples: Public Health</t>
  </si>
  <si>
    <t>Communities &amp; Indigenous Peoples: Land Use and Customary Rights at PT-FI</t>
  </si>
  <si>
    <t>Communities &amp; Indigenous Peoples: Freeport in my Community</t>
  </si>
  <si>
    <t>Communities &amp; Indigenous Peoples: Economic Impact</t>
  </si>
  <si>
    <t>1. Category 1: Purchased goods and services (including Category 2: Capital Goods);</t>
  </si>
  <si>
    <t>2. Category 3: Fuel- and energy-related activities;</t>
  </si>
  <si>
    <t>3. Category 4: Upstream transportation;</t>
  </si>
  <si>
    <t>4. Category 5: Waste generated in operations; and</t>
  </si>
  <si>
    <t>5. Category 7: Employee commuting</t>
  </si>
  <si>
    <t xml:space="preserve">1. Location-based emission factors are sourced from publicly available regulatory or similar reports from regions where FCX operates. </t>
  </si>
  <si>
    <t>2022 Summary of Key Economic Contributions by Operating Region</t>
  </si>
  <si>
    <r>
      <t>2022 Cash Payments to Governments</t>
    </r>
    <r>
      <rPr>
        <b/>
        <vertAlign val="superscript"/>
        <sz val="8"/>
        <color theme="1"/>
        <rFont val="Century Gothic"/>
        <family val="2"/>
      </rPr>
      <t>1</t>
    </r>
  </si>
  <si>
    <t>2022 GHG Emissions - Scope 2 Dual Reporting</t>
  </si>
  <si>
    <t>Note: GHG emissions data have been prepared in accordance with the GHG Protocol. FCX reports GHG emissions on a 100% operational basis. FCX's GHG emissions verification statement is available at fcx.com/sustainability.</t>
  </si>
  <si>
    <t>1. El Abra has a regenerative downhill conveyor system that is 20km in length that generates approximately 31 TJ of electricity for use on site as it transports material for processing. This was included in Direct Energy in 2018-2020 but has not been included in 2021 or 2022 to align with the GRI definition of total energy consumption.</t>
  </si>
  <si>
    <t>2022 ENERGY CONSUMPTION BY TYPE</t>
  </si>
  <si>
    <t>2022 INDIRECT ENERGY CONSUMED BY SOURCE</t>
  </si>
  <si>
    <t>2022 DIRECT ENERGY CONSUMED BY SOURCE</t>
  </si>
  <si>
    <t xml:space="preserve">3. Water discharged is water removed from an operation and returned to the environment or a third party after meeting all required treatment and discharge standards. </t>
  </si>
  <si>
    <r>
      <t xml:space="preserve">2022 Water Quality </t>
    </r>
    <r>
      <rPr>
        <sz val="8"/>
        <color theme="0"/>
        <rFont val="Century Gothic"/>
        <family val="2"/>
      </rPr>
      <t>(thousand cubic meters)</t>
    </r>
  </si>
  <si>
    <t>Total area owned, leased or managed including lands not used for production or extractive purposes</t>
  </si>
  <si>
    <t>2022 Reconciliation of Cash Payments to Governments</t>
  </si>
  <si>
    <t>Complaints Received</t>
  </si>
  <si>
    <t>Estimated FY 2022 Emissions</t>
  </si>
  <si>
    <t>Category 1
High-quality water that may require minimal and inexpensive treatment to raise quality
to appropriate drinking water standard (e.g., near potable water quality).</t>
  </si>
  <si>
    <t>Category 2
Medium-quality water that would require a moderate level of treatment to meet
appropriate drinking water standard (e.g., agricultural use).</t>
  </si>
  <si>
    <t>Category 3
Low-quality water that would require significant treatment to raise quality to appropriate
drinking water standards (e.g., industrial and wastewater).</t>
  </si>
  <si>
    <t>Biodiversity</t>
  </si>
  <si>
    <t xml:space="preserve">Number of sites adjacent to globally or nationally important biodiversity areas </t>
  </si>
  <si>
    <t>Number of sites adjacent to globally or nationally important biodiversity areas with biodiversity management plan in place</t>
  </si>
  <si>
    <t xml:space="preserve">Note: PT-FI’s operations are adjacent to Lorentz National Park, however, we have not and will not conduct any mining or exploration activities in Lorentz National Park, which is a UNESCO World Heritage Site. PT-FI is in the process of fully implementing a biodiversity action plan. </t>
  </si>
  <si>
    <r>
      <t xml:space="preserve">Procurement Spend Distribution </t>
    </r>
    <r>
      <rPr>
        <sz val="8"/>
        <color theme="1"/>
        <rFont val="Century Gothic"/>
        <family val="2"/>
      </rPr>
      <t>($ millions)</t>
    </r>
  </si>
  <si>
    <r>
      <t>Gross Human Rights Violations</t>
    </r>
    <r>
      <rPr>
        <vertAlign val="superscript"/>
        <sz val="8"/>
        <color theme="1"/>
        <rFont val="Century Gothic"/>
        <family val="2"/>
      </rPr>
      <t>1,2</t>
    </r>
  </si>
  <si>
    <r>
      <t>FCX Compliance Line Reports</t>
    </r>
    <r>
      <rPr>
        <vertAlign val="superscript"/>
        <sz val="8"/>
        <color theme="1"/>
        <rFont val="Century Gothic"/>
        <family val="2"/>
      </rPr>
      <t>2</t>
    </r>
  </si>
  <si>
    <t>Community Engagement</t>
  </si>
  <si>
    <t>Employment</t>
  </si>
  <si>
    <t>Land Access</t>
  </si>
  <si>
    <t>Livelihoods</t>
  </si>
  <si>
    <t>Local Sourcing</t>
  </si>
  <si>
    <t>Odor, Noise, Vibration</t>
  </si>
  <si>
    <t>Property Damage</t>
  </si>
  <si>
    <t>Resettlement</t>
  </si>
  <si>
    <t>Security</t>
  </si>
  <si>
    <t>Workforce Behavior</t>
  </si>
  <si>
    <r>
      <t>Active</t>
    </r>
    <r>
      <rPr>
        <vertAlign val="superscript"/>
        <sz val="8"/>
        <color theme="1"/>
        <rFont val="Century Gothic"/>
        <family val="2"/>
      </rPr>
      <t>2</t>
    </r>
  </si>
  <si>
    <t>1. Reportable spills excludes spills at PT-FI associated with pipeline sabotage. Due to increased security efforts, the number of sabotage-related spills reported at PT-FI decreased from 68 in 2018, to 16 in 2019, to 8 in 2020, to 5 in 2021. There were 8 sabotage related-spills in 2022.</t>
  </si>
  <si>
    <t>Human Rights: Due Diligence &gt; HRIA Methodology</t>
  </si>
  <si>
    <t>HRIA Methodology</t>
  </si>
  <si>
    <t>Community Grievance Mechanism</t>
  </si>
  <si>
    <t>Race/Ethnicity</t>
  </si>
  <si>
    <t>Overall Total</t>
  </si>
  <si>
    <t>Hispanic or Latino</t>
  </si>
  <si>
    <t>Not Hispanic or Latino</t>
  </si>
  <si>
    <t>Male</t>
  </si>
  <si>
    <t>Female</t>
  </si>
  <si>
    <t>Two or More races</t>
  </si>
  <si>
    <t>Executive/Senior Level Officials and Managers</t>
  </si>
  <si>
    <t>First/Mid-Level Officials and Managers</t>
  </si>
  <si>
    <t>Professionals</t>
  </si>
  <si>
    <t>Technicians</t>
  </si>
  <si>
    <t>Sales Workers</t>
  </si>
  <si>
    <t>Administrative Support Workers</t>
  </si>
  <si>
    <t>Craft Workers</t>
  </si>
  <si>
    <t>Operatives</t>
  </si>
  <si>
    <t>Laborers and Helpers</t>
  </si>
  <si>
    <t>Service Workers</t>
  </si>
  <si>
    <t>JOB CATEGORIES</t>
  </si>
  <si>
    <t xml:space="preserve">Note: This data has been collected on dates of payroll from the period 12/1/2022 through 12/31/2022. </t>
  </si>
  <si>
    <t>2021 Report Total</t>
  </si>
  <si>
    <r>
      <t>Non-Management</t>
    </r>
    <r>
      <rPr>
        <vertAlign val="superscript"/>
        <sz val="8"/>
        <color theme="1"/>
        <rFont val="Century Gothic"/>
        <family val="2"/>
      </rPr>
      <t>1</t>
    </r>
  </si>
  <si>
    <r>
      <t>Management</t>
    </r>
    <r>
      <rPr>
        <vertAlign val="superscript"/>
        <sz val="8"/>
        <color theme="1"/>
        <rFont val="Century Gothic"/>
        <family val="2"/>
      </rPr>
      <t>1</t>
    </r>
  </si>
  <si>
    <r>
      <t>Women Employed by Location</t>
    </r>
    <r>
      <rPr>
        <u/>
        <vertAlign val="superscript"/>
        <sz val="8"/>
        <color theme="1"/>
        <rFont val="Century Gothic"/>
        <family val="2"/>
      </rPr>
      <t>1</t>
    </r>
  </si>
  <si>
    <t>4. Per ICMM guidelines, low quality discharged water to sea, ocean, or estuary is categorized as such due primarily to (a) the estuarine source water used at Atlantic Copper, which is already low quality due to salinity, and (b) the discharged water associated with the function of PT-FI’s controlled riverine Tailings system, which contains alkaline pH.</t>
  </si>
  <si>
    <r>
      <t>To Sea, Ocean, or Estuary</t>
    </r>
    <r>
      <rPr>
        <vertAlign val="superscript"/>
        <sz val="8"/>
        <color theme="1"/>
        <rFont val="Century Gothic"/>
        <family val="2"/>
      </rPr>
      <t>4</t>
    </r>
  </si>
  <si>
    <t xml:space="preserve">1. Tailings impoundment counts include non-operating sites and are reviewed at least annually and updated according to construction of new facilities, changes in operating conditions, closure, business transactions, and legal reviews. FCX provides a full disclosure of tailings facilities, location, status, construction type and hazard categorization available at fcx.com/sustainability/environment/tailings-americas_documents. </t>
  </si>
  <si>
    <t>Copper Mining</t>
  </si>
  <si>
    <t>Total Copper Mining</t>
  </si>
  <si>
    <t>Molybdenum Mining</t>
  </si>
  <si>
    <t>Total Molybdenum Mining</t>
  </si>
  <si>
    <t>Smelting &amp; Refining</t>
  </si>
  <si>
    <r>
      <t>Bayway Rod &amp; Wire</t>
    </r>
    <r>
      <rPr>
        <vertAlign val="superscript"/>
        <sz val="8"/>
        <rFont val="Century Gothic"/>
        <family val="2"/>
      </rPr>
      <t>1</t>
    </r>
  </si>
  <si>
    <r>
      <t>Norwich Rod</t>
    </r>
    <r>
      <rPr>
        <vertAlign val="superscript"/>
        <sz val="8"/>
        <rFont val="Century Gothic"/>
        <family val="2"/>
      </rPr>
      <t>1</t>
    </r>
    <r>
      <rPr>
        <sz val="8"/>
        <rFont val="Century Gothic"/>
        <family val="2"/>
      </rPr>
      <t xml:space="preserve"> </t>
    </r>
  </si>
  <si>
    <r>
      <t>Kokkola Cobalt Refinery</t>
    </r>
    <r>
      <rPr>
        <vertAlign val="superscript"/>
        <sz val="8"/>
        <rFont val="Century Gothic"/>
        <family val="2"/>
      </rPr>
      <t>1</t>
    </r>
  </si>
  <si>
    <t>Total Smelting &amp; Refining</t>
  </si>
  <si>
    <t>Total Other</t>
  </si>
  <si>
    <r>
      <t>PT-FI (Grasberg)</t>
    </r>
    <r>
      <rPr>
        <vertAlign val="superscript"/>
        <sz val="8"/>
        <color theme="1"/>
        <rFont val="Century Gothic"/>
        <family val="2"/>
      </rPr>
      <t>2</t>
    </r>
  </si>
  <si>
    <r>
      <t>Atlantic Copper Smelter &amp; Refinery</t>
    </r>
    <r>
      <rPr>
        <vertAlign val="superscript"/>
        <sz val="8"/>
        <rFont val="Century Gothic"/>
        <family val="2"/>
      </rPr>
      <t>3</t>
    </r>
  </si>
  <si>
    <r>
      <t>Scope 2</t>
    </r>
    <r>
      <rPr>
        <vertAlign val="superscript"/>
        <sz val="8"/>
        <rFont val="Century Gothic"/>
        <family val="2"/>
      </rPr>
      <t>2</t>
    </r>
    <r>
      <rPr>
        <sz val="8"/>
        <rFont val="Century Gothic"/>
        <family val="2"/>
      </rPr>
      <t xml:space="preserve"> Total - FCX Global</t>
    </r>
  </si>
  <si>
    <r>
      <t>Scope 1 + 2</t>
    </r>
    <r>
      <rPr>
        <vertAlign val="superscript"/>
        <sz val="8"/>
        <rFont val="Century Gothic"/>
        <family val="2"/>
      </rPr>
      <t>2</t>
    </r>
    <r>
      <rPr>
        <sz val="8"/>
        <rFont val="Century Gothic"/>
        <family val="2"/>
      </rPr>
      <t xml:space="preserve"> Total - FCX Global</t>
    </r>
  </si>
  <si>
    <r>
      <t xml:space="preserve">Scope 3 </t>
    </r>
    <r>
      <rPr>
        <sz val="8"/>
        <color theme="1"/>
        <rFont val="Century Gothic"/>
        <family val="2"/>
      </rPr>
      <t>(CO</t>
    </r>
    <r>
      <rPr>
        <vertAlign val="subscript"/>
        <sz val="8"/>
        <color theme="1"/>
        <rFont val="Century Gothic"/>
        <family val="2"/>
      </rPr>
      <t>2</t>
    </r>
    <r>
      <rPr>
        <sz val="8"/>
        <color theme="1"/>
        <rFont val="Century Gothic"/>
        <family val="2"/>
      </rPr>
      <t>e metric tons)</t>
    </r>
  </si>
  <si>
    <t>Norwich Rod</t>
  </si>
  <si>
    <r>
      <t>PT-FI (Grasberg)</t>
    </r>
    <r>
      <rPr>
        <vertAlign val="superscript"/>
        <sz val="8"/>
        <color theme="1"/>
        <rFont val="Century Gothic"/>
        <family val="2"/>
      </rPr>
      <t>1</t>
    </r>
  </si>
  <si>
    <r>
      <t>Atlantic Copper Smelter &amp; Refinery</t>
    </r>
    <r>
      <rPr>
        <vertAlign val="superscript"/>
        <sz val="8"/>
        <rFont val="Century Gothic"/>
        <family val="2"/>
      </rPr>
      <t>2</t>
    </r>
  </si>
  <si>
    <r>
      <t>Rotterdam</t>
    </r>
    <r>
      <rPr>
        <vertAlign val="superscript"/>
        <sz val="8"/>
        <rFont val="Century Gothic"/>
        <family val="2"/>
      </rPr>
      <t>2</t>
    </r>
  </si>
  <si>
    <t xml:space="preserve">1. PT-FI generates its own electricity; as a result, there are no indirect energy entries in this table. </t>
  </si>
  <si>
    <t>3. Approximately 36% of water quantities discharged were associated with our Atlantic Copper Smelter where estuarine water is used for cooling and then returned to its source, 51% associated with PT-FI’s controlled riverine tailings management system, and the remaining 12% is associated with our Climax and Henderson mines in Colorado.</t>
  </si>
  <si>
    <t>Total Water Consumption</t>
  </si>
  <si>
    <r>
      <rPr>
        <b/>
        <sz val="8"/>
        <rFont val="Century Gothic"/>
        <family val="2"/>
      </rPr>
      <t>2022 Procurement Spend Distribution by Site</t>
    </r>
    <r>
      <rPr>
        <sz val="8"/>
        <rFont val="Century Gothic"/>
        <family val="2"/>
      </rPr>
      <t xml:space="preserve"> ($ millions)</t>
    </r>
  </si>
  <si>
    <r>
      <t xml:space="preserve">Scope 2 </t>
    </r>
    <r>
      <rPr>
        <sz val="8"/>
        <color theme="1"/>
        <rFont val="Century Gothic"/>
        <family val="2"/>
      </rPr>
      <t>(CO</t>
    </r>
    <r>
      <rPr>
        <vertAlign val="subscript"/>
        <sz val="8"/>
        <color theme="1"/>
        <rFont val="Century Gothic"/>
        <family val="2"/>
      </rPr>
      <t>2</t>
    </r>
    <r>
      <rPr>
        <sz val="8"/>
        <color theme="1"/>
        <rFont val="Century Gothic"/>
        <family val="2"/>
      </rPr>
      <t>e metric tons)</t>
    </r>
  </si>
  <si>
    <r>
      <t>PT-FI (Grasberg)</t>
    </r>
    <r>
      <rPr>
        <vertAlign val="superscript"/>
        <sz val="8"/>
        <color theme="1"/>
        <rFont val="Century Gothic"/>
        <family val="2"/>
      </rPr>
      <t>3</t>
    </r>
  </si>
  <si>
    <r>
      <t>Location-Based</t>
    </r>
    <r>
      <rPr>
        <b/>
        <vertAlign val="superscript"/>
        <sz val="8"/>
        <rFont val="Century Gothic"/>
        <family val="2"/>
      </rPr>
      <t>1</t>
    </r>
  </si>
  <si>
    <r>
      <t>Market-Based</t>
    </r>
    <r>
      <rPr>
        <b/>
        <vertAlign val="superscript"/>
        <sz val="8"/>
        <rFont val="Century Gothic"/>
        <family val="2"/>
      </rPr>
      <t>2</t>
    </r>
  </si>
  <si>
    <t>2022 REPORT TOTAL</t>
  </si>
  <si>
    <t>Political Activity and Spending Practices</t>
  </si>
  <si>
    <t>Anti-Corruption Policy</t>
  </si>
  <si>
    <t>Workforce: North America Employee Benefits Overview</t>
  </si>
  <si>
    <t>American Indian or Alaskan Native</t>
  </si>
  <si>
    <t>5. 2019 penalties paid were from NOVs at Sierrita for dust events in 2018 ($30,000) and a NOV at Cerro Verde in 2007 ($94,682). In addition, we agreed to fund a $200,000 Supplemental Environmental Project associated with the Sierrita dust events. The Cerro Verde fine was paid in 2019 from a regulatory inspection conducted in 2007 due to an extended legal appeal process. 2020 penalties paid were principally from a Sierrita dust event ($55,000) and the failure to obtain a CO2 permit at Rotterdam ($12,000). 2021 penalties paid were associated with delays in commissioning an online, real-time groundwater monitoring system at El Abra. 2022 penalties included $12,959 at Cerro Verde associated with a NOV related to water discharge monitoring and reporting; $9,842 at El Abra associated with an NOV related to waste and chemical safety programs; and $1,500 at the El Paso Refinery and Rod Mill associated with two wastewater discharge permit NOVs.</t>
  </si>
  <si>
    <t>2022 U.S. Equal Employment Opportunity (EEO-1) Disclosure</t>
  </si>
  <si>
    <t>United States</t>
  </si>
  <si>
    <t>Total Workforce Fatalities</t>
  </si>
  <si>
    <t>Total Workforce - TRIR</t>
  </si>
  <si>
    <t>Total Workforce - Fatality Rate</t>
  </si>
  <si>
    <t>Total Workforce - NMFR</t>
  </si>
  <si>
    <t>Total Workforce - LTIR</t>
  </si>
  <si>
    <r>
      <t>Europe/Other</t>
    </r>
    <r>
      <rPr>
        <b/>
        <vertAlign val="superscript"/>
        <sz val="8"/>
        <color theme="0"/>
        <rFont val="Century Gothic"/>
        <family val="2"/>
      </rPr>
      <t>2</t>
    </r>
  </si>
  <si>
    <r>
      <t>Corporate, Support &amp; Administrative</t>
    </r>
    <r>
      <rPr>
        <vertAlign val="superscript"/>
        <sz val="8"/>
        <rFont val="Century Gothic"/>
        <family val="2"/>
      </rPr>
      <t>2</t>
    </r>
  </si>
  <si>
    <t>INVENTORY REVIEW</t>
  </si>
  <si>
    <t>FCX - ESG PERFORMANCE DATA</t>
  </si>
  <si>
    <t>Total Cash Payments to Governments</t>
  </si>
  <si>
    <t>Total Direct Economic Contributions</t>
  </si>
  <si>
    <t>1. Amounts have been adjusted based on updated land survey data.</t>
  </si>
  <si>
    <r>
      <t>Inactive or Closed</t>
    </r>
    <r>
      <rPr>
        <vertAlign val="superscript"/>
        <sz val="8"/>
        <color theme="1"/>
        <rFont val="Century Gothic"/>
        <family val="2"/>
      </rPr>
      <t>3</t>
    </r>
  </si>
  <si>
    <r>
      <t>Safely Closed</t>
    </r>
    <r>
      <rPr>
        <vertAlign val="superscript"/>
        <sz val="8"/>
        <color theme="1"/>
        <rFont val="Century Gothic"/>
        <family val="2"/>
      </rPr>
      <t>4</t>
    </r>
  </si>
  <si>
    <t>2. In 2022, the status of one Tailings Storage Facility (TSF) at Morenci was changed to inactive.</t>
  </si>
  <si>
    <t>3. In 2022, one TSF at Morenci was fully integrated into another TSF, and therefore, the total tailings impoundments count reduced.</t>
  </si>
  <si>
    <r>
      <t>Number of Workforce Fatalities</t>
    </r>
    <r>
      <rPr>
        <u/>
        <vertAlign val="superscript"/>
        <sz val="8"/>
        <color theme="1"/>
        <rFont val="Century Gothic"/>
        <family val="2"/>
      </rPr>
      <t>3</t>
    </r>
  </si>
  <si>
    <t>5. Fatality Rate =  (Number of Fatalities x 200,000) / Total Hours Worked.</t>
  </si>
  <si>
    <t>7. LTIR = (Number of Lost Time Injuries x 200,000) / Total Hours Worked.</t>
  </si>
  <si>
    <r>
      <t>Number of Employees</t>
    </r>
    <r>
      <rPr>
        <vertAlign val="superscript"/>
        <sz val="8"/>
        <color theme="1"/>
        <rFont val="Century Gothic"/>
        <family val="2"/>
      </rPr>
      <t>1</t>
    </r>
  </si>
  <si>
    <r>
      <t>Europe/Other</t>
    </r>
    <r>
      <rPr>
        <vertAlign val="superscript"/>
        <sz val="8"/>
        <color theme="1"/>
        <rFont val="Century Gothic"/>
        <family val="2"/>
      </rPr>
      <t>1</t>
    </r>
  </si>
  <si>
    <r>
      <t>PT-FI Demographic Info</t>
    </r>
    <r>
      <rPr>
        <u/>
        <vertAlign val="superscript"/>
        <sz val="8"/>
        <color theme="1"/>
        <rFont val="Century Gothic"/>
        <family val="2"/>
      </rPr>
      <t>1</t>
    </r>
    <r>
      <rPr>
        <u/>
        <sz val="8"/>
        <color theme="1"/>
        <rFont val="Century Gothic"/>
        <family val="2"/>
      </rPr>
      <t xml:space="preserve"> </t>
    </r>
  </si>
  <si>
    <t>Indonesian Representation</t>
  </si>
  <si>
    <t>1. For further information, please see our 2022 Annual Report on Sustainability and FCX’s 2022 Form 10-K.</t>
  </si>
  <si>
    <t xml:space="preserve">2. In 2022, the FCX Compliance Line received 107 duplicate, unsubstantiated reports, which largely contributed to the year over year increase. </t>
  </si>
  <si>
    <t>Note: For our North American and Chilean operations, local suppliers are identified as those located in the state / region where we have operations. For our European and Peruvian operations, local suppliers are identified as those located in the city in which we operate. For PT-FI, local suppliers are identified as those in the cities / towns surrounding our operations. National suppliers are those located in the same country as the operation. Outside home country suppliers are located in countries other than the operation.</t>
  </si>
  <si>
    <r>
      <t>Water Use Efficiency Rate</t>
    </r>
    <r>
      <rPr>
        <vertAlign val="superscript"/>
        <sz val="8"/>
        <color theme="1"/>
        <rFont val="Century Gothic"/>
        <family val="2"/>
      </rPr>
      <t>7</t>
    </r>
    <r>
      <rPr>
        <sz val="8"/>
        <color theme="1"/>
        <rFont val="Century Gothic"/>
        <family val="2"/>
      </rPr>
      <t> (%)</t>
    </r>
  </si>
  <si>
    <t>1. Per ICMM guidance, we differentiate the quality of water withdrawn and discharged into high quality and low quality. ICMM high quality is equivalent to freshwater as defined by the International Financial Reporting Standards Foundation’s SASB Standards. See table below for more information.</t>
  </si>
  <si>
    <t>1. High quality water, as defined by ICMM, is equivalent to Fresh Water as defined by International Financial Reporting Standards Foundation’s SASB Standards.</t>
  </si>
  <si>
    <t>FCX Global</t>
  </si>
  <si>
    <t>COPPER MINING</t>
  </si>
  <si>
    <t>TOTAL Copper Mining</t>
  </si>
  <si>
    <t>MOLYBDENUM MINING</t>
  </si>
  <si>
    <t>TOTAL Smelting &amp; Refining</t>
  </si>
  <si>
    <t>SMELTING &amp; REFINING</t>
  </si>
  <si>
    <t>OTHER</t>
  </si>
  <si>
    <r>
      <t>Total Water Discharged</t>
    </r>
    <r>
      <rPr>
        <vertAlign val="superscript"/>
        <sz val="8"/>
        <rFont val="Century Gothic"/>
        <family val="2"/>
      </rPr>
      <t>3</t>
    </r>
  </si>
  <si>
    <t>Corporate Responsibility Committee Charter</t>
  </si>
  <si>
    <t>LINK TO FCX DOCUMENT</t>
  </si>
  <si>
    <t>2022 Annual Report on Sustainability</t>
  </si>
  <si>
    <t>2022 Form 10-K</t>
  </si>
  <si>
    <t>2023 Proxy Statement</t>
  </si>
  <si>
    <t>2021 Climate Report</t>
  </si>
  <si>
    <t>Talent Attraction and Retention</t>
  </si>
  <si>
    <t>2. Amounts presented reflect credits from prior years as applicable and do not reflect payments on assessments under dispute. Amounts differ from prior year reports to reflect credit for refunds due from governments that have been applied against ongoing tax liabilities.</t>
  </si>
  <si>
    <t>1. This schedule reflects a voluntary effort by FCX to capture its cash payments to governments (net of refunds). Amounts presented do not reflect payments on assessment under dispute. Amounts presented reflect credits from prior years, as applicable. Jurisdictions listed primarily represent taxes and payments to governments at a project-level, except for the U.S. where material country tax payments are levied at the entity level.</t>
  </si>
  <si>
    <r>
      <t>United States</t>
    </r>
    <r>
      <rPr>
        <b/>
        <vertAlign val="superscript"/>
        <sz val="8"/>
        <color theme="0"/>
        <rFont val="Century Gothic"/>
        <family val="2"/>
      </rPr>
      <t>1</t>
    </r>
  </si>
  <si>
    <r>
      <t>Payments to Governments</t>
    </r>
    <r>
      <rPr>
        <vertAlign val="superscript"/>
        <sz val="8"/>
        <color theme="1"/>
        <rFont val="Century Gothic"/>
        <family val="2"/>
      </rPr>
      <t>3</t>
    </r>
  </si>
  <si>
    <r>
      <t>Total Capital Expenditures</t>
    </r>
    <r>
      <rPr>
        <vertAlign val="superscript"/>
        <sz val="8"/>
        <color theme="1"/>
        <rFont val="Century Gothic"/>
        <family val="2"/>
      </rPr>
      <t>4</t>
    </r>
  </si>
  <si>
    <t>2. Represents costs by FCX's other business groups that are located outside of the countries where FCX conducts its primary operations.</t>
  </si>
  <si>
    <t>3. Excludes employee payroll taxes, dividends, property taxes and certain other taxes, which are included in payments to suppliers and dividends. A reconciliation to the 2022 Cash Payments to Governments schedule can be found on the Cash Payments to Governments tab of this data booklet.</t>
  </si>
  <si>
    <t>4. Includes costs for capital projects, which includes additional payments to suppliers, employee wages and benefits, payments to providers of capital and payments to governments, not included in the table above.</t>
  </si>
  <si>
    <r>
      <t>VOCs, non-methane volatile organic compounds</t>
    </r>
    <r>
      <rPr>
        <vertAlign val="superscript"/>
        <sz val="8"/>
        <rFont val="Century Gothic"/>
        <family val="2"/>
      </rPr>
      <t>1</t>
    </r>
  </si>
  <si>
    <r>
      <t>CO, carbon monoxide</t>
    </r>
    <r>
      <rPr>
        <vertAlign val="superscript"/>
        <sz val="8"/>
        <rFont val="Century Gothic"/>
        <family val="2"/>
      </rPr>
      <t>1</t>
    </r>
  </si>
  <si>
    <r>
      <t>Environmental penalties</t>
    </r>
    <r>
      <rPr>
        <vertAlign val="superscript"/>
        <sz val="8"/>
        <color theme="1"/>
        <rFont val="Century Gothic"/>
        <family val="2"/>
      </rPr>
      <t>5</t>
    </r>
  </si>
  <si>
    <t>Total Women Employed by Location</t>
  </si>
  <si>
    <r>
      <t>Total Recordable Incident Rate (TRIR)</t>
    </r>
    <r>
      <rPr>
        <u/>
        <vertAlign val="superscript"/>
        <sz val="8"/>
        <rFont val="Century Gothic"/>
        <family val="2"/>
      </rPr>
      <t>4</t>
    </r>
  </si>
  <si>
    <r>
      <t>Fatality Rate</t>
    </r>
    <r>
      <rPr>
        <u/>
        <vertAlign val="superscript"/>
        <sz val="8"/>
        <rFont val="Century Gothic"/>
        <family val="2"/>
      </rPr>
      <t>5</t>
    </r>
  </si>
  <si>
    <r>
      <t>Near Miss Frequency Rate (NMFR)</t>
    </r>
    <r>
      <rPr>
        <u/>
        <vertAlign val="superscript"/>
        <sz val="8"/>
        <rFont val="Century Gothic"/>
        <family val="2"/>
      </rPr>
      <t>6</t>
    </r>
  </si>
  <si>
    <r>
      <t>Lost Time Injury Frequency Rate (LTIR)</t>
    </r>
    <r>
      <rPr>
        <vertAlign val="superscript"/>
        <sz val="8"/>
        <rFont val="Century Gothic"/>
        <family val="2"/>
      </rPr>
      <t>7</t>
    </r>
  </si>
  <si>
    <r>
      <t>Employee Demographics</t>
    </r>
    <r>
      <rPr>
        <b/>
        <vertAlign val="superscript"/>
        <sz val="8"/>
        <color theme="1"/>
        <rFont val="Century Gothic"/>
        <family val="2"/>
      </rPr>
      <t>3</t>
    </r>
  </si>
  <si>
    <r>
      <t>North America Consolidated Demographic Info</t>
    </r>
    <r>
      <rPr>
        <u/>
        <vertAlign val="superscript"/>
        <sz val="8"/>
        <color theme="1"/>
        <rFont val="Century Gothic"/>
        <family val="2"/>
      </rPr>
      <t>1,4</t>
    </r>
  </si>
  <si>
    <r>
      <t>Employee Turnover by Region</t>
    </r>
    <r>
      <rPr>
        <u/>
        <vertAlign val="superscript"/>
        <sz val="8"/>
        <color theme="1"/>
        <rFont val="Century Gothic"/>
        <family val="2"/>
      </rPr>
      <t>1,6</t>
    </r>
  </si>
  <si>
    <t xml:space="preserve">6. Turnover rates exclude seasonal, temporary hires and interns. </t>
  </si>
  <si>
    <t xml:space="preserve">1. Prior year data has been updated following review of our data collection process. </t>
  </si>
  <si>
    <t xml:space="preserve">3. Employee demographics are self-reported. </t>
  </si>
  <si>
    <t>1. Reduced CO and VOC emissions in 2022 are largely attributable to updating haul truck engine emission factors to EPA Tier 1 standards emission factors, which better reflect the average age of FCX’s haul truck fleet.</t>
  </si>
  <si>
    <t>2022 SASB STANDARDS</t>
  </si>
  <si>
    <t>We disclose in alignment with the SASB Standards for the Metals &amp; Mining industry (EM-MM; version 2021-12) with information as of the year ended December 31, 2022. Overseen by the International Sustainability Standards Board, which was created by the IFRS Foundation Trustees, SASB Standards are a voluntary sustainability disclosure framework of ESG issues most relevant to financial performance and enterprise value. For further information on the topics disclosed, please see FCX’s 2022 Form 10-K and the other related documents on our website referenced in the following table.</t>
  </si>
  <si>
    <t>(1) 2022 Annual Report on Sustainability: Climate
(2) 2021 Climate Report</t>
  </si>
  <si>
    <t>Terajoules (TJ), Percentage (%)</t>
  </si>
  <si>
    <r>
      <t xml:space="preserve">(1) Total energy consumed: 97,072 TJ
(2) Percentage grid electricity: 37%  
(3) Percentage renewable: 4.0%*
</t>
    </r>
    <r>
      <rPr>
        <i/>
        <sz val="8"/>
        <rFont val="Century Gothic"/>
        <family val="2"/>
      </rPr>
      <t xml:space="preserve">*These data include renewable energy sources such as wind, solar and geothermal contracts for energy consumption, and a percentage associated with biofuels used onsite. Our Americas operations also receive power from hydro and biomass sources, which are not included in the SASB EM-MM standard definition of renewable energy but are considered low-emission sources. The percentage renewable including hydro and biomass sources was 14.9% in 2022. </t>
    </r>
  </si>
  <si>
    <t>274.3 thousand metric tons</t>
  </si>
  <si>
    <t>331 million metric tons</t>
  </si>
  <si>
    <t>414 million metric tons</t>
  </si>
  <si>
    <t>32.6 thousand metric tons</t>
  </si>
  <si>
    <t>7.4 thousand metric tons</t>
  </si>
  <si>
    <t>(1) 2022 Annual Report on Sustainability: Environmental Compliance
(2) 2022 Annual Report on Sustainability: Our Approach</t>
  </si>
  <si>
    <t>(1) 2022 Annual Report on Sustainability: Waste</t>
  </si>
  <si>
    <t>(1) 2022 Annual Report on Sustainability: Thriving Environments</t>
  </si>
  <si>
    <r>
      <t xml:space="preserve">Percentage of (1) proved and (2) probable reserves in or near areas of conflict
</t>
    </r>
    <r>
      <rPr>
        <b/>
        <sz val="8"/>
        <rFont val="Century Gothic"/>
        <family val="2"/>
      </rPr>
      <t>FCX METRIC:</t>
    </r>
    <r>
      <rPr>
        <sz val="8"/>
        <rFont val="Century Gothic"/>
        <family val="2"/>
      </rPr>
      <t xml:space="preserve"> Percentage of total proven and probable reserves (2P reserves) in or near areas of conflict </t>
    </r>
  </si>
  <si>
    <r>
      <t xml:space="preserve">8.8% of total proven and probable reserves are in or near (within 5 kilometers of) areas of conflict, representing PT-FI in Indonesia, as defined by the latest available data from the 2021 Uppsala Conflict Data Program (UCDP).
Per UCDP data, the level of organized violence in Indonesia increased in 2021. In Central Papua, Indonesia, there have been attacks in recent years on civilians by separatists and highly publicized conflicts between separatists and the Indonesia military and police, some of which occurred in or near PT-FI’s operational and support area. No such incidents have occurred in or near PT-FI’s operational and support area in 2022 or since February 2021.  
Our Cerro Verde operations located 20 miles southwest of the city of Arequipa, Peru, is not located in or near active conflict per UCDP data. However, since December 2022, there have been widespread and sometimes violent political protests, including attacks on civil infrastructure and businesses throughout Peru. A state of emergency has been declared, and military forces deployed to augment national police, which have resulted in civilian and police fatalities. Although the impact on Cerro Verde’s operations has been limited, the situation in Peru remains uncertain.
FCX is a founding member, guided by, and implements The Voluntary Principles on Security and Human Rights for our security and human rights programs, including interactions with host government police, military personnel and private security contractors.
</t>
    </r>
    <r>
      <rPr>
        <i/>
        <sz val="8"/>
        <rFont val="Century Gothic"/>
        <family val="2"/>
      </rPr>
      <t>For more information on our approach to human rights and security, please see the relevant sections of our 2022 Annual Report on Sustainability and the human rights section of our website.</t>
    </r>
  </si>
  <si>
    <r>
      <t xml:space="preserve">Percentage of (1) proved and (2) probable reserves in or near indigenous land
</t>
    </r>
    <r>
      <rPr>
        <b/>
        <sz val="8"/>
        <rFont val="Century Gothic"/>
        <family val="2"/>
      </rPr>
      <t>FCX METRIC:</t>
    </r>
    <r>
      <rPr>
        <sz val="8"/>
        <rFont val="Century Gothic"/>
        <family val="2"/>
      </rPr>
      <t xml:space="preserve"> Percentage of total proven and probable reserves (2P reserves) in or near Indigenous land</t>
    </r>
  </si>
  <si>
    <r>
      <t xml:space="preserve">8.8% of total proven and probable reserves are in or near (within 5 kilometers of) Indigenous lands, representing PT-FI in Indonesia, which is located where Indigenous Peoples of Central Papua hold customary land rights.
Indigenous lands for purposes of this calculation are defined by Article 33 of the United Nations Declaration on the Rights of Indigenous Peoples and the International Labor Organization Convention No. 169. While they do not meet the SASB threshold for inclusion, Indigenous Peoples in Chile and Native Americans in the United States either currently or have historically occupied lands in proximity to our operations or have ancestral connections to these lands. We are committed to constructively engaging with all Indigenous Peoples to support shared value for all stakeholders.
</t>
    </r>
    <r>
      <rPr>
        <i/>
        <sz val="8"/>
        <color theme="1"/>
        <rFont val="Century Gothic"/>
        <family val="2"/>
      </rPr>
      <t>Percentages reported above are based on total ore metric tons. Refer to page 38  of FCX's 2022 Form 10-K for average ore grades.</t>
    </r>
  </si>
  <si>
    <t>(1) Voluntary Principles on Security and Human
Rights, Annual Reports to the Plenary
(2) 2022 Annual Report on Sustainability: Communities &amp; Indigenous Peoples
(3) 2022 Annual Report on Sustainability: Responsible Value Chains
(4) 2021 OECD Step 5 Due Diligence Report</t>
  </si>
  <si>
    <t>(1) 2022 Annual Report on Sustainability: Communities &amp; Indigenous Peoples
(2) Sustainability &gt; People &gt; Communities &amp; Indigenous Peoples &gt; Assessing &amp; Managing Impacts page on fcx.com
(3) Sustainability &gt; People &gt; Communities &amp; Indigenous Peoples &gt; Land Use and Customary Rights page on fcx.com
(4) Sustainability &gt; People &gt; Communities &amp; Indigenous Peoples &gt; Public Health page on fcx.com</t>
  </si>
  <si>
    <t>There were no non-technical delays at any of our operations in 2022.</t>
  </si>
  <si>
    <r>
      <t xml:space="preserve">Approximately 30% of our global full-time employee population was covered by collective labor agreements on December 31, 2022, broken down as follows:
0% North America
47% Indonesia
67% South America
60% Europe / Other
While our North American workforce is not represented by unions, our hourly employees elect to work directly with company management rather than through union representation using our Guiding Principles agreement, which outlines how we work together within the values of the company to achieve our collective goals. 
</t>
    </r>
    <r>
      <rPr>
        <i/>
        <sz val="8"/>
        <rFont val="Century Gothic"/>
        <family val="2"/>
      </rPr>
      <t>Please see references for more information on our approach to labor relations.</t>
    </r>
  </si>
  <si>
    <t>There were no strikes or lockouts at any of our operations in 2022.</t>
  </si>
  <si>
    <t>For full year 2022:
(1)(a) MSHA all-incidence rate for full-time employees: 0.93 
(1)(b) MSHA all-incidence rate contract employees: 0.60 
(2)(a) fatality rate for full-time employees: 0.000
(2)(b) fatality rate for contract employees: 0.003
(3)(a) near miss frequency rate (NMFR) for full-time employees: 1.03 
(3)(b) near miss frequency rate (NMFR) for contract employees: 0.64
(4) We do not currently disclose this information.</t>
  </si>
  <si>
    <t>We use a combination of tools to help gather critical data on suppliers with regard to compliance, ESG and other related risks. In recognition of the potential legal and reputational liability that could result from actions of our business partners and contractors under the Foreign Corrupt Practices Act (FCPA) and other laws, the company operates an online due diligence platform, the Freeport Compliance eXchange (FCeX). FCeX is a survey-based software platform designed to assess risk in areas of anti-corruption, international trade, human rights and responsible sourcing, and includes a number of sustainability-related questions. FCeX enhances our ability to identify, assess and mitigate compliance risks. The survey is utilized for all new vendors as our first line of due diligence in our responsible sourcing program. 
In recent years, we enhanced the responsible sourcing section in the FCeX survey, completed the global roll out of the FCeX tool, and implemented SAP Ariba Supplier Risk Management and Supplier Lifecycle and Performance onboarding tools, which enable us to more effectively identify and mitigate risks in supplier relationships. The SAP Ariba software enhances our supplier risk assessment using data from external sources – including operations, regulatory (anti-corruption and human rights), environmental and financial – and provides more in-depth risk-based assessments through targeted questionnaires and audits. We track these assessments and resulting actions, engagement and approvals for ongoing supplier life cycle management.
We perform annual company-wide program and risk assessments with assistance from our internal audit firm, Deloitte, and specialized external legal counsel, who both contribute to the following year’s assessment strategies. Business controls resulting from periodic fraud risk assessments are tested and reviewed annually at our corporate offices as well as at PT-FI, Cerro Verde, El Abra and Atlantic Copper.</t>
  </si>
  <si>
    <t>(1) 2022 Annual Report on Sustainability: Responsible
Value Chains
(2) 2022 Annual Report on Sustainability: Business Conduct &amp; Policies</t>
  </si>
  <si>
    <t>(1) Sustainability &gt; Thriving Environments &gt; Tailings – Americas on fcx.com 
(2) 2022 Annual Report on Sustainability: Tailings Management</t>
  </si>
  <si>
    <r>
      <rPr>
        <sz val="8"/>
        <color theme="1"/>
        <rFont val="Century Gothic"/>
        <family val="2"/>
      </rPr>
      <t xml:space="preserve">FCX is in the process of implementing the Global Industry Standard on Tailings Management (the Tailings Standard) at our Americas Tailings Storage Facilities (TSFs). As a member of the International Council on Metals and Mining, FCX has agreed that all TSFs with “extreme” or “very high” potential consequence (based on credible failure modes) should demonstrate conformance with the Tailings Standard by August 2023, and conformance of all other TSFs by August 2025. 
For detailed information on FCX’s TSFs, please refer to the detailed TSF information, which is dated as of April 21, 2022, on fcx.com. FCX plans to update its detailed TSF disclosures in the future as we complete conformance with the Tailings Standard. An aspect of conforming with the Tailings Standard is aligning TSF consequence classifications with the Tailings Standard’s outlined approach. 
</t>
    </r>
    <r>
      <rPr>
        <i/>
        <sz val="8"/>
        <color theme="1"/>
        <rFont val="Century Gothic"/>
        <family val="2"/>
      </rPr>
      <t xml:space="preserve">
To learn more about our implementation of the Tailings Standard, please see the Tailings Management section of the 2022 Annual Report on Sustainability.</t>
    </r>
  </si>
  <si>
    <t>For more information on our multi-tiered oversight and tailings governance, please see the Tailings Management section of the 2022 Annual Report on Sustainability.</t>
  </si>
  <si>
    <t>(1) 2022 Annual Report on Sustainability: Tailings Management</t>
  </si>
  <si>
    <r>
      <rPr>
        <sz val="8"/>
        <color theme="1"/>
        <rFont val="Century Gothic"/>
        <family val="2"/>
      </rPr>
      <t xml:space="preserve">In accordance with our commitment to conform our TSFs with “extreme” or “very high” potential consequences with the Tailings Standard by August 2023 and all other TSFs by August 2025, we are updating our processes and documents to include additional elements for those TSFs that require Emergency Preparedness and Response Plans (EPRP) as defined by the Tailings Standard. </t>
    </r>
    <r>
      <rPr>
        <i/>
        <sz val="8"/>
        <color theme="1"/>
        <rFont val="Century Gothic"/>
        <family val="2"/>
      </rPr>
      <t xml:space="preserve">
 For information on our commitment to update our processes and documents to include EPRPs for tailings storage facilities, please see the Tailings Management section of the 2022 Annual Report on Sustainability.</t>
    </r>
  </si>
  <si>
    <t xml:space="preserve">(1) Sustainability &gt; Thriving Environments &gt; Tailings – Americas on fcx.com </t>
  </si>
  <si>
    <t>Full year 2022 consolidated production from our mines:
4,210 million recoverable pounds or 1,909,624 metric tons of copper; 
1,811 thousand recoverable ounces or 51 metric tons of gold; and 
85 million recoverable pounds or 38,555 metric tons of molybdenum</t>
  </si>
  <si>
    <t>Implement policies and practices to respect the rights and interests of women that reflect gender-informed approaches to work practices and job design, and that protect against all forms of discrimination and harassment, and behaviours that adversely impact on women’s successful participation in the workplace.</t>
  </si>
  <si>
    <t>Implement policies and practices to respect the rights and interests of all workers and improve workforce representation in the workplace so it is more inclusive.</t>
  </si>
  <si>
    <t>Integrate sustainable development principles into corporate strategy and decision-making processes relating to investments and in the design, operation and closure of facilities.</t>
  </si>
  <si>
    <t>Support the adoption of responsible physical and psychological health and safety, environmental, human rights and labour policies and practices by joint venture partners, suppliers and  contractors, based on risk.</t>
  </si>
  <si>
    <t>Support the UN Guiding Principles on Business and Human Rights by developing a policy commitment to respect human rights, undertaking human rights due diligence and providing for or cooperating in processes to enable the remediation of adverse human rights impacts that members have caused or contributed to.</t>
  </si>
  <si>
    <t>We are committed to respecting the human rights of community members and, when unavoidable, conducting community resettlement activities in alignment with international best practices. This commitment is reflected in our Social Performance Policy, Human Rights Policy and Responsible Sourcing of Minerals Policy. We did not have any community resettlement activities in 2022.</t>
  </si>
  <si>
    <t>Work to obtain the free, prior and informed consent of Indigenous Peoples where significant adverse impacts are likely to occur, as a result of relocation, disturbance of lands and territories or of critical cultural heritage, and capture the outcomes of engagement and consent processes in agreements.</t>
  </si>
  <si>
    <t>Plan and design for closure in consultation with relevant authorities and stakeholders, implement measures to address closure-related environmental and social aspects, and make financial provision to enable agreed closure and post-closure commitments to be realised.</t>
  </si>
  <si>
    <t>Assess the hazards of the products of mining according to UN Globally Harmonised System of Hazard Classification and Labelling or equivalent relevant regulatory systems and communicate through safety data sheets and labelling as appropriate.</t>
  </si>
  <si>
    <t>Report annually on economic, social and environmental performance at the corporate level using the GRI Sustainability Reporting Standards.</t>
  </si>
  <si>
    <t>Each year, conduct independent assurance of sustainability performance following the ICMM guidance on assuring and verifying membership requirements.</t>
  </si>
  <si>
    <t>In project design, operation and de-commissioning, implement cost-effective measures for the recovery, re-use or recycling of energy, natural resources, and materials.</t>
  </si>
  <si>
    <t>Equitably remunerate employees with wages that equal or exceed legal requirements or represent a competitive wage within that job market (whichever is higher) and assign regular and overtime working hours within legally required limits.</t>
  </si>
  <si>
    <t>FCX is committed to the highest level of ethical and legal conduct in all of our business activities. Acting ethically involves more than simply complying with laws and regulations; it involves recognition that our decisions affect others. By keeping this in mind, we aspire to earn the respect, trust and confidence of our stakeholders.
• Form 10-K
• Information can be found in our 2022 Annual Report on Sustainability: Robust Governance &gt; Business Conduct &amp; Policies</t>
  </si>
  <si>
    <t>FCX has zero tolerance for corruption of any kind. In addition to employees, FCX holds business partners to this same standard. FCX does not obtain a business advantage through bribery, improper payments, kickbacks or any other illegal means. No employee or business partner may offer, pay, solicit or accept bribes in any form, including facilitation payments.
• Principles of Business Conduct (PBC)
• Business Partner Code of Conduct (BPCC)
• Anti-Corruption Policy
• Information can be found in our 2022 Annual Report on Sustainability: Robust Governance &gt; Business Conduct &amp; Policies, Responsible Value Chains</t>
  </si>
  <si>
    <t>To facilitate implementation of our policy commitments and objectives, we utilize a combination of audit and assessment programs along with an annual program for site-level third-party assurance of our sustainability framework—including the implementation of our commitments under the ICMM Mining with Principles Framework and the Copper Mark. We report and track our progress in our Annual Report on Sustainability as well as other external disclosures including the Voluntary Principles Report to the Plenary (VPs), the UK Modern Slavery Act Statement, the OECD Step 5 Report and site summary reports published by the Copper Mark available at coppermark.org.
• Voluntary Principles Report to the Plenary
• UK Modern Slavery Act Statement
• OECD Step 5 Report
• Information can be found in our 2022 Annual Report on Sustainability: Robust Governance</t>
  </si>
  <si>
    <t>FCX recognizes that public policy decisions can significantly affect our operations, future business opportunities, employees, shareholders and the communities in which FCX operates. For this reason, FCX exercises its right and responsibility to participate in public policy matters by following public matters that are important to FCX and interacting, where appropriate, with elected and appointed government officials, regulators and their staff. FCX is committed to the highest level of ethical and legal conduct and transparency regarding its political activity and spending practices. This commitment also includes rigorous compliance with applicable laws and regulations.
• Information can be found in FCX’s CRC Charter, Anti-Corruption Policy and Political Activity and Spending Practices on our website at fcx.com</t>
  </si>
  <si>
    <t>FCX’s cross-functional SLT includes members of the management team tasked with defining the sustainability strategy and implementing sustainability policies, systems, and programs across the organization to achieve integrated decision-making for responsible production and performance. The SLT evolved FCX’s sustainability strategy, formalized its integration throughout the company and clarified the ambition: Accelerate the Future, Responsibly. FCX integrates its voluntary commitments, policies and practices into the risk register process, which drives action both at site and project level. Regular measurement and reporting support FCX’s understanding of the company’s current performance, including any gaps, and the actions to take to improve. FCX seeks to plan and operate its mines in a manner that considers post-mining land use well in advance of mine closure. Likewise, when designing new projects or expanding existing ones, FCX plans for how the land can be reclaimed once the mine closes. FCX’s philosophy of responsible production continues after closure of mining and processing sites through to reclamation. 
FCX strives to partner collaboratively with host communities and Indigenous Peoples to define and deliver shared value, throughout the mine life cycle. We not only seek to avoid, minimize and mitigate negative impacts from FCX operations but also aim to provide long-lasting benefits to our neighbors – beyond closure. We aim to work in partnership with host communities – which in many cases includes Indigenous Peoples – to help build resiliency and well-being at the individual- and institutional-level to help people thrive over the life of our mines and beyond. 
• Information can be found in our 2022 Annual Report on Sustainability: Our Approach; Thriving Environments &gt; Mine Closure and Reclamation</t>
  </si>
  <si>
    <t xml:space="preserve">At each FCX operation, we aim to be a preferred employer, neighbor, business partner and supplier. We are committed to responsibly managing our social impacts on people, which includes focusing on the health, safety and security of our workforce and host communities and respecting the rights of people who may be impacted by FCX’s business. Various programs to address psychological safety are currently under evaluation.
FCX recognizes that mining impacts the natural environment. We are committed to conducting our mining and processing operations in a manner that minimizes adverse impacts on the environment and supports protection of the natural environment and ecosystems through responsible environmental stewardship, strong management systems and continuous improvement.  Effective environmental protection and stewardship are key to ensuring the long-term viability of our business, including maintaining the necessary support from host communities and governments.
FCX’s Business Partner Code of Conduct and compliance screening processes represent the foundation of FCX’s responsible sourcing program for all suppliers globally. Based on the PBC, FCX’s Business Partner Code of Conduct sets forth expectations for business partners in areas such as safety, human rights, anti-corruption, community and environment. FCX mandates human rights standards through its supplier contracts. 
• Information can be found in our 2022 Annual Report on Sustainability: Robust Governance &gt; Business Conduct &amp; Policies; Our Approach; Empowered People &amp; Resilient Communities; Thriving Environments </t>
  </si>
  <si>
    <t xml:space="preserve">We are committed to respecting internationally recognized human rights as set out in the VPs.
The VPs serve as guidelines for our security and human rights programs, including for interactions with host-government police, military personnel and private security contractors. We focus our implementation primarily on Indonesia and Peru, which are our higher-risk jurisdictions for security and human rights matters. The VPs serve as a key component of our broader human rights program, which includes implementation of the UNGPs. Not all human rights issues are security issues, and not all security issues are human rights issues—it is at the nexus of human rights and security where our implementation of the VPs resides. 
We have remained an active participant in the VPs Initiative since it was first established in 2000.
• Voluntary Principles Report to the Plenary
• Information can be found in our 2022 Annual Report on Sustainability: Robust Governance &gt; Responsible Value Chains; and on the Robust Governance &gt; Human Rights &gt; Security &amp; Human Rights page our website at fcx.com. </t>
  </si>
  <si>
    <t xml:space="preserve">Our Business Partner Code of Conduct and compliance screening processes are the foundation of our responsible sourcing program for goods and services. We are committed to operating in a manner consistent with the UNGC Ten Principles, including Labour Principles 3, 4, 5 and 6. 
• PBC
• Inclusion &amp; Diversity Policy
• Social Performance Policy
• Human Rights Policy
• Responsible Sourcing of Minerals Policy
• Business Partner Code of Conduct
• UK Modern Slavery Act Statement
• Information can be found in our 2022 Annual Report on Sustainability: Our Approach: Responsible Value Chains; Robust Governance &gt; Human Rights; Empowered People &amp; Resilient Communities &gt; Workforce </t>
  </si>
  <si>
    <t>Our approach aims to respect the social, economic and cultural rights of Indigenous Peoples, including supporting their effective representation and participation in engagements with our company. This approach includes adherence to the ICMM Position Statement on Indigenous Peoples and Mining and working towards obtaining FPIC for new projects and material expansions of existing projects of existing projects where significant impacts are likely to occur. Through ongoing engagement, cultural promotion and preservation projects, as well as training and development programs, FCX seeks to address needs while being sensitive to cultures and customs of Indigenous Peoples.
• Social Performance Policy
• Information can be found in our 2022 Annual Report on Sustainability: Empowered People &amp; Resilient Communities &gt; Communities &amp; Indigenous Peoples</t>
  </si>
  <si>
    <t>Gender diversity continues to be an important focus for the company in recognition that progressing an inclusive workplace culture that extends beyond our operational boundaries and into our communities is a critical driver for recruiting, retaining, developing and advancing top female talent. We are proactively working to retain and attract women to work at FCX, and we have been working to promote an inclusive culture and to support well-being initiatives, including flexible work hours at some sites, increasing opportunities for remote work where feasible, and access to health and wellness resources.
We are working to implement policies and practices to respect the rights and interests of women that reflect gender-informed approaches to work practices and job design. 
• Information can be found in our 2022 Annual Report on Sustainability: Empowered People &amp; Resilient Communities &gt; Inclusion &amp; Diversity &gt; Gender Diversity; Robust Governance &gt; Business Conduct &amp; Policies</t>
  </si>
  <si>
    <t>FCX is committed to sourcing, producing, and distributing metals and minerals responsibly across our entire value chain.  
We have a Responsible Sourcing of Minerals Policy that drives the implementation of the OECD Due Diligence Guidance for Responsible Supply Chains of Minerals in Conflict-Affected and High-Risk Areas across FCX. We produce an annual Step 5 Report that outlines our conformance to the Policy and OECD requirements, detailing risks identified and managed in our mineral supply chains. Following publication of our 2021 OECD Step 5 Due Diligence Report, in which we provided a summary of our efforts in 2021 and early 2022, we continued business-to-business collaborations to evaluate risks and share best practices. 
• Responsible Sourcing of Minerals Policy
• 2021 OECD Step 5 Due Diligence Report
• Information can be found in our 2022 Annual Report on Sustainability: Our Approach &gt; Responsible Value Chains and Responsible Sourcing of Minerals &amp; Metals</t>
  </si>
  <si>
    <t>We drive responsible production practices throughout our operations by identifying the commitments and the corresponding responsible production frameworks that we believe will move the industry forward and help to meaningfully advance our operations and our supply chains. These commitments include our strategic focus areas and related ambitions and performance targets, as well as commitments such as the Copper Mark, UNGPs, the VPs and Task Force on Climate-related Financial Disclosures (TCFD), among others. Being a responsible producer also means purposefully working toward achieving the SDGs within our communities and value chain. Ongoing stakeholder engagement is fundamental to informing our policies and processes as well as the voluntary commitments to which we subscribe.
• Information can be found in our 2022 Annual Report on Sustainability: Our Approach; Empowered People &amp; Resilient Communities; Thriving Environments</t>
  </si>
  <si>
    <t>Safety is a core company value and is foundational to our sustainability approach. Our highest priority is the health, safety and well-being of our employees, contractors, suppliers and the communities where we operate. We strive to achieve zero workplace fatalities, high-risk incidents, injuries and occupational illnesses by creating a safe and healthy workplace. This includes providing the training, tools and resources needed so our workforce can identify risks and consistently apply effective controls. We share information and key learnings about potential fatal events, high-risk incidents, and best practices throughout the company, and we engage with industry peers and professional organizations to learn and continuously improve our health and safety program. 
Our framework for managing risks and compliance obligations is certified in accordance with the ISO 45001 Health and Safety Management System, which requires third-party site-level verification of requirements.
• Safety &amp; Health Policy
• Information can be found in our 2022 Annual Report on Sustainability:  Empowered People &amp; Resilient Communities &gt; Health, Safety &amp; Well-being; Performance Data</t>
  </si>
  <si>
    <t>Safety is a core company value and is foundational to our sustainability approach. Our highest priority is the health, safety and well-being of our employees, contractors, suppliers and the communities where we operate. We believe that health and safety considerations are integral to, and fundamental for our operational success and efficiency and ultimately to our ability to deliver long-term value to our stakeholders.
We strive to achieve zero workplace fatalities, high-risk incidents, injuries and occupational illnesses by creating a safe and healthy workplace. This includes providing the training, tools and resources needed so our workforce can identify risks and consistently apply effective controls. We share information and key learnings about potential fatal events, high-risk incidents, and best practices throughout the company, and we engage with industry peers and professional organizations to learn and continuously improve our health and safety program.
Our Safe Production Matters strategy is focused on fatality prevention and continuous improvement through robust management systems, safe work behaviors and our safety culture, supported by leaders empowering our teams to work safely. We further seek to prevent fatalities and high-risk incidents by leveraging technology to support safe work practices in the field and leveraging analytics to support data driven decision making in combination with behavioral science principles. 
• Safety &amp; Health Policy
• Information can be found in our 2022 Annual Report on Sustainability:  Empowered People &amp; Resilient Communities &gt; Health, Safety &amp; Well-being; Performance Data</t>
  </si>
  <si>
    <t>We seek to plan and operate our mines in a manner that considers post-mining land use well in advance of mine closure. Likewise, when designing new projects, or expanding existing ones, we plan for how the land can be reclaimed once the mine closes. Our philosophy of responsible production continues when we close our mining and processing sites through to reclamation. FCX strives to work in partnership with our host communities – which in many cases includes Indigenous Peoples—to define and deliver shared value, throughout the mine life cycle. We not only seek to avoid, minimize and mitigate negative impacts from our operations but also aim to provide long-lasting benefits to our neighbors—beyond closure so people can thrive over the life of our mines and beyond.
At each of our operations, we have mine closure and reclamation plans with site-specific environmental measures designed to minimize long-term impacts, promote ecosystem reestablishment, and protect the watersheds where we operate. To support future anticipated closure and reclamation costs, each operating mine site has asset retirement obligations aligned with approved closure plans. These are estimated and accounted for in accordance with GAAP and are audited by an independent accounting firm. 
• Environmental Policy
• Social Performance Policy
• Information can be found in our 2022 Annual Report on Sustainability: Thriving Environments &gt; Mine Closure &amp; Reclamation</t>
  </si>
  <si>
    <t>Our Environmental Policy serves as the framework for the protection of natural resources in the regions where we live and work. In addition to maintaining compliance with laws and regulations, our policy objectives are to minimize environmental impacts using risk management strategies based on valid data and sound science. Our Policy also requires that we review and account for the environmental effects of our activities throughout the mining life cycle, and we plan and conduct our operations in a manner that optimizes the economic use of resources while minimizing adverse environmental effects.
All of our mining and mineral processing operations and technology centers maintain Environmental Management Systems (EMS) that are certified to the ISO 14001:2015 standard by independent auditors. As part of our EMS, our workforce is trained on site-specific subject areas and annually on environmental issues, and is supported by environmental professionals working in the field.
Site management teams identify, manage, and mitigate environmental risks through our risk register process and the use of environmental critical control systems designed to prevent environmental incidents at our operations. Critical controls are focused on the elimination of unplanned off-site releases and prevention or minimization of impacts to water and other natural resources. 
At the corporate level, subject matter experts train, develop and support our site teams, routinely conduct site visits, and in some cases, directly manage a group of site-based experts. Collectively, they are responsible for building technical expertise, ensuring consistency in our environmental programs and sharing best practices.
In 2022, we fully adopted across all sites the mitigation hierarchy approach — a framework that emphasizes best practices for managing biodiversity and ecosystems through the avoidance, minimization, restoration and offsetting of impacts. Through consistent and rigorous application of the mitigation hierarchy, we aim to manage risks and potential impacts with the long-term ambition of No Net Loss for new mines and major expansion projects at existing mines. Notably, in 2022, we also developed a mitigation hierarchy process beyond major expansion projects to include smaller projects and deployed site-specific trainings during the year.
• Environmental Policy
• Information can be found in our 2022 Annual Report on Sustainability: Thriving Environments &gt; Biodiversity</t>
  </si>
  <si>
    <t>As one of the world’s largest copper producers, we understand our critical role in the low-carbon energy transition. We are dedicated to supplying the global economy with responsibly produced copper which includes operating in a manner that manages and mitigates our greenhouse gas (GHG) emissions and other climate-related risks and impacts. FCX is committed to implementing the requirements outlined in the ICMM Climate Change Position Statement and Performance Expectations for energy and climate change. In addition, our commitment to the Copper Mark requires that we develop and achieve targets over time and report our progress at a site level. Operational-level data is available in our ESG Performance Data tables.
We are advancing important initiatives to reduce our GHG emissions, improve energy efficiency, evaluate and integrate the use of lower carbon and renewable energy and enhance our resilience to future climate-related risks. We have multiple decarbonization initiatives either already in process or under evaluation across our global business. In Fall of 2022, we published our updated climate report, which outlines substantial progress in advancing our climate strategy and commitments. 
• 2021 Climate Report
• ESG Performance Data - Climate
• Information can be found in our 2022 Annual Report on Sustainability</t>
  </si>
  <si>
    <t>FCX is committed to operating in a manner that respects legally designated protected areas, including a commitment to no mining and exploring in UNESCO World Heritage sites, which is included in our Environmental Policy.
Our proven and probable reserves located near endangered species habitats do not affect those habitats. The endangered species habitats near Morenci, Chino, and Climax reserves are located on federal lands managed by the U.S. Forest Service; we do not conduct activities within the habitat. Cerro Verde’s reserves qualify due to an endangered bat species that is known to occur and forage in the general region of the operations and we actively seek to protect the species. PT-FI’s reserves qualify due to the district’s proximity to Lorentz National Park, however we have not and will not conduct any mining or exploration activities in Lorentz National Park, which is a UNESCO World Heritage Site. We maintain significant programs at PT-FI’s operations to protect biodiversity in the area.
•Environmental Policy
• Information can be found in our 2022 Annual Report on Sustainability: Thriving Environments &gt; Biodiversity; 2022 SASB Standards</t>
  </si>
  <si>
    <t>FCX implements a variety of programs and strategies at its operations that seek to proactively identify and mitigate biodiversity risks while promoting conservation opportunities in collaboration with government agencies and other voluntary opportunities.
In 2022, we fully adopted across all sites the mitigation hierarchy approach — a framework that emphasizes best practices for managing biodiversity and ecosystems through the avoidance, minimization, restoration and offsetting of impacts. Through consistent and rigorous application of the mitigation hierarchy, we aim to manage risks and potential impacts with the long-term ambition of No Net Loss for new mines and major expansion projects at existing mines. Notably, in 2022, we also developed a mitigation hierarchy process beyond major expansion projects to smaller projects and deployed site-specific trainings during the year. 
We recognize the mitigation hierarchy is most effective when implemented during the earliest phases of project planning to help maximize opportunities for avoidance and minimization of impacts. We have integrated the hierarchy into our existing project development process and trained our environmental and operational teams to routinely apply it.
• Environmental Policy
• Information can be found in our 2022 Annual Report on Sustainability: Thriving Environments &gt; Biodiversity</t>
  </si>
  <si>
    <t>In addition to mining and mineral processing wastes, such as tailings, waste rock, overburden and slag, our operations generate non-mining waste, which requires proper end-of-life management. Responsible management of all these materials is critical to complying with environmental regulations, maintaining community and environmental health, and social acceptance of our operations.
FCX is committed to reducing our environmental impact, which includes the effective management of our mining and mineral processing waste (such as tailings, overburden and slag, waste rock) as well as non-mining waste (such as recycled material and landfilled waste). The volume of mining and mineral processing waste we generate varies depending on site-specific mine plans. In addition to responsibly managing our mining and mineral processing waste, we continuously evaluate opportunities to reduce the quantity of non-mining waste generated. We seek to apply the standard protocol of reduce, reuse, recycle wherever possible and implement robust practices to identify, categorize, store and manage non-mining wastes. Through our asset recovery programs, we divert certain materials from the landfill, and we strive to increase recycling and reuse of materials in our operations. Furthermore, we evaluate our hazardous waste streams and, when possible, substitute materials with lower toxicity into our processes.
• 2021 Climate Report
• Information can be found in our 2022 Annual Report on Sustainability: Our Approach &gt; Our Strategy in Action: Responsible Production</t>
  </si>
  <si>
    <t xml:space="preserve">Our framework for managing risks and compliance obligations is certified in accordance with the internationally recognized ISO 45001 Health and Safety Management System. Our safety management system ISO 45001 covers handling and use of hazardous materials on site, including maintenance of safety data sheets. 
• Safety &amp; Health Policy
• Information can be found in our 2022 Annual Report on Sustainability: Empowered People &amp; Resilient Communities &gt; Health, Safety &amp; Well-being </t>
  </si>
  <si>
    <t xml:space="preserve">Proactive, ongoing engagements and constructive dialogue are foundational to our approach. This is how we understand actual, potential and perceived impacts on our host communities, build trust, and mutually identify the most relevant social investments and development priorities to address our impacts and support enhanced resilience. We also work actively through engagement and capacity-building activities to support host communities in maximizing the social and economic benefits of our operations.
• Social Performance Policy
• Information can be found in our 2022 Annual Report on Sustainability: Our Approach &gt; Stakeholder Engagement; Empowered People &amp; Resilient Communities &gt; Communities &amp; Indigenous Peoples; Economic Contributions </t>
  </si>
  <si>
    <t xml:space="preserve">FCX’s approach to stakeholder engagement is characterized by transparency, collaboration and meaningful dialogue, with the primary goal of fostering mutual understanding, trust and cooperation. the interests and concerns of our various stakeholders can change over time, which underscores the need for ongoing and proactive engagement to learn about these changing needs and expectations. For this reason, we seek to maintain ongoing, constructive and proactive stakeholder engagement programs at both the corporate- and site-level throughout the year. 
We have a broad range of stakeholders with whom we engage, including shareholders, employees, host communities and Indigenous Peoples, customers and suppliers, industry associations, regulators and policymakers, host governments, and nongovernmental organizations. 
We have established site-level grievance mechanisms for employees, community members and members of our supply chain and others to support constructive engagement and resolution of issues that may arise where questions, concerns and complaints can be shared outside of any other engagement forum.
• Social Performance Policy
• Human Rights Policy
• Information can be found in our 2022 Annual Report on Sustainability: Our Approach &gt; Stakeholder Engagement; Robust Governance &gt; Human Rights; Empowered People &amp; Resilient Communities &gt; Communities &amp; Indigenous Peoples and Economic Contributions and Community Grievance Mechanism </t>
  </si>
  <si>
    <t>We have endorsed and committed to support the EITI since 2008. We maintain significant mining operations in Indonesia and Peru, both of which have implemented EITI, and we actively support and participate in associated in-country processes as part of EITI. We also aim to support governments’ ambitions to achieve contract transparency. In addition to our country-level EITI commitments and regulatory reporting obligations, our practice is to provide transparency by voluntarily reporting cash payments to governments in all significant jurisdictions where we conduct business. Our support includes direct financial
contributions as well as contributions through ICMM.
• Information can be found in our 2022 Annual Report on Sustainability:  Empowered People &amp; Resilient Communities &gt; Economic Contributions</t>
  </si>
  <si>
    <t xml:space="preserve">FCX’s sustainability reports have been independently verified since 2005. External assurance of our 2022 reporting was conducted by EY in accordance with the ICMM Mining Principles Assurance and Validation Procedure, which can be found at ICMM website. Since 2009, site-level external assurance has been completed multiple times at all active mining and metals processing operations. We conduct site-level external assurance at operations at a minimum of once every three years, with annual assurance engagements at PT-FI and Cerro Verde. In addition, all FCX sites which carry the Copper Mark (currently all eligible copper operations) or Molybdenum Mark are assured at a reasonable level once every three years, the results of which are reported on the Copper Mark website at coppermark.org. 
• Information can be found in our 2022 Annual Report on Sustainability and on the External Assurance webpage of fcx.com </t>
  </si>
  <si>
    <t>Pursue continual improvement in environmental performance issues, such as water
stewardship, energy use and climate change.</t>
  </si>
  <si>
    <t xml:space="preserve">FCX has comprehensive measures in place to ensure our facilities are designed, built, operated and monitored to minimize risk to employees, neighboring host communities and the environment. These measures include substantial internal and external engineering expertise, technological monitoring (including remote sensing), local responsibility and corporate and independent third-party oversight. Our safeguards generally fall within four categories that include: (1) good engineering practices and safe designs, (2) rigorous adherence to construction and operational parameters through monitoring and use of technology, (3) multi-tiered oversight, and (4) adherence to practices grounded in continuous improvement and learning from past experiences, including industry failures and best practices. The safeguards are effectively implemented through the promotion of open and ongoing communication throughout the organization and action at all levels. 
We remain focused on the safe execution of our tailings management systems by maintaining robust, multi-tiered governance of our tailings programs. Our Board and executive management are firmly committed to providing the necessary financial and technical resources to maintain the safety and integrity of our tailings management systems globally, with a focus on risk management and continuous improvement.
FCX’s Tailings Management Policy  outlines our continued commitment to managing our tailings responsibly and effectively across our sites globally. The policy also includes our commitment to implement the Global Industry Standard on Tailings Management (the Tailings Standard) at our tailings storage facilities.
• Environmental Policy
• Tailings Management Policy 
• Information can be found in our 2022 Annual Report on Sustainability: Thriving Environments &gt; Tailings Management; Site-Specific Tailings Management and Information on fcx.com </t>
  </si>
  <si>
    <t>We employ a variety of baselining and risk management tools to identify and evaluate the potential sustainability-related impacts of our operations. Together, these tools help us characterize the current social, economic and environmental conditions and provide a baseline against which we can measure our performance over time. Environmental and Social Impact Assessments identify potentially affected stakeholders and potential impacts from the outset of new projects. We are currently working to integrate human rights impacts into these assessments to help better inform about impacts to people from growth projects. Additionally, as part of the internal risk review process, our Project Development Sustainability Review considers sustainability issues during the evaluation, and implementation of, potential expansion and development projects. The Project Development Sustainability Review process enables us to identify, prioritize and proactively manage potential risks before a project begins and throughout its development. The process is applied during the early stages of mine expansion and project development, particularly during scoping, pre-feasibility and feasibility stages so that risks may be adequately addressed early and continuously throughout. The process also supports preparation for future closure of operations. 
Since its inception in 2011, we have undertaken reviews and implemented actions for 38 projects. Key focus areas identified at different project stages have included: access to water, energy and materials, potential impacts to hydrology, air quality, biodiversity, human rights, community receptivity, economic impacts, and land acquisition and resettlement. 
• Information can be found in our 2022 Annual Report on Sustainability: Our Approach &gt; Our Strategy in Action: Responsible Production; Empowered People &amp; Resilient Communities; Empowered People &amp; Resilient Communities &gt; Communities &amp; Indigenous Peoples &gt; Assessing and Managing Impacts page on fcx.com</t>
  </si>
  <si>
    <t>FCX’s water stewardship program focuses on maximizing water use efficiency within our operations so that we can minimize our use of new freshwater taken from the natural environment. We are also focused on shifting our water supplies to more sustainable sources (recycled, reused, renewable and lower quality sources), minimizing negative impacts from our operations on water quality and availability in the local catchments, and supporting the development of access to previously unknown, unavailable, or undeveloped water resources.
In addition to focusing on our own water-related supply risks surrounding our operations, water stewardship also means we are focused on promoting long-term water security for our host communities in and around our operations. We recognize the importance of working collaboratively with our stakeholders to secure access to water in a socially and environmentally responsible manner, and we are dedicated to continuously improving our water programs over time.
• Environmental Policy
• Information can be found in our 2022 Annual Report on Sustainability: Thriving Environments &gt; Water Stewardship</t>
  </si>
  <si>
    <t>Economic Impact Reports</t>
  </si>
  <si>
    <t>Workforce: Careers</t>
  </si>
  <si>
    <t>FM Jobs</t>
  </si>
  <si>
    <t>2019 Water Report</t>
  </si>
  <si>
    <t>Environment: Tailings Management Policy</t>
  </si>
  <si>
    <t>Environment: Site-Specific Tailings Management and Information</t>
  </si>
  <si>
    <t>Environment: Climate Report</t>
  </si>
  <si>
    <t>Environment: Water Report</t>
  </si>
  <si>
    <t>Human Rights: UK Modern Slavery Act Statement</t>
  </si>
  <si>
    <t>Human Rights: Voluntary Principles Report</t>
  </si>
  <si>
    <t>Governance: Proxy Statement</t>
  </si>
  <si>
    <t>Governance: Corporate Governance Guidelines</t>
  </si>
  <si>
    <t>Governance: Corporate Responsibility Committee Charter</t>
  </si>
  <si>
    <t>Governance: Political Activity and Spending Practices</t>
  </si>
  <si>
    <t>Supply Chain: Global Supply Chain</t>
  </si>
  <si>
    <t>Supply Chain: Commodity Management</t>
  </si>
  <si>
    <t>Supply Chain: Responsible Sourcing of Minerals Policy</t>
  </si>
  <si>
    <t>Supply Chain: OECD Step 5 Due Diligence Report</t>
  </si>
  <si>
    <t>Supply Chain: Business Partner Code of Conduct</t>
  </si>
  <si>
    <t>Governance: Principles of Business Conduct</t>
  </si>
  <si>
    <t>Governance: Form 10-K</t>
  </si>
  <si>
    <t>Governance: Anti-Corruption Policy</t>
  </si>
  <si>
    <t>Communities &amp; Indigenous Peoples: Social Performance Policy</t>
  </si>
  <si>
    <t>Environment: Environmental Policy</t>
  </si>
  <si>
    <t>Human Rights: Human Rights Policy</t>
  </si>
  <si>
    <r>
      <t xml:space="preserve">Total Community Investments </t>
    </r>
    <r>
      <rPr>
        <sz val="8"/>
        <color theme="1"/>
        <rFont val="Century Gothic"/>
        <family val="2"/>
      </rPr>
      <t>($ millions)</t>
    </r>
  </si>
  <si>
    <t>Community Grievances by Geography</t>
  </si>
  <si>
    <t>Total Community Grievances</t>
  </si>
  <si>
    <t>Employees</t>
  </si>
  <si>
    <r>
      <t xml:space="preserve"> High Quality</t>
    </r>
    <r>
      <rPr>
        <b/>
        <vertAlign val="superscript"/>
        <sz val="8"/>
        <color theme="0"/>
        <rFont val="Century Gothic"/>
        <family val="2"/>
      </rPr>
      <t>1</t>
    </r>
  </si>
  <si>
    <r>
      <t>CLIMATE CONDITIONS</t>
    </r>
    <r>
      <rPr>
        <b/>
        <vertAlign val="superscript"/>
        <sz val="8"/>
        <rFont val="Century Gothic"/>
        <family val="2"/>
      </rPr>
      <t>1</t>
    </r>
  </si>
  <si>
    <t>Arid; Semi-desert</t>
  </si>
  <si>
    <t>Arid; Desert</t>
  </si>
  <si>
    <t>Snow; Fully humid</t>
  </si>
  <si>
    <t>Tropical; Fully humid</t>
  </si>
  <si>
    <t>Total Water Recycled/Reused</t>
  </si>
  <si>
    <r>
      <t>Water Recycle/Reuse Rate</t>
    </r>
    <r>
      <rPr>
        <vertAlign val="superscript"/>
        <sz val="8"/>
        <color theme="1"/>
        <rFont val="Century Gothic"/>
        <family val="2"/>
      </rPr>
      <t>2</t>
    </r>
    <r>
      <rPr>
        <sz val="8"/>
        <color theme="1"/>
        <rFont val="Century Gothic"/>
        <family val="2"/>
      </rPr>
      <t> (%)</t>
    </r>
  </si>
  <si>
    <t>Total Utilized Water (Withdrawn + Recycled/Reused)</t>
  </si>
  <si>
    <t>4. Water use efficiency rate = total water recycled/reused / (total water utilization – discharged water).</t>
  </si>
  <si>
    <t xml:space="preserve">4. "Safely closed" is defined by the Tailings Standard and requires confirmation by an external independent reviewer and an internal Accountable Executive. While many of our inactive/closed facilities have not yet gone through the specific review process to confirm the "safely closed" designation, we consistently apply our tailings management system to all facilities to support their safe management. </t>
  </si>
  <si>
    <r>
      <t>Board of Directors</t>
    </r>
    <r>
      <rPr>
        <vertAlign val="superscript"/>
        <sz val="8"/>
        <rFont val="Century Gothic"/>
        <family val="2"/>
      </rPr>
      <t>5</t>
    </r>
  </si>
  <si>
    <r>
      <t>Health &amp; Safety</t>
    </r>
    <r>
      <rPr>
        <b/>
        <vertAlign val="superscript"/>
        <sz val="8"/>
        <color theme="1"/>
        <rFont val="Century Gothic"/>
        <family val="2"/>
      </rPr>
      <t>1</t>
    </r>
  </si>
  <si>
    <r>
      <t>Non-Mineral Waste &amp; Recyclable Material</t>
    </r>
    <r>
      <rPr>
        <sz val="8"/>
        <color theme="1"/>
        <rFont val="Century Gothic"/>
        <family val="2"/>
      </rPr>
      <t xml:space="preserve"> (thousand metric tons)</t>
    </r>
  </si>
  <si>
    <t>Total Non-Mineral Waste Generated</t>
  </si>
  <si>
    <r>
      <t xml:space="preserve">Water Utilization by Region </t>
    </r>
    <r>
      <rPr>
        <sz val="8"/>
        <color theme="1"/>
        <rFont val="Century Gothic"/>
        <family val="2"/>
      </rPr>
      <t>(thousand cubic meters)</t>
    </r>
  </si>
  <si>
    <t>Chino/Cobre</t>
  </si>
  <si>
    <t>Safford/Lone Star</t>
  </si>
  <si>
    <t>2. Scope 2 emissions have been calculated using a market-based method, where available. The market-based calculation of Scope 2 emissions utilizes emission factors that are available at the time of inventory close. Emission factors are determined by each market according to their reporting schedule. Therefore, certain emission factors used in market-based calculations may be up to one year in arrears due to lag time. As required by the WRI/WBCSD Greenhouse Gas Protocol (GHG Protocol), FCX’s location-based 2023 Scope 2 emissions are reported on the "Dual Reporting” tab. PT-FI generates its own electricity. As a result, there are no Scope 2 emissions associated with PT-FI operations.</t>
  </si>
  <si>
    <r>
      <t>Water Utilization - FCX Global</t>
    </r>
    <r>
      <rPr>
        <sz val="8"/>
        <color theme="1"/>
        <rFont val="Century Gothic"/>
        <family val="2"/>
      </rPr>
      <t xml:space="preserve"> (thousand cubic meters)</t>
    </r>
  </si>
  <si>
    <t>Total Utilized Water (Withdrawan + Recycled/Reused)</t>
  </si>
  <si>
    <r>
      <t>Water Recycle/Reuse Rate</t>
    </r>
    <r>
      <rPr>
        <vertAlign val="superscript"/>
        <sz val="8"/>
        <color theme="1"/>
        <rFont val="Century Gothic"/>
        <family val="2"/>
      </rPr>
      <t>6</t>
    </r>
    <r>
      <rPr>
        <sz val="8"/>
        <color theme="1"/>
        <rFont val="Century Gothic"/>
        <family val="2"/>
      </rPr>
      <t> (%)</t>
    </r>
  </si>
  <si>
    <t>New Employee Hires by Location</t>
  </si>
  <si>
    <t>New Employee Hires - FCX Global</t>
  </si>
  <si>
    <t>New Employee Hires - Percentage Women</t>
  </si>
  <si>
    <t xml:space="preserve">2. Includes $750M of spend on Manyar smelter and precious metals refinery project in Indonesia. </t>
  </si>
  <si>
    <r>
      <t># of Significant Environmental Events</t>
    </r>
    <r>
      <rPr>
        <vertAlign val="superscript"/>
        <sz val="8"/>
        <color theme="1"/>
        <rFont val="Century Gothic"/>
        <family val="2"/>
      </rPr>
      <t>4</t>
    </r>
    <r>
      <rPr>
        <sz val="8"/>
        <color theme="1"/>
        <rFont val="Century Gothic"/>
        <family val="2"/>
      </rPr>
      <t xml:space="preserve"> </t>
    </r>
  </si>
  <si>
    <t>No incidents of non-compliance associated with water quality permits, standards, and regulations resulted in a formal enforcement action in 2022.</t>
  </si>
  <si>
    <r>
      <rPr>
        <u/>
        <sz val="8"/>
        <rFont val="Century Gothic"/>
        <family val="2"/>
      </rPr>
      <t>Protected Areas</t>
    </r>
    <r>
      <rPr>
        <b/>
        <sz val="8"/>
        <rFont val="Century Gothic"/>
        <family val="2"/>
      </rPr>
      <t xml:space="preserve">
</t>
    </r>
    <r>
      <rPr>
        <sz val="8"/>
        <rFont val="Century Gothic"/>
        <family val="2"/>
      </rPr>
      <t>(1)(a) 0% of total 2P reserves are in protected areas
(1)(b) 9.0% of total 2P reserves are near (within 5 kilometers of) protected areas (100% PT-FI and 100% Henderson)
Our proven and probable (2P) reserves near protected areas are associated with our Henderson mine in Colorado and PT-FI operations in Indonesia. Both are underground operations and therefore have limited potential to adversely affect the integrity and essential values for which the protected areas were designated.</t>
    </r>
  </si>
  <si>
    <r>
      <rPr>
        <u/>
        <sz val="8"/>
        <rFont val="Century Gothic"/>
        <family val="2"/>
      </rPr>
      <t>Endangered Species Habitat</t>
    </r>
    <r>
      <rPr>
        <b/>
        <sz val="8"/>
        <rFont val="Century Gothic"/>
        <family val="2"/>
      </rPr>
      <t xml:space="preserve">
</t>
    </r>
    <r>
      <rPr>
        <sz val="8"/>
        <rFont val="Century Gothic"/>
        <family val="2"/>
      </rPr>
      <t xml:space="preserve">(2)(a) 0.3% of total 2P reserves are in endangered species habitat (&lt;1% Sierrita; &lt;1% Cerro Verde)
(2)(b) 66.3% of total 2P reserves are near (within 5 kilometers of) endangered species habitat (100% of PT-FI, Cerro Verde, Climax and Sierrita; 71% Morenci; 13% Chino)
Our proven and probable (2P) reserves that are located near endangered species habitats do not affect those habitats. The endangered species habitats near Morenci, Chino, and Climax reserves are located on federal lands managed by the U.S. Forest Service; we do not conduct activities within the habitat. Cerro Verde’s reserves qualify due to an endangered bat species that is known to occur and forage in the general region of the operations and we actively seek to protect the species. PT-FI’s reserves qualify due to the district’s proximity to Lorentz National Park, however, we have not and will not conduct any mining or exploration activities in Lorentz National Park, which is a UNESCO World Heritage Site. As part of our Environmental Policy and our ICMM commitment, we will not explore nor mine at any UNESCO World Heritage Sites. Furthermore, PT-FI mining operations have fully transitioned underground.
</t>
    </r>
    <r>
      <rPr>
        <i/>
        <sz val="8"/>
        <rFont val="Century Gothic"/>
        <family val="2"/>
      </rPr>
      <t>Percentages reported above are based on total ore metric tons. Refer to page 38 of FCX's 2022 Form 10-K for average ore grades,</t>
    </r>
  </si>
  <si>
    <r>
      <t xml:space="preserve">Percentage of (1) proved and (2) probable reserves in or near sites with protected conservation status or endangered species habitat
</t>
    </r>
    <r>
      <rPr>
        <b/>
        <sz val="8"/>
        <rFont val="Century Gothic"/>
        <family val="2"/>
      </rPr>
      <t xml:space="preserve">FCX METRIC: </t>
    </r>
    <r>
      <rPr>
        <sz val="8"/>
        <rFont val="Century Gothic"/>
        <family val="2"/>
      </rPr>
      <t xml:space="preserve">Percentage of total proven and probable reserves (2P reserves) (1)(a) in sites with protected conservation status, (1)(b) near sites with protected conservation status, (2)(a) in areas of endangered species habitat, and (2)(b) near areas of endangered species habitat </t>
    </r>
  </si>
  <si>
    <r>
      <t xml:space="preserve">For information on our engagement processes and due diligence practices with respect to human rights and Indigenous rights, please refer to the Communities, Indigenous Peoples, Land Use &amp; Customary Rights and Human Rights sections of our 2022 Annual Report on Sustainability and information on fcx.com.
PT-FI has engaged with Central Papua’s Indigenous populations – the Amungme and Kamoro as well as the five neighboring ethnic groups – Dani, Damal, Nduga, Mee and Moni (collectively known as the “seven suku”) – for decades through multiple formal agreements that promote capacity building through workforce skills training as well as health, education, economic development, public infrastructure development, and participatory monitoring and evaluation of PT-FI funded projects. In addition, we are continuously investing in our local communities in Central Papua by implementing programs to support capacity building through the development of their skills and employability.
While there are no Indigenous Populations within Cerro Verde’s operational influence, as noted above, there have been widespread and sometimes violent political protests, including attacks on civil infrastructure and businesses throughout Peru. For both Cerro Verde and PT-FI Grasberg, we continue to conduct human rights training of security forces and across our workforce to respect human rights and maintain strong community programs at both operations.
</t>
    </r>
    <r>
      <rPr>
        <i/>
        <sz val="8"/>
        <rFont val="Century Gothic"/>
        <family val="2"/>
      </rPr>
      <t>For information on the above-mentioned engagement processes and how PT-FI operates in this context, please see reference documents.</t>
    </r>
  </si>
  <si>
    <t>EEO-1 data presented here is limited to representational reporting in U.S. federally mandated job categories that differ across our global operations. The data in the table does not include our approximately 13,200 employees who reside outside of the U.S, nor does this data include the approximately 48,900 contractors who comprise an integral part of our global workforce.</t>
  </si>
  <si>
    <t xml:space="preserve">6. NMFR = (Number of Near Miss Events x 200,000) / Total Hours Worked. Anonymously reported near miss events are accounted for in the total rate only. Prior year data has been updated following review of our data collection process. </t>
  </si>
  <si>
    <t>REPORTING FRAMEWORKS</t>
  </si>
  <si>
    <t>Community Trust Funds</t>
  </si>
  <si>
    <t>Safety, Health &amp; Environment</t>
  </si>
  <si>
    <t>Education &amp; Training</t>
  </si>
  <si>
    <t>Economic Development &amp; Infrastructure</t>
  </si>
  <si>
    <r>
      <t>Other</t>
    </r>
    <r>
      <rPr>
        <vertAlign val="superscript"/>
        <sz val="8"/>
        <rFont val="Century Gothic"/>
        <family val="2"/>
      </rPr>
      <t>1</t>
    </r>
  </si>
  <si>
    <t>Administration</t>
  </si>
  <si>
    <t>1. Includes arts, culture, mitigation, stakeholder engagement and employee programs such as Matching Gifts and United Way.</t>
  </si>
  <si>
    <t xml:space="preserve">2. A "community grievance" is any self-reported issue / concern (perceived or actual) that an affected member or group of the communities within our area of direct or indirect operational impact and other stakeholders wants FCX or its business partners to address and resolve. Grievances reported here are managed via our community grievance mechanism, tracked within our Incident Management System and were received either anonymously or with attribution by community engagement team members through in-person engagements, in writing via physical drop boxes, or via local telephone hotlines. Grievances can relate to FCX's active mining operations, exploration projects, and reclaimed or remediated sites.  </t>
  </si>
  <si>
    <t xml:space="preserve">3. Prior year data has been updated following review of our data collection process. </t>
  </si>
  <si>
    <r>
      <t>Community Grievances</t>
    </r>
    <r>
      <rPr>
        <b/>
        <vertAlign val="superscript"/>
        <sz val="8"/>
        <rFont val="Century Gothic"/>
        <family val="2"/>
      </rPr>
      <t>2,3</t>
    </r>
  </si>
  <si>
    <r>
      <t>Europe</t>
    </r>
    <r>
      <rPr>
        <vertAlign val="superscript"/>
        <sz val="8"/>
        <rFont val="Century Gothic"/>
        <family val="2"/>
      </rPr>
      <t>3</t>
    </r>
  </si>
  <si>
    <t>4. Additionally, in 2018, we received 630 grievances related to a dust incident at our Sierrita operations in Arizona. These were captured as a single grievance in our system as they resulted from a single root cause. However, all complaints were addressed with stakeholders.</t>
  </si>
  <si>
    <r>
      <t>United States</t>
    </r>
    <r>
      <rPr>
        <vertAlign val="superscript"/>
        <sz val="8"/>
        <rFont val="Century Gothic"/>
        <family val="2"/>
      </rPr>
      <t>4</t>
    </r>
  </si>
  <si>
    <t>5. Other includes obstruction of view, light disturbance, blight, housing and other grievances not listed above.</t>
  </si>
  <si>
    <r>
      <t>Other</t>
    </r>
    <r>
      <rPr>
        <vertAlign val="superscript"/>
        <sz val="8"/>
        <rFont val="Century Gothic"/>
        <family val="2"/>
      </rPr>
      <t>5</t>
    </r>
  </si>
  <si>
    <t xml:space="preserve">2. Information on the 2022 incidents at the Manyar smelter project near Surabaya, Indonesia that were determined by FCX to be gross human rights violations can be found on page 33 in FCX's 2022 Annual Report on Sustainability. </t>
  </si>
  <si>
    <t xml:space="preserve">           -  </t>
  </si>
  <si>
    <t xml:space="preserve">(1) 4,927,823 metric tons of carbon dioxide equivalent
(2) 1.1% </t>
  </si>
  <si>
    <r>
      <t xml:space="preserve">(1) Total freshwater withdrawn: 237,377 thousand cubic meters; 25% with High or Extremely High Baseline Water Stress
(2) Total freshwater consumed: 128,253 thousand cubic meters; 43% with High or Extremely High Baseline Water Stress
</t>
    </r>
    <r>
      <rPr>
        <i/>
        <sz val="8"/>
        <rFont val="Century Gothic"/>
        <family val="2"/>
      </rPr>
      <t>Freshwater totals above are defined by SASB and equivalent to high quality freshwater as defined by ICMM. For
more comprehensive information on our water performance and the water stress classifications, please see
reference documents.</t>
    </r>
  </si>
  <si>
    <r>
      <t>Employee Turnover by Age Group</t>
    </r>
    <r>
      <rPr>
        <u/>
        <vertAlign val="superscript"/>
        <sz val="8"/>
        <color theme="1"/>
        <rFont val="Century Gothic"/>
        <family val="2"/>
      </rPr>
      <t>1,3,6</t>
    </r>
  </si>
  <si>
    <r>
      <t>Employee Turnover by Gender</t>
    </r>
    <r>
      <rPr>
        <u/>
        <vertAlign val="superscript"/>
        <sz val="8"/>
        <color theme="1"/>
        <rFont val="Century Gothic"/>
        <family val="2"/>
      </rPr>
      <t>1,3,6</t>
    </r>
  </si>
  <si>
    <t>1.  In 2020, FCX closed and decommissioned its Bayway rod &amp; wire and Norwich rod facilities, and in September 2021, FCX completed the sale of its remaining cobalt business based in Kokkola, Finland.</t>
  </si>
  <si>
    <t>3. At our Rotterdam processing facility, we purchase renewable energy certificates (RECs) for all electricity. Since 2020, at our Atlantic Copper smelter &amp; refinery, we have purchased RECs for a portion of our electricity.</t>
  </si>
  <si>
    <t xml:space="preserve">4. Reported consolidated North America diversity metrics relate to employees only and are in line with the categories set forth by U.S. Equal Employment Opportunity Commission. These metrics are based on employee data as of year end; however, employee data reported on the 2022 U.S. Employee Data EEO-1 tab of this data booklet are from dates of payroll from the period 12/1/2022 through 12/31/2022. </t>
  </si>
  <si>
    <t>5. Figures are as of year end so many differ from those reported in our annual proxy statements which reflect director nominees as of the record date for our annual meeting of shareholders for the respective year. Following the appointment of Kathleen L. Quirk to FCX’s Board of Directors in February 2023, we now have 41.7% women representation on our Board.</t>
  </si>
  <si>
    <t xml:space="preserve">Note: Employee figures exclude contractors and are as of year end, except where indicated. </t>
  </si>
  <si>
    <t>Total workforce (employees and contractors) at year end 2022 approximated 74,500, and 66% were contractors.</t>
  </si>
  <si>
    <t xml:space="preserve">4. TRIR = ((Fatalities + Lost-time Incidents + Restricted-duty Incidents + Medical Treatment) x 200,000) / Total Hours Worked. TRIR is equivalent to MSHA All-Incidence Rate (AIR). TRIR presented here may differ from reported TRIR in FCX's Form 10-K filings because data have been adjusted to exclude disposed assets for comparison purposes. </t>
  </si>
  <si>
    <t xml:space="preserve">Note: These amounts were derived primarily from FCX’s publicly reported segment data. For disclosure of FCX’s segment data in accordance with U.S. GAAP, see FCX’s 2022 Form 10-K pages 170–175. </t>
  </si>
  <si>
    <t>Purchasing goods and services from local suppliers provides a significant direct and indirect benefit to our local communities. Our investment in local communities helps to support the economic vitality of small and medium size enterprises and local entrepreneurship. When we purchase locally, we provide the stimulus for community development and the potential for capacity building.
We continue to prioritize greater transparency in our local procurement spending, with a focus on expanding opportunities for local suppliers, where feasible. We have implemented standard operating procedures emphasizing local procurement at our North America, PT-FI and El Abra operation. In 2022, we continued our engagement with the Mining Local Procurement Reporting Mechanism (LPRM), which is an initiative that seeks to develop, through disclosures, a set of common standards agreed by both host countries and mining companies for what constitutes local procurement. FCX has met the LPRM disclosure requirements which requires a disclosure of local procurement spend by site and additional information for existing and potential suppliers, which is available on our website.
• Information can be found in our 2022 Annual Report on Sustainability: Robust Governance &gt; Responsible Value Chains; Empowered People &amp; Resilient Communities &gt; Economic Contributions; Performance Data
•	LPRM disclosure on the Supplier page of fcx.com</t>
  </si>
  <si>
    <r>
      <t>Cash Payments to Governments</t>
    </r>
    <r>
      <rPr>
        <vertAlign val="superscript"/>
        <sz val="8"/>
        <rFont val="Century Gothic"/>
        <family val="2"/>
      </rPr>
      <t>1,2,3</t>
    </r>
  </si>
  <si>
    <r>
      <t>Community Investments</t>
    </r>
    <r>
      <rPr>
        <vertAlign val="superscript"/>
        <sz val="8"/>
        <color theme="1"/>
        <rFont val="Century Gothic"/>
        <family val="2"/>
      </rPr>
      <t>3</t>
    </r>
    <r>
      <rPr>
        <sz val="8"/>
        <color theme="1"/>
        <rFont val="Century Gothic"/>
        <family val="2"/>
      </rPr>
      <t xml:space="preserve"> </t>
    </r>
  </si>
  <si>
    <t xml:space="preserve">3. Cash payments to governments and community investments are subsets of direct economic contributions.  </t>
  </si>
  <si>
    <r>
      <t>1. Intensity reduction targets (CO</t>
    </r>
    <r>
      <rPr>
        <vertAlign val="subscript"/>
        <sz val="7"/>
        <rFont val="Century Gothic"/>
        <family val="2"/>
      </rPr>
      <t>2</t>
    </r>
    <r>
      <rPr>
        <sz val="7"/>
        <rFont val="Century Gothic"/>
        <family val="2"/>
      </rPr>
      <t>e metric tons / metric ton copper) include total (Scope 1 and 2) emissions and do not include by-products in the denominator. Baseline and target are calculated and therefore may differ due to rounding.</t>
    </r>
  </si>
  <si>
    <r>
      <t xml:space="preserve">We are dedicated to supplying the world with responsibly produced copper, which includes operating in a way that manages and mitigates our greenhouse gas (GHG) emissions and other climate-related risks. We aspire to participate in and positively contribute to a 2050 net zero economy. We have set 2030 GHG emissions reduction targets that cover nearly 100% our global Scope 1 and 2 GHG emissions in order to help manage relevant, climate-related risks and support the decarbonization of our business. Our Americas Copper GHG emissions reduction target evaluates the performance of the copper producing mines and refining facilities of our Americas operations. Our Americas target includes by-product molybdenum produced at our primary copper mines. We continue to pursue our target to reduce our GHG emissions intensity in the Americas by 15% per metric ton of copper cathode by 2030 from our 2018 baseline. PT-FI’s operations generate approximately 30% of our global absolute GHG emissions and approximately 50% of our global Scope 1 emissions, due in part to the high carbon intensity of its coal-fired electricity. We have committed to reduce GHG emissions intensity at PT-FI by 30% per metric ton of payable copper by 2030 from our 2018 baseline. The third and fourth targets, established in 2022, are both on an absolute basis and seek to reduce the GHG emissions of our Atlantic Copper smelter &amp; refinery by 50% and of our primary molybdenum sites by 35%, both by 2030 from our 2018 baseline year. 
We will continue aligning our disclosures with the recommendations of the Taskforce on Climate-related Financial Disclosures (TCFD), and we have committed to validating our interim 2030 GHG emissions reduction targets with the Science Based Target initiative (SBTi). We believe that validating our GHG emissions reduction targets against the SBTi criteria is critical to understanding if our 2030 targets sufficiently align with the Paris Agreement’s goals and specifically to a 1.5°C scenario. 
</t>
    </r>
    <r>
      <rPr>
        <i/>
        <sz val="8"/>
        <rFont val="Century Gothic"/>
        <family val="2"/>
      </rPr>
      <t>For more information on our commitments and progress, please see our reference documents.</t>
    </r>
  </si>
  <si>
    <t>SCOPE 3 CALCULATION METHODOLOGY</t>
  </si>
  <si>
    <t>1. There is no uniform definition under international law; however, FCX’s ongoing data collection and review processes is guided by the United Nations Office of the High Commissioner report, “The Corporate Responsibility to Respect Human Rights – An Interpretive Guide,” to identify such types of violations. In addition, FCX uses specific interpretation guidance for certain types of violations from various international organizations such as the International Labour Organization.</t>
  </si>
  <si>
    <t xml:space="preserve">Freeport-McMoRan Inc. (FCX) is committed to communicating on our ESG performance regularly and transparently. We have been reporting on our sustainability performance since 2001. The data provided herein reflect our historical performance for the past five years on key ESG topics. These data are intended to be a companion to the 2022 Annual Report on Sustainability and 2021 Climate Report. 
Unless noted otherwise, environmental data cover all of FCX’s material operating sites including the following locations: Atlantic Copper, Bagdad, Cerro Verde, Chino (including Cobre), Climax, El Abra, El Paso, Fort Madison, Henderson, Miami, Morenci, PT Freeport Indonesia, Rotterdam, Safford (including Lone Star), Sierrita, Stowmarket and Tyrone. Unless noted otherwise, workforce (except for health and safety data, which excludes divested and closed assets), communities and governance information covers operating and non-operating sites, exploration activities, projects and divested or closed assets until the year of divestiture or closure. 
As a result of methodology changes, corrections, or ongoing improvements to our data collection processes and quality, prior year data may be adjusted in future years. Non-financial data contained in this report have not been prepared in conformity with U.S. generally accepted accounting principles (GAAP) and have not been audited. Our greenhouse gas (GHG) Scope 1, 2 and 3 emissions data have been third-party verified in accordance with ISO 14064 (Specifications 1 and 3) to a reasonable level of assurance. Data herein have been assured in accordance with the International Standard on Assurance ISEA3000 (revised). Historical results are not necessarily indicative of future performance. All financial figures are quoted in U.S. dollars, unless otherwise noted. Due to rounding, some figures and percentages may not add up to the total figure or 100%. Data presented cover our performance for the years ending on December 31st, which corresponds to our fiscal year. 
Additional information about FCX is available on our website at fcx.com. For details on our financial performance and governance structure, please refer to our Annual Report on Form 10-K for the year ended December 31, 2022, (2022 Form 10-K) filed with the SEC, which is available on our website at fcx.com.
</t>
  </si>
  <si>
    <t>1. Health and safety performance data include employees (full-time and part-time employees on a full-time equivalent basis) and contractors and exclude performance of divested and closed assets, unless otherwise noted. Rates are calculated per 200,000 hours worked, except where indicated. Metrics within this table are calculated based on employee and contractor reporting of injuries, illness and near misses.</t>
  </si>
  <si>
    <t xml:space="preserve">3. Two other fatalities occurred onsite in 2022; which, as of April 20, 2023, have not yet been classified by MSHA as independent medical episodes or work-related. In FCX's 2022 Form 10-K published on February 15, 2023, FCX reported three onsite fatalities in 2022. The third fatality has since been classified as an independent medical episode. </t>
  </si>
  <si>
    <t xml:space="preserve">CAUTIONARY STATEMENT: This file contains forward-looking statements in which we discuss our potential future performance. Forward-looking statements are all statements other than statements of historical facts, such as plans, projections, expectations, targets, objectives, strategies or goals relating to environmental, social, safety and governance performance, including expectations regarding execution of our energy and climate strategies, and the underlying assumptions and estimated impacts on our business related thereto; our approach to lower carbon and reduced emissions; our plans and expectations in relation to our future clean energy transition, including targeted reductions of GHG emissions, implementation of technologies and emissions reduction projects, achievement of our 2030 climate targets and our 2050 net zero aspiration; our operational resiliency and climate scenarios; our expectations regarding climate-related risks and future risk mitigation; our continuing commitment to safe and reliable operations; our commitment to human rights and creating a diverse and inclusive workplace; our commitment to deliver responsibly produced copper, including plans to implement, validate, and maintain validation of our operating sites under specific frameworks. The words “anticipates,” “may,” “can,” “plans,” “believes,” “estimates,” “expects,” “endeavors,” “seeks,” “goal,” “predicts,” “strategy,” “objective,” “projects,” “targets,” “intends,” “aspires,” “likely,” “will,” “should,” “could,” “to be,” “potential,” “assumptions,” “guidance,” “forecasts,”, “future, ” “commitments,” “pursues,” “initiatives,” “opportunities,” and any similar expressions are intended to identify those assertions as forward-looking statements. We caution readers that forward-looking statements are not guarantees of future performance and actual results may differ materially from those anticipated, expected, projected or assumed in the forward-looking statements. Important factors that can cause our actual results to differ materially from those anticipated in the forward-looking statements include, but are not limited to, the factors described under the heading “Risk Factors” in our Annual Report on Form 10-K for the year-ended December 31, 2022, filed with the U.S. Securities and Exchange Commission (SEC), as updated by our subsequent filings with the SEC, and available on our website at fcx.com.
Many of the assumptions upon which our forward-looking statements are based are likely to change after the forward-looking statements are made. Further, we may make changes to our business plans that could affect our results. We caution investors that we undertake no obligation to update any forward-looking statements, which speak only as of the date made, notwithstanding any changes in our assumptions, changes in business plans, actual experience or other changes.
This file contains statements based on hypothetical scenarios and assumptions, and these statements should not be viewed as representative of current risks or forecasts of expected risks. Third-party scenarios discussed in this file reflect the modeling assumptions and outputs of their respective authors, and their use or inclusion herein is not an endorsement of their underlying assumptions, likelihood or probability. While certain matters discussed in this file may be significant and relevant to our investors, any significance should not be read as rising to the level of materiality for purposes of complying with the U.S. federal securities laws or the disclosure requirements of the SEC. The goals and projects described in this file are aspirational; as such, no guarantees or promises are made that
these goals and projects will be met or successfully executed. Further, the data, statistics and metrics included in this file are non-audited estimates (with the exception of financial information and the GHG Scope 1, 2, and 3 emissions data, which have been third-party verified in accordance with ISO 14064 (Specifications 1 and 3) to a reasonable level of assurance), not prepared in accordance with U.S. generally accepted accounting principles (GAAP), continue to evolve and may be based on assumptions believed to be reasonable at the time of preparation, but should not be considered guarantees and are subject to future revision. </t>
  </si>
  <si>
    <r>
      <t xml:space="preserve">The table below provides an overview of the relevant GRI Standards for our most material topics and where to find information in our Annual Report on Sustainability, website or from other sources.  
We are reporting in reference to the GRI Standards (2021) and the G4 Mining and Metals Sector Supplement.
</t>
    </r>
    <r>
      <rPr>
        <b/>
        <sz val="8"/>
        <rFont val="Century Gothic"/>
        <family val="2"/>
      </rPr>
      <t>Websites and links can be found in the references tab.</t>
    </r>
  </si>
  <si>
    <t>FCX RESPONSE
(Websites and links can be found in the references tab)</t>
  </si>
  <si>
    <r>
      <t>Variance</t>
    </r>
    <r>
      <rPr>
        <b/>
        <sz val="8"/>
        <color rgb="FFFF0000"/>
        <rFont val="Century Gothic"/>
        <family val="2"/>
      </rPr>
      <t xml:space="preserve"> </t>
    </r>
  </si>
  <si>
    <t>GRI 2 General Disclosures 2021</t>
  </si>
  <si>
    <t xml:space="preserve"> 2-1</t>
  </si>
  <si>
    <t>Organizational details</t>
  </si>
  <si>
    <t>Freeport-McMoRan Inc. (NYSE: FCX)
Phoenix, Arizona, USA
Our operating mines are located in Chile, Indonesia, Peru and the United States. 
For further information on our operations, please see:
About Us on fcx.com
Form 10-K: Part I: General, Mining Operations
Annual Report on Sustainability: About This Report</t>
  </si>
  <si>
    <t xml:space="preserve"> 2-2</t>
  </si>
  <si>
    <t>Entities included in the organization’s sustainability reporting</t>
  </si>
  <si>
    <t>Form 10-K: Part I, General
Annual Report on Sustainability: About This Report</t>
  </si>
  <si>
    <t xml:space="preserve"> 2-3 </t>
  </si>
  <si>
    <t>Reporting period, frequency and contact point</t>
  </si>
  <si>
    <t xml:space="preserve"> 2-4</t>
  </si>
  <si>
    <t>As a result of methodology changes or corrections, prior year data may be updated. Restatements are clearly noted in relevant footnotes if applicable. In the event that a restatement is significant, its effect will be discussed in footnotes or relevant section of the Sustainability Report. 
Data presentation and comparisons may not meet the direct needs of all stakeholders, and we encourage users of this information to contact our Sustainability Department with inquiries, sustainability@fmi.com.</t>
  </si>
  <si>
    <t xml:space="preserve"> 2-5</t>
  </si>
  <si>
    <t>Our Annual Reports on Sustainability have been independently verified since 2005. Limited assurance of the 2022 report was obtained from Ernst &amp; Young (EY) LLP as indicated in the Report of Independent Accountants. 
Since 2009, site-level external assurance has been completed multiple times at all active mining and metals processing operations. We conduct site-level external assurance at each of our operations at least once every three years and annually at PT-FI and Cerro Verde. Additionally, assurance is conducted annually at a corporate level. Following the annual corporate assurance process, the SLT as well as our president receive a formal report out of assurance findings directly from EY.
Annual Report on Sustainability: Assurance Statement
External Assurance on fcx.com</t>
  </si>
  <si>
    <t xml:space="preserve"> 2-6</t>
  </si>
  <si>
    <t>Activities, value chain and other business relationships</t>
  </si>
  <si>
    <t xml:space="preserve">Freeport-McMoRan Inc. (Freeport-McMoRan, Freeport, FCX or the company) is a leading international mining company with headquarters in Phoenix, Arizona. FCX operates large, long-lived, geographically diverse assets with significant proven and probable reserves of copper, gold and molybdenum. FCX’s portfolio of assets includes the Grasberg minerals district in Indonesia (PT Freeport Indonesia or PT-FI), one of the world’s largest copper and gold deposits; and significant mining operations in North America and South America (Freeport Minerals Corporation or FMC), including the large-scale Morenci minerals district in Arizona
and the Cerro Verde operation in Peru.
About Us on fcx.com
Form 10-K: Part I Products and Sales; General; Items 1. and 2. Business and Properties; Mining Production and Sales Data; Part I, Sources and Availability of Energy, Natural Resources and Raw Materials; Part II, Revenues; Part II, Management's Discussion and Analysis of Financial Condition and Results of Operations and Quantitative and Qualitative Disclosures About Market Risk
Annual Report on Sustainability: Responsible Value Chains; Economic Contributions; Performance Data; Our Strategy in Action: Responsible Production; Responsible Value Chains; Workforce
Global Supply Chain webpage on fcx.com
Commodity Management webpage on fcx.com
</t>
  </si>
  <si>
    <t xml:space="preserve"> 2-7</t>
  </si>
  <si>
    <t xml:space="preserve">Form 10-K: Items 1 and 2. Business and Properties: Human Capital: Workforce
Annual Report on Sustainability: Workforce; Performance Data: Workforce </t>
  </si>
  <si>
    <t>We report the total number of employees by gender for the U.S. in line with EEO requirements. We also report the overall number of employees and a percentage breakdown by gender for each region. At this time, we do not  report: total number of employees by gender and by region; total number of permanent employees for each region; total number of female employees employed by region; temporary employees; non-guaranteed hours employees; full-time employees vs part-time employees;  methodologies and assumptions used to compile the data.</t>
  </si>
  <si>
    <t xml:space="preserve"> 2-8</t>
  </si>
  <si>
    <t>Workers who are not employees</t>
  </si>
  <si>
    <t>We report the number of contractors employed; however, we do not discuss the most common types of contractor, the work they perform, their contractual relationship with the organization, or methodologies and assumptions used to compile the data.</t>
  </si>
  <si>
    <t xml:space="preserve"> 2-9</t>
  </si>
  <si>
    <t>Governance structure and composition</t>
  </si>
  <si>
    <t xml:space="preserve">Annual Report on Sustainability: Robust Governance
Freeport-McMoRan Inc. Corporate Governance Guidelines
Proxy Statement 2022: Corporate Governance; Board Composition and Refreshment
</t>
  </si>
  <si>
    <t xml:space="preserve"> 2-10</t>
  </si>
  <si>
    <t>Proxy Statement: Board and Corporate Governance Matters
Freeport-McMoRan Inc. Corporate Governance Guidelines</t>
  </si>
  <si>
    <t xml:space="preserve"> 2-11</t>
  </si>
  <si>
    <t>Richard C. Adkerson is the Chairman of the Board and CEO of Freeport-McMoRan Inc.
Proxy Statement: Board Leadership Structure</t>
  </si>
  <si>
    <t xml:space="preserve"> 2-12</t>
  </si>
  <si>
    <t>Role of the highest governance body in overseeing the management of impacts</t>
  </si>
  <si>
    <t xml:space="preserve">Annual Report on Sustainability: Our Approach; Robust Governance; Stakeholder Engagement &amp; Materiality; Business Conduct &amp; Policies
Proxy Statement 2022: ESG / Sustainability; Corporate Governance; Stakeholder Engagement 
Freeport-McMoRan Inc. Corporate Governance Guidelines
Corporate Responsibility Committee Charter 
</t>
  </si>
  <si>
    <t xml:space="preserve"> 2-13</t>
  </si>
  <si>
    <t>Delegation of responsibility for managing impacts</t>
  </si>
  <si>
    <t xml:space="preserve"> 2-14</t>
  </si>
  <si>
    <t>Our Chairman and CEO has responsibility for the company’s sustainability performance, with active oversight from the Board. Our cross-functional Sustainability Leadership Team (SLT) includes members of the management team tasked with defining the sustainability strategy and implementing our sustainability policies, systems, and programs across the organization to achieve
integrated decision-making for responsible production and performance.
The SLT is sponsored by our Chief Administrative Officer and is led by our Chief Sustainability Officer, with active participation from other members of the SLT, including our five business unit Presidents. SLT membership also includes senior leadership from functional groups, including health and safety, security, supply chain, human resources, sales, legal, compliance, sustainability and finance. Executive officers are held accountable for the company’s sustainability performance through the company’s performance-based annual incentive program (AIP). In 2022, ESG metrics collectively accounted for 25% of the AIP (15% safety and 10% sustainability).
The results of the 2021 materiality assessment were presented to and approved by the SLT. The materiality matrix was reviewed and approved again in early 2023 to ensure that it still appropriately reflects the evolving sustainability landscape and our priority focus areas. Both the SLT and senior management also contributed directly to the development of our updated sustainability strategy in 2022, including our strategic focus areas.
Annual Report on Sustainability: Letter to Stakeholders; Views from Our Corporate Responsibility Committee Chair; Robust Governance 
Proxy Statement 2022
GRI Content Index (this index)</t>
  </si>
  <si>
    <t xml:space="preserve"> 2-15</t>
  </si>
  <si>
    <t xml:space="preserve">Freeport-McMoRan maintains Conflicts of Interest Guidelines that are designed to provide guidance to directors, officers and employees so that conflicts of interest may be avoided. The guidelines establish procedures for disclosure of actual or potential conflicts of interest so that concerns may be addressed and any necessary corrective action may be taken.
Annual Report on Sustainability: Robust Governance
Freeport-McMoRan Inc. Corporate Governance Guidelines
Proxy Statement 2022: Board Independence and Related Persons Transactions </t>
  </si>
  <si>
    <t xml:space="preserve"> 2-16</t>
  </si>
  <si>
    <t>Annual Report on Sustainability: Robust Governance
Proxy Statement 2022: Communications with the Board 
Freeport-McMoRan Inc. Corporate Governance Guidelines</t>
  </si>
  <si>
    <t>We publicly report on key ESG topics communicated to the CRC, the Compensation Committee and Audit Committee. We do not report the total number of critical concerns that were communicated to the highest governance body during the reporting period.</t>
  </si>
  <si>
    <t xml:space="preserve"> 2-17</t>
  </si>
  <si>
    <t>Annual Report on Sustainability: Robust Governance
Proxy Statement 2022: Information About Director Nominees</t>
  </si>
  <si>
    <t xml:space="preserve"> 2-18</t>
  </si>
  <si>
    <t>Freeport-McMoRan Inc. Corporate Governance Guidelines
Proxy Statement: Board and Committee Evaluation Process; Executive Compensation Philosophy</t>
  </si>
  <si>
    <t xml:space="preserve"> 2-19</t>
  </si>
  <si>
    <t>Proxy Statement 2022: Process of Setting Director Compensation
Sustainability Report: Robust Governance</t>
  </si>
  <si>
    <t xml:space="preserve"> 2-20</t>
  </si>
  <si>
    <t>We are committed to respecting the rights of our workforce, including paying fair and equal wages. Our approach to compensation and benefits is market-based, competitive and informed by annual benchmarking and analysis. This includes equal pay for equal work and compensation levels that support the acquisition of the goods and services necessary for an average-size family to meet their basic needs in the geographic locations where we operate – often referred to as a living wage. We are committed to providing equal pay for equal work regardless of gender, race, ethnicity or any area protected by law. We periodically conduct internal compensation reviews to identify possible pay gaps which cannot be explained through performance, distribution of jobs, experience, time in role and other legitimate business-related factors.
Proxy Statement 2022: Process of Setting Director Compensation and Compensation Governance and Best Practices
Annual Report on Sustainability: Workforce</t>
  </si>
  <si>
    <t xml:space="preserve"> 2-21</t>
  </si>
  <si>
    <t>Annual total compensation ratio</t>
  </si>
  <si>
    <t xml:space="preserve">Proxy Statement 2022: CEO Pay Ratio </t>
  </si>
  <si>
    <t>We report on CEO Pay Ratio. At this time we do not report the ratio of the percentage increase in annual total compensation for the organization’s highest-paid individual to the median percentage increase in annual total compensation for all employees (excluding the highest-paid individual).</t>
  </si>
  <si>
    <t xml:space="preserve"> 2-22</t>
  </si>
  <si>
    <t>Statement on sustainable development strategy</t>
  </si>
  <si>
    <t>Annual Report on Sustainability: Letter to Stakeholders;  Views from Our Corporate Responsibility Committee Chair; Our Approach</t>
  </si>
  <si>
    <t xml:space="preserve"> 2-23</t>
  </si>
  <si>
    <t xml:space="preserve">Policy Commitments </t>
  </si>
  <si>
    <t xml:space="preserve">Freeport-McMoRan is a leading responsible copper producer. Our commitment to responsible copper production is visible in everything we do, driven by our core values of Safety, Respect, Integrity, Excellence and Commitment. Our values direct the decisions we make as a company and as individual employees. These values represent who we are and how we work – everyone, everywhere, every day. Our focus on responsible production is critical to establish and maintain acceptance from our local stakeholders through shared value creation and to meet society's responsible sourcing objectives necessary to supply the world with copper.
Annual Report on Sustainability: Our Strategy; Business Conduct &amp; Policies; Our Strategy in Action: Responsible Production; Empowered People &amp; Resilient Communities; Thriving Environments ; Stakeholder Engagement &amp; Materiality
Freeport-McMoRan Human Rights Policy
Freeport-McMoRan Business Partner Code of Conduct
Freeport-McMoRan Corporate Governance </t>
  </si>
  <si>
    <t xml:space="preserve">We describe our policy commitments, how they are communicated, application and approach for responsible production, including due diligence and risk assessment. We disclose our policy commitments publicly and indicate the level at which each policy was approved. We do not describe whether the commitments stipulate applying the precautionary principle. </t>
  </si>
  <si>
    <t xml:space="preserve"> 2-24</t>
  </si>
  <si>
    <t>Embedding policy commitments</t>
  </si>
  <si>
    <t>Annual Report on Sustainability: Business Conduct and Policies; Human Rights; Responsible Value Chains
Freeport-McMoRan Principles of Business Conduct
Freeport-McMoRan Business Partner Code of Conduct</t>
  </si>
  <si>
    <t xml:space="preserve"> 2-25</t>
  </si>
  <si>
    <t>Processes to remediate negative impacts</t>
  </si>
  <si>
    <t>Annual Report on Sustainability: Business Conduct and Policies; Human Rights; Responsible Value Chains
https://www.fcx.com/sustainability/people/grievance-mechanism</t>
  </si>
  <si>
    <t xml:space="preserve"> 2-26</t>
  </si>
  <si>
    <t>Mechanisms for seeking advice and raising concerns</t>
  </si>
  <si>
    <t>Annual Report on Sustainability: Business Conduct and Policies
Principles of Business Conduct: FCX Compliance Line</t>
  </si>
  <si>
    <t xml:space="preserve"> 2-27</t>
  </si>
  <si>
    <t>Compliance with laws and regulations</t>
  </si>
  <si>
    <t>Sustainability Report: Environmental Compliance; Human Rights
Freeport-McMoRan Form 10-K: Governmental Regulations; Item 3: Legal Proceedings; Note: 12 Contingencies</t>
  </si>
  <si>
    <t>We disclose significant instances of non-compliance during the reporting period, as well as the total amount of environmental fines paid in the current reporting period and previous reporting periods. We do not currently disclose the total number and value for all fines incurred or paid for instances of non-compliance with laws or regulations.</t>
  </si>
  <si>
    <t xml:space="preserve"> 2-28</t>
  </si>
  <si>
    <t xml:space="preserve"> 2-29</t>
  </si>
  <si>
    <t>Approach to Stakeholder engagement</t>
  </si>
  <si>
    <t>Freeport’s sustainability strategy relies upon, and is consistently informed by, engagement with our stakeholders. Our approach is characterized by transparency, collaboration, and meaningful dialogue with the primary goal of fostering mutual understanding, trust and cooperation with stakeholder groups.
Annual Report on Sustainability: Stakeholder Engagement &amp; Materiality; Communities &amp; Indigenous Peoples; Human Rights; Workforce
2022 Proxy Statement: Stakeholder Engagement</t>
  </si>
  <si>
    <t xml:space="preserve"> 2-30</t>
  </si>
  <si>
    <t xml:space="preserve">Annual Report on Sustainability: Workforce
Form 10-K: Part I, Human Capital
</t>
  </si>
  <si>
    <t>GRI 3 Material Topics 2021</t>
  </si>
  <si>
    <t xml:space="preserve"> 3-1</t>
  </si>
  <si>
    <t>Process to determine material topics</t>
  </si>
  <si>
    <t xml:space="preserve">Annual Report on Sustainability: Our Approach; About this Report </t>
  </si>
  <si>
    <t>Our current approach to materiality is based on a formal materiality assessment, which was last conducted in 2021. It is not yet fully aligned with the GRI 2021 update.</t>
  </si>
  <si>
    <t xml:space="preserve"> 3-2</t>
  </si>
  <si>
    <t xml:space="preserve"> List of material topics</t>
  </si>
  <si>
    <t xml:space="preserve">Annual Report on Sustainability: Our Approach; About this Report 
</t>
  </si>
  <si>
    <t>201 Economic Performance 2016</t>
  </si>
  <si>
    <t xml:space="preserve"> 3-3</t>
  </si>
  <si>
    <t>Management of material topics</t>
  </si>
  <si>
    <t>Form 10-K: Part II, Consolidated Results
Annual Report on Sustainability: Our Approach; Economic Contributions; Business Conduct &amp; Policies; Community Grievance Mechanism;  Letter to Stakeholders; Message from our Corporate Responsibility Committee Chair
Economic Impact on fcx.com</t>
  </si>
  <si>
    <t xml:space="preserve">We do disclose detailed information on risks and opportunities due to climate change. We do not report the financial implications of risks and opportunities or costs to manage them before action is taken. </t>
  </si>
  <si>
    <t>201-3</t>
  </si>
  <si>
    <t>Defined benefit plan obligations and
other retirement plans</t>
  </si>
  <si>
    <t>Form 10-K: Consolidated Statements of Cash Flows; Note 7 Accounts Payable and Accrued Liabilities; Note 9 Other Liabilities, including Employee Benefits
North America Employee Benefits Overview on fcx.com (page 7)</t>
  </si>
  <si>
    <t>We provide information on our pension plan obligations and North American benefits package. We do not report the level of participation in retirement plans.</t>
  </si>
  <si>
    <t>203 Indirect Economic Impacts 2016</t>
  </si>
  <si>
    <t xml:space="preserve"> 3-3 </t>
  </si>
  <si>
    <t>Annual Report on Sustainability: Our Approach; Community Resilience; Economic Contributions;  Stakeholder Engagement &amp; Materiality; Communities &amp; Indigenous Peoples; Business Conduct &amp; Policies; Letter to Stakeholders; Views from Our Corporate Responsibility Committee Chair; Economic Contributions Performance Data
Form 10-K: Part II, Consolidated Results
Economic Impact; Assessing &amp; Managing Impacts on fcx.com</t>
  </si>
  <si>
    <t>Annual Report on Sustainability: Stakeholder Engagement &amp; Materiality; Health, Safety &amp; Well-being; Communities &amp; Indigenous Peoples; Economic Contributions; Environment 
Economic Impact on fcx.com</t>
  </si>
  <si>
    <t xml:space="preserve">We report on a variety of community investments, and provide examples of infrastructure projects; we do not provide detailed data on the full extent of their impacts. </t>
  </si>
  <si>
    <t>204 Procurement Practices 2016</t>
  </si>
  <si>
    <t xml:space="preserve">Annual Report on Sustainability: Our Approach; Stakeholder Engagement &amp; Materiality; Business Conduct &amp; Policies; Responsible Value Chains; Communities &amp; Indigenous Peoples; Economic Contributions
Economic Impact, Assessing &amp; Managing Impacts on fcx.com
Form 10-K: Part I, Sources and Availability of Energy, Natural Resources and Raw Materials
</t>
  </si>
  <si>
    <t>205 Anti-Corruption 2016</t>
  </si>
  <si>
    <t>Annual Report on Sustainability: Our Approach; Business Conduct &amp; Policies; Economic Contributions; Responsible Value Chains
Economic Impact on fcx.com
Form 10-K: Part I, Risk Factors</t>
  </si>
  <si>
    <t>Every year, our internal audit firm performs a company-wide, global business risk assessment to assist in planning the next year’s audit projects. This overall risk assessment includes corruption as a risk factor.
Annual Report on Sustainability: Our Approach; Business Conduct &amp; Policies; Our Strategy in Action: Responsible Production</t>
  </si>
  <si>
    <t>We perform an annual company-wide, global business risk assessment; however, we do not disclose significant risks related to corruption identified through the risk assessment.</t>
  </si>
  <si>
    <t>100% of our employees completed comprehensive annual training on our PBC, including a 100% certification rate of management-level employees. This process consists of in-person or computer-based training, requiring employees to certify both their understanding of, and compliance with, the PBC.
Board members participate in a similar certification process. 
Annual Report on Sustainability: Our Approach; Business Conduct &amp; Policies</t>
  </si>
  <si>
    <t xml:space="preserve">We report on our Principles of Business Conduct and Anti-corruption training and provide percent completion rates; however, we do not provide a breakdown to the level of granularity requested by GRI. We do not disclose the total number of individuals trained or provide breakdowns by each employee category. </t>
  </si>
  <si>
    <t>205-3</t>
  </si>
  <si>
    <t>Confirmed incidents of corruption and
actions taken</t>
  </si>
  <si>
    <t>Freeport has zero tolerance for corruption of any kind. In addition to our employees, we hold our contractors and suppliers to this same standard. We do not obtain any business advantage through bribery, improper payments, kickbacks, or any other illegal means. No employee, contractor, or supplier may offer, pay, solicit, or accept bribes in any form, including facilitation payments. There we no public legal cases regarding corruption brought against the organization or its employees during the reporting period.</t>
  </si>
  <si>
    <t>FCX does not report on the aggregate number nor the nature of individual incidents or cases.</t>
  </si>
  <si>
    <t>302 Energy 2016</t>
  </si>
  <si>
    <t xml:space="preserve">Annual Report on Sustainability: Letter to Stakeholders; Views from Our Corporate Responsibility Committee Chair; Climate; Our Approach; Thriving Environments &gt; Climate; Performance Data
Climate Report
Form 10-K: Part I, General
</t>
  </si>
  <si>
    <t xml:space="preserve">Energy consumption within the organization
</t>
  </si>
  <si>
    <t>While we do report our energy consumption, we do not  provide the methodology, assumptions, conversion factors, and/or calculation tools, related to these calculations.</t>
  </si>
  <si>
    <t>302-2</t>
  </si>
  <si>
    <t>Energy consumption outside of the organization</t>
  </si>
  <si>
    <t>While we do report our Scope 3 GHG emissions per the GHG Protocol in line with this indicator we do not disclose the underlying third-party energy use or all of the methodologies related to these calculations.</t>
  </si>
  <si>
    <t xml:space="preserve">We disclose absolute energy consumption data by site and type; at this time, we do not report an energy intensity ratio.
</t>
  </si>
  <si>
    <t>Annual Report on Sustainability: Climate
Climate Report
Freeport-McMoRan Inc. CDP - Climate Change 2022 (https://www.cdp.net/)</t>
  </si>
  <si>
    <t>Trend data and specific examples of reduction in energy consumption are available, however, we do not report a cumulative total for energy reductions achieved across the enterprise as a direct result of our initiatives.</t>
  </si>
  <si>
    <t>302-5</t>
  </si>
  <si>
    <t>Reductions in energy requirements of
products and services</t>
  </si>
  <si>
    <t>303 Water and Effluents 2018</t>
  </si>
  <si>
    <t xml:space="preserve">Annual Report on Sustainability: Our Approach; Letter to Stakeholders; Views from Our Corporate Responsibility Committee Chair; Climate; Water Stewardship; Environment; Business Conduct &amp; Policies; Responsible Value Chains; Water Stewardship; Performance Data
Water Report
Form 10-K: Part I, General
</t>
  </si>
  <si>
    <t>Interactions with water as a shared resource</t>
  </si>
  <si>
    <t>Annual Report on Sustainability: Our Strategy in Action: Responsible Production; Water Stewardship; Environmental Compliance; Performance Data
Water Report</t>
  </si>
  <si>
    <t>We provide an description of how the organization interacts with water, our approach used to identify water-related impacts, an description of how water-related impacts are addressed. At this time we do not report on water impacts across our value chain.</t>
  </si>
  <si>
    <t>303-2</t>
  </si>
  <si>
    <t>Management of water discharge-related impacts</t>
  </si>
  <si>
    <t>Annual Report on Sustainability: Water Stewardship; Performance Data</t>
  </si>
  <si>
    <t>We report total water discharged by quality and destination based on ICMM Water Quality Guidelines. We do not report the minimum standards set for the quality of water discharged.</t>
  </si>
  <si>
    <t>Water Withdrawal</t>
  </si>
  <si>
    <t>We report water withdrawal by source and region. We do not currently provide a further breakdown for areas of water stress.</t>
  </si>
  <si>
    <t>303-4</t>
  </si>
  <si>
    <t>Water Discharge</t>
  </si>
  <si>
    <t>We report water discharge by source and region. We do not currently provide a further breakdown for areas of water stress or  report priority substances of concern.</t>
  </si>
  <si>
    <t>We report water consumption by source and region. We do not currently provide a further breakdown for areas of water stress.</t>
  </si>
  <si>
    <t>304 Biodiversity 2016</t>
  </si>
  <si>
    <t>SDG 13: Climate Action
SDG 14: Life Below Water
SDG 15: Life on Land</t>
  </si>
  <si>
    <t>304-1</t>
  </si>
  <si>
    <t>Operational sites owned, leased, managed in, or adjacent to, protected areas and areas of high biodiversity value outside protected areas</t>
  </si>
  <si>
    <t xml:space="preserve">Annual Report on Sustainability: Biodiversity
SASB Index
PT-FI's operations are adjacent to Lorentz National Park - we have not and will not conduct any mining or exploration activities in Lorentz National Park. </t>
  </si>
  <si>
    <t>Significant impacts of activities, products, and services on biodiversity</t>
  </si>
  <si>
    <t xml:space="preserve">Annual Report on Sustainability: Biodiversity; Mine Closure &amp; Reclamation; Performance Data
</t>
  </si>
  <si>
    <t>We report examples of restoration, however we do not disclose the status of each site at the end of each reporting period.</t>
  </si>
  <si>
    <t>304-4</t>
  </si>
  <si>
    <t>IUCN Red List species and national conservation list species with habitats in areas affected by operations</t>
  </si>
  <si>
    <t>SASB Index</t>
  </si>
  <si>
    <t>We report biodiversity impacts relative to endangered species habitat based on SASB Metals &amp; Mining standard, which include similar classifications to GRI 304 but are more relevant to mining. We do not report the total number of IUCN Red List species with habitats in areas affected by operations.</t>
  </si>
  <si>
    <t>G4</t>
  </si>
  <si>
    <t>M&amp;M Sector: Biodiversity</t>
  </si>
  <si>
    <t>SDG 15: Life on Land</t>
  </si>
  <si>
    <t>G5</t>
  </si>
  <si>
    <t>305 Emissions 2016</t>
  </si>
  <si>
    <t>Annual Report on Sustainability: Our Approach; Letter to Stakeholders; Views from Our Corporate Responsibility Committee Chair; Business Conduct &amp; Policies; Climate
Climate Report
Form 10-K: Part I, Risk Factors</t>
  </si>
  <si>
    <t>Direct (Scope I) GHG emissions</t>
  </si>
  <si>
    <t>Annual Report on Sustainability: Climate; Performance Data
Climate Report
Freeport-McMoRan Inc. CDP - Climate Change 2022 (https://www.cdp.net/)</t>
  </si>
  <si>
    <t>We disclose our Scope 1 GHG emissions in CO2 equivalent, however, greenhouse gases that are not applicable to our operations are noted in our CDP response. We do not report the source of the emission factors used, however our Scope 1 emissions are verified by a third party against ISO 14064 Greenhouse gases - Parts 1&amp;3.</t>
  </si>
  <si>
    <t>We disclose our Scope 2 emissions in CO2 equivalent, however, greenhouse gases that are not applicable to our operations are noted in our CDP response. We do not report the source of the emission factors used, however our Scope 2 GHG emissions are verified by a third party against ISO 14064 Greenhouse gases - Parts 1&amp;3.</t>
  </si>
  <si>
    <t>We report our scope 3 emissions by category, but do not report our emissions by gas type. We provide a summary overview of our scope 3 GHG emissions estimation methodology, but do not detail emission factors or calculation tools used.</t>
  </si>
  <si>
    <t>We report GHG emissions intensity data for Americas Copper and PT-FI, which make up over 90% of total scope 1 &amp; 2 GHG emissions. We do not report the GHG emissions intensity ratio for the organization as a whole.</t>
  </si>
  <si>
    <t>We report to CDP Climate on our GHG emission reduction activities, as well as GHG emission trend data over time, compared to our base year of 2018. We do not report aggregate emission reductions achieved as a direct result of reduction initiatives.</t>
  </si>
  <si>
    <t xml:space="preserve">306 Waste 2020 </t>
  </si>
  <si>
    <t>Annual Report on Sustainability: Our Approach; Letter to Stakeholders; Views from Our Corporate Responsibility Committee Chair; Business Conduct &amp; Policies; Waste Management; Tailings Management; Water Stewardship; Community Grievance Mechanism
Form 10-K: Part I, Risk Factors
Tailings Management Documents; Assessing &amp; Managing Impacts on fcx.com</t>
  </si>
  <si>
    <t>Waste generation and significant waste related impacts</t>
  </si>
  <si>
    <t>Annual Report on Sustainability: Tailings Management; Waste Management; Performance Data 
Tailings Management Documents on fcx.com</t>
  </si>
  <si>
    <t>SDG 3: Good Health and Well-Being
SDG 6: Clean Water and Sanitation
SDG 12: Responsible Consumption and Production</t>
  </si>
  <si>
    <t>Management of significant waste related impacts</t>
  </si>
  <si>
    <t>306 Waste and Effluents 2016</t>
  </si>
  <si>
    <t xml:space="preserve">Significant spills
</t>
  </si>
  <si>
    <t>Waste generated</t>
  </si>
  <si>
    <t xml:space="preserve">Annual Report on Sustainability: Waste Management; Performance Data
</t>
  </si>
  <si>
    <t>306-4</t>
  </si>
  <si>
    <t>Waste diverted from disposal</t>
  </si>
  <si>
    <t>Waste directed to disposal</t>
  </si>
  <si>
    <t>M&amp;M: Tailings</t>
  </si>
  <si>
    <t xml:space="preserve">Annual Report on Sustainability: Our Approach; Thriving Environments; Business Conduct &amp; Policies; Responsible Value Chains
FCX Environmental Policy
</t>
  </si>
  <si>
    <t xml:space="preserve">Annual Report on Sustainability: Business Conduct &amp; Policies;  Responsible Value Chains
FCX's Environmental Policy </t>
  </si>
  <si>
    <t>We do screen new suppliers across a range of sustainability criteria, including environmental; we do not report on the  percentage screened.</t>
  </si>
  <si>
    <t xml:space="preserve">308-2 </t>
  </si>
  <si>
    <t>Negative environmental impacts in the supply chain and actions taken</t>
  </si>
  <si>
    <t>For our minerals and metals supply chains, we report our due diligence tools and the number of suppliers flagged for a variety of risk factors, including environmental impact, and the corresponding risk review and actions taken.
OECD Step 5 Due Diligence Report</t>
  </si>
  <si>
    <t>We disclose the number suppliers assessed, the number of orange or red flags, and corresponding action taken in the OECD Report. We do not report the percentage of suppliers identified as having significant impacts or those terminated as a result, nor is this reporting inclusive of our entire supply chain.</t>
  </si>
  <si>
    <t>401 Employment 2016</t>
  </si>
  <si>
    <t>We report employee turnover statistics by age, gender and region, but we report new hires by region and gender (% globally) only during the period.</t>
  </si>
  <si>
    <t>401-2</t>
  </si>
  <si>
    <t>Benefits provided to full-time employees that are not provided to temporary or part-time employees</t>
  </si>
  <si>
    <t>North America Employee Benefits Overview on fcx.com</t>
  </si>
  <si>
    <t>We disclose standard North American benefits. We do not disclose which benefits are received by temporary or part-time employees.</t>
  </si>
  <si>
    <t>401-3</t>
  </si>
  <si>
    <t>Parental leave</t>
  </si>
  <si>
    <t xml:space="preserve">Parental leave benefits vary by region. We do not disclose participation or return rates. </t>
  </si>
  <si>
    <t>M&amp;M: Labor</t>
  </si>
  <si>
    <t>Annual Report on Sustainability: Our Approach; Workforce        
In 2022, there were no strikes or lock-outs at any of our operations.</t>
  </si>
  <si>
    <t>403 Occupational Health and Safety 2018</t>
  </si>
  <si>
    <t>Annual Report on Sustainability: Our Approach; Letter to Stakeholders; Views from Our Corporate Responsibility Committee Chair; Health, Safety &amp; Well-being</t>
  </si>
  <si>
    <t xml:space="preserve">Annual Report on Sustainability:  Health, Safety &amp; Well-being
Our Occupational Health and Safety Management System is voluntarily  certified in accordance with the ISO 45001 Health and Safety Management
System.
</t>
  </si>
  <si>
    <t xml:space="preserve">Annual Report on Sustainability:  Health, Safety &amp; Well-being; Our Strategy in Action: Responsible Production
</t>
  </si>
  <si>
    <t xml:space="preserve">Annual Report on Sustainability:  Health, Safety &amp; Well-being
</t>
  </si>
  <si>
    <t xml:space="preserve">We report on our expectation that every member of our workforce engage in our health and safety program. We do not report on formal joint management-worker health and safety committees. </t>
  </si>
  <si>
    <t>403-8</t>
  </si>
  <si>
    <t>Workers covered by an occupational health and safety management system</t>
  </si>
  <si>
    <t>Every member of our workforce is empowered to engage in our health and safety program, including  our occupational health and safety management system.
Annual Report on Sustainability:  Health, Safety &amp; Well-being</t>
  </si>
  <si>
    <t>Our occupational health and safety management system is ISO 45001 certified; we do not report coverage percentages as outlined by GRI.</t>
  </si>
  <si>
    <t>403-9</t>
  </si>
  <si>
    <t>Work-related injuries</t>
  </si>
  <si>
    <t xml:space="preserve">Annual Report on Sustainability:  Health, Safety &amp; Well-being; Performance Data
</t>
  </si>
  <si>
    <t>403-10</t>
  </si>
  <si>
    <t>Work-related ill health</t>
  </si>
  <si>
    <t>We do not report this indicator at this time.</t>
  </si>
  <si>
    <t>404 Training and Education 2016</t>
  </si>
  <si>
    <t>Annual Report on Sustainability: Our Approach; Workforce; Communities &amp; Indigenous Peoples
Communities &amp; Indigenous Peoples on fcx.com</t>
  </si>
  <si>
    <t>404-1</t>
  </si>
  <si>
    <t>Average hours of training per year per employee</t>
  </si>
  <si>
    <t>We describe various training and development opportunities available to our employees; however, at this time we do not report the average of hours of training provided.</t>
  </si>
  <si>
    <t>We describe various training and development opportunities available to our employees; however, at this time we do not describe transition assistance programs.</t>
  </si>
  <si>
    <t>404-3</t>
  </si>
  <si>
    <t>Percentage of employees receiving regular performance and career development reviews</t>
  </si>
  <si>
    <t>We describe career development opportunities; however we do not report the percentage of employees participating in formal reviews.</t>
  </si>
  <si>
    <t>405 Diversity and Equal Opportunity 2016</t>
  </si>
  <si>
    <t>We provide several breakdowns of our workforce data by age, gender, and ethnicity however, all breakdowns as requested by GRI are not provided for each employee category.</t>
  </si>
  <si>
    <t>406 Non-discrimination 2016</t>
  </si>
  <si>
    <t>Annual Report on Sustainability: Our Approach; Business Conduct &amp; Policies; Workforce 
Human Rights Policy</t>
  </si>
  <si>
    <t>We report on our non-discrimination and grievance programs; however as well as the total number of employee grievances received through our Compliance Line. We do not report the total number or status of incidents of discrimination.</t>
  </si>
  <si>
    <t>407 Freedom of Association and Collective Bargaining 2016</t>
  </si>
  <si>
    <t xml:space="preserve">Annual Report on Sustainability: Our Approach; Robust Governance; Workforce
Human Rights Policy
Form 10-K
</t>
  </si>
  <si>
    <t xml:space="preserve">We do not believe that the right to exercise freedom of association and collective bargaining is at significant risk at any of our operations and we work to embed our human rights policy and respect for people across our operations. Our grievance mechanisms enable workers - without fear of retaliation - to report if they believe this right is being violated. 
Annual Report on Sustainability: Workforce; Performance Data
</t>
  </si>
  <si>
    <t>408 Child Labor 2016</t>
  </si>
  <si>
    <t>In late 2022, during an internal review of subcontractor records at PT-FI, potential instances of underage workers at the Manyar smelter project were identified (see Annual Report on Sustainability: Human Rights). 
Annual Report on Sustainability: Business Conduct &amp; Policies; Human Rights; Responsible Value Chains
Human Rights Policy
Business Partner Code of Conduct
Responsible Souring of Minerals Policy
Human Rights on fcx.com
UK MSA Statement</t>
  </si>
  <si>
    <t>409 Forced or Compulsory Labor 2016</t>
  </si>
  <si>
    <t>Annual Report on Sustainability: Our Approach; Human Rights; Responsible Value Chains
Human Rights Policy
Responsible Sourcing of Minerals Policy
Human Rights on fcx.com
OECD Step 5 Due Diligence Report</t>
  </si>
  <si>
    <t>We prohibit forced, compulsory and child labor and human trafficking. We do not believe that any of our operations are at significant risk for incidents of forced or compulsory labor.
Annual Report on Sustainability: Business Conduct &amp; Policies; Human Rights; Responsible Value Chains; Workforce
Human Rights Policy
Business Partner Code of Conduct
Responsible Souring of Minerals Policy
Human Rights on fcx.com
UK MSA Statement
OECD Step 5 Due Diligence Report</t>
  </si>
  <si>
    <t>410 Security Practices 2016</t>
  </si>
  <si>
    <t xml:space="preserve">Security contractors are required to comply with the operations’ Human Rights Policies, including receiving human rights training and instructions to immediately notify the Company of any human rights related incidents or allegations. 
Voluntary Principles Report </t>
  </si>
  <si>
    <t>We report number of private security personnel who received human rights training by location in our Voluntary Principles Report, we do not report the percent of security personnel trained.</t>
  </si>
  <si>
    <t>411 Rights of Indigenous Peoples 2016</t>
  </si>
  <si>
    <t xml:space="preserve">Annual Report on Sustainability: Our Approach; Human Rights; Communities &amp; Indigenous Peoples
Social Performance Policy
Human Rights Policy
Land Use and Customary Rights at PT-FI on fcx.com
</t>
  </si>
  <si>
    <t>We report the number of gross human rights violations and disclose our programs and performance in our Voluntary Principles on Security and Human Rights Annual Report to the Plenary. We do not report the total number of incidents or status of violations of indigenous peoples' rights.</t>
  </si>
  <si>
    <t>M&amp;M: Indigenous Peoples</t>
  </si>
  <si>
    <t>We disclose the groups with whom we engage on a routine or periodic basis for each region of our operations.</t>
  </si>
  <si>
    <t>413 Local Communities 2016</t>
  </si>
  <si>
    <t>Annual Report on Sustainability: Our Approach; Communities &amp; Indigenous Peoples
Social Performance Policy</t>
  </si>
  <si>
    <t xml:space="preserve">All of our operations have a stakeholder engagement process in place, commensurate with the size and complexity of the operation. 
Annual Report on Sustainability: Our Approach; Stakeholder Engagement; Communities &amp; Indigenous Peoples 
Assessing and Managing Impacts on fcx.com
</t>
  </si>
  <si>
    <t xml:space="preserve">413-2 </t>
  </si>
  <si>
    <t>Operations with significant actual and potential negative impacts on local communities</t>
  </si>
  <si>
    <t>To identify potential and actual negative impacts on our host communities we conduct due diligence on an ongoing basis. In all cases there are stakeholder engagement activities that are commensurate with the size and complexity of the operation. For all of our mining operations we conduct Human Rights Impact Assessments (HRIAs) using a third party and publish a summary of the results on our website. In addition our grievance mechanisms enable us to identify potential or actual impacts to communities. We follow UNGP guidelines for providing remedy where actual impacts are identified. 
Annual Report on Sustainability: Human Rights; Communities and Indigenous Peoples
Human Rights: Due Diligence on fcx.com</t>
  </si>
  <si>
    <t>M&amp;M: Local Communities</t>
  </si>
  <si>
    <t>414 Supplier Social Assessment 2016</t>
  </si>
  <si>
    <t>Annual Report on Sustainability: Our Approach; Business Conduct &amp; Policies; Responsible Value Chains; Economic Contributions; Local Procurement
Business Partner Code of Conduct
Economic Impact on fcx.com</t>
  </si>
  <si>
    <t>New suppliers that were screened using social criteria</t>
  </si>
  <si>
    <t>Our online due diligence system, the Freeport Compliance exchange (FCeX), is designed to assess risk in the areas of anti-corruption, international trade, human rights and responsible sourcing. In 2020, Freeport added a number of sustainability-related questions to the FCeX survey to gain a better picture of the risks a supplier may present across ESG issues. In 2021, Freeport completed its global roll out of FCeX and the survey is now being utilized for all new vendors as our first line of due diligence in our responsible sourcing program. 
Business Partner Code of Conduct
Annual Report on Sustainability: Business Conduct &amp; Policies; Responsible Value Chains; Human Rights 
UK MSA Statement</t>
  </si>
  <si>
    <t>We screen new suppliers across a range of sustainability criteria, including social aspects of sustainability. We do not report on the percentage screened.</t>
  </si>
  <si>
    <t>414-2</t>
  </si>
  <si>
    <t>Negative social impacts in the supply chain and actions taken</t>
  </si>
  <si>
    <t>For our minerals and metals supply chains, we report our due diligence tools and the number of suppliers flagged for a variety of risk factors.
OECD Step 5 Due Diligence Report</t>
  </si>
  <si>
    <t>Annual Report on Sustainability: Illegal Artisanal Mining</t>
  </si>
  <si>
    <t>We are committed to respecting the human rights of community members and, when unavoidable, conducting community resettlement activities in alignment with international best practice. This commitment is reflected in our Human Rights Policy and Social Performance Management System. We did not have any community resettlement activities in 2022.</t>
  </si>
  <si>
    <t xml:space="preserve">SDG 14: Life Below Water
SDG 15: Life on Land
</t>
  </si>
  <si>
    <t xml:space="preserve">Freeport-McMoRan maintains a sustainability reporting prioritization assessment process to define topics and their level of priority to the company and its stakeholders for inclusion in its sustainability reporting. The process allows for:
• A structured and objective approach for decision-making and planning around sustainability reporting
• Selecting topics to include in annual sustainability reporting based on a documented measurement approach and evaluation of sustainability topics of importance to internal and external stakeholders
• Monitoring trends in sustainability topics of importance to stakeholders over time
• Adherence to the GRI Standards framework
The prioritization process requires a cross-review of documents and systems that summarize stakeholder engagements, such as queries received from value chain members, as well as community and employee grievance reports, community engagement processes and reports, environmental and social impact assessment reports, employee surveys, and meetings with financial stakeholders, NGOs and industry groups. These reviews are used to prioritize the level of importance of reporting topics to key groups with whom we regularly engage as part of our business at the corporate and operational levels.
To align prioritization of reporting topics from the perspective of importance to our business, we review the outputs of our operations’ risk register process and consider the topics addressed in our corporate public reporting, including our filings with the U.S. Securities and Exchange Commission. In most instances, key sustainability topics prioritized by our business are also of high importance to stakeholders. On occasion, we have chosen to report on GRI Standards indicators that may not be of high importance to internal or external stakeholders because our reporting systems historically have captured the information, which is used by certain groups, such as sustainability analysts.
Data presented in this section include the primary operations of Freeport-McMoRan’s mining subsidiaries: Freeport Minerals Company (FMC) and PT Freeport Indonesia (PT-FI) for the period January 1, 2022 to December 31, 2022, unless otherwise stated.
This index also highlights alignment to the UN Sustainable Development Goals.  </t>
  </si>
  <si>
    <t xml:space="preserve">
</t>
  </si>
  <si>
    <t xml:space="preserve">Fiscal year ended December 31, 2022 (annual)
The 2022 Annual Report on Sustainability is aligned with Freeport's financial reporting period 
Published April 21, 2023
sustainability@fmi.com 
</t>
  </si>
  <si>
    <t xml:space="preserve">2. At our Rotterdam processing facility, we purchase renewable energy certificates for all electricity. Since 2020, at our Atlantic Copper smelter &amp; refinery, we have purchased RECs for a portion of our electricity.	</t>
  </si>
  <si>
    <t>Note: In 2020, FCX closed and decommissioned its Bayway rod &amp; wire and Norwich rod facilities, and in September 2021, FCX completed the sale of its remaining cobalt business based in Kokkola, Finland.</t>
  </si>
  <si>
    <t>Total Women by Job Category</t>
  </si>
  <si>
    <t>Women Employed by Job Category</t>
  </si>
  <si>
    <t>Coal/
Coke</t>
  </si>
  <si>
    <t>Coal/ Coke</t>
  </si>
  <si>
    <t>Propane/ LPG</t>
  </si>
  <si>
    <r>
      <t>Water Recycle/Reuse Rate</t>
    </r>
    <r>
      <rPr>
        <vertAlign val="superscript"/>
        <sz val="8"/>
        <rFont val="Century Gothic"/>
        <family val="2"/>
      </rPr>
      <t>2</t>
    </r>
    <r>
      <rPr>
        <sz val="8"/>
        <rFont val="Century Gothic"/>
        <family val="2"/>
      </rPr>
      <t> (%)</t>
    </r>
  </si>
  <si>
    <t xml:space="preserve">4. Our risk assessment uses a likelihood and consequence matrix with a scale on each axis from 1 through 4, with 4 being the highest likelihood or consequence. Significant environmental events are defined as those with a rating of 3 or higher on the consequence scale. Information on the significant environmental event that occurred at El Abra operation in 2022 can be found on page 111 in FCX's 2022 Annual Report on Sustainability, which is available at fcx.com/sustainability. </t>
  </si>
  <si>
    <t>(1) 2022 Form 10-K, Item 1A. Risk Factors: Operational Risks 
(2) ESG Performance Trend Data: Mining.Mineral Processing Waste 
(3) 2022 Annual Report on Sustainability: Tailings Management
(4) 2022 Annual Report on Sustainability: Waste</t>
  </si>
  <si>
    <t>One significant (defined as a consequence rating of 3 or higher on our risk matrix) incident associated with hazardous materials and waste management occurred in 2022. 
Our El Abra operation experienced an incident that was identified as significant in our risk register process during the year. In March 2022, because of a failure along the pipeline, approximately 13,000 cubic meters of an acidic solution flowed from a containment dam at our operations through an already modified area downstream of the dam and along the access road to the open pit. The site activated the contingency plan and immediately implemented corrective actions to stop the flow and cleaned up the impacted area.</t>
  </si>
  <si>
    <t>We do not report the percentage of mine sites where acid rock drainage (ARD) occurs or is predicted to occur.  
We implement robust programs to identify, mitigate and manage ARD from waste rock and tailings. ARD is a geochemical process that releases sulfate, acid and/or metals into the environment when certain rock materials are exposed to water and oxygen. ARD forms either naturally or following human caused activities when metal sulfide minerals present in host rock are exposed to air and natural precipitation. The resulting acid that forms can dissolve metals from the surrounding rock and be a source of pollution to surface water or groundwater resources if not properly managed. The formation of ARD can be exacerbated by large earth moving activities, like mining or construction, particularly when these activities expose sulfide bearing minerals to additional air and water, which can accelerate the oxidation process.
However, through implementation of targeted management practices, environmental impacts from ARD can be prevented or minimized. Our environmental policy requires that we review and account for environmental effects of each activity, throughout the mine life cycle. Based on material classifications and geochemical characterizations of our ore bodies, ARD is predicted to occur to some degree at nearly all of our operations and is actively mitigated in those locations throughout the mine life cycle utilizing best available control technologies.
When potentially acid generating materials are identified in the planning phase, we implement strategies for prevention of ARD formation or management of ARD if it occurs. These strategies include, but are not limited to, designing storage facilities to prevent or minimize ARD formation, blending acid generating materials with materials with sufficient buffering capacity to eliminate the net acid generating potential during operations, installing engineering controls to manage stormwater that infiltrates or runs-off from these facilities, and monitoring controls systems over the mine life cycle including the closure and post-closure phases. Additionally, we consider site specific factors such as rock type, climate, and other geographic considerations in order to minimize operations risk and reduce post mining closure and reclamation liability.
Finally, if the formation of ARD cannot be eliminated, we implement mitigation measures such as water management, water treatment or reclamation and, at our PT-FI operations, studies that include risk assessments to determine additional monitoring and mitigation efforts that may be effective. The objective of these controls is to limit or eliminate the exposure of sulfide minerals to the atmosphere, minimize the amount of water contacting mine materials, including waste rock or tailings, and ensure effective monitoring and maintenance systems are in place to minimize the potential ARD generation. Mitigation strategies at our mining operations are also subject to regulatory review, approval and oversight to ensure the effectiveness of the selected control measures.</t>
  </si>
  <si>
    <t>(1) 2022 Form 10-K, Items 1. and 2. Business and Properties: Mineral Reserves
(2) 2022 Annual Report on Sustainability:
Communities &amp; Indigenous Peoples
(3) Sustainability &gt; People &gt; Communities &amp; Indigenous Peoples &gt; Land
Use &amp; Customary Rights page on fcx.com
(4) Sustainability &gt; People &gt; Communities &amp; Indigenous Peoples page on fcx.com</t>
  </si>
  <si>
    <t>(1) 2022 Form 10-K, Items 1. and 2. Business
and Properties: Mineral Reserves
(2) 2022 Annual Report on Sustainability: Biodiversity</t>
  </si>
  <si>
    <t>(1) Voluntary Principles on Security and Human Rights, Annual Reports to the Plenary
(2) 2022 Annual Report on Sustainability: Human Rights
(3) 2022 Annual Report on Sustainability: Communities &amp; Indigenous Peoples
(4) 2022 Annual Report on Sustainability: Responsible Value Chains
(5) 2022 Form 10-K, Items 1. and 2. Business and Properties: Mineral Reserves
(6) Sustainability &gt; Robust Governance &gt; Human Rights page on fcx.com</t>
  </si>
  <si>
    <t>(1) 2022 Form 10-K, Items 1. and 2. Business and Properties: General: Mining Operations</t>
  </si>
  <si>
    <t>(1) 2022 Form 10-K, Items 1. and 2. Business and Properties: Human Capital: Workforce
(2) 2022 Annual Report on Sustainability: Workforce</t>
  </si>
  <si>
    <t>(1) 2022 Form 10-K, Items 1. and 2. Business and
Properties: General</t>
  </si>
  <si>
    <t>(1) 2022 Form 10-K, Items 1. and 2. Business and Properties: Mining Production and Sales Data</t>
  </si>
  <si>
    <t>(1) 2022 Form 10-K, Items 1. and 2. Business and Properties: Human Capital: Workforce</t>
  </si>
  <si>
    <t>(1) 2022 Form 10-K, Items 1. and 2. Business and Properties: Human Capital: Workforce
(2) 2022 Form 10-K, Note 16. Business Segment Information: Labor Matters
(3) ESG Performance Trend Data: Workforce
(4) 2022 Annual Report on Sustainability: Workforce</t>
  </si>
  <si>
    <t>(1) 2022 Form 10-K, Item 4. Mine Safety Disclosures
(2) ESG Performance Trend Data: Health &amp; Safety</t>
  </si>
  <si>
    <t>Websites and links can be found in the references tab.</t>
  </si>
  <si>
    <t>FCX is dedicated to the recognition, respect and promotion of human rights wherever it does business. Respect is a core value that guides how FCX does business . We are committed to respecting the rights of all people, including our employees, business partners, community members and others who potentially may be impacted by our business activities. We take this obligation seriously in all aspects of our business, and we expect the same of our business partners. 
We also recognize that human rights are overarching and that they connect to every aspect of our business. As such, we aim to promote human rights through proactive engagement with host governments and communities and by training our employees and contractors.
As FCX seeks to further embed respect for human rights across our organizational activities, it has various due diligence processes that help to identify and assess which human rights topics are most salient at the site-level so that the company can manage and integrate these risks into ongoing operational work. We use our risk register process to identify risks to people at our existing operations. We also have a risk identification process for our new or growth projects to address potential and actual impacts on rights-holders. We implement and refine our approach to human rights through ongoing stakeholder engagement, grievance management and the findings from our human rights impact assessments (HRIAs). 
FCX respects internationally recognized human rights, including the rights under the International Bill of Human Rights, and is committed to implementing the United Nations Guiding Principles on Business and Human Rights (UNGPs). We work toward continuous improvement in establishing greater institutional awareness and deeper understanding of what human rights are and how they impact every role within the company. We also are committed to comply with the UK Modern Slavery Act, aimed at minimizing the risk of slavery and human trafficking throughout our business and supply chain. Our most recent UK Modern Slavery Act Statement is available on ‘fcx.com’. 
• Voluntary Principles Report
• UK Modern Slavery Act Statement
• 2021 OECD Step 5 Due Diligence Report
• Information can be found in our 2022 Annual Report on Sustainability: Robust Governance; Empowered People &amp; Resilient Communities; and on the Robust Governance &gt; Human Rights &gt; Due Diligence page on fcx.com.</t>
  </si>
  <si>
    <t>FCX is steadfast in its commitment to acknowledge, respect and engage collaboratively with Indigenous Peoples. We strive to understand the values and cultural needs of each group of Indigenous Peoples, develop and maintain ongoing relationships, support effective, ongoing engagement and create opportunities for social benefit, shared value creation and long-term resilience. We do this by consistently applying our Building Trust approach, which aims to foster trust through ongoing engagement, transparency and creating shared value. This approach includes adherence to the ICMM Position Statement on Indigenous Peoples and Mining and working towards obtaining free prior and informed consent (FPIC) for new projects and material expansions of existing projects where significant impacts are likely to occur. 
• Social Performance Policy &amp; Human Rights Policies
• Information can be found in our 2022 Annual Report on Sustainability: Empowered People &amp; Resilient Communities &gt; Communities &amp; Indigenous Peoples</t>
  </si>
  <si>
    <t>Recognizing that inclusion and diversity differs across cultures, we have formalized regional teams and dedicated site leaders to help identify and address local challenges and opportunities unique to each site and culture. We also have a cross-functional inclusion and diversity leadership team to help guide the global strategy and direction of our programs.  FCX’s Inclusion and Diversity Policy is applicable to the global workforce, and we continue to advance efforts to strengthen inclusion and diversity in our workforce and talent development pipeline. We have integrated several inclusion and diversity priorities into our core leadership competency models including priorities such as valuing diversity, creating an inclusive culture to lead others and supporting and enhancing psychological safety in the workplace.
We are working to implement practices to respect the rights and interests of all workers and improve workforce representation in the workplace so it is more inclusive.
• Information can be found in our 2022 Annual Report on Sustainability: Empowered People &amp; Resilient Communities &gt; Inclusion &amp; Diversity; Robust Governance &gt; Business Conduct &amp; Policies</t>
  </si>
  <si>
    <t>Our approach to stakeholder engagement is characterized by transparency, collaboration and meaningful dialogue, with the primary goal of fostering mutual understanding, trust and cooperation. We recognize the interests and concerns of our various stakeholders can change over time, which underscores the need for ongoing and proactive engagement to learn about these changing needs and expectations. For this reason, we seek to maintain ongoing, constructive and proactive stakeholder engagement programs at both the corporate- and site-level throughout the year. 
We have a broad range of stakeholders with whom we engage, including shareholders, employees, host communities and Indigenous Peoples,
customers and suppliers, industry associations, regulators and policymakers, host governments and nongovernmental organizations. Our community engagement takes a variety of forms across our active operations and new projects.
We believe our dialogue with stakeholders strengthens our company and helps us learn about our various stakeholders’ perspectives while
simultaneously providing an opportunity to share information about our strategy, practices and performance. These conversations inform
management’s decision-making and the Board of Director's oversight, particularly in relation to our policies, practices, programs and initiatives.
• 2023 Proxy Statement - Stockholder and Stakeholder Engagement
• Information can be found in our 2022 Annual Report on Sustainability: Our Approach &gt; Stakeholder Engagement</t>
  </si>
  <si>
    <t>The Corporate Responsibility Committee (CRC), on behalf of the Board, oversees FCX’s environmental and social policies and implementation programs and related risks. The CRC reviews the effectiveness of FCX's strategies, programs, and policy implementation with respect to health and safety, responsible production frameworks, climate, tailings management and stewardship, water stewardship, biodiversity and land management, waste management, human rights, stakeholder relations, social performance and Indigenous Peoples, responsible sourcing and political activity and spending practices. During 2022, the CRC had four regularly scheduled meetings. 
Additionally, each of the Audit, Governance and Compensation Committees oversee key ESG matters. The Audit Committee oversees our global compliance program and corporate compliance procedures, our information technology and cybersecurity processes and procedures, and provides ultimate oversight of our global tax strategy as part of its financial oversight responsibilities. The Governance Committee maintains our Corporate Governance Guidelines and oversees our corporate governance practices and procedures. The Compensation Committee oversees our human capital management policies, programs, practices and strategies, including those relating to workforce recruitment, retention and development, pay equity and inclusion and diversity.
Our Chairman and CEO has ultimate responsibility for FCX’s sustainability performance, with active oversight from the Board. FCX’s cross-functional Sustainability Leadership Team (SLT) includes members of the management team tasked with defining the sustainability strategy and implementing our sustainability policies, systems and programs across the organization to achieve integrated decision-making for responsible production and performance. The SLT is sponsored by FCX’s Chief Administrative Officer and is led by the Chief Sustainability Officer, with active participation from other members of the SLT, including five business unit Presidents. SLT membership also includes senior leadership from functional groups including health and safety, security, supply chain, human resources, sales, legal, compliance, sustainability and finance.
In 2022, the SLT met nine times and members of the SLT regularly reported to executive leadership, including the Chairman and CEO and the president. In addition, members of the SLT regularly report to the relevant Board committees on key ESG matters and periodically report to the full Board. 
Executive officers are held accountable for the company’s sESG performance through the company’s performance-based annual incentive program (AIP) via pre-determined ESG metrics aligned with our key ESG commitments and priorities.. In 2022, ESG metrics collectively accounted for 25% of the AIP (15% safety and 10% sustainability), with the sustainability metric including the Copper Mark, climate, human rights, tailings management and workforce inclusion and diversity priorities.
• 2023 Proxy Statement: ESG &amp; Sustainability - Governance
• CRC Charter
• Information can be found in our 2022 Annual Report on Sustainability: Our Approach; Letter to Stakeholders; Views from our CRC Chair</t>
  </si>
  <si>
    <t>We focus on attracting and retaining talented people by offering quality employment with fair and equitable compensation and benefits, as well as with opportunities for professional development and advancement. We are committed to respecting the rights of our workforce, including paying fair and equal wages. Our approach to compensation and benefits is market-based, competitive and informed by annual benchmarking and analysis. This includes equal pay for equal work and compensation levels that support the acquisition of the goods and services necessary for an average-size family to meet their basic needs in the geographic locations where we operate—often referred to as a living wage. We also develop schedules that keep regular and overtime hours within legally required limits. 
In 2022, we continued working with BSR, a global sustainability nonprofit, on a living wage assessment for both full-time and part-time employees. BSR provided expertise as well as living wage benchmark rates for each of FCX’s locations globally, including operating sites, office locations, remediation and discontinued operations, and smaller processing locations. BSR’s living wage benchmark rates exceed the minimum wages in all 42 locations. All applicable employees were tested and found to meet BSR’s living wage benchmark for their respective locations. 
In 2022, we completed a pilot living wage assessment of on-site contractors, with input and guidance from BSR, with a view to extending our living wage commitment to our on-site contractors in the future. We are working with BSR to evaluate next steps in 2023.
• PBC
• Information can be found in our 2022 Annual Report on Sustainability: Empowered People &amp; Resilient Communities &gt; Workforce</t>
  </si>
  <si>
    <t>All FCX sites are required to have a crisis management plan in place to effectively respond and support the safety of all people who could
potentially be impacted by a crisis event at or near one of our sites. The plan guides our operational approach to preparing for, responding to
and recovering from potential emergencies or crises. Over the years, our sites have utilized these plans when emergencies and crises occur, such
as recent wildfires near Bagdad and Miami in Arizona, enabling reduced impacts to the site and local community.
Our PT-FI operations in Indonesia have a mature and robust crisis management program and, for many years, PT-FI’s emergency response
team has conducted periodic tests of its crisis management plan and is often recognized nationally. Most recently, in February 2023, PT-FI’s emergency response team responded to flooding and landslides which caused damage to infrastructure near the milling complex at our Grasberg operations. Starting in 2021, we worked with a third-party consultant to incorporate the principles of the Tailings Standard into our existing crisis management guidelines and site-specific emergency response plans for the Americas. Our updated guidelines and site-specific emergency action plans are aligned with industry best practice and outline expectations for our workforce, including how they should engage with emergency responders and community members impacted by crisis events related to our operations. Each site is required to periodically test and drill their crisis management plans and site's with TSFs must conduct simulations of tailings emergency response plans based on the sites' TSF consequence classification (based on credible failure modes). The simulations may include partnering with emergency response and preparedness organizations, local government leaders and engaging with host community members.
Starting in 2022 and continuing in 2023, our sites are working to update their site-specific plans in alignment with the updated crisis management guidelines, are performing internal tests of the updated plans and are engaging external stakeholders, where applicable. We plan to begin testing our emergency response plans in 2023 with relevant stakeholders and perform site-based tailings emergency response simulations beginning with our sites that have higher risk TSFs based on consequence classification.
• Information can be found in our 2022 Annual Report on Sustainability:  Empowered People &amp; Resilient Communities &gt; Health, Safety &amp; Well-being</t>
  </si>
  <si>
    <t>The only site where we encounter artisanal miners is at PT-FI’s Grasberg operations in Central Papua, Indonesia. At Grasberg, illegal artisanal miners seek economic opportunity by panning for unrecovered gold from our milling operations in our controlled riverine tailings system. While artisanal mining within PT-FI’s area of work is illegal under Indonesian law, on average, approximately 4,000 artisanal miners and additional women and children associated with the artisanal miners have established camps at various points within the Lowlands and Highlands. About 75% of artisanal miners in the Lowlands come from outside Papua and represent over 45 different ethnic groups, while artisanal miners in the Highlands are 99% ethnic Papuans. Many of the illegal artisanal miners do not have expertise operating in hazardous conditions, including the remote terrain and varied climatic conditions experienced at Grasberg. Additional safety challenges exist as PT-FI’s ongoing levee maintenance and earthworks, which are needed to responsibly manage the controlled riverine system, occur alongside illegal artisanal miners.
PT-FI cannot address illegal artisanal mining on its own. A multi-faceted approach — including government cooperation, security risk management, stakeholder engagement and socioeconomic development for alternative livelihoods — is essential. PT-FI’s artisanal mining management plan includes regional and national objectives to help build strategic partnerships for a multi-stakeholder artisanal mining strategy.
• Information can be found in our 2022 Annual Report on Sustainability:  Robust Governance &gt; Human Rights &gt; Illegal Artisanal Mining</t>
  </si>
  <si>
    <t xml:space="preserve">Our 2022 Annual Report on Sustainability and sustainability website disclosures have been prepared in reference to the GRI Standards and the G4 Mining and Metals Sector Supplement. We have reported under GRI guidelines and standards since 2005.
• Information can be found in the ESG Performance Data file and the GRI Content Index tab in this file </t>
  </si>
  <si>
    <t>2023 North America Benefits Overview</t>
  </si>
  <si>
    <t>(1) 38.4 thousand metric tons
(2) 49.7 thousand metric tons
(3) 6.9 thousand metric tons
(4) 14.6 thousand metric tons
(5) Less than one metric ton
(6) 12.1 metric tons
(7) 4.2 thousand metric tons</t>
  </si>
  <si>
    <t>2022 Procurement Spend Distribution:
Local = 27%
National = 54%
Outside Home Country = 19%
Annual Report on Sustainability: Responsible Value Chains &gt; Local Procurement; Economic Contributions; Performance Data
Economic Impact &gt; Local Procurement on fcx.com</t>
  </si>
  <si>
    <r>
      <t>Scope 3 Total - FCX Global</t>
    </r>
    <r>
      <rPr>
        <vertAlign val="superscript"/>
        <sz val="8"/>
        <rFont val="Century Gothic"/>
        <family val="2"/>
      </rPr>
      <t>4</t>
    </r>
  </si>
  <si>
    <t>4. 2022 Scope 3 data has been revised since the publication of the 2022 Annual Sustainability Report in April 2023. At that time, Categories 1 to 8 (excluding Category 6) were based on spend data from the 2021 Climate Report, published in September 2022. We have since been able to update the data based on 2022 spend data.</t>
  </si>
  <si>
    <t>3. Our PT-FI (Grasberg) intensity reduction target is based on payable copper produced in concentrate. In 2022, PT-FI concentrate was smelted and refined by PTS and third-party smelters/refineries whose emissions are currently accounted for as our Scope 3 emissions and therefore not included in this target. Completion of the PTS expansion and Manyar smelter project is currently anticipated to occur in mid-2024 with ramp-up completion scheduled through the end of 2024. Upon completion, we plan to review the GHG emissions categorizations for these operations. Certain of these emissions may be reclassified from Scope 3 to Scopes 1   or 2. Following this review, we may adjust our PT-FI target and baseline in line with the GHG Protocol.</t>
  </si>
  <si>
    <t>5. Primary molybdenum sites target includes Climax and Henderson mines located in the U.S., and downstream molybdenum processing facilities located in the U.S., U.K. and the Netherlands (Fort Madison, Stowmarket and Rotterdam, respectively).</t>
  </si>
  <si>
    <t>2. Americas Copper (for target) includes Bagdad, Cerro Verde, Chino (including Cobre), El Abra, Morenci, Safford (including Lone Star), Sierrita and Tyrone mines as well as the Miami smelter and El Paso refinery. This target includes all payable copper, including payable copper in concentrate and cathode, but excludes rod and wire; GHG emissions associated with the production of by-product molybdenum are also included.</t>
  </si>
  <si>
    <r>
      <t>As of 2022 
Climate Report</t>
    </r>
    <r>
      <rPr>
        <b/>
        <vertAlign val="superscript"/>
        <sz val="8"/>
        <color theme="1"/>
        <rFont val="Century Gothic"/>
        <family val="2"/>
      </rPr>
      <t>1</t>
    </r>
  </si>
  <si>
    <t>Upstream</t>
  </si>
  <si>
    <t>1. 2022 Scope 3 data has been revised since the publication of the 2022 Annual Sustainability Report in April 2023. At that time, Categories 1 to 8 (excluding Category 6) were based on spend data from the 2021 Climate Report, published in September 2022. We have since been able to update the data based on 2022 spend data.</t>
  </si>
  <si>
    <t>Note: GHG emissions data have been prepared in accordance with the GHG Protocol, and we have expanded our Scope 3 emissions calculations to include additional categories. A majority of Category 1 emissions data were calculated using environmentally extended input-output (EEIO) analysis, using purchasing data and the U.S. Environmental Protection Agency's emission factors. Emissions estimates for Category 1 and Category 3 include emissions associated with lime, chemicals, reagents, tires, explosives, and all remaining mining supplies and emissions associated with extraction, refining and transportation of raw fuels sourced to FCX sites and third parties used in the generation of electricity (natural gas, gasoline, coal, and other fuels) prior to combustion, respectively. FCX reports GHG emissions on a 100% operational basis. FCX's GHG emissions verification statement is available on FCX's website at fcx.com/sustainability.</t>
  </si>
  <si>
    <t>Scope 3 estimates by nature are imprecise; they are generated by other companies in often complex supply chains. To estimate these emissions (with exception of Categories 9 &amp; 10), FCX uses a hybrid financial spend-based method for goods, services and other Scope 3 activities. This method uses best available emission factors – process-based Life Cycle Assessment (LCA) factors for inputs where the relationship between spend and materials are easily understood (e.g., copper concentrate or sulfuric acid) and EEIO emission factors for financial spend that is more difficult to model. This method was employed for the following Scope 3 categories:</t>
  </si>
  <si>
    <t>Categories 9 and 10 are calculated using activity data such as distance or mass in conjunction with industry-average emission factors. Categories 8, 11, 12, 13, 14 and 15 are either not applicable or have a minor impact, in line with the GHG Protocol. As described by the GHG Protocol Corporate Value Chain (Scope 3) Accounting and Reporting Standard Guidance, “EEIO models are derived by allocating national GHG emissions to groups of finished products based on economic flows between industry sectors.” Spend data for specific categories are mapped to corresponding industry sectors and then multiplied by cradle-to-gate emission factors for the sector to provide estimated carbon emissions. As a result of this approach, while these emission factors are indicative in nature, the results could significantly over (or in some cases under) estimate emissions. However, they provide a first estimate which can be complemented over time with process-based LCA emission factors or actual data provided by suppliers.
For copper purchases (e.g. cathode, concentrate and scrap), rather than EEIO factors, we assigned an LCA based emission factor from third-party databases. This supports a higher quality dataset for what makes up approximately 20% or more of Category 1 emissions. Most of this sub-set is due to externally purchased copper concentrates at Atlantic Copper.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</si>
</sst>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quot;$&quot;#,##0_);\(&quot;$&quot;#,##0\)"/>
    <numFmt numFmtId="165" formatCode="_(* #,##0_);_(* \(#,##0\);_(* &quot;-&quot;_);_(@_)"/>
    <numFmt numFmtId="166" formatCode="_(&quot;$&quot;* #,##0.00_);_(&quot;$&quot;* \(#,##0.00\);_(&quot;$&quot;* &quot;-&quot;??_);_(@_)"/>
    <numFmt numFmtId="167" formatCode="_(* #,##0.00_);_(* \(#,##0.00\);_(* &quot;-&quot;??_);_(@_)"/>
    <numFmt numFmtId="168" formatCode="&quot;$&quot;#,##0"/>
    <numFmt numFmtId="169" formatCode="_(&quot;$&quot;* #,##0_);_(&quot;$&quot;* \(#,##0\);_(&quot;$&quot;* &quot;-&quot;??_);_(@_)"/>
    <numFmt numFmtId="170" formatCode="#,##0.0"/>
    <numFmt numFmtId="171" formatCode="0.0"/>
    <numFmt numFmtId="172" formatCode="_(* #,##0_);_(* \(#,##0\);_(* &quot;-&quot;??_);_(@_)"/>
    <numFmt numFmtId="173" formatCode="#,##0.0000"/>
    <numFmt numFmtId="174" formatCode="#,##0.00000"/>
    <numFmt numFmtId="175" formatCode="0.0%"/>
    <numFmt numFmtId="176" formatCode="0.000"/>
    <numFmt numFmtId="177" formatCode="&quot;$&quot;#,##0.00"/>
  </numFmts>
  <fonts count="58" x14ac:knownFonts="1">
    <font>
      <sz val="11"/>
      <color theme="1"/>
      <name val="Calibri"/>
      <family val="2"/>
      <scheme val="minor"/>
    </font>
    <font>
      <sz val="11"/>
      <color theme="1"/>
      <name val="Calibri"/>
      <family val="2"/>
      <scheme val="minor"/>
    </font>
    <font>
      <b/>
      <sz val="11"/>
      <color theme="1"/>
      <name val="Calibri"/>
      <family val="2"/>
      <scheme val="minor"/>
    </font>
    <font>
      <sz val="8"/>
      <color theme="1"/>
      <name val="Century Gothic"/>
      <family val="2"/>
    </font>
    <font>
      <b/>
      <sz val="8"/>
      <color theme="0"/>
      <name val="Century Gothic"/>
      <family val="2"/>
    </font>
    <font>
      <sz val="8"/>
      <color theme="0"/>
      <name val="Century Gothic"/>
      <family val="2"/>
    </font>
    <font>
      <b/>
      <sz val="8"/>
      <color theme="1"/>
      <name val="Century Gothic"/>
      <family val="2"/>
    </font>
    <font>
      <sz val="8"/>
      <name val="Century Gothic"/>
      <family val="2"/>
    </font>
    <font>
      <vertAlign val="superscript"/>
      <sz val="8"/>
      <color theme="1"/>
      <name val="Century Gothic"/>
      <family val="2"/>
    </font>
    <font>
      <sz val="7"/>
      <color theme="1"/>
      <name val="Century Gothic"/>
      <family val="2"/>
    </font>
    <font>
      <sz val="7"/>
      <name val="Century Gothic"/>
      <family val="2"/>
    </font>
    <font>
      <b/>
      <vertAlign val="superscript"/>
      <sz val="8"/>
      <color theme="0"/>
      <name val="Century Gothic"/>
      <family val="2"/>
    </font>
    <font>
      <sz val="10"/>
      <name val="Arial"/>
      <family val="2"/>
    </font>
    <font>
      <sz val="7"/>
      <color rgb="FFFF0000"/>
      <name val="Century Gothic"/>
      <family val="2"/>
    </font>
    <font>
      <i/>
      <sz val="8"/>
      <color theme="1"/>
      <name val="Century Gothic"/>
      <family val="2"/>
    </font>
    <font>
      <sz val="8"/>
      <color rgb="FFFF0000"/>
      <name val="Century Gothic"/>
      <family val="2"/>
    </font>
    <font>
      <vertAlign val="superscript"/>
      <sz val="8"/>
      <name val="Century Gothic"/>
      <family val="2"/>
    </font>
    <font>
      <b/>
      <i/>
      <sz val="8"/>
      <color rgb="FFFF0000"/>
      <name val="Century Gothic"/>
      <family val="2"/>
    </font>
    <font>
      <b/>
      <vertAlign val="superscript"/>
      <sz val="8"/>
      <color theme="1"/>
      <name val="Century Gothic"/>
      <family val="2"/>
    </font>
    <font>
      <b/>
      <sz val="8"/>
      <name val="Century Gothic"/>
      <family val="2"/>
    </font>
    <font>
      <u/>
      <sz val="8"/>
      <name val="Century Gothic"/>
      <family val="2"/>
    </font>
    <font>
      <u/>
      <sz val="8"/>
      <color theme="1"/>
      <name val="Century Gothic"/>
      <family val="2"/>
    </font>
    <font>
      <sz val="11"/>
      <color theme="0"/>
      <name val="Calibri"/>
      <family val="2"/>
      <scheme val="minor"/>
    </font>
    <font>
      <b/>
      <sz val="8"/>
      <color rgb="FFFF0000"/>
      <name val="Century Gothic"/>
      <family val="2"/>
    </font>
    <font>
      <b/>
      <vertAlign val="superscript"/>
      <sz val="8"/>
      <color rgb="FF000000"/>
      <name val="Century Gothic"/>
      <family val="2"/>
    </font>
    <font>
      <sz val="8"/>
      <color rgb="FF000000"/>
      <name val="Century Gothic"/>
      <family val="2"/>
    </font>
    <font>
      <sz val="7"/>
      <color rgb="FF000000"/>
      <name val="Century Gothic"/>
      <family val="2"/>
    </font>
    <font>
      <vertAlign val="superscript"/>
      <sz val="7"/>
      <color rgb="FF000000"/>
      <name val="Century Gothic"/>
      <family val="2"/>
    </font>
    <font>
      <b/>
      <vertAlign val="superscript"/>
      <sz val="8"/>
      <name val="Century Gothic"/>
      <family val="2"/>
    </font>
    <font>
      <vertAlign val="subscript"/>
      <sz val="8"/>
      <name val="Century Gothic"/>
      <family val="2"/>
    </font>
    <font>
      <u/>
      <sz val="11"/>
      <color theme="10"/>
      <name val="Calibri"/>
      <family val="2"/>
      <scheme val="minor"/>
    </font>
    <font>
      <sz val="10"/>
      <color rgb="FF000000"/>
      <name val="Arial"/>
      <family val="2"/>
    </font>
    <font>
      <u/>
      <vertAlign val="superscript"/>
      <sz val="8"/>
      <color theme="1"/>
      <name val="Century Gothic"/>
      <family val="2"/>
    </font>
    <font>
      <sz val="16"/>
      <color theme="1"/>
      <name val="Century Gothic"/>
      <family val="2"/>
    </font>
    <font>
      <u/>
      <sz val="8"/>
      <color theme="10"/>
      <name val="Century Gothic"/>
      <family val="2"/>
    </font>
    <font>
      <b/>
      <sz val="20"/>
      <color theme="0"/>
      <name val="Century Gothic"/>
      <family val="2"/>
    </font>
    <font>
      <b/>
      <sz val="11"/>
      <color theme="0"/>
      <name val="Century Gothic"/>
      <family val="2"/>
    </font>
    <font>
      <b/>
      <sz val="16"/>
      <color rgb="FFFF0000"/>
      <name val="Calibri"/>
      <family val="2"/>
      <scheme val="minor"/>
    </font>
    <font>
      <sz val="11"/>
      <color theme="1"/>
      <name val="Century Gothic"/>
      <family val="2"/>
    </font>
    <font>
      <sz val="48"/>
      <color rgb="FFFF0000"/>
      <name val="Calibri"/>
      <family val="2"/>
      <scheme val="minor"/>
    </font>
    <font>
      <vertAlign val="subscript"/>
      <sz val="8"/>
      <color theme="1"/>
      <name val="Century Gothic"/>
      <family val="2"/>
    </font>
    <font>
      <sz val="7"/>
      <color theme="0"/>
      <name val="Century Gothic"/>
      <family val="2"/>
    </font>
    <font>
      <i/>
      <sz val="7"/>
      <color theme="1"/>
      <name val="Century Gothic"/>
      <family val="2"/>
    </font>
    <font>
      <i/>
      <sz val="8"/>
      <name val="Century Gothic"/>
      <family val="2"/>
    </font>
    <font>
      <sz val="16"/>
      <name val="Century Gothic"/>
      <family val="2"/>
    </font>
    <font>
      <b/>
      <sz val="11"/>
      <color rgb="FFFF0000"/>
      <name val="Century Gothic"/>
      <family val="2"/>
    </font>
    <font>
      <b/>
      <sz val="8"/>
      <color rgb="FF8497B0"/>
      <name val="Century Gothic"/>
      <family val="2"/>
    </font>
    <font>
      <vertAlign val="subscript"/>
      <sz val="7"/>
      <name val="Century Gothic"/>
      <family val="2"/>
    </font>
    <font>
      <sz val="12"/>
      <color theme="1"/>
      <name val="Century Gothic"/>
      <family val="2"/>
    </font>
    <font>
      <sz val="8"/>
      <color theme="1"/>
      <name val="Calibri"/>
      <family val="2"/>
      <scheme val="minor"/>
    </font>
    <font>
      <sz val="11"/>
      <color rgb="FFFF0000"/>
      <name val="Calibri"/>
      <family val="2"/>
      <scheme val="minor"/>
    </font>
    <font>
      <sz val="11"/>
      <name val="Calibri"/>
      <family val="2"/>
      <scheme val="minor"/>
    </font>
    <font>
      <i/>
      <sz val="8"/>
      <color theme="0"/>
      <name val="Century Gothic"/>
      <family val="2"/>
    </font>
    <font>
      <sz val="11"/>
      <name val="Century Gothic"/>
      <family val="2"/>
    </font>
    <font>
      <b/>
      <sz val="8"/>
      <color rgb="FF203764"/>
      <name val="Century Gothic"/>
      <family val="2"/>
    </font>
    <font>
      <u/>
      <vertAlign val="superscript"/>
      <sz val="8"/>
      <name val="Century Gothic"/>
      <family val="2"/>
    </font>
    <font>
      <b/>
      <sz val="9"/>
      <color rgb="FFFF0000"/>
      <name val="Century Gothic"/>
      <family val="2"/>
    </font>
    <font>
      <i/>
      <sz val="9"/>
      <color theme="1"/>
      <name val="Century Gothic"/>
      <family val="2"/>
    </font>
  </fonts>
  <fills count="17">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rgb="FFEDEDED"/>
        <bgColor indexed="64"/>
      </patternFill>
    </fill>
    <fill>
      <patternFill patternType="solid">
        <fgColor theme="6" tint="0.79998168889431442"/>
        <bgColor indexed="64"/>
      </patternFill>
    </fill>
    <fill>
      <patternFill patternType="solid">
        <fgColor rgb="FF8497B0"/>
        <bgColor indexed="64"/>
      </patternFill>
    </fill>
    <fill>
      <patternFill patternType="solid">
        <fgColor theme="2"/>
        <bgColor indexed="64"/>
      </patternFill>
    </fill>
    <fill>
      <patternFill patternType="solid">
        <fgColor rgb="FF203764"/>
        <bgColor indexed="64"/>
      </patternFill>
    </fill>
    <fill>
      <patternFill patternType="solid">
        <fgColor rgb="FF1F4E78"/>
        <bgColor indexed="64"/>
      </patternFill>
    </fill>
    <fill>
      <patternFill patternType="solid">
        <fgColor theme="0" tint="-4.9989318521683403E-2"/>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4" tint="0.79998168889431442"/>
        <bgColor indexed="64"/>
      </patternFill>
    </fill>
  </fills>
  <borders count="9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style="thin">
        <color indexed="64"/>
      </top>
      <bottom style="hair">
        <color indexed="64"/>
      </bottom>
      <diagonal/>
    </border>
    <border>
      <left/>
      <right style="thin">
        <color indexed="64"/>
      </right>
      <top/>
      <bottom style="hair">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theme="2" tint="-0.24994659260841701"/>
      </top>
      <bottom style="thin">
        <color theme="2" tint="-0.24994659260841701"/>
      </bottom>
      <diagonal/>
    </border>
    <border>
      <left/>
      <right/>
      <top style="thin">
        <color theme="2" tint="-0.24994659260841701"/>
      </top>
      <bottom/>
      <diagonal/>
    </border>
    <border>
      <left style="thin">
        <color indexed="64"/>
      </left>
      <right style="thin">
        <color indexed="64"/>
      </right>
      <top/>
      <bottom/>
      <diagonal/>
    </border>
    <border>
      <left/>
      <right/>
      <top style="thin">
        <color indexed="64"/>
      </top>
      <bottom style="medium">
        <color theme="2" tint="-0.749961851863155"/>
      </bottom>
      <diagonal/>
    </border>
    <border>
      <left style="thin">
        <color indexed="64"/>
      </left>
      <right style="thin">
        <color theme="2" tint="-0.24994659260841701"/>
      </right>
      <top style="thin">
        <color indexed="64"/>
      </top>
      <bottom style="medium">
        <color indexed="64"/>
      </bottom>
      <diagonal/>
    </border>
    <border>
      <left/>
      <right/>
      <top style="medium">
        <color indexed="64"/>
      </top>
      <bottom/>
      <diagonal/>
    </border>
    <border>
      <left/>
      <right/>
      <top/>
      <bottom style="thin">
        <color theme="2" tint="-0.24994659260841701"/>
      </bottom>
      <diagonal/>
    </border>
    <border>
      <left/>
      <right/>
      <top style="medium">
        <color theme="2" tint="-0.749961851863155"/>
      </top>
      <bottom style="thin">
        <color theme="2" tint="-0.24994659260841701"/>
      </bottom>
      <diagonal/>
    </border>
    <border>
      <left/>
      <right style="thin">
        <color theme="2" tint="-0.24994659260841701"/>
      </right>
      <top/>
      <bottom style="thin">
        <color theme="2" tint="-0.24994659260841701"/>
      </bottom>
      <diagonal/>
    </border>
    <border>
      <left/>
      <right/>
      <top/>
      <bottom style="thin">
        <color theme="2" tint="-0.749961851863155"/>
      </bottom>
      <diagonal/>
    </border>
    <border>
      <left/>
      <right style="thin">
        <color theme="2" tint="-0.24994659260841701"/>
      </right>
      <top style="thin">
        <color theme="2" tint="-0.24994659260841701"/>
      </top>
      <bottom style="thin">
        <color theme="2" tint="-0.24994659260841701"/>
      </bottom>
      <diagonal/>
    </border>
    <border>
      <left/>
      <right/>
      <top style="thin">
        <color theme="2" tint="-0.749961851863155"/>
      </top>
      <bottom style="thin">
        <color theme="2" tint="-0.749961851863155"/>
      </bottom>
      <diagonal/>
    </border>
    <border>
      <left/>
      <right/>
      <top style="thin">
        <color theme="2" tint="-0.749961851863155"/>
      </top>
      <bottom/>
      <diagonal/>
    </border>
    <border>
      <left/>
      <right style="thin">
        <color theme="2" tint="-0.24994659260841701"/>
      </right>
      <top style="thin">
        <color theme="2" tint="-0.24994659260841701"/>
      </top>
      <bottom/>
      <diagonal/>
    </border>
    <border>
      <left/>
      <right style="thin">
        <color theme="2" tint="-0.24994659260841701"/>
      </right>
      <top/>
      <bottom/>
      <diagonal/>
    </border>
    <border>
      <left/>
      <right/>
      <top style="medium">
        <color theme="2" tint="-0.749961851863155"/>
      </top>
      <bottom style="thin">
        <color theme="2" tint="-0.749961851863155"/>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indexed="64"/>
      </left>
      <right style="thin">
        <color indexed="64"/>
      </right>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thin">
        <color theme="2" tint="-0.24994659260841701"/>
      </bottom>
      <diagonal/>
    </border>
    <border>
      <left style="thin">
        <color indexed="64"/>
      </left>
      <right style="thin">
        <color indexed="64"/>
      </right>
      <top style="thin">
        <color theme="2" tint="-0.24994659260841701"/>
      </top>
      <bottom style="thin">
        <color theme="2" tint="-0.24994659260841701"/>
      </bottom>
      <diagonal/>
    </border>
    <border>
      <left/>
      <right style="thin">
        <color indexed="64"/>
      </right>
      <top style="thin">
        <color indexed="64"/>
      </top>
      <bottom style="thin">
        <color theme="2" tint="-0.24994659260841701"/>
      </bottom>
      <diagonal/>
    </border>
    <border>
      <left/>
      <right style="thin">
        <color indexed="64"/>
      </right>
      <top style="thin">
        <color theme="2" tint="-0.24994659260841701"/>
      </top>
      <bottom style="thin">
        <color theme="2" tint="-0.24994659260841701"/>
      </bottom>
      <diagonal/>
    </border>
    <border>
      <left/>
      <right style="thin">
        <color indexed="64"/>
      </right>
      <top/>
      <bottom style="thin">
        <color theme="2" tint="-0.24994659260841701"/>
      </bottom>
      <diagonal/>
    </border>
    <border>
      <left/>
      <right/>
      <top style="thin">
        <color theme="2" tint="-0.749961851863155"/>
      </top>
      <bottom style="medium">
        <color indexed="64"/>
      </bottom>
      <diagonal/>
    </border>
    <border>
      <left/>
      <right/>
      <top style="thin">
        <color theme="2" tint="-0.24994659260841701"/>
      </top>
      <bottom style="medium">
        <color indexed="64"/>
      </bottom>
      <diagonal/>
    </border>
    <border>
      <left/>
      <right style="thin">
        <color indexed="64"/>
      </right>
      <top style="thin">
        <color theme="2" tint="-0.24994659260841701"/>
      </top>
      <bottom style="medium">
        <color indexed="64"/>
      </bottom>
      <diagonal/>
    </border>
    <border>
      <left style="thin">
        <color indexed="64"/>
      </left>
      <right style="thin">
        <color indexed="64"/>
      </right>
      <top style="thin">
        <color theme="2" tint="-0.24994659260841701"/>
      </top>
      <bottom style="medium">
        <color indexed="64"/>
      </bottom>
      <diagonal/>
    </border>
    <border>
      <left style="thin">
        <color indexed="64"/>
      </left>
      <right style="thin">
        <color indexed="64"/>
      </right>
      <top style="hair">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thin">
        <color indexed="64"/>
      </right>
      <top/>
      <bottom/>
      <diagonal/>
    </border>
    <border>
      <left/>
      <right style="medium">
        <color indexed="64"/>
      </right>
      <top/>
      <bottom style="hair">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hair">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theme="2" tint="-0.24994659260841701"/>
      </right>
      <top style="thin">
        <color theme="6"/>
      </top>
      <bottom/>
      <diagonal/>
    </border>
    <border>
      <left/>
      <right style="thin">
        <color theme="2" tint="-0.24994659260841701"/>
      </right>
      <top style="thin">
        <color theme="6"/>
      </top>
      <bottom style="thin">
        <color theme="2" tint="-0.24994659260841701"/>
      </bottom>
      <diagonal/>
    </border>
    <border>
      <left/>
      <right/>
      <top/>
      <bottom style="thin">
        <color theme="6"/>
      </bottom>
      <diagonal/>
    </border>
    <border>
      <left/>
      <right style="thin">
        <color indexed="64"/>
      </right>
      <top style="thin">
        <color indexed="64"/>
      </top>
      <bottom style="medium">
        <color indexed="64"/>
      </bottom>
      <diagonal/>
    </border>
    <border>
      <left/>
      <right/>
      <top style="medium">
        <color indexed="64"/>
      </top>
      <bottom style="thin">
        <color theme="2" tint="-0.749961851863155"/>
      </bottom>
      <diagonal/>
    </border>
    <border>
      <left/>
      <right style="thin">
        <color indexed="64"/>
      </right>
      <top style="medium">
        <color indexed="64"/>
      </top>
      <bottom style="thin">
        <color theme="2" tint="-0.749961851863155"/>
      </bottom>
      <diagonal/>
    </border>
    <border>
      <left/>
      <right style="thin">
        <color indexed="64"/>
      </right>
      <top style="thin">
        <color theme="2" tint="-0.749961851863155"/>
      </top>
      <bottom style="thin">
        <color theme="2" tint="-0.749961851863155"/>
      </bottom>
      <diagonal/>
    </border>
  </borders>
  <cellStyleXfs count="13">
    <xf numFmtId="0" fontId="0" fillId="0" borderId="0"/>
    <xf numFmtId="167"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167" fontId="12" fillId="0" borderId="0" applyFont="0" applyFill="0" applyBorder="0" applyAlignment="0" applyProtection="0"/>
    <xf numFmtId="9" fontId="12" fillId="0" borderId="0" applyFont="0" applyFill="0" applyBorder="0" applyAlignment="0" applyProtection="0"/>
    <xf numFmtId="166" fontId="1" fillId="0" borderId="0" applyFont="0" applyFill="0" applyBorder="0" applyAlignment="0" applyProtection="0"/>
    <xf numFmtId="0" fontId="30" fillId="0" borderId="0" applyNumberFormat="0" applyFill="0" applyBorder="0" applyAlignment="0" applyProtection="0"/>
    <xf numFmtId="0" fontId="12" fillId="0" borderId="0"/>
    <xf numFmtId="0" fontId="12" fillId="0" borderId="0"/>
    <xf numFmtId="0" fontId="12" fillId="0" borderId="0"/>
    <xf numFmtId="166" fontId="12" fillId="0" borderId="0" applyFont="0" applyFill="0" applyBorder="0" applyAlignment="0" applyProtection="0"/>
  </cellStyleXfs>
  <cellXfs count="1119">
    <xf numFmtId="0" fontId="0" fillId="0" borderId="0" xfId="0"/>
    <xf numFmtId="0" fontId="3" fillId="2" borderId="0" xfId="0" applyFont="1" applyFill="1"/>
    <xf numFmtId="0" fontId="5" fillId="3" borderId="2" xfId="0" applyFont="1" applyFill="1" applyBorder="1" applyAlignment="1">
      <alignment vertical="center"/>
    </xf>
    <xf numFmtId="0" fontId="5" fillId="3" borderId="3" xfId="0" applyFont="1" applyFill="1" applyBorder="1" applyAlignment="1">
      <alignment vertical="center"/>
    </xf>
    <xf numFmtId="0" fontId="4" fillId="4" borderId="5" xfId="0" applyFont="1" applyFill="1" applyBorder="1" applyAlignment="1">
      <alignment vertical="center"/>
    </xf>
    <xf numFmtId="0" fontId="0" fillId="2" borderId="0" xfId="0" applyFill="1"/>
    <xf numFmtId="0" fontId="5" fillId="2" borderId="0" xfId="0" applyFont="1" applyFill="1"/>
    <xf numFmtId="0" fontId="3" fillId="0" borderId="0" xfId="0" applyFont="1"/>
    <xf numFmtId="0" fontId="3" fillId="2" borderId="4" xfId="0" applyFont="1" applyFill="1" applyBorder="1" applyAlignment="1">
      <alignment vertical="center" wrapText="1"/>
    </xf>
    <xf numFmtId="1" fontId="3" fillId="2" borderId="4" xfId="0" applyNumberFormat="1" applyFont="1" applyFill="1" applyBorder="1" applyAlignment="1">
      <alignment horizontal="right" vertical="center" wrapText="1"/>
    </xf>
    <xf numFmtId="0" fontId="4" fillId="4" borderId="0" xfId="0" applyFont="1" applyFill="1" applyAlignment="1">
      <alignment vertical="center"/>
    </xf>
    <xf numFmtId="0" fontId="4" fillId="4" borderId="13" xfId="0" applyFont="1" applyFill="1" applyBorder="1" applyAlignment="1">
      <alignment vertical="center"/>
    </xf>
    <xf numFmtId="0" fontId="4" fillId="4" borderId="6" xfId="0" applyFont="1" applyFill="1" applyBorder="1" applyAlignment="1">
      <alignment horizontal="center" vertical="center"/>
    </xf>
    <xf numFmtId="0" fontId="4" fillId="4" borderId="7" xfId="0" applyFont="1" applyFill="1" applyBorder="1" applyAlignment="1">
      <alignment horizontal="center" vertical="center"/>
    </xf>
    <xf numFmtId="0" fontId="6" fillId="5" borderId="2" xfId="0" applyFont="1" applyFill="1" applyBorder="1" applyAlignment="1">
      <alignment vertical="center"/>
    </xf>
    <xf numFmtId="0" fontId="6" fillId="5" borderId="3" xfId="0" applyFont="1" applyFill="1" applyBorder="1" applyAlignment="1">
      <alignment vertical="center"/>
    </xf>
    <xf numFmtId="0" fontId="3" fillId="2" borderId="8" xfId="0" applyFont="1" applyFill="1" applyBorder="1" applyAlignment="1">
      <alignment horizontal="left" vertical="center" wrapText="1" indent="4"/>
    </xf>
    <xf numFmtId="0" fontId="14" fillId="2" borderId="0" xfId="0" applyFont="1" applyFill="1"/>
    <xf numFmtId="0" fontId="9" fillId="2" borderId="0" xfId="0" applyFont="1" applyFill="1"/>
    <xf numFmtId="0" fontId="15" fillId="2" borderId="0" xfId="0" applyFont="1" applyFill="1"/>
    <xf numFmtId="0" fontId="5" fillId="0" borderId="0" xfId="0" applyFont="1"/>
    <xf numFmtId="0" fontId="3" fillId="6" borderId="8" xfId="0" applyFont="1" applyFill="1" applyBorder="1" applyAlignment="1">
      <alignment horizontal="left" vertical="center" wrapText="1" indent="2"/>
    </xf>
    <xf numFmtId="0" fontId="3" fillId="2" borderId="12" xfId="0" applyFont="1" applyFill="1" applyBorder="1" applyAlignment="1">
      <alignment horizontal="left" vertical="center" wrapText="1"/>
    </xf>
    <xf numFmtId="3" fontId="3" fillId="2" borderId="0" xfId="0" applyNumberFormat="1" applyFont="1" applyFill="1" applyAlignment="1">
      <alignment horizontal="center" vertical="center"/>
    </xf>
    <xf numFmtId="0" fontId="3" fillId="2" borderId="5" xfId="0" applyFont="1" applyFill="1" applyBorder="1" applyAlignment="1">
      <alignment horizontal="left" vertical="center" wrapText="1" indent="1"/>
    </xf>
    <xf numFmtId="0" fontId="17" fillId="2" borderId="0" xfId="0" applyFont="1" applyFill="1"/>
    <xf numFmtId="3" fontId="7" fillId="2" borderId="0" xfId="0" applyNumberFormat="1" applyFont="1" applyFill="1" applyAlignment="1">
      <alignment horizontal="center" vertical="center"/>
    </xf>
    <xf numFmtId="3" fontId="7" fillId="2" borderId="17" xfId="0" applyNumberFormat="1" applyFont="1" applyFill="1" applyBorder="1" applyAlignment="1">
      <alignment horizontal="right" vertical="center" indent="2"/>
    </xf>
    <xf numFmtId="3" fontId="7" fillId="2" borderId="0" xfId="0" applyNumberFormat="1" applyFont="1" applyFill="1" applyAlignment="1">
      <alignment horizontal="right" vertical="center" indent="2"/>
    </xf>
    <xf numFmtId="0" fontId="7" fillId="2" borderId="8" xfId="0" applyFont="1" applyFill="1" applyBorder="1" applyAlignment="1">
      <alignment horizontal="left" vertical="center" wrapText="1" indent="2"/>
    </xf>
    <xf numFmtId="0" fontId="20" fillId="2" borderId="12" xfId="0" applyFont="1" applyFill="1" applyBorder="1" applyAlignment="1">
      <alignment horizontal="left" vertical="center" indent="2"/>
    </xf>
    <xf numFmtId="0" fontId="21" fillId="2" borderId="12" xfId="0" applyFont="1" applyFill="1" applyBorder="1" applyAlignment="1">
      <alignment horizontal="left" vertical="center" indent="2"/>
    </xf>
    <xf numFmtId="169" fontId="0" fillId="2" borderId="0" xfId="0" applyNumberFormat="1" applyFill="1"/>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4" borderId="13" xfId="0" applyFont="1" applyFill="1" applyBorder="1" applyAlignment="1">
      <alignment horizontal="center" vertical="center"/>
    </xf>
    <xf numFmtId="0" fontId="6" fillId="5" borderId="6" xfId="0" applyFont="1" applyFill="1" applyBorder="1" applyAlignment="1">
      <alignment horizontal="center" vertical="center"/>
    </xf>
    <xf numFmtId="0" fontId="6" fillId="5" borderId="7" xfId="0" applyFont="1" applyFill="1" applyBorder="1" applyAlignment="1">
      <alignment horizontal="center" vertical="center"/>
    </xf>
    <xf numFmtId="0" fontId="23" fillId="2" borderId="0" xfId="0" applyFont="1" applyFill="1"/>
    <xf numFmtId="3" fontId="3" fillId="2" borderId="9" xfId="0" applyNumberFormat="1" applyFont="1" applyFill="1" applyBorder="1" applyAlignment="1">
      <alignment horizontal="right" vertical="center" indent="4"/>
    </xf>
    <xf numFmtId="9" fontId="15" fillId="2" borderId="0" xfId="2" applyFont="1" applyFill="1"/>
    <xf numFmtId="9" fontId="7" fillId="2" borderId="0" xfId="2" applyFont="1" applyFill="1"/>
    <xf numFmtId="1" fontId="3" fillId="2" borderId="9" xfId="0" applyNumberFormat="1" applyFont="1" applyFill="1" applyBorder="1" applyAlignment="1">
      <alignment horizontal="right" vertical="center" indent="4"/>
    </xf>
    <xf numFmtId="0" fontId="7" fillId="2" borderId="0" xfId="0" applyFont="1" applyFill="1"/>
    <xf numFmtId="1" fontId="3" fillId="2" borderId="0" xfId="0" applyNumberFormat="1" applyFont="1" applyFill="1" applyAlignment="1">
      <alignment horizontal="center" vertical="center" wrapText="1"/>
    </xf>
    <xf numFmtId="0" fontId="9" fillId="2" borderId="0" xfId="0" applyFont="1" applyFill="1" applyAlignment="1">
      <alignment vertical="center"/>
    </xf>
    <xf numFmtId="0" fontId="9" fillId="0" borderId="0" xfId="0" applyFont="1" applyAlignment="1">
      <alignment vertical="center"/>
    </xf>
    <xf numFmtId="0" fontId="3" fillId="2" borderId="0" xfId="0" applyFont="1" applyFill="1" applyAlignment="1">
      <alignment horizontal="center"/>
    </xf>
    <xf numFmtId="0" fontId="4" fillId="4" borderId="2" xfId="0" applyFont="1" applyFill="1" applyBorder="1" applyAlignment="1">
      <alignment horizontal="right" vertical="center" indent="2"/>
    </xf>
    <xf numFmtId="0" fontId="6" fillId="5" borderId="6" xfId="0" applyFont="1" applyFill="1" applyBorder="1" applyAlignment="1">
      <alignment vertical="center"/>
    </xf>
    <xf numFmtId="0" fontId="3" fillId="2" borderId="12" xfId="0" applyFont="1" applyFill="1" applyBorder="1" applyAlignment="1">
      <alignment horizontal="left" vertical="center" wrapText="1" indent="2"/>
    </xf>
    <xf numFmtId="171" fontId="3" fillId="2" borderId="0" xfId="0" applyNumberFormat="1" applyFont="1" applyFill="1" applyAlignment="1">
      <alignment horizontal="center" vertical="center"/>
    </xf>
    <xf numFmtId="3" fontId="3" fillId="2" borderId="0" xfId="0" applyNumberFormat="1" applyFont="1" applyFill="1"/>
    <xf numFmtId="171" fontId="15" fillId="2" borderId="0" xfId="0" applyNumberFormat="1" applyFont="1" applyFill="1"/>
    <xf numFmtId="0" fontId="3" fillId="2" borderId="1" xfId="0" applyFont="1" applyFill="1" applyBorder="1" applyAlignment="1">
      <alignment horizontal="left" vertical="center" wrapText="1" indent="2"/>
    </xf>
    <xf numFmtId="172" fontId="15" fillId="2" borderId="0" xfId="1" applyNumberFormat="1" applyFont="1" applyFill="1"/>
    <xf numFmtId="171" fontId="3" fillId="2" borderId="0" xfId="0" applyNumberFormat="1" applyFont="1" applyFill="1"/>
    <xf numFmtId="9" fontId="3" fillId="2" borderId="7" xfId="2" applyFont="1" applyFill="1" applyBorder="1" applyAlignment="1">
      <alignment horizontal="center" vertical="center"/>
    </xf>
    <xf numFmtId="0" fontId="3" fillId="2" borderId="0" xfId="0" applyFont="1" applyFill="1" applyAlignment="1">
      <alignment vertical="center"/>
    </xf>
    <xf numFmtId="0" fontId="3" fillId="0" borderId="0" xfId="0" applyFont="1" applyAlignment="1">
      <alignment vertical="center"/>
    </xf>
    <xf numFmtId="0" fontId="10" fillId="2" borderId="0" xfId="0" applyFont="1" applyFill="1" applyAlignment="1">
      <alignment vertical="top" wrapText="1"/>
    </xf>
    <xf numFmtId="0" fontId="26" fillId="2" borderId="0" xfId="0" applyFont="1" applyFill="1" applyAlignment="1">
      <alignment vertical="center" wrapText="1"/>
    </xf>
    <xf numFmtId="0" fontId="26" fillId="2" borderId="0" xfId="0" applyFont="1" applyFill="1" applyAlignment="1">
      <alignment horizontal="left" vertical="center" wrapText="1"/>
    </xf>
    <xf numFmtId="0" fontId="4" fillId="4" borderId="2" xfId="0" applyFont="1" applyFill="1" applyBorder="1" applyAlignment="1">
      <alignment vertical="center"/>
    </xf>
    <xf numFmtId="0" fontId="4" fillId="4" borderId="3" xfId="0" applyFont="1" applyFill="1" applyBorder="1" applyAlignment="1">
      <alignment vertical="center"/>
    </xf>
    <xf numFmtId="0" fontId="3" fillId="2" borderId="6" xfId="0" applyFont="1" applyFill="1" applyBorder="1"/>
    <xf numFmtId="0" fontId="3" fillId="0" borderId="0" xfId="0" applyFont="1" applyAlignment="1">
      <alignment horizontal="center"/>
    </xf>
    <xf numFmtId="0" fontId="4" fillId="4" borderId="6" xfId="0" applyFont="1" applyFill="1" applyBorder="1" applyAlignment="1">
      <alignment horizontal="right" vertical="center" indent="4"/>
    </xf>
    <xf numFmtId="0" fontId="4" fillId="4" borderId="7" xfId="0" applyFont="1" applyFill="1" applyBorder="1" applyAlignment="1">
      <alignment horizontal="right" vertical="center" indent="4"/>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9" fontId="3" fillId="0" borderId="0" xfId="2" applyFont="1" applyFill="1"/>
    <xf numFmtId="1" fontId="7" fillId="2" borderId="9" xfId="0" applyNumberFormat="1" applyFont="1" applyFill="1" applyBorder="1" applyAlignment="1">
      <alignment horizontal="right" vertical="center" indent="4"/>
    </xf>
    <xf numFmtId="171" fontId="7" fillId="2" borderId="24" xfId="0" applyNumberFormat="1" applyFont="1" applyFill="1" applyBorder="1" applyAlignment="1">
      <alignment horizontal="right" vertical="center" indent="4"/>
    </xf>
    <xf numFmtId="0" fontId="6" fillId="2" borderId="0" xfId="0" applyFont="1" applyFill="1" applyAlignment="1">
      <alignment vertical="center"/>
    </xf>
    <xf numFmtId="3" fontId="7" fillId="2" borderId="9" xfId="0" applyNumberFormat="1" applyFont="1" applyFill="1" applyBorder="1" applyAlignment="1">
      <alignment horizontal="right" vertical="center" indent="3"/>
    </xf>
    <xf numFmtId="0" fontId="7" fillId="2" borderId="4" xfId="0" applyFont="1" applyFill="1" applyBorder="1" applyAlignment="1">
      <alignment vertical="center" wrapText="1"/>
    </xf>
    <xf numFmtId="1" fontId="7" fillId="2" borderId="4" xfId="0" applyNumberFormat="1" applyFont="1" applyFill="1" applyBorder="1" applyAlignment="1">
      <alignment horizontal="center" vertical="center" wrapText="1"/>
    </xf>
    <xf numFmtId="0" fontId="10" fillId="2" borderId="0" xfId="0" applyFont="1" applyFill="1"/>
    <xf numFmtId="0" fontId="7" fillId="0" borderId="0" xfId="0" applyFont="1"/>
    <xf numFmtId="0" fontId="23" fillId="2" borderId="0" xfId="0" applyFont="1" applyFill="1" applyAlignment="1">
      <alignment wrapText="1"/>
    </xf>
    <xf numFmtId="1" fontId="3" fillId="2" borderId="4" xfId="0" applyNumberFormat="1" applyFont="1" applyFill="1" applyBorder="1" applyAlignment="1">
      <alignment horizontal="center" vertical="center" wrapText="1"/>
    </xf>
    <xf numFmtId="168" fontId="3" fillId="2" borderId="9" xfId="0" applyNumberFormat="1" applyFont="1" applyFill="1" applyBorder="1" applyAlignment="1">
      <alignment horizontal="right" vertical="center" indent="4"/>
    </xf>
    <xf numFmtId="0" fontId="9" fillId="2" borderId="0" xfId="0" applyFont="1" applyFill="1" applyAlignment="1">
      <alignment vertical="center" wrapText="1"/>
    </xf>
    <xf numFmtId="0" fontId="3" fillId="2" borderId="0" xfId="0" applyFont="1" applyFill="1" applyAlignment="1">
      <alignment vertical="center" wrapText="1"/>
    </xf>
    <xf numFmtId="0" fontId="3" fillId="0" borderId="0" xfId="0" applyFont="1" applyAlignment="1">
      <alignment vertical="center" wrapText="1"/>
    </xf>
    <xf numFmtId="3" fontId="3" fillId="2" borderId="11" xfId="0" applyNumberFormat="1" applyFont="1" applyFill="1" applyBorder="1" applyAlignment="1">
      <alignment horizontal="right" vertical="center" indent="4"/>
    </xf>
    <xf numFmtId="0" fontId="3" fillId="2" borderId="0" xfId="0" applyFont="1" applyFill="1" applyAlignment="1">
      <alignment horizontal="left" vertical="center" wrapText="1" indent="4"/>
    </xf>
    <xf numFmtId="0" fontId="4" fillId="3" borderId="1" xfId="0" applyFont="1" applyFill="1" applyBorder="1" applyAlignment="1">
      <alignment horizontal="left" vertical="center" indent="1"/>
    </xf>
    <xf numFmtId="0" fontId="4" fillId="4" borderId="18" xfId="0" applyFont="1" applyFill="1" applyBorder="1" applyAlignment="1">
      <alignment horizontal="left" vertical="center" indent="1"/>
    </xf>
    <xf numFmtId="0" fontId="4" fillId="4" borderId="5" xfId="0" applyFont="1" applyFill="1" applyBorder="1" applyAlignment="1">
      <alignment horizontal="left" vertical="center" indent="1"/>
    </xf>
    <xf numFmtId="0" fontId="6" fillId="5" borderId="5" xfId="0" applyFont="1" applyFill="1" applyBorder="1" applyAlignment="1">
      <alignment horizontal="left" vertical="center" indent="1"/>
    </xf>
    <xf numFmtId="0" fontId="3" fillId="2" borderId="8" xfId="0" applyFont="1" applyFill="1" applyBorder="1" applyAlignment="1">
      <alignment horizontal="left" vertical="center" wrapText="1" indent="1"/>
    </xf>
    <xf numFmtId="0" fontId="3" fillId="2" borderId="4" xfId="0" applyFont="1" applyFill="1" applyBorder="1" applyAlignment="1">
      <alignment horizontal="left" vertical="center" wrapText="1" indent="1"/>
    </xf>
    <xf numFmtId="0" fontId="3" fillId="2" borderId="0" xfId="0" applyFont="1" applyFill="1" applyAlignment="1">
      <alignment horizontal="left" indent="1"/>
    </xf>
    <xf numFmtId="0" fontId="3" fillId="0" borderId="0" xfId="0" applyFont="1" applyAlignment="1">
      <alignment horizontal="left" indent="1"/>
    </xf>
    <xf numFmtId="0" fontId="3" fillId="2" borderId="4" xfId="0" applyFont="1" applyFill="1" applyBorder="1" applyAlignment="1">
      <alignment horizontal="left" vertical="center" wrapText="1"/>
    </xf>
    <xf numFmtId="0" fontId="3" fillId="2" borderId="0" xfId="0" applyFont="1" applyFill="1" applyAlignment="1">
      <alignment horizontal="left"/>
    </xf>
    <xf numFmtId="0" fontId="3" fillId="0" borderId="0" xfId="0" applyFont="1" applyAlignment="1">
      <alignment horizontal="left"/>
    </xf>
    <xf numFmtId="0" fontId="4" fillId="4" borderId="12" xfId="0" applyFont="1" applyFill="1" applyBorder="1" applyAlignment="1">
      <alignment horizontal="left" vertical="center" indent="1"/>
    </xf>
    <xf numFmtId="0" fontId="6" fillId="5" borderId="1" xfId="0" applyFont="1" applyFill="1" applyBorder="1" applyAlignment="1">
      <alignment horizontal="left" vertical="center" indent="1"/>
    </xf>
    <xf numFmtId="0" fontId="13" fillId="2" borderId="0" xfId="0" applyFont="1" applyFill="1" applyAlignment="1">
      <alignment horizontal="left"/>
    </xf>
    <xf numFmtId="0" fontId="3" fillId="6" borderId="8" xfId="0" applyFont="1" applyFill="1" applyBorder="1" applyAlignment="1">
      <alignment horizontal="left" vertical="center" wrapText="1" indent="1"/>
    </xf>
    <xf numFmtId="0" fontId="7" fillId="2" borderId="8" xfId="0" applyFont="1" applyFill="1" applyBorder="1" applyAlignment="1">
      <alignment horizontal="left" vertical="center" wrapText="1" indent="1"/>
    </xf>
    <xf numFmtId="0" fontId="3" fillId="2" borderId="8" xfId="0" applyFont="1" applyFill="1" applyBorder="1" applyAlignment="1">
      <alignment horizontal="left" vertical="center" wrapText="1" indent="2"/>
    </xf>
    <xf numFmtId="0" fontId="3" fillId="2" borderId="14" xfId="0" applyFont="1" applyFill="1" applyBorder="1" applyAlignment="1">
      <alignment horizontal="left" vertical="center" wrapText="1" indent="2"/>
    </xf>
    <xf numFmtId="0" fontId="3" fillId="2" borderId="8" xfId="0" applyFont="1" applyFill="1" applyBorder="1" applyAlignment="1">
      <alignment horizontal="left" vertical="center" wrapText="1" indent="3"/>
    </xf>
    <xf numFmtId="0" fontId="4" fillId="4" borderId="1" xfId="0" applyFont="1" applyFill="1" applyBorder="1" applyAlignment="1">
      <alignment horizontal="left" vertical="center" indent="1"/>
    </xf>
    <xf numFmtId="0" fontId="3" fillId="2" borderId="22" xfId="0" applyFont="1" applyFill="1" applyBorder="1" applyAlignment="1">
      <alignment horizontal="left" vertical="center" wrapText="1" indent="3"/>
    </xf>
    <xf numFmtId="0" fontId="3" fillId="2" borderId="18" xfId="0" applyFont="1" applyFill="1" applyBorder="1" applyAlignment="1">
      <alignment horizontal="left" indent="1"/>
    </xf>
    <xf numFmtId="0" fontId="14" fillId="2" borderId="12" xfId="0" applyFont="1" applyFill="1" applyBorder="1" applyAlignment="1">
      <alignment horizontal="left" indent="1"/>
    </xf>
    <xf numFmtId="0" fontId="3" fillId="2" borderId="12" xfId="0" applyFont="1" applyFill="1" applyBorder="1" applyAlignment="1">
      <alignment horizontal="left" indent="1"/>
    </xf>
    <xf numFmtId="0" fontId="3" fillId="2" borderId="5" xfId="0" applyFont="1" applyFill="1" applyBorder="1" applyAlignment="1">
      <alignment horizontal="left" indent="1"/>
    </xf>
    <xf numFmtId="0" fontId="3" fillId="2" borderId="6" xfId="0" applyFont="1" applyFill="1" applyBorder="1" applyAlignment="1">
      <alignment horizontal="left" indent="1"/>
    </xf>
    <xf numFmtId="0" fontId="3" fillId="2" borderId="6" xfId="0" applyFont="1" applyFill="1" applyBorder="1" applyAlignment="1">
      <alignment horizontal="center"/>
    </xf>
    <xf numFmtId="0" fontId="3" fillId="2" borderId="7" xfId="0" applyFont="1" applyFill="1" applyBorder="1" applyAlignment="1">
      <alignment horizontal="center"/>
    </xf>
    <xf numFmtId="3" fontId="7" fillId="2" borderId="9" xfId="0" applyNumberFormat="1" applyFont="1" applyFill="1" applyBorder="1" applyAlignment="1">
      <alignment horizontal="right" vertical="center" indent="4"/>
    </xf>
    <xf numFmtId="0" fontId="3" fillId="2" borderId="23" xfId="0" applyFont="1" applyFill="1" applyBorder="1" applyAlignment="1">
      <alignment horizontal="left" vertical="center" wrapText="1" indent="1"/>
    </xf>
    <xf numFmtId="0" fontId="3" fillId="2" borderId="4" xfId="0" applyFont="1" applyFill="1" applyBorder="1" applyAlignment="1">
      <alignment horizontal="left" vertical="center" wrapText="1" indent="3"/>
    </xf>
    <xf numFmtId="0" fontId="3" fillId="2" borderId="5" xfId="0" applyFont="1" applyFill="1" applyBorder="1" applyAlignment="1">
      <alignment horizontal="left" vertical="center" wrapText="1" indent="3"/>
    </xf>
    <xf numFmtId="0" fontId="4" fillId="4" borderId="4" xfId="0" applyFont="1" applyFill="1" applyBorder="1" applyAlignment="1">
      <alignment vertical="center"/>
    </xf>
    <xf numFmtId="0" fontId="4" fillId="4" borderId="6" xfId="0" applyFont="1" applyFill="1" applyBorder="1" applyAlignment="1">
      <alignment horizontal="right" vertical="center" indent="3"/>
    </xf>
    <xf numFmtId="0" fontId="4" fillId="4" borderId="7" xfId="0" applyFont="1" applyFill="1" applyBorder="1" applyAlignment="1">
      <alignment horizontal="right" vertical="center" indent="3"/>
    </xf>
    <xf numFmtId="0" fontId="7" fillId="2" borderId="5" xfId="0" applyFont="1" applyFill="1" applyBorder="1" applyAlignment="1">
      <alignment horizontal="left" vertical="center" wrapText="1"/>
    </xf>
    <xf numFmtId="0" fontId="7" fillId="2" borderId="12" xfId="0" applyFont="1" applyFill="1" applyBorder="1" applyAlignment="1">
      <alignment horizontal="left" vertical="center" wrapText="1"/>
    </xf>
    <xf numFmtId="0" fontId="6" fillId="7" borderId="1" xfId="0" applyFont="1" applyFill="1" applyBorder="1" applyAlignment="1">
      <alignment horizontal="left" vertical="center" indent="1"/>
    </xf>
    <xf numFmtId="0" fontId="19" fillId="7" borderId="1" xfId="0" applyFont="1" applyFill="1" applyBorder="1" applyAlignment="1">
      <alignment horizontal="left" vertical="center" indent="1"/>
    </xf>
    <xf numFmtId="0" fontId="7" fillId="2" borderId="8" xfId="0" applyFont="1" applyFill="1" applyBorder="1" applyAlignment="1">
      <alignment horizontal="left" vertical="center" wrapText="1" indent="3"/>
    </xf>
    <xf numFmtId="0" fontId="7" fillId="2" borderId="14" xfId="0" applyFont="1" applyFill="1" applyBorder="1" applyAlignment="1">
      <alignment horizontal="left" vertical="center" wrapText="1" indent="3"/>
    </xf>
    <xf numFmtId="0" fontId="6" fillId="5" borderId="7" xfId="0" applyFont="1" applyFill="1" applyBorder="1" applyAlignment="1">
      <alignment vertical="center"/>
    </xf>
    <xf numFmtId="3" fontId="15" fillId="2" borderId="0" xfId="0" applyNumberFormat="1" applyFont="1" applyFill="1"/>
    <xf numFmtId="0" fontId="23" fillId="2" borderId="0" xfId="0" applyFont="1" applyFill="1" applyAlignment="1">
      <alignment horizontal="left"/>
    </xf>
    <xf numFmtId="0" fontId="6" fillId="2" borderId="0" xfId="0" applyFont="1" applyFill="1"/>
    <xf numFmtId="172" fontId="3" fillId="2" borderId="0" xfId="1" applyNumberFormat="1" applyFont="1" applyFill="1"/>
    <xf numFmtId="172" fontId="3" fillId="2" borderId="0" xfId="0" applyNumberFormat="1" applyFont="1" applyFill="1"/>
    <xf numFmtId="167" fontId="7" fillId="2" borderId="0" xfId="1" applyFont="1" applyFill="1"/>
    <xf numFmtId="0" fontId="3" fillId="2" borderId="0" xfId="3" applyFont="1" applyFill="1"/>
    <xf numFmtId="0" fontId="5" fillId="3" borderId="2" xfId="3" applyFont="1" applyFill="1" applyBorder="1" applyAlignment="1">
      <alignment vertical="center"/>
    </xf>
    <xf numFmtId="0" fontId="5" fillId="3" borderId="3" xfId="3" applyFont="1" applyFill="1" applyBorder="1" applyAlignment="1">
      <alignment vertical="center"/>
    </xf>
    <xf numFmtId="0" fontId="3" fillId="0" borderId="0" xfId="3" applyFont="1"/>
    <xf numFmtId="0" fontId="4" fillId="4" borderId="4" xfId="3" applyFont="1" applyFill="1" applyBorder="1" applyAlignment="1">
      <alignment horizontal="center" vertical="center"/>
    </xf>
    <xf numFmtId="0" fontId="4" fillId="4" borderId="13" xfId="3" applyFont="1" applyFill="1" applyBorder="1" applyAlignment="1">
      <alignment horizontal="center" vertical="center"/>
    </xf>
    <xf numFmtId="0" fontId="4" fillId="4" borderId="5" xfId="3" applyFont="1" applyFill="1" applyBorder="1" applyAlignment="1">
      <alignment vertical="center"/>
    </xf>
    <xf numFmtId="0" fontId="6" fillId="5" borderId="2" xfId="3" applyFont="1" applyFill="1" applyBorder="1" applyAlignment="1">
      <alignment vertical="center"/>
    </xf>
    <xf numFmtId="0" fontId="6" fillId="5" borderId="3" xfId="3" applyFont="1" applyFill="1" applyBorder="1" applyAlignment="1">
      <alignment vertical="center"/>
    </xf>
    <xf numFmtId="0" fontId="3" fillId="2" borderId="8" xfId="3" applyFont="1" applyFill="1" applyBorder="1" applyAlignment="1">
      <alignment horizontal="left" vertical="center" wrapText="1" indent="2"/>
    </xf>
    <xf numFmtId="0" fontId="3" fillId="2" borderId="12" xfId="3" applyFont="1" applyFill="1" applyBorder="1" applyAlignment="1">
      <alignment horizontal="left" vertical="center" wrapText="1" indent="2"/>
    </xf>
    <xf numFmtId="0" fontId="21" fillId="2" borderId="12" xfId="3" applyFont="1" applyFill="1" applyBorder="1" applyAlignment="1">
      <alignment horizontal="left" vertical="center" indent="2"/>
    </xf>
    <xf numFmtId="0" fontId="3" fillId="2" borderId="8" xfId="3" applyFont="1" applyFill="1" applyBorder="1" applyAlignment="1">
      <alignment horizontal="left" vertical="center" wrapText="1" indent="4"/>
    </xf>
    <xf numFmtId="0" fontId="5" fillId="2" borderId="0" xfId="3" applyFont="1" applyFill="1"/>
    <xf numFmtId="0" fontId="3" fillId="2" borderId="12" xfId="3" applyFont="1" applyFill="1" applyBorder="1" applyAlignment="1">
      <alignment horizontal="left" vertical="center" wrapText="1"/>
    </xf>
    <xf numFmtId="0" fontId="5" fillId="0" borderId="0" xfId="3" applyFont="1"/>
    <xf numFmtId="0" fontId="3" fillId="2" borderId="28" xfId="3" applyFont="1" applyFill="1" applyBorder="1" applyAlignment="1">
      <alignment horizontal="left" vertical="center" wrapText="1" indent="4"/>
    </xf>
    <xf numFmtId="0" fontId="13" fillId="2" borderId="0" xfId="3" applyFont="1" applyFill="1" applyAlignment="1">
      <alignment vertical="center" wrapText="1"/>
    </xf>
    <xf numFmtId="0" fontId="3" fillId="2" borderId="8" xfId="3" applyFont="1" applyFill="1" applyBorder="1" applyAlignment="1">
      <alignment horizontal="left" vertical="top" wrapText="1" indent="4"/>
    </xf>
    <xf numFmtId="0" fontId="3" fillId="2" borderId="28" xfId="3" applyFont="1" applyFill="1" applyBorder="1" applyAlignment="1">
      <alignment horizontal="left" vertical="top" wrapText="1" indent="4"/>
    </xf>
    <xf numFmtId="0" fontId="3" fillId="2" borderId="14" xfId="3" applyFont="1" applyFill="1" applyBorder="1" applyAlignment="1">
      <alignment horizontal="left" vertical="center" wrapText="1" indent="4"/>
    </xf>
    <xf numFmtId="0" fontId="15" fillId="2" borderId="0" xfId="3" applyFont="1" applyFill="1"/>
    <xf numFmtId="0" fontId="15" fillId="0" borderId="0" xfId="3" applyFont="1"/>
    <xf numFmtId="0" fontId="3" fillId="2" borderId="4" xfId="3" applyFont="1" applyFill="1" applyBorder="1" applyAlignment="1">
      <alignment vertical="center" wrapText="1"/>
    </xf>
    <xf numFmtId="0" fontId="6" fillId="7" borderId="1" xfId="3" applyFont="1" applyFill="1" applyBorder="1" applyAlignment="1">
      <alignment horizontal="left" vertical="center" wrapText="1" indent="1"/>
    </xf>
    <xf numFmtId="0" fontId="6" fillId="5" borderId="1" xfId="3" applyFont="1" applyFill="1" applyBorder="1" applyAlignment="1">
      <alignment horizontal="left" vertical="center" indent="1"/>
    </xf>
    <xf numFmtId="0" fontId="4" fillId="4" borderId="18" xfId="3" applyFont="1" applyFill="1" applyBorder="1" applyAlignment="1">
      <alignment horizontal="left" vertical="center" indent="1"/>
    </xf>
    <xf numFmtId="0" fontId="4" fillId="3" borderId="1" xfId="3" applyFont="1" applyFill="1" applyBorder="1" applyAlignment="1">
      <alignment horizontal="left" vertical="center" indent="1"/>
    </xf>
    <xf numFmtId="0" fontId="3" fillId="2" borderId="18" xfId="0" applyFont="1" applyFill="1" applyBorder="1" applyAlignment="1">
      <alignment horizontal="left" vertical="center" wrapText="1" indent="2"/>
    </xf>
    <xf numFmtId="0" fontId="4" fillId="3" borderId="30" xfId="0" applyFont="1" applyFill="1" applyBorder="1" applyAlignment="1">
      <alignment vertical="center"/>
    </xf>
    <xf numFmtId="0" fontId="6" fillId="5" borderId="31" xfId="0" applyFont="1" applyFill="1" applyBorder="1" applyAlignment="1">
      <alignment vertical="center"/>
    </xf>
    <xf numFmtId="0" fontId="34" fillId="2" borderId="32" xfId="8" applyFont="1" applyFill="1" applyBorder="1" applyAlignment="1">
      <alignment vertical="center"/>
    </xf>
    <xf numFmtId="0" fontId="9" fillId="2" borderId="0" xfId="0" applyFont="1" applyFill="1" applyAlignment="1">
      <alignment horizontal="left" indent="1"/>
    </xf>
    <xf numFmtId="0" fontId="0" fillId="11" borderId="0" xfId="0" applyFill="1"/>
    <xf numFmtId="0" fontId="35" fillId="11" borderId="0" xfId="0" applyFont="1" applyFill="1" applyAlignment="1">
      <alignment horizontal="left"/>
    </xf>
    <xf numFmtId="0" fontId="36" fillId="11" borderId="0" xfId="0" applyFont="1" applyFill="1"/>
    <xf numFmtId="0" fontId="22" fillId="11" borderId="0" xfId="0" applyFont="1" applyFill="1"/>
    <xf numFmtId="0" fontId="37" fillId="2" borderId="0" xfId="0" applyFont="1" applyFill="1"/>
    <xf numFmtId="0" fontId="38" fillId="2" borderId="0" xfId="0" applyFont="1" applyFill="1"/>
    <xf numFmtId="0" fontId="39" fillId="2" borderId="0" xfId="0" applyFont="1" applyFill="1" applyAlignment="1">
      <alignment horizontal="left" vertical="center"/>
    </xf>
    <xf numFmtId="167" fontId="15" fillId="2" borderId="0" xfId="1" applyFont="1" applyFill="1"/>
    <xf numFmtId="3" fontId="7" fillId="6" borderId="6" xfId="0" applyNumberFormat="1" applyFont="1" applyFill="1" applyBorder="1" applyAlignment="1">
      <alignment horizontal="right" vertical="center" indent="2"/>
    </xf>
    <xf numFmtId="0" fontId="7" fillId="2" borderId="0" xfId="0" applyFont="1" applyFill="1" applyAlignment="1">
      <alignment wrapText="1"/>
    </xf>
    <xf numFmtId="3" fontId="3" fillId="6" borderId="2" xfId="0" applyNumberFormat="1" applyFont="1" applyFill="1" applyBorder="1" applyAlignment="1">
      <alignment horizontal="right" vertical="center" indent="2"/>
    </xf>
    <xf numFmtId="9" fontId="3" fillId="2" borderId="0" xfId="2" applyFont="1" applyFill="1"/>
    <xf numFmtId="0" fontId="7" fillId="2" borderId="4" xfId="0" applyFont="1" applyFill="1" applyBorder="1" applyAlignment="1">
      <alignment horizontal="left" vertical="center" wrapText="1" indent="1"/>
    </xf>
    <xf numFmtId="0" fontId="9" fillId="0" borderId="0" xfId="0" applyFont="1"/>
    <xf numFmtId="1" fontId="7" fillId="2" borderId="4" xfId="0" applyNumberFormat="1" applyFont="1" applyFill="1" applyBorder="1" applyAlignment="1">
      <alignment horizontal="left" vertical="center" wrapText="1" indent="1"/>
    </xf>
    <xf numFmtId="0" fontId="10" fillId="2" borderId="0" xfId="0" quotePrefix="1" applyFont="1" applyFill="1" applyAlignment="1">
      <alignment horizontal="left" indent="1"/>
    </xf>
    <xf numFmtId="0" fontId="10" fillId="2" borderId="15" xfId="0" applyFont="1" applyFill="1" applyBorder="1" applyAlignment="1">
      <alignment horizontal="left" vertical="center" wrapText="1" indent="2"/>
    </xf>
    <xf numFmtId="0" fontId="41" fillId="2" borderId="0" xfId="0" applyFont="1" applyFill="1"/>
    <xf numFmtId="0" fontId="41" fillId="0" borderId="0" xfId="0" applyFont="1"/>
    <xf numFmtId="164" fontId="9" fillId="2" borderId="0" xfId="0" applyNumberFormat="1" applyFont="1" applyFill="1"/>
    <xf numFmtId="168" fontId="7" fillId="6" borderId="2" xfId="1" applyNumberFormat="1" applyFont="1" applyFill="1" applyBorder="1" applyAlignment="1">
      <alignment vertical="center"/>
    </xf>
    <xf numFmtId="0" fontId="10" fillId="2" borderId="0" xfId="0" applyFont="1" applyFill="1" applyAlignment="1">
      <alignment horizontal="left" vertical="center" wrapText="1" indent="2"/>
    </xf>
    <xf numFmtId="168" fontId="5" fillId="8" borderId="11" xfId="0" applyNumberFormat="1" applyFont="1" applyFill="1" applyBorder="1" applyAlignment="1">
      <alignment horizontal="right" vertical="center"/>
    </xf>
    <xf numFmtId="168" fontId="5" fillId="8" borderId="17" xfId="0" applyNumberFormat="1" applyFont="1" applyFill="1" applyBorder="1" applyAlignment="1">
      <alignment horizontal="right" vertical="center"/>
    </xf>
    <xf numFmtId="168" fontId="5" fillId="8" borderId="3" xfId="0" applyNumberFormat="1" applyFont="1" applyFill="1" applyBorder="1" applyAlignment="1">
      <alignment horizontal="right" vertical="center"/>
    </xf>
    <xf numFmtId="0" fontId="4" fillId="10" borderId="19" xfId="0" applyFont="1" applyFill="1" applyBorder="1" applyAlignment="1">
      <alignment horizontal="right"/>
    </xf>
    <xf numFmtId="0" fontId="7" fillId="2" borderId="0" xfId="0" applyFont="1" applyFill="1" applyAlignment="1">
      <alignment horizontal="right" vertical="center" indent="2"/>
    </xf>
    <xf numFmtId="0" fontId="7" fillId="2" borderId="17" xfId="0" applyFont="1" applyFill="1" applyBorder="1" applyAlignment="1">
      <alignment horizontal="right" vertical="center" indent="2"/>
    </xf>
    <xf numFmtId="3" fontId="7" fillId="2" borderId="9" xfId="0" applyNumberFormat="1" applyFont="1" applyFill="1" applyBorder="1" applyAlignment="1">
      <alignment horizontal="right" vertical="center" indent="2"/>
    </xf>
    <xf numFmtId="3" fontId="7" fillId="6" borderId="2" xfId="0" applyNumberFormat="1" applyFont="1" applyFill="1" applyBorder="1" applyAlignment="1">
      <alignment horizontal="right" vertical="center" indent="2"/>
    </xf>
    <xf numFmtId="3" fontId="7" fillId="6" borderId="3" xfId="0" applyNumberFormat="1" applyFont="1" applyFill="1" applyBorder="1" applyAlignment="1">
      <alignment horizontal="right" vertical="center" indent="2"/>
    </xf>
    <xf numFmtId="3" fontId="7" fillId="2" borderId="0" xfId="0" applyNumberFormat="1" applyFont="1" applyFill="1"/>
    <xf numFmtId="3" fontId="7" fillId="2" borderId="11" xfId="0" applyNumberFormat="1" applyFont="1" applyFill="1" applyBorder="1" applyAlignment="1">
      <alignment horizontal="right" vertical="center" indent="2"/>
    </xf>
    <xf numFmtId="3" fontId="7" fillId="2" borderId="2" xfId="0" applyNumberFormat="1" applyFont="1" applyFill="1" applyBorder="1" applyAlignment="1">
      <alignment horizontal="right" vertical="center" indent="2"/>
    </xf>
    <xf numFmtId="3" fontId="7" fillId="2" borderId="3" xfId="0" applyNumberFormat="1" applyFont="1" applyFill="1" applyBorder="1" applyAlignment="1">
      <alignment horizontal="right" vertical="center" indent="2"/>
    </xf>
    <xf numFmtId="0" fontId="15" fillId="2" borderId="0" xfId="0" applyFont="1" applyFill="1" applyAlignment="1">
      <alignment horizontal="left" vertical="center"/>
    </xf>
    <xf numFmtId="0" fontId="19" fillId="2" borderId="0" xfId="0" applyFont="1" applyFill="1"/>
    <xf numFmtId="0" fontId="3" fillId="2" borderId="0" xfId="0" applyFont="1" applyFill="1" applyAlignment="1">
      <alignment vertical="top"/>
    </xf>
    <xf numFmtId="0" fontId="3" fillId="0" borderId="0" xfId="0" applyFont="1" applyAlignment="1">
      <alignment vertical="top"/>
    </xf>
    <xf numFmtId="0" fontId="25" fillId="2" borderId="0" xfId="0" applyFont="1" applyFill="1" applyAlignment="1">
      <alignment horizontal="center"/>
    </xf>
    <xf numFmtId="0" fontId="7" fillId="2" borderId="0" xfId="0" applyFont="1" applyFill="1" applyAlignment="1">
      <alignment vertical="top" wrapText="1"/>
    </xf>
    <xf numFmtId="0" fontId="3" fillId="2" borderId="0" xfId="0" applyFont="1" applyFill="1" applyAlignment="1">
      <alignment horizontal="center" vertical="center"/>
    </xf>
    <xf numFmtId="0" fontId="23" fillId="0" borderId="0" xfId="0" applyFont="1" applyAlignment="1">
      <alignment vertical="top"/>
    </xf>
    <xf numFmtId="0" fontId="6" fillId="5" borderId="35" xfId="0" applyFont="1" applyFill="1" applyBorder="1" applyAlignment="1">
      <alignment vertical="center"/>
    </xf>
    <xf numFmtId="0" fontId="4" fillId="3" borderId="36" xfId="0" applyFont="1" applyFill="1" applyBorder="1" applyAlignment="1">
      <alignment vertical="center"/>
    </xf>
    <xf numFmtId="0" fontId="7" fillId="2" borderId="38" xfId="1" applyNumberFormat="1" applyFont="1" applyFill="1" applyBorder="1" applyAlignment="1">
      <alignment vertical="top" wrapText="1"/>
    </xf>
    <xf numFmtId="166" fontId="7" fillId="2" borderId="39" xfId="1" applyNumberFormat="1" applyFont="1" applyFill="1" applyBorder="1" applyAlignment="1">
      <alignment vertical="top" wrapText="1"/>
    </xf>
    <xf numFmtId="0" fontId="7" fillId="2" borderId="39" xfId="1" applyNumberFormat="1" applyFont="1" applyFill="1" applyBorder="1" applyAlignment="1">
      <alignment vertical="top" wrapText="1"/>
    </xf>
    <xf numFmtId="166" fontId="7" fillId="2" borderId="39" xfId="1" applyNumberFormat="1" applyFont="1" applyFill="1" applyBorder="1" applyAlignment="1">
      <alignment vertical="top"/>
    </xf>
    <xf numFmtId="0" fontId="7" fillId="2" borderId="40" xfId="1" applyNumberFormat="1" applyFont="1" applyFill="1" applyBorder="1" applyAlignment="1">
      <alignment vertical="top" wrapText="1"/>
    </xf>
    <xf numFmtId="0" fontId="3" fillId="0" borderId="32" xfId="0" applyFont="1" applyBorder="1" applyAlignment="1">
      <alignment vertical="top"/>
    </xf>
    <xf numFmtId="0" fontId="7" fillId="2" borderId="32" xfId="1" applyNumberFormat="1" applyFont="1" applyFill="1" applyBorder="1" applyAlignment="1">
      <alignment vertical="top" wrapText="1"/>
    </xf>
    <xf numFmtId="166" fontId="7" fillId="2" borderId="32" xfId="1" applyNumberFormat="1" applyFont="1" applyFill="1" applyBorder="1" applyAlignment="1">
      <alignment vertical="top" wrapText="1"/>
    </xf>
    <xf numFmtId="0" fontId="7" fillId="2" borderId="32" xfId="0" applyFont="1" applyFill="1" applyBorder="1" applyAlignment="1">
      <alignment vertical="top" wrapText="1"/>
    </xf>
    <xf numFmtId="0" fontId="7" fillId="2" borderId="42" xfId="0" applyFont="1" applyFill="1" applyBorder="1" applyAlignment="1">
      <alignment vertical="top" wrapText="1"/>
    </xf>
    <xf numFmtId="0" fontId="7" fillId="12" borderId="32" xfId="1" applyNumberFormat="1" applyFont="1" applyFill="1" applyBorder="1" applyAlignment="1">
      <alignment vertical="top" wrapText="1"/>
    </xf>
    <xf numFmtId="166" fontId="7" fillId="12" borderId="32" xfId="1" applyNumberFormat="1" applyFont="1" applyFill="1" applyBorder="1" applyAlignment="1">
      <alignment vertical="top" wrapText="1"/>
    </xf>
    <xf numFmtId="0" fontId="7" fillId="12" borderId="38" xfId="1" applyNumberFormat="1" applyFont="1" applyFill="1" applyBorder="1" applyAlignment="1">
      <alignment vertical="top" wrapText="1"/>
    </xf>
    <xf numFmtId="0" fontId="7" fillId="12" borderId="40" xfId="1" applyNumberFormat="1" applyFont="1" applyFill="1" applyBorder="1" applyAlignment="1">
      <alignment vertical="top" wrapText="1"/>
    </xf>
    <xf numFmtId="0" fontId="7" fillId="12" borderId="40" xfId="1" applyNumberFormat="1" applyFont="1" applyFill="1" applyBorder="1" applyAlignment="1">
      <alignment vertical="top"/>
    </xf>
    <xf numFmtId="166" fontId="7" fillId="2" borderId="32" xfId="1" applyNumberFormat="1" applyFont="1" applyFill="1" applyBorder="1" applyAlignment="1">
      <alignment horizontal="left" vertical="top" wrapText="1"/>
    </xf>
    <xf numFmtId="0" fontId="7" fillId="12" borderId="32" xfId="0" applyFont="1" applyFill="1" applyBorder="1" applyAlignment="1">
      <alignment vertical="top" wrapText="1"/>
    </xf>
    <xf numFmtId="0" fontId="7" fillId="12" borderId="42" xfId="0" applyFont="1" applyFill="1" applyBorder="1" applyAlignment="1">
      <alignment vertical="top" wrapText="1"/>
    </xf>
    <xf numFmtId="0" fontId="3" fillId="12" borderId="32" xfId="0" applyFont="1" applyFill="1" applyBorder="1" applyAlignment="1">
      <alignment vertical="top" wrapText="1"/>
    </xf>
    <xf numFmtId="0" fontId="3" fillId="12" borderId="42" xfId="0" applyFont="1" applyFill="1" applyBorder="1" applyAlignment="1">
      <alignment vertical="top" wrapText="1"/>
    </xf>
    <xf numFmtId="0" fontId="7" fillId="12" borderId="38" xfId="0" applyFont="1" applyFill="1" applyBorder="1" applyAlignment="1">
      <alignment vertical="top" wrapText="1"/>
    </xf>
    <xf numFmtId="166" fontId="7" fillId="2" borderId="38" xfId="1" applyNumberFormat="1" applyFont="1" applyFill="1" applyBorder="1" applyAlignment="1">
      <alignment vertical="top" wrapText="1"/>
    </xf>
    <xf numFmtId="0" fontId="7" fillId="2" borderId="38" xfId="0" applyFont="1" applyFill="1" applyBorder="1" applyAlignment="1">
      <alignment vertical="top" wrapText="1"/>
    </xf>
    <xf numFmtId="0" fontId="7" fillId="2" borderId="40" xfId="0" applyFont="1" applyFill="1" applyBorder="1" applyAlignment="1">
      <alignment vertical="top" wrapText="1"/>
    </xf>
    <xf numFmtId="0" fontId="7" fillId="2" borderId="33" xfId="1" applyNumberFormat="1" applyFont="1" applyFill="1" applyBorder="1" applyAlignment="1">
      <alignment vertical="top" wrapText="1"/>
    </xf>
    <xf numFmtId="166" fontId="7" fillId="2" borderId="33" xfId="1" applyNumberFormat="1" applyFont="1" applyFill="1" applyBorder="1" applyAlignment="1">
      <alignment horizontal="left" vertical="top" wrapText="1"/>
    </xf>
    <xf numFmtId="0" fontId="7" fillId="2" borderId="33" xfId="1" applyNumberFormat="1" applyFont="1" applyFill="1" applyBorder="1" applyAlignment="1">
      <alignment horizontal="left" vertical="top" wrapText="1"/>
    </xf>
    <xf numFmtId="0" fontId="3" fillId="2" borderId="33" xfId="0" applyFont="1" applyFill="1" applyBorder="1" applyAlignment="1">
      <alignment vertical="top" wrapText="1"/>
    </xf>
    <xf numFmtId="0" fontId="7" fillId="0" borderId="45" xfId="0" applyFont="1" applyBorder="1" applyAlignment="1">
      <alignment vertical="top" wrapText="1"/>
    </xf>
    <xf numFmtId="0" fontId="7" fillId="13" borderId="32" xfId="0" applyFont="1" applyFill="1" applyBorder="1" applyAlignment="1">
      <alignment vertical="top" wrapText="1"/>
    </xf>
    <xf numFmtId="166" fontId="7" fillId="12" borderId="38" xfId="1" applyNumberFormat="1" applyFont="1" applyFill="1" applyBorder="1" applyAlignment="1">
      <alignment vertical="top" wrapText="1"/>
    </xf>
    <xf numFmtId="0" fontId="7" fillId="12" borderId="40" xfId="0" applyFont="1" applyFill="1" applyBorder="1" applyAlignment="1">
      <alignment vertical="top" wrapText="1"/>
    </xf>
    <xf numFmtId="9" fontId="7" fillId="2" borderId="32" xfId="0" applyNumberFormat="1" applyFont="1" applyFill="1" applyBorder="1" applyAlignment="1">
      <alignment vertical="top" wrapText="1"/>
    </xf>
    <xf numFmtId="9" fontId="7" fillId="2" borderId="42" xfId="0" applyNumberFormat="1" applyFont="1" applyFill="1" applyBorder="1" applyAlignment="1">
      <alignment vertical="top" wrapText="1"/>
    </xf>
    <xf numFmtId="0" fontId="3" fillId="2" borderId="32" xfId="0" applyFont="1" applyFill="1" applyBorder="1" applyAlignment="1">
      <alignment vertical="top" wrapText="1"/>
    </xf>
    <xf numFmtId="0" fontId="7" fillId="2" borderId="0" xfId="0" applyFont="1" applyFill="1" applyAlignment="1">
      <alignment vertical="top"/>
    </xf>
    <xf numFmtId="0" fontId="7" fillId="0" borderId="0" xfId="0" applyFont="1" applyAlignment="1">
      <alignment vertical="top"/>
    </xf>
    <xf numFmtId="0" fontId="3" fillId="0" borderId="0" xfId="0" applyFont="1" applyAlignment="1">
      <alignment horizontal="center" vertical="center"/>
    </xf>
    <xf numFmtId="0" fontId="7" fillId="0" borderId="0" xfId="0" applyFont="1" applyAlignment="1">
      <alignment vertical="top" wrapText="1"/>
    </xf>
    <xf numFmtId="0" fontId="14" fillId="12" borderId="32" xfId="0" applyFont="1" applyFill="1" applyBorder="1" applyAlignment="1">
      <alignment vertical="top" wrapText="1"/>
    </xf>
    <xf numFmtId="0" fontId="7" fillId="5" borderId="5" xfId="0" applyFont="1" applyFill="1" applyBorder="1" applyAlignment="1">
      <alignment horizontal="left" vertical="center" indent="1"/>
    </xf>
    <xf numFmtId="0" fontId="6" fillId="5" borderId="5" xfId="0" applyFont="1" applyFill="1" applyBorder="1" applyAlignment="1">
      <alignment horizontal="left" vertical="center" wrapText="1" indent="1"/>
    </xf>
    <xf numFmtId="0" fontId="3" fillId="7" borderId="1" xfId="0" applyFont="1" applyFill="1" applyBorder="1" applyAlignment="1">
      <alignment horizontal="left" vertical="center" indent="1"/>
    </xf>
    <xf numFmtId="0" fontId="6" fillId="5" borderId="2" xfId="0" applyFont="1" applyFill="1" applyBorder="1" applyAlignment="1">
      <alignment horizontal="left" vertical="center" indent="1"/>
    </xf>
    <xf numFmtId="0" fontId="4" fillId="3" borderId="30" xfId="0" applyFont="1" applyFill="1" applyBorder="1" applyAlignment="1">
      <alignment horizontal="left" vertical="center" indent="1"/>
    </xf>
    <xf numFmtId="0" fontId="4" fillId="4" borderId="0" xfId="0" applyFont="1" applyFill="1" applyAlignment="1">
      <alignment horizontal="left" vertical="center" indent="1"/>
    </xf>
    <xf numFmtId="0" fontId="33" fillId="2" borderId="0" xfId="0" applyFont="1" applyFill="1" applyAlignment="1">
      <alignment horizontal="left" indent="1"/>
    </xf>
    <xf numFmtId="0" fontId="0" fillId="0" borderId="0" xfId="0" applyAlignment="1">
      <alignment horizontal="left" indent="1"/>
    </xf>
    <xf numFmtId="0" fontId="3" fillId="2" borderId="0" xfId="0" applyFont="1" applyFill="1" applyAlignment="1">
      <alignment horizontal="left" wrapText="1" indent="1"/>
    </xf>
    <xf numFmtId="0" fontId="3" fillId="0" borderId="0" xfId="0" applyFont="1" applyAlignment="1">
      <alignment horizontal="left" wrapText="1" indent="1"/>
    </xf>
    <xf numFmtId="0" fontId="15" fillId="2" borderId="0" xfId="0" applyFont="1" applyFill="1" applyAlignment="1">
      <alignment vertical="top"/>
    </xf>
    <xf numFmtId="0" fontId="7" fillId="14" borderId="6" xfId="0" applyFont="1" applyFill="1" applyBorder="1"/>
    <xf numFmtId="0" fontId="15" fillId="14" borderId="6" xfId="0" applyFont="1" applyFill="1" applyBorder="1"/>
    <xf numFmtId="0" fontId="3" fillId="2" borderId="0" xfId="0" applyFont="1" applyFill="1" applyAlignment="1">
      <alignment horizontal="center" vertical="center" wrapText="1"/>
    </xf>
    <xf numFmtId="0" fontId="7" fillId="2" borderId="0" xfId="0" applyFont="1" applyFill="1" applyAlignment="1">
      <alignment vertical="center" wrapText="1"/>
    </xf>
    <xf numFmtId="0" fontId="15" fillId="2" borderId="0" xfId="0" applyFont="1" applyFill="1" applyAlignment="1">
      <alignment vertical="center" wrapText="1"/>
    </xf>
    <xf numFmtId="0" fontId="15" fillId="0" borderId="0" xfId="0" applyFont="1" applyAlignment="1">
      <alignment vertical="top"/>
    </xf>
    <xf numFmtId="0" fontId="30" fillId="2" borderId="32" xfId="8" applyFill="1" applyBorder="1" applyAlignment="1" applyProtection="1">
      <alignment horizontal="left" vertical="center" indent="1"/>
      <protection locked="0"/>
    </xf>
    <xf numFmtId="0" fontId="0" fillId="2" borderId="0" xfId="0" applyFill="1" applyAlignment="1">
      <alignment horizontal="left" indent="1"/>
    </xf>
    <xf numFmtId="0" fontId="4" fillId="3" borderId="1" xfId="0" applyFont="1" applyFill="1" applyBorder="1" applyAlignment="1" applyProtection="1">
      <alignment horizontal="left" vertical="center" indent="1"/>
      <protection locked="0"/>
    </xf>
    <xf numFmtId="0" fontId="33" fillId="2" borderId="0" xfId="0" applyFont="1" applyFill="1" applyProtection="1">
      <protection locked="0"/>
    </xf>
    <xf numFmtId="0" fontId="44" fillId="2" borderId="0" xfId="0" applyFont="1" applyFill="1" applyProtection="1">
      <protection locked="0"/>
    </xf>
    <xf numFmtId="0" fontId="3" fillId="2" borderId="0" xfId="0" applyFont="1" applyFill="1" applyAlignment="1">
      <alignment wrapText="1"/>
    </xf>
    <xf numFmtId="0" fontId="45" fillId="2" borderId="0" xfId="0" applyFont="1" applyFill="1" applyAlignment="1">
      <alignment wrapText="1"/>
    </xf>
    <xf numFmtId="0" fontId="6" fillId="5" borderId="31" xfId="0" applyFont="1" applyFill="1" applyBorder="1" applyAlignment="1">
      <alignment horizontal="left" vertical="center" wrapText="1" indent="1"/>
    </xf>
    <xf numFmtId="0" fontId="3" fillId="2" borderId="32" xfId="0" applyFont="1" applyFill="1" applyBorder="1" applyAlignment="1">
      <alignment horizontal="center" vertical="top"/>
    </xf>
    <xf numFmtId="0" fontId="3" fillId="0" borderId="48" xfId="0" applyFont="1" applyBorder="1" applyAlignment="1">
      <alignment vertical="top" wrapText="1"/>
    </xf>
    <xf numFmtId="0" fontId="5" fillId="2" borderId="0" xfId="0" applyFont="1" applyFill="1" applyAlignment="1">
      <alignment vertical="top" wrapText="1"/>
    </xf>
    <xf numFmtId="0" fontId="3" fillId="2" borderId="48" xfId="0" applyFont="1" applyFill="1" applyBorder="1" applyAlignment="1">
      <alignment horizontal="left" vertical="top" wrapText="1"/>
    </xf>
    <xf numFmtId="0" fontId="3" fillId="0" borderId="48" xfId="0" applyFont="1" applyBorder="1" applyAlignment="1">
      <alignment horizontal="left" vertical="top" wrapText="1"/>
    </xf>
    <xf numFmtId="0" fontId="3" fillId="0" borderId="0" xfId="0" applyFont="1" applyAlignment="1">
      <alignment wrapText="1"/>
    </xf>
    <xf numFmtId="0" fontId="7" fillId="0" borderId="0" xfId="0" applyFont="1" applyAlignment="1">
      <alignment wrapText="1"/>
    </xf>
    <xf numFmtId="0" fontId="4" fillId="4" borderId="44" xfId="0" applyFont="1" applyFill="1" applyBorder="1" applyAlignment="1">
      <alignment horizontal="left" vertical="top" wrapText="1" indent="1"/>
    </xf>
    <xf numFmtId="0" fontId="46" fillId="8" borderId="0" xfId="0" applyFont="1" applyFill="1" applyAlignment="1">
      <alignment horizontal="left" vertical="center" indent="1"/>
    </xf>
    <xf numFmtId="0" fontId="4" fillId="4" borderId="0" xfId="0" applyFont="1" applyFill="1" applyAlignment="1">
      <alignment horizontal="left" vertical="center" wrapText="1" indent="1"/>
    </xf>
    <xf numFmtId="0" fontId="31" fillId="2" borderId="0" xfId="0" applyFont="1" applyFill="1"/>
    <xf numFmtId="0" fontId="0" fillId="2" borderId="0" xfId="0" applyFill="1" applyAlignment="1">
      <alignment horizontal="left"/>
    </xf>
    <xf numFmtId="0" fontId="31" fillId="2" borderId="0" xfId="0" applyFont="1" applyFill="1" applyAlignment="1">
      <alignment horizontal="left"/>
    </xf>
    <xf numFmtId="0" fontId="4" fillId="4" borderId="43" xfId="0" applyFont="1" applyFill="1" applyBorder="1" applyAlignment="1">
      <alignment horizontal="left" vertical="center" indent="1"/>
    </xf>
    <xf numFmtId="0" fontId="4" fillId="4" borderId="44" xfId="0" applyFont="1" applyFill="1" applyBorder="1" applyAlignment="1">
      <alignment horizontal="left" vertical="center" indent="1"/>
    </xf>
    <xf numFmtId="0" fontId="4" fillId="4" borderId="47" xfId="0" applyFont="1" applyFill="1" applyBorder="1" applyAlignment="1">
      <alignment horizontal="left" vertical="center" indent="1"/>
    </xf>
    <xf numFmtId="0" fontId="4" fillId="4" borderId="41" xfId="0" applyFont="1" applyFill="1" applyBorder="1" applyAlignment="1">
      <alignment horizontal="left" vertical="center" indent="1"/>
    </xf>
    <xf numFmtId="0" fontId="7" fillId="14" borderId="6" xfId="0" applyFont="1" applyFill="1" applyBorder="1" applyAlignment="1">
      <alignment horizontal="left" indent="1"/>
    </xf>
    <xf numFmtId="0" fontId="7" fillId="2" borderId="0" xfId="0" applyFont="1" applyFill="1" applyAlignment="1">
      <alignment horizontal="left" vertical="top" indent="1"/>
    </xf>
    <xf numFmtId="0" fontId="7" fillId="0" borderId="0" xfId="0" applyFont="1" applyAlignment="1">
      <alignment horizontal="left" vertical="top" indent="1"/>
    </xf>
    <xf numFmtId="0" fontId="43" fillId="2" borderId="0" xfId="0" applyFont="1" applyFill="1" applyAlignment="1">
      <alignment horizontal="left" indent="1"/>
    </xf>
    <xf numFmtId="0" fontId="4" fillId="3" borderId="30" xfId="0" applyFont="1" applyFill="1" applyBorder="1" applyAlignment="1">
      <alignment horizontal="left" vertical="center" wrapText="1" indent="1"/>
    </xf>
    <xf numFmtId="0" fontId="4" fillId="4" borderId="43" xfId="0" applyFont="1" applyFill="1" applyBorder="1" applyAlignment="1">
      <alignment horizontal="left" vertical="top" wrapText="1" indent="1"/>
    </xf>
    <xf numFmtId="0" fontId="14" fillId="2" borderId="0" xfId="0" applyFont="1" applyFill="1" applyAlignment="1">
      <alignment horizontal="left" indent="1"/>
    </xf>
    <xf numFmtId="0" fontId="9" fillId="2" borderId="0" xfId="0" applyFont="1" applyFill="1" applyAlignment="1">
      <alignment wrapText="1"/>
    </xf>
    <xf numFmtId="0" fontId="2" fillId="2" borderId="0" xfId="0" applyFont="1" applyFill="1"/>
    <xf numFmtId="2" fontId="7" fillId="2" borderId="9" xfId="1" applyNumberFormat="1" applyFont="1" applyFill="1" applyBorder="1" applyAlignment="1">
      <alignment horizontal="right" vertical="center"/>
    </xf>
    <xf numFmtId="2" fontId="7" fillId="2" borderId="52" xfId="1" applyNumberFormat="1" applyFont="1" applyFill="1" applyBorder="1" applyAlignment="1">
      <alignment horizontal="right" vertical="center"/>
    </xf>
    <xf numFmtId="2" fontId="5" fillId="8" borderId="49" xfId="1" applyNumberFormat="1" applyFont="1" applyFill="1" applyBorder="1" applyAlignment="1">
      <alignment horizontal="right" vertical="center"/>
    </xf>
    <xf numFmtId="2" fontId="7" fillId="2" borderId="0" xfId="1" applyNumberFormat="1" applyFont="1" applyFill="1" applyAlignment="1">
      <alignment horizontal="right" vertical="center"/>
    </xf>
    <xf numFmtId="2" fontId="7" fillId="2" borderId="53" xfId="1" applyNumberFormat="1" applyFont="1" applyFill="1" applyBorder="1" applyAlignment="1">
      <alignment horizontal="right" vertical="center"/>
    </xf>
    <xf numFmtId="2" fontId="5" fillId="8" borderId="20" xfId="1" applyNumberFormat="1" applyFont="1" applyFill="1" applyBorder="1" applyAlignment="1">
      <alignment horizontal="right" vertical="center"/>
    </xf>
    <xf numFmtId="0" fontId="48" fillId="2" borderId="0" xfId="0" applyFont="1" applyFill="1"/>
    <xf numFmtId="0" fontId="48" fillId="2" borderId="0" xfId="0" applyFont="1" applyFill="1" applyAlignment="1">
      <alignment horizontal="right"/>
    </xf>
    <xf numFmtId="0" fontId="48" fillId="0" borderId="0" xfId="0" applyFont="1"/>
    <xf numFmtId="0" fontId="48" fillId="0" borderId="0" xfId="0" applyFont="1" applyAlignment="1">
      <alignment horizontal="right"/>
    </xf>
    <xf numFmtId="0" fontId="5" fillId="2" borderId="0" xfId="0" applyFont="1" applyFill="1" applyAlignment="1">
      <alignment wrapText="1"/>
    </xf>
    <xf numFmtId="0" fontId="5" fillId="0" borderId="0" xfId="0" applyFont="1" applyAlignment="1">
      <alignment wrapText="1"/>
    </xf>
    <xf numFmtId="3" fontId="7" fillId="2" borderId="15" xfId="0" applyNumberFormat="1" applyFont="1" applyFill="1" applyBorder="1" applyAlignment="1">
      <alignment horizontal="right" vertical="center" indent="2"/>
    </xf>
    <xf numFmtId="0" fontId="3" fillId="2" borderId="0" xfId="0" applyFont="1" applyFill="1" applyAlignment="1">
      <alignment horizontal="right"/>
    </xf>
    <xf numFmtId="0" fontId="49" fillId="2" borderId="0" xfId="0" applyFont="1" applyFill="1"/>
    <xf numFmtId="0" fontId="9" fillId="2" borderId="12" xfId="0" applyFont="1" applyFill="1" applyBorder="1" applyAlignment="1">
      <alignment horizontal="left" indent="2"/>
    </xf>
    <xf numFmtId="0" fontId="3" fillId="2" borderId="17" xfId="0" applyFont="1" applyFill="1" applyBorder="1" applyAlignment="1">
      <alignment horizontal="right"/>
    </xf>
    <xf numFmtId="0" fontId="9" fillId="2" borderId="12" xfId="0" applyFont="1" applyFill="1" applyBorder="1"/>
    <xf numFmtId="2" fontId="7" fillId="2" borderId="0" xfId="1" applyNumberFormat="1" applyFont="1" applyFill="1" applyBorder="1" applyAlignment="1">
      <alignment horizontal="right" vertical="center"/>
    </xf>
    <xf numFmtId="168" fontId="3" fillId="2" borderId="6" xfId="0" applyNumberFormat="1" applyFont="1" applyFill="1" applyBorder="1" applyAlignment="1">
      <alignment horizontal="right" vertical="center" indent="4"/>
    </xf>
    <xf numFmtId="0" fontId="50" fillId="2" borderId="0" xfId="0" applyFont="1" applyFill="1"/>
    <xf numFmtId="3" fontId="7" fillId="2" borderId="16" xfId="0" applyNumberFormat="1" applyFont="1" applyFill="1" applyBorder="1" applyAlignment="1">
      <alignment horizontal="right" vertical="center" indent="2"/>
    </xf>
    <xf numFmtId="0" fontId="4" fillId="4" borderId="3" xfId="0" applyFont="1" applyFill="1" applyBorder="1" applyAlignment="1">
      <alignment horizontal="left" vertical="center" indent="1"/>
    </xf>
    <xf numFmtId="0" fontId="4" fillId="4" borderId="4" xfId="0" applyFont="1" applyFill="1" applyBorder="1" applyAlignment="1">
      <alignment horizontal="left" vertical="center" indent="1"/>
    </xf>
    <xf numFmtId="3" fontId="7" fillId="2" borderId="11" xfId="0" applyNumberFormat="1" applyFont="1" applyFill="1" applyBorder="1" applyAlignment="1">
      <alignment horizontal="right" vertical="center" indent="3"/>
    </xf>
    <xf numFmtId="0" fontId="49" fillId="0" borderId="0" xfId="0" applyFont="1"/>
    <xf numFmtId="0" fontId="10" fillId="2" borderId="0" xfId="0" applyFont="1" applyFill="1" applyAlignment="1">
      <alignment horizontal="left" wrapText="1" indent="1"/>
    </xf>
    <xf numFmtId="0" fontId="51" fillId="2" borderId="0" xfId="0" applyFont="1" applyFill="1"/>
    <xf numFmtId="0" fontId="7" fillId="2" borderId="0" xfId="0" applyFont="1" applyFill="1" applyAlignment="1">
      <alignment horizontal="left" wrapText="1" indent="1"/>
    </xf>
    <xf numFmtId="168" fontId="3" fillId="2" borderId="11" xfId="0" applyNumberFormat="1" applyFont="1" applyFill="1" applyBorder="1" applyAlignment="1">
      <alignment horizontal="right" vertical="center" indent="4"/>
    </xf>
    <xf numFmtId="0" fontId="10" fillId="2" borderId="0" xfId="0" applyFont="1" applyFill="1" applyAlignment="1">
      <alignment horizontal="left" vertical="center" wrapText="1" indent="1"/>
    </xf>
    <xf numFmtId="0" fontId="10" fillId="2" borderId="0" xfId="0" applyFont="1" applyFill="1" applyAlignment="1">
      <alignment horizontal="left" vertical="center" indent="1"/>
    </xf>
    <xf numFmtId="0" fontId="10" fillId="2" borderId="4" xfId="0" applyFont="1" applyFill="1" applyBorder="1" applyAlignment="1">
      <alignment horizontal="left" vertical="center" wrapText="1" indent="1"/>
    </xf>
    <xf numFmtId="0" fontId="10" fillId="2" borderId="0" xfId="0" applyFont="1" applyFill="1" applyAlignment="1">
      <alignment horizontal="left" vertical="top" wrapText="1" indent="1"/>
    </xf>
    <xf numFmtId="1" fontId="3" fillId="0" borderId="11" xfId="0" applyNumberFormat="1" applyFont="1" applyBorder="1" applyAlignment="1">
      <alignment horizontal="right" vertical="center" indent="4"/>
    </xf>
    <xf numFmtId="1" fontId="7" fillId="0" borderId="11" xfId="0" applyNumberFormat="1" applyFont="1" applyBorder="1" applyAlignment="1">
      <alignment horizontal="right" vertical="center" indent="4"/>
    </xf>
    <xf numFmtId="171" fontId="7" fillId="0" borderId="25" xfId="0" applyNumberFormat="1" applyFont="1" applyBorder="1" applyAlignment="1">
      <alignment horizontal="right" vertical="center" indent="4"/>
    </xf>
    <xf numFmtId="3" fontId="7" fillId="0" borderId="11" xfId="0" applyNumberFormat="1" applyFont="1" applyBorder="1" applyAlignment="1">
      <alignment horizontal="right" vertical="center" indent="3"/>
    </xf>
    <xf numFmtId="0" fontId="20" fillId="2" borderId="12" xfId="3" applyFont="1" applyFill="1" applyBorder="1" applyAlignment="1">
      <alignment horizontal="left" vertical="center" indent="2"/>
    </xf>
    <xf numFmtId="0" fontId="7" fillId="2" borderId="8" xfId="3" applyFont="1" applyFill="1" applyBorder="1" applyAlignment="1">
      <alignment horizontal="left" vertical="center" wrapText="1" indent="4"/>
    </xf>
    <xf numFmtId="0" fontId="0" fillId="0" borderId="0" xfId="0" applyAlignment="1">
      <alignment vertical="top" wrapText="1"/>
    </xf>
    <xf numFmtId="0" fontId="6" fillId="5" borderId="21" xfId="0" applyFont="1" applyFill="1" applyBorder="1" applyAlignment="1">
      <alignment horizontal="center" vertical="top" wrapText="1"/>
    </xf>
    <xf numFmtId="0" fontId="0" fillId="2" borderId="0" xfId="0" applyFill="1" applyAlignment="1">
      <alignment vertical="top" wrapText="1"/>
    </xf>
    <xf numFmtId="3" fontId="0" fillId="2" borderId="0" xfId="0" applyNumberFormat="1" applyFill="1"/>
    <xf numFmtId="9" fontId="0" fillId="2" borderId="0" xfId="2" applyFont="1" applyFill="1"/>
    <xf numFmtId="0" fontId="6" fillId="5" borderId="1" xfId="0" applyFont="1" applyFill="1" applyBorder="1" applyAlignment="1">
      <alignment horizontal="center" vertical="top" wrapText="1"/>
    </xf>
    <xf numFmtId="0" fontId="23" fillId="2" borderId="0" xfId="3" applyFont="1" applyFill="1" applyAlignment="1">
      <alignment vertical="center"/>
    </xf>
    <xf numFmtId="0" fontId="23" fillId="2" borderId="17" xfId="3" applyFont="1" applyFill="1" applyBorder="1" applyAlignment="1">
      <alignment vertical="center"/>
    </xf>
    <xf numFmtId="170" fontId="7" fillId="2" borderId="0" xfId="0" applyNumberFormat="1" applyFont="1" applyFill="1"/>
    <xf numFmtId="170" fontId="3" fillId="2" borderId="0" xfId="0" applyNumberFormat="1" applyFont="1" applyFill="1"/>
    <xf numFmtId="0" fontId="51" fillId="2" borderId="12" xfId="0" applyFont="1" applyFill="1" applyBorder="1" applyAlignment="1">
      <alignment vertical="top" wrapText="1"/>
    </xf>
    <xf numFmtId="175" fontId="51" fillId="2" borderId="0" xfId="0" applyNumberFormat="1" applyFont="1" applyFill="1"/>
    <xf numFmtId="0" fontId="51" fillId="2" borderId="0" xfId="0" applyFont="1" applyFill="1" applyAlignment="1">
      <alignment vertical="top"/>
    </xf>
    <xf numFmtId="0" fontId="51" fillId="0" borderId="0" xfId="0" applyFont="1"/>
    <xf numFmtId="14" fontId="36" fillId="11" borderId="0" xfId="1" applyNumberFormat="1" applyFont="1" applyFill="1"/>
    <xf numFmtId="0" fontId="10" fillId="2" borderId="4" xfId="0" applyFont="1" applyFill="1" applyBorder="1" applyAlignment="1">
      <alignment horizontal="left" vertical="center" indent="1"/>
    </xf>
    <xf numFmtId="0" fontId="10" fillId="2" borderId="0" xfId="0" applyFont="1" applyFill="1" applyAlignment="1">
      <alignment horizontal="left" vertical="top" indent="1"/>
    </xf>
    <xf numFmtId="0" fontId="4" fillId="4" borderId="6" xfId="0" applyFont="1" applyFill="1" applyBorder="1" applyAlignment="1">
      <alignment horizontal="left" vertical="center" indent="1"/>
    </xf>
    <xf numFmtId="3" fontId="7" fillId="6" borderId="24" xfId="0" applyNumberFormat="1" applyFont="1" applyFill="1" applyBorder="1" applyAlignment="1">
      <alignment horizontal="right" vertical="center" indent="2"/>
    </xf>
    <xf numFmtId="3" fontId="7" fillId="6" borderId="25" xfId="0" applyNumberFormat="1" applyFont="1" applyFill="1" applyBorder="1" applyAlignment="1">
      <alignment horizontal="right" vertical="center" indent="2"/>
    </xf>
    <xf numFmtId="3" fontId="7" fillId="2" borderId="26" xfId="0" applyNumberFormat="1" applyFont="1" applyFill="1" applyBorder="1" applyAlignment="1">
      <alignment horizontal="right" vertical="center" indent="2"/>
    </xf>
    <xf numFmtId="0" fontId="15" fillId="2" borderId="0" xfId="0" applyFont="1" applyFill="1" applyAlignment="1">
      <alignment horizontal="left" wrapText="1"/>
    </xf>
    <xf numFmtId="0" fontId="7" fillId="2" borderId="4" xfId="0" applyFont="1" applyFill="1" applyBorder="1" applyAlignment="1">
      <alignment horizontal="left" vertical="center" wrapText="1" indent="3"/>
    </xf>
    <xf numFmtId="0" fontId="7" fillId="2" borderId="6" xfId="0" applyFont="1" applyFill="1" applyBorder="1" applyAlignment="1">
      <alignment horizontal="left" vertical="center" wrapText="1" indent="1"/>
    </xf>
    <xf numFmtId="0" fontId="7" fillId="7" borderId="2" xfId="0" applyFont="1" applyFill="1" applyBorder="1" applyAlignment="1">
      <alignment horizontal="right" vertical="center" indent="2"/>
    </xf>
    <xf numFmtId="0" fontId="7" fillId="7" borderId="3" xfId="0" applyFont="1" applyFill="1" applyBorder="1" applyAlignment="1">
      <alignment horizontal="right" vertical="center" indent="2"/>
    </xf>
    <xf numFmtId="3" fontId="7" fillId="2" borderId="27" xfId="0" applyNumberFormat="1" applyFont="1" applyFill="1" applyBorder="1" applyAlignment="1">
      <alignment horizontal="right" vertical="center" indent="2"/>
    </xf>
    <xf numFmtId="0" fontId="7" fillId="2" borderId="0" xfId="0" applyFont="1" applyFill="1" applyAlignment="1">
      <alignment horizontal="left" vertical="center" wrapText="1" indent="3"/>
    </xf>
    <xf numFmtId="0" fontId="7" fillId="6" borderId="1" xfId="0" applyFont="1" applyFill="1" applyBorder="1" applyAlignment="1">
      <alignment horizontal="left" vertical="center" indent="1"/>
    </xf>
    <xf numFmtId="0" fontId="7" fillId="6" borderId="1" xfId="0" applyFont="1" applyFill="1" applyBorder="1" applyAlignment="1">
      <alignment horizontal="left" vertical="center" wrapText="1" indent="1"/>
    </xf>
    <xf numFmtId="0" fontId="7" fillId="2" borderId="8" xfId="0" applyFont="1" applyFill="1" applyBorder="1" applyAlignment="1">
      <alignment horizontal="left" vertical="center" indent="3"/>
    </xf>
    <xf numFmtId="0" fontId="7" fillId="2" borderId="12" xfId="0" applyFont="1" applyFill="1" applyBorder="1" applyAlignment="1">
      <alignment horizontal="left" vertical="center" indent="3"/>
    </xf>
    <xf numFmtId="0" fontId="7" fillId="6" borderId="1" xfId="0" applyFont="1" applyFill="1" applyBorder="1" applyAlignment="1">
      <alignment horizontal="left" vertical="center" wrapText="1" indent="3"/>
    </xf>
    <xf numFmtId="0" fontId="7" fillId="2" borderId="12" xfId="0" applyFont="1" applyFill="1" applyBorder="1" applyAlignment="1">
      <alignment horizontal="left" vertical="center" indent="1"/>
    </xf>
    <xf numFmtId="0" fontId="19" fillId="7" borderId="1" xfId="0" applyFont="1" applyFill="1" applyBorder="1" applyAlignment="1">
      <alignment horizontal="left" vertical="center"/>
    </xf>
    <xf numFmtId="167" fontId="15" fillId="2" borderId="0" xfId="1" applyFont="1" applyFill="1" applyAlignment="1"/>
    <xf numFmtId="0" fontId="7" fillId="2" borderId="9" xfId="0" applyFont="1" applyFill="1" applyBorder="1" applyAlignment="1">
      <alignment horizontal="left" vertical="center"/>
    </xf>
    <xf numFmtId="172" fontId="15" fillId="2" borderId="0" xfId="1" applyNumberFormat="1" applyFont="1" applyFill="1" applyAlignment="1"/>
    <xf numFmtId="9" fontId="15" fillId="2" borderId="0" xfId="2" applyFont="1" applyFill="1" applyAlignment="1"/>
    <xf numFmtId="0" fontId="7" fillId="2" borderId="0" xfId="0" applyFont="1" applyFill="1" applyAlignment="1">
      <alignment horizontal="left" vertical="center"/>
    </xf>
    <xf numFmtId="0" fontId="7" fillId="6" borderId="65" xfId="0" applyFont="1" applyFill="1" applyBorder="1" applyAlignment="1">
      <alignment horizontal="left" vertical="center" indent="1"/>
    </xf>
    <xf numFmtId="0" fontId="7" fillId="6" borderId="23" xfId="0" applyFont="1" applyFill="1" applyBorder="1" applyAlignment="1">
      <alignment horizontal="left" vertical="center"/>
    </xf>
    <xf numFmtId="0" fontId="3" fillId="2" borderId="2" xfId="0" applyFont="1" applyFill="1" applyBorder="1" applyAlignment="1">
      <alignment horizontal="left" vertical="center" wrapText="1" indent="3"/>
    </xf>
    <xf numFmtId="0" fontId="3" fillId="6" borderId="1" xfId="0" applyFont="1" applyFill="1" applyBorder="1" applyAlignment="1">
      <alignment horizontal="left" vertical="center" indent="1"/>
    </xf>
    <xf numFmtId="0" fontId="3" fillId="2" borderId="0" xfId="0" applyFont="1" applyFill="1" applyAlignment="1">
      <alignment horizontal="left" vertical="center" wrapText="1" indent="3"/>
    </xf>
    <xf numFmtId="0" fontId="54" fillId="16" borderId="34" xfId="0" applyFont="1" applyFill="1" applyBorder="1" applyAlignment="1">
      <alignment horizontal="left" vertical="center" wrapText="1" indent="1"/>
    </xf>
    <xf numFmtId="0" fontId="54" fillId="16" borderId="5" xfId="0" applyFont="1" applyFill="1" applyBorder="1" applyAlignment="1">
      <alignment horizontal="left" vertical="center" wrapText="1" indent="1"/>
    </xf>
    <xf numFmtId="3" fontId="51" fillId="2" borderId="0" xfId="0" applyNumberFormat="1" applyFont="1" applyFill="1"/>
    <xf numFmtId="2" fontId="7" fillId="2" borderId="11" xfId="1" applyNumberFormat="1" applyFont="1" applyFill="1" applyBorder="1" applyAlignment="1">
      <alignment horizontal="right" vertical="center"/>
    </xf>
    <xf numFmtId="170" fontId="7" fillId="2" borderId="0" xfId="0" applyNumberFormat="1" applyFont="1" applyFill="1" applyAlignment="1">
      <alignment horizontal="right" vertical="center" indent="2"/>
    </xf>
    <xf numFmtId="170" fontId="7" fillId="2" borderId="17" xfId="0" applyNumberFormat="1" applyFont="1" applyFill="1" applyBorder="1" applyAlignment="1">
      <alignment horizontal="right" vertical="center" indent="2"/>
    </xf>
    <xf numFmtId="0" fontId="10" fillId="2" borderId="0" xfId="0" applyFont="1" applyFill="1" applyAlignment="1">
      <alignment wrapText="1"/>
    </xf>
    <xf numFmtId="3" fontId="7" fillId="2" borderId="7" xfId="0" applyNumberFormat="1" applyFont="1" applyFill="1" applyBorder="1" applyAlignment="1">
      <alignment horizontal="right" vertical="center" indent="3"/>
    </xf>
    <xf numFmtId="168" fontId="5" fillId="2" borderId="0" xfId="0" applyNumberFormat="1" applyFont="1" applyFill="1"/>
    <xf numFmtId="168" fontId="5" fillId="0" borderId="0" xfId="0" applyNumberFormat="1" applyFont="1"/>
    <xf numFmtId="168" fontId="3" fillId="6" borderId="1" xfId="0" applyNumberFormat="1" applyFont="1" applyFill="1" applyBorder="1" applyAlignment="1">
      <alignment horizontal="left" vertical="center" indent="1"/>
    </xf>
    <xf numFmtId="0" fontId="7" fillId="2" borderId="13" xfId="0" applyFont="1" applyFill="1" applyBorder="1" applyAlignment="1">
      <alignment horizontal="right" vertical="center" indent="2"/>
    </xf>
    <xf numFmtId="9" fontId="7" fillId="2" borderId="4" xfId="2" applyFont="1" applyFill="1" applyBorder="1" applyAlignment="1">
      <alignment horizontal="center" vertical="center" wrapText="1"/>
    </xf>
    <xf numFmtId="9" fontId="3" fillId="0" borderId="0" xfId="2" applyFont="1"/>
    <xf numFmtId="0" fontId="7" fillId="5" borderId="21" xfId="0" applyFont="1" applyFill="1" applyBorder="1" applyAlignment="1">
      <alignment horizontal="left" vertical="center" indent="1"/>
    </xf>
    <xf numFmtId="0" fontId="4" fillId="8" borderId="4" xfId="0" applyFont="1" applyFill="1" applyBorder="1" applyAlignment="1">
      <alignment vertical="center"/>
    </xf>
    <xf numFmtId="0" fontId="6" fillId="9" borderId="5" xfId="0" applyFont="1" applyFill="1" applyBorder="1" applyAlignment="1">
      <alignment horizontal="left" vertical="center" indent="1"/>
    </xf>
    <xf numFmtId="0" fontId="6" fillId="9" borderId="6" xfId="0" applyFont="1" applyFill="1" applyBorder="1" applyAlignment="1">
      <alignment horizontal="center" vertical="center"/>
    </xf>
    <xf numFmtId="0" fontId="15" fillId="2" borderId="0" xfId="0" applyFont="1" applyFill="1" applyAlignment="1">
      <alignment horizontal="left" vertical="center" indent="1"/>
    </xf>
    <xf numFmtId="0" fontId="4" fillId="8" borderId="6" xfId="0" applyFont="1" applyFill="1" applyBorder="1" applyAlignment="1">
      <alignment vertical="center"/>
    </xf>
    <xf numFmtId="3" fontId="3" fillId="6" borderId="3" xfId="0" applyNumberFormat="1" applyFont="1" applyFill="1" applyBorder="1" applyAlignment="1">
      <alignment horizontal="right" vertical="center" indent="2"/>
    </xf>
    <xf numFmtId="0" fontId="0" fillId="2" borderId="12" xfId="0" applyFill="1" applyBorder="1"/>
    <xf numFmtId="172" fontId="15" fillId="2" borderId="0" xfId="0" applyNumberFormat="1" applyFont="1" applyFill="1" applyAlignment="1">
      <alignment vertical="center" wrapText="1"/>
    </xf>
    <xf numFmtId="172" fontId="7" fillId="2" borderId="0" xfId="1" applyNumberFormat="1" applyFont="1" applyFill="1" applyBorder="1" applyAlignment="1">
      <alignment vertical="center" wrapText="1"/>
    </xf>
    <xf numFmtId="170" fontId="7" fillId="0" borderId="0" xfId="0" applyNumberFormat="1" applyFont="1"/>
    <xf numFmtId="9" fontId="3" fillId="2" borderId="0" xfId="2" applyFont="1" applyFill="1" applyAlignment="1">
      <alignment horizontal="center"/>
    </xf>
    <xf numFmtId="9" fontId="3" fillId="2" borderId="0" xfId="0" applyNumberFormat="1" applyFont="1" applyFill="1" applyAlignment="1">
      <alignment horizontal="center"/>
    </xf>
    <xf numFmtId="9" fontId="3" fillId="0" borderId="0" xfId="0" applyNumberFormat="1" applyFont="1" applyAlignment="1">
      <alignment horizontal="center"/>
    </xf>
    <xf numFmtId="0" fontId="21" fillId="2" borderId="0" xfId="0" applyFont="1" applyFill="1" applyAlignment="1">
      <alignment horizontal="left" vertical="center" indent="2"/>
    </xf>
    <xf numFmtId="0" fontId="3" fillId="2" borderId="9" xfId="0" applyFont="1" applyFill="1" applyBorder="1" applyAlignment="1">
      <alignment horizontal="left" vertical="center" wrapText="1" indent="4"/>
    </xf>
    <xf numFmtId="0" fontId="7" fillId="2" borderId="9" xfId="0" applyFont="1" applyFill="1" applyBorder="1" applyAlignment="1">
      <alignment horizontal="left" vertical="center" wrapText="1" indent="4"/>
    </xf>
    <xf numFmtId="0" fontId="7" fillId="2" borderId="15" xfId="0" applyFont="1" applyFill="1" applyBorder="1" applyAlignment="1">
      <alignment horizontal="left" vertical="center" wrapText="1" indent="4"/>
    </xf>
    <xf numFmtId="0" fontId="3" fillId="2" borderId="15" xfId="0" applyFont="1" applyFill="1" applyBorder="1" applyAlignment="1">
      <alignment horizontal="left" vertical="center" wrapText="1" indent="4"/>
    </xf>
    <xf numFmtId="168" fontId="7" fillId="6" borderId="23" xfId="0" applyNumberFormat="1" applyFont="1" applyFill="1" applyBorder="1" applyAlignment="1">
      <alignment horizontal="left" vertical="center" wrapText="1" indent="2"/>
    </xf>
    <xf numFmtId="0" fontId="7" fillId="2" borderId="14" xfId="0" applyFont="1" applyFill="1" applyBorder="1" applyAlignment="1">
      <alignment horizontal="left" vertical="center" wrapText="1" indent="4"/>
    </xf>
    <xf numFmtId="0" fontId="7" fillId="2" borderId="26" xfId="0" applyFont="1" applyFill="1" applyBorder="1" applyAlignment="1">
      <alignment horizontal="left" vertical="center" wrapText="1" indent="4"/>
    </xf>
    <xf numFmtId="0" fontId="7" fillId="2" borderId="0" xfId="0" applyFont="1" applyFill="1" applyAlignment="1">
      <alignment horizontal="left" vertical="center" wrapText="1" indent="4"/>
    </xf>
    <xf numFmtId="0" fontId="7" fillId="6" borderId="24" xfId="0" applyFont="1" applyFill="1" applyBorder="1" applyAlignment="1">
      <alignment horizontal="left" vertical="center" wrapText="1" indent="2"/>
    </xf>
    <xf numFmtId="0" fontId="7" fillId="2" borderId="12" xfId="0" applyFont="1" applyFill="1" applyBorder="1" applyAlignment="1">
      <alignment horizontal="left" vertical="center" wrapText="1" indent="2"/>
    </xf>
    <xf numFmtId="0" fontId="7" fillId="6" borderId="23" xfId="0" applyFont="1" applyFill="1" applyBorder="1" applyAlignment="1">
      <alignment horizontal="left" vertical="center" wrapText="1" indent="2"/>
    </xf>
    <xf numFmtId="0" fontId="7" fillId="2" borderId="4" xfId="0" applyFont="1" applyFill="1" applyBorder="1" applyAlignment="1">
      <alignment horizontal="left" vertical="center" wrapText="1" indent="2"/>
    </xf>
    <xf numFmtId="0" fontId="3" fillId="2" borderId="12" xfId="0" applyFont="1" applyFill="1" applyBorder="1" applyAlignment="1">
      <alignment horizontal="left" vertical="center" wrapText="1" indent="4"/>
    </xf>
    <xf numFmtId="0" fontId="3" fillId="2" borderId="14" xfId="0" applyFont="1" applyFill="1" applyBorder="1" applyAlignment="1">
      <alignment horizontal="left" vertical="center" wrapText="1" indent="4"/>
    </xf>
    <xf numFmtId="0" fontId="21" fillId="2" borderId="4" xfId="0" applyFont="1" applyFill="1" applyBorder="1" applyAlignment="1">
      <alignment horizontal="left" vertical="center" indent="2"/>
    </xf>
    <xf numFmtId="0" fontId="7" fillId="2" borderId="28" xfId="0" applyFont="1" applyFill="1" applyBorder="1" applyAlignment="1">
      <alignment horizontal="left" vertical="center" wrapText="1" indent="4"/>
    </xf>
    <xf numFmtId="0" fontId="7" fillId="2" borderId="12" xfId="0" applyFont="1" applyFill="1" applyBorder="1" applyAlignment="1">
      <alignment horizontal="left" vertical="center" wrapText="1" indent="4"/>
    </xf>
    <xf numFmtId="0" fontId="19" fillId="9" borderId="2" xfId="0" applyFont="1" applyFill="1" applyBorder="1" applyAlignment="1">
      <alignment horizontal="center" vertical="center"/>
    </xf>
    <xf numFmtId="9" fontId="7" fillId="2" borderId="0" xfId="2" applyFont="1" applyFill="1" applyBorder="1" applyAlignment="1">
      <alignment horizontal="right" vertical="center" indent="2"/>
    </xf>
    <xf numFmtId="3" fontId="7" fillId="2" borderId="9" xfId="2" applyNumberFormat="1" applyFont="1" applyFill="1" applyBorder="1" applyAlignment="1">
      <alignment horizontal="right" vertical="center" indent="2"/>
    </xf>
    <xf numFmtId="3" fontId="7" fillId="2" borderId="15" xfId="2" applyNumberFormat="1" applyFont="1" applyFill="1" applyBorder="1" applyAlignment="1">
      <alignment horizontal="right" vertical="center" indent="2"/>
    </xf>
    <xf numFmtId="3" fontId="7" fillId="2" borderId="0" xfId="2" applyNumberFormat="1" applyFont="1" applyFill="1" applyBorder="1" applyAlignment="1">
      <alignment horizontal="right" vertical="center" indent="2"/>
    </xf>
    <xf numFmtId="0" fontId="4" fillId="4" borderId="6" xfId="0" applyFont="1" applyFill="1" applyBorder="1" applyAlignment="1">
      <alignment horizontal="right" vertical="center" indent="2"/>
    </xf>
    <xf numFmtId="0" fontId="4" fillId="4" borderId="7" xfId="0" applyFont="1" applyFill="1" applyBorder="1" applyAlignment="1">
      <alignment horizontal="right" vertical="center" indent="2"/>
    </xf>
    <xf numFmtId="0" fontId="6" fillId="5" borderId="6" xfId="0" applyFont="1" applyFill="1" applyBorder="1" applyAlignment="1">
      <alignment horizontal="right" vertical="center" indent="2"/>
    </xf>
    <xf numFmtId="0" fontId="6" fillId="5" borderId="7" xfId="0" applyFont="1" applyFill="1" applyBorder="1" applyAlignment="1">
      <alignment horizontal="right" vertical="center" indent="2"/>
    </xf>
    <xf numFmtId="0" fontId="6" fillId="5" borderId="6" xfId="0" applyFont="1" applyFill="1" applyBorder="1" applyAlignment="1">
      <alignment horizontal="right" vertical="center" indent="3"/>
    </xf>
    <xf numFmtId="0" fontId="6" fillId="5" borderId="7" xfId="0" applyFont="1" applyFill="1" applyBorder="1" applyAlignment="1">
      <alignment horizontal="right" vertical="center" indent="3"/>
    </xf>
    <xf numFmtId="3" fontId="3" fillId="2" borderId="29" xfId="0" applyNumberFormat="1" applyFont="1" applyFill="1" applyBorder="1" applyAlignment="1">
      <alignment horizontal="right" vertical="center" indent="3"/>
    </xf>
    <xf numFmtId="3" fontId="3" fillId="2" borderId="10" xfId="0" applyNumberFormat="1" applyFont="1" applyFill="1" applyBorder="1" applyAlignment="1">
      <alignment horizontal="right" vertical="center" indent="3"/>
    </xf>
    <xf numFmtId="3" fontId="3" fillId="2" borderId="26" xfId="0" applyNumberFormat="1" applyFont="1" applyFill="1" applyBorder="1" applyAlignment="1">
      <alignment horizontal="right" vertical="center" indent="3"/>
    </xf>
    <xf numFmtId="3" fontId="3" fillId="2" borderId="27" xfId="0" applyNumberFormat="1" applyFont="1" applyFill="1" applyBorder="1" applyAlignment="1">
      <alignment horizontal="right" vertical="center" indent="3"/>
    </xf>
    <xf numFmtId="3" fontId="3" fillId="2" borderId="6" xfId="0" applyNumberFormat="1" applyFont="1" applyFill="1" applyBorder="1" applyAlignment="1">
      <alignment horizontal="right" vertical="center" indent="3"/>
    </xf>
    <xf numFmtId="3" fontId="3" fillId="2" borderId="7" xfId="0" applyNumberFormat="1" applyFont="1" applyFill="1" applyBorder="1" applyAlignment="1">
      <alignment horizontal="right" vertical="center" indent="3"/>
    </xf>
    <xf numFmtId="1" fontId="3" fillId="6" borderId="2" xfId="0" applyNumberFormat="1" applyFont="1" applyFill="1" applyBorder="1" applyAlignment="1">
      <alignment horizontal="right" vertical="center" indent="3"/>
    </xf>
    <xf numFmtId="1" fontId="3" fillId="6" borderId="3" xfId="0" applyNumberFormat="1" applyFont="1" applyFill="1" applyBorder="1" applyAlignment="1">
      <alignment horizontal="right" vertical="center" indent="3"/>
    </xf>
    <xf numFmtId="3" fontId="7" fillId="2" borderId="9" xfId="0" applyNumberFormat="1" applyFont="1" applyFill="1" applyBorder="1" applyAlignment="1">
      <alignment horizontal="right" vertical="center" indent="1"/>
    </xf>
    <xf numFmtId="0" fontId="19" fillId="5" borderId="6" xfId="0" applyFont="1" applyFill="1" applyBorder="1" applyAlignment="1">
      <alignment horizontal="right" vertical="center" indent="2"/>
    </xf>
    <xf numFmtId="0" fontId="19" fillId="5" borderId="7" xfId="0" applyFont="1" applyFill="1" applyBorder="1" applyAlignment="1">
      <alignment horizontal="right" vertical="center" indent="2"/>
    </xf>
    <xf numFmtId="170" fontId="7" fillId="2" borderId="9" xfId="0" applyNumberFormat="1" applyFont="1" applyFill="1" applyBorder="1" applyAlignment="1">
      <alignment horizontal="right" vertical="center" indent="2"/>
    </xf>
    <xf numFmtId="170" fontId="7" fillId="0" borderId="11" xfId="0" applyNumberFormat="1" applyFont="1" applyBorder="1" applyAlignment="1">
      <alignment horizontal="right" vertical="center" indent="2"/>
    </xf>
    <xf numFmtId="170" fontId="7" fillId="6" borderId="2" xfId="0" applyNumberFormat="1" applyFont="1" applyFill="1" applyBorder="1" applyAlignment="1">
      <alignment horizontal="right" vertical="center" indent="2"/>
    </xf>
    <xf numFmtId="170" fontId="7" fillId="6" borderId="3" xfId="0" applyNumberFormat="1" applyFont="1" applyFill="1" applyBorder="1" applyAlignment="1">
      <alignment horizontal="right" vertical="center" indent="2"/>
    </xf>
    <xf numFmtId="170" fontId="7" fillId="2" borderId="4" xfId="0" applyNumberFormat="1" applyFont="1" applyFill="1" applyBorder="1" applyAlignment="1">
      <alignment horizontal="right" vertical="center" indent="2"/>
    </xf>
    <xf numFmtId="170" fontId="7" fillId="2" borderId="13" xfId="0" applyNumberFormat="1" applyFont="1" applyFill="1" applyBorder="1" applyAlignment="1">
      <alignment horizontal="right" vertical="center" indent="2"/>
    </xf>
    <xf numFmtId="9" fontId="7" fillId="2" borderId="6" xfId="2" applyFont="1" applyFill="1" applyBorder="1" applyAlignment="1">
      <alignment horizontal="right" vertical="center" indent="2"/>
    </xf>
    <xf numFmtId="9" fontId="7" fillId="2" borderId="7" xfId="2" applyFont="1" applyFill="1" applyBorder="1" applyAlignment="1">
      <alignment horizontal="right" vertical="center" indent="2"/>
    </xf>
    <xf numFmtId="0" fontId="7" fillId="2" borderId="0" xfId="0" applyFont="1" applyFill="1" applyAlignment="1">
      <alignment horizontal="right" vertical="center" indent="1"/>
    </xf>
    <xf numFmtId="0" fontId="7" fillId="2" borderId="17" xfId="0" applyFont="1" applyFill="1" applyBorder="1" applyAlignment="1">
      <alignment horizontal="right" vertical="center" indent="1"/>
    </xf>
    <xf numFmtId="170" fontId="7" fillId="2" borderId="0" xfId="0" applyNumberFormat="1" applyFont="1" applyFill="1" applyAlignment="1">
      <alignment horizontal="right" vertical="center" indent="1"/>
    </xf>
    <xf numFmtId="170" fontId="7" fillId="2" borderId="17" xfId="0" applyNumberFormat="1" applyFont="1" applyFill="1" applyBorder="1" applyAlignment="1">
      <alignment horizontal="right" vertical="center" indent="1"/>
    </xf>
    <xf numFmtId="3" fontId="3" fillId="6" borderId="2" xfId="0" applyNumberFormat="1" applyFont="1" applyFill="1" applyBorder="1" applyAlignment="1">
      <alignment horizontal="right" vertical="center" indent="1"/>
    </xf>
    <xf numFmtId="3" fontId="3" fillId="2" borderId="9" xfId="0" applyNumberFormat="1" applyFont="1" applyFill="1" applyBorder="1" applyAlignment="1">
      <alignment horizontal="right" vertical="center" indent="2"/>
    </xf>
    <xf numFmtId="3" fontId="3" fillId="2" borderId="11" xfId="0" applyNumberFormat="1" applyFont="1" applyFill="1" applyBorder="1" applyAlignment="1">
      <alignment horizontal="right" vertical="center" indent="2"/>
    </xf>
    <xf numFmtId="3" fontId="3" fillId="2" borderId="2" xfId="0" applyNumberFormat="1" applyFont="1" applyFill="1" applyBorder="1" applyAlignment="1">
      <alignment horizontal="right" vertical="center" indent="2"/>
    </xf>
    <xf numFmtId="3" fontId="3" fillId="2" borderId="3" xfId="0" applyNumberFormat="1" applyFont="1" applyFill="1" applyBorder="1" applyAlignment="1">
      <alignment horizontal="right" vertical="center" indent="2"/>
    </xf>
    <xf numFmtId="3" fontId="3" fillId="2" borderId="9" xfId="0" applyNumberFormat="1" applyFont="1" applyFill="1" applyBorder="1" applyAlignment="1">
      <alignment horizontal="right" vertical="center" indent="3"/>
    </xf>
    <xf numFmtId="3" fontId="3" fillId="2" borderId="11" xfId="0" applyNumberFormat="1" applyFont="1" applyFill="1" applyBorder="1" applyAlignment="1">
      <alignment horizontal="right" vertical="center" indent="3"/>
    </xf>
    <xf numFmtId="3" fontId="3" fillId="6" borderId="2" xfId="0" applyNumberFormat="1" applyFont="1" applyFill="1" applyBorder="1" applyAlignment="1">
      <alignment horizontal="right" vertical="center" indent="3"/>
    </xf>
    <xf numFmtId="3" fontId="3" fillId="6" borderId="3" xfId="0" applyNumberFormat="1" applyFont="1" applyFill="1" applyBorder="1" applyAlignment="1">
      <alignment horizontal="right" vertical="center" indent="3"/>
    </xf>
    <xf numFmtId="9" fontId="3" fillId="6" borderId="6" xfId="2" applyFont="1" applyFill="1" applyBorder="1" applyAlignment="1">
      <alignment horizontal="right" vertical="center" indent="3"/>
    </xf>
    <xf numFmtId="9" fontId="3" fillId="6" borderId="7" xfId="2" applyFont="1" applyFill="1" applyBorder="1" applyAlignment="1">
      <alignment horizontal="right" vertical="center" indent="3"/>
    </xf>
    <xf numFmtId="0" fontId="4" fillId="4" borderId="3" xfId="0" applyFont="1" applyFill="1" applyBorder="1" applyAlignment="1">
      <alignment horizontal="right" vertical="center" indent="2"/>
    </xf>
    <xf numFmtId="0" fontId="6" fillId="5" borderId="2" xfId="0" applyFont="1" applyFill="1" applyBorder="1" applyAlignment="1">
      <alignment horizontal="right" vertical="center" indent="2"/>
    </xf>
    <xf numFmtId="0" fontId="6" fillId="5" borderId="3" xfId="0" applyFont="1" applyFill="1" applyBorder="1" applyAlignment="1">
      <alignment horizontal="right" vertical="center" indent="2"/>
    </xf>
    <xf numFmtId="171" fontId="3" fillId="2" borderId="0" xfId="0" applyNumberFormat="1" applyFont="1" applyFill="1" applyAlignment="1">
      <alignment horizontal="right" vertical="center" indent="2"/>
    </xf>
    <xf numFmtId="171" fontId="3" fillId="2" borderId="17" xfId="0" applyNumberFormat="1" applyFont="1" applyFill="1" applyBorder="1" applyAlignment="1">
      <alignment horizontal="right" vertical="center" indent="2"/>
    </xf>
    <xf numFmtId="3" fontId="3" fillId="7" borderId="2" xfId="0" applyNumberFormat="1" applyFont="1" applyFill="1" applyBorder="1" applyAlignment="1">
      <alignment horizontal="right" vertical="center" indent="2"/>
    </xf>
    <xf numFmtId="3" fontId="3" fillId="7" borderId="3" xfId="0" applyNumberFormat="1" applyFont="1" applyFill="1" applyBorder="1" applyAlignment="1">
      <alignment horizontal="right" vertical="center" indent="2"/>
    </xf>
    <xf numFmtId="3" fontId="3" fillId="2" borderId="0" xfId="0" applyNumberFormat="1" applyFont="1" applyFill="1" applyAlignment="1">
      <alignment horizontal="right" vertical="center" indent="2"/>
    </xf>
    <xf numFmtId="3" fontId="3" fillId="2" borderId="17" xfId="0" applyNumberFormat="1" applyFont="1" applyFill="1" applyBorder="1" applyAlignment="1">
      <alignment horizontal="right" vertical="center" indent="2"/>
    </xf>
    <xf numFmtId="3" fontId="3" fillId="5" borderId="2" xfId="0" applyNumberFormat="1" applyFont="1" applyFill="1" applyBorder="1" applyAlignment="1">
      <alignment horizontal="right" vertical="center" indent="2"/>
    </xf>
    <xf numFmtId="3" fontId="3" fillId="5" borderId="3" xfId="0" applyNumberFormat="1" applyFont="1" applyFill="1" applyBorder="1" applyAlignment="1">
      <alignment horizontal="right" vertical="center" indent="2"/>
    </xf>
    <xf numFmtId="37" fontId="3" fillId="5" borderId="2" xfId="1" applyNumberFormat="1" applyFont="1" applyFill="1" applyBorder="1" applyAlignment="1">
      <alignment horizontal="right" vertical="center" indent="2"/>
    </xf>
    <xf numFmtId="9" fontId="25" fillId="2" borderId="13" xfId="2" applyFont="1" applyFill="1" applyBorder="1" applyAlignment="1">
      <alignment horizontal="right" vertical="center" indent="2"/>
    </xf>
    <xf numFmtId="9" fontId="3" fillId="2" borderId="17" xfId="2" applyFont="1" applyFill="1" applyBorder="1" applyAlignment="1">
      <alignment horizontal="right" vertical="center" indent="2"/>
    </xf>
    <xf numFmtId="0" fontId="6" fillId="5" borderId="5" xfId="0" applyFont="1" applyFill="1" applyBorder="1" applyAlignment="1">
      <alignment horizontal="left" vertical="center" indent="2"/>
    </xf>
    <xf numFmtId="0" fontId="6" fillId="5" borderId="20" xfId="0" applyFont="1" applyFill="1" applyBorder="1" applyAlignment="1">
      <alignment horizontal="left" vertical="center" wrapText="1" indent="2"/>
    </xf>
    <xf numFmtId="0" fontId="3" fillId="2" borderId="4" xfId="0" applyFont="1" applyFill="1" applyBorder="1" applyAlignment="1">
      <alignment horizontal="left" indent="2"/>
    </xf>
    <xf numFmtId="0" fontId="3" fillId="2" borderId="4" xfId="0" applyFont="1" applyFill="1" applyBorder="1" applyAlignment="1">
      <alignment horizontal="left" indent="3"/>
    </xf>
    <xf numFmtId="0" fontId="3" fillId="2" borderId="13" xfId="0" applyFont="1" applyFill="1" applyBorder="1" applyAlignment="1">
      <alignment horizontal="left" indent="2"/>
    </xf>
    <xf numFmtId="0" fontId="3" fillId="2" borderId="0" xfId="0" applyFont="1" applyFill="1" applyAlignment="1">
      <alignment horizontal="left" indent="2"/>
    </xf>
    <xf numFmtId="0" fontId="3" fillId="2" borderId="0" xfId="0" applyFont="1" applyFill="1" applyAlignment="1">
      <alignment horizontal="left" indent="3"/>
    </xf>
    <xf numFmtId="0" fontId="3" fillId="2" borderId="17" xfId="0" applyFont="1" applyFill="1" applyBorder="1" applyAlignment="1">
      <alignment horizontal="left" indent="2"/>
    </xf>
    <xf numFmtId="0" fontId="3" fillId="2" borderId="6" xfId="0" applyFont="1" applyFill="1" applyBorder="1" applyAlignment="1">
      <alignment horizontal="left" indent="2"/>
    </xf>
    <xf numFmtId="0" fontId="3" fillId="2" borderId="6" xfId="0" applyFont="1" applyFill="1" applyBorder="1" applyAlignment="1">
      <alignment horizontal="left" indent="3"/>
    </xf>
    <xf numFmtId="0" fontId="3" fillId="2" borderId="7" xfId="0" applyFont="1" applyFill="1" applyBorder="1" applyAlignment="1">
      <alignment horizontal="left" indent="2"/>
    </xf>
    <xf numFmtId="0" fontId="19" fillId="5" borderId="4" xfId="0" applyFont="1" applyFill="1" applyBorder="1" applyAlignment="1">
      <alignment horizontal="right" vertical="center" wrapText="1" indent="1"/>
    </xf>
    <xf numFmtId="0" fontId="19" fillId="5" borderId="13" xfId="0" applyFont="1" applyFill="1" applyBorder="1" applyAlignment="1">
      <alignment horizontal="right" vertical="center" wrapText="1" indent="1"/>
    </xf>
    <xf numFmtId="170" fontId="7" fillId="2" borderId="9" xfId="2" applyNumberFormat="1" applyFont="1" applyFill="1" applyBorder="1" applyAlignment="1">
      <alignment horizontal="right" vertical="center" indent="1"/>
    </xf>
    <xf numFmtId="170" fontId="7" fillId="2" borderId="11" xfId="2" applyNumberFormat="1" applyFont="1" applyFill="1" applyBorder="1" applyAlignment="1">
      <alignment horizontal="right" vertical="center" indent="1"/>
    </xf>
    <xf numFmtId="170" fontId="7" fillId="2" borderId="15" xfId="2" applyNumberFormat="1" applyFont="1" applyFill="1" applyBorder="1" applyAlignment="1">
      <alignment horizontal="right" vertical="center" indent="1"/>
    </xf>
    <xf numFmtId="170" fontId="7" fillId="2" borderId="16" xfId="2" applyNumberFormat="1" applyFont="1" applyFill="1" applyBorder="1" applyAlignment="1">
      <alignment horizontal="right" vertical="center" indent="1"/>
    </xf>
    <xf numFmtId="170" fontId="7" fillId="2" borderId="0" xfId="2" applyNumberFormat="1" applyFont="1" applyFill="1" applyBorder="1" applyAlignment="1">
      <alignment horizontal="right" vertical="center" indent="1"/>
    </xf>
    <xf numFmtId="170" fontId="7" fillId="2" borderId="17" xfId="2" applyNumberFormat="1" applyFont="1" applyFill="1" applyBorder="1" applyAlignment="1">
      <alignment horizontal="right" vertical="center" indent="1"/>
    </xf>
    <xf numFmtId="170" fontId="7" fillId="6" borderId="24" xfId="0" applyNumberFormat="1" applyFont="1" applyFill="1" applyBorder="1" applyAlignment="1">
      <alignment horizontal="right" vertical="center" indent="1"/>
    </xf>
    <xf numFmtId="170" fontId="7" fillId="6" borderId="25" xfId="0" applyNumberFormat="1" applyFont="1" applyFill="1" applyBorder="1" applyAlignment="1">
      <alignment horizontal="right" vertical="center" indent="1"/>
    </xf>
    <xf numFmtId="170" fontId="7" fillId="2" borderId="4" xfId="2" applyNumberFormat="1" applyFont="1" applyFill="1" applyBorder="1" applyAlignment="1">
      <alignment horizontal="right" vertical="center" indent="1"/>
    </xf>
    <xf numFmtId="170" fontId="7" fillId="2" borderId="13" xfId="2" applyNumberFormat="1" applyFont="1" applyFill="1" applyBorder="1" applyAlignment="1">
      <alignment horizontal="right" vertical="center" indent="1"/>
    </xf>
    <xf numFmtId="170" fontId="7" fillId="2" borderId="26" xfId="2" applyNumberFormat="1" applyFont="1" applyFill="1" applyBorder="1" applyAlignment="1">
      <alignment horizontal="right" vertical="center" indent="1"/>
    </xf>
    <xf numFmtId="170" fontId="7" fillId="2" borderId="27" xfId="2" applyNumberFormat="1" applyFont="1" applyFill="1" applyBorder="1" applyAlignment="1">
      <alignment horizontal="right" vertical="center" indent="1"/>
    </xf>
    <xf numFmtId="170" fontId="3" fillId="6" borderId="2" xfId="0" applyNumberFormat="1" applyFont="1" applyFill="1" applyBorder="1" applyAlignment="1">
      <alignment horizontal="right" vertical="center" indent="1"/>
    </xf>
    <xf numFmtId="170" fontId="3" fillId="6" borderId="3" xfId="0" applyNumberFormat="1" applyFont="1" applyFill="1" applyBorder="1" applyAlignment="1">
      <alignment horizontal="right" vertical="center" indent="1"/>
    </xf>
    <xf numFmtId="0" fontId="4" fillId="8" borderId="21" xfId="0" applyFont="1" applyFill="1" applyBorder="1" applyAlignment="1">
      <alignment horizontal="right" vertical="center" wrapText="1" indent="1"/>
    </xf>
    <xf numFmtId="0" fontId="5" fillId="8" borderId="0" xfId="0" applyFont="1" applyFill="1" applyAlignment="1">
      <alignment horizontal="right" vertical="center" indent="1"/>
    </xf>
    <xf numFmtId="9" fontId="7" fillId="2" borderId="17" xfId="2" applyFont="1" applyFill="1" applyBorder="1" applyAlignment="1">
      <alignment horizontal="right" vertical="center" indent="1"/>
    </xf>
    <xf numFmtId="3" fontId="5" fillId="8" borderId="9" xfId="0" applyNumberFormat="1" applyFont="1" applyFill="1" applyBorder="1" applyAlignment="1">
      <alignment horizontal="right" vertical="center" indent="1"/>
    </xf>
    <xf numFmtId="9" fontId="7" fillId="2" borderId="11" xfId="2" applyFont="1" applyFill="1" applyBorder="1" applyAlignment="1">
      <alignment horizontal="right" vertical="center" indent="1"/>
    </xf>
    <xf numFmtId="3" fontId="7" fillId="2" borderId="15" xfId="0" applyNumberFormat="1" applyFont="1" applyFill="1" applyBorder="1" applyAlignment="1">
      <alignment horizontal="right" vertical="center" indent="1"/>
    </xf>
    <xf numFmtId="3" fontId="7" fillId="2" borderId="0" xfId="0" applyNumberFormat="1" applyFont="1" applyFill="1" applyAlignment="1">
      <alignment horizontal="right" vertical="center" indent="1"/>
    </xf>
    <xf numFmtId="3" fontId="5" fillId="8" borderId="15" xfId="0" applyNumberFormat="1" applyFont="1" applyFill="1" applyBorder="1" applyAlignment="1">
      <alignment horizontal="right" vertical="center" indent="1"/>
    </xf>
    <xf numFmtId="9" fontId="7" fillId="2" borderId="16" xfId="2" applyFont="1" applyFill="1" applyBorder="1" applyAlignment="1">
      <alignment horizontal="right" vertical="center" indent="1"/>
    </xf>
    <xf numFmtId="3" fontId="5" fillId="8" borderId="0" xfId="0" applyNumberFormat="1" applyFont="1" applyFill="1" applyAlignment="1">
      <alignment horizontal="right" vertical="center" indent="1"/>
    </xf>
    <xf numFmtId="3" fontId="7" fillId="6" borderId="24" xfId="0" applyNumberFormat="1" applyFont="1" applyFill="1" applyBorder="1" applyAlignment="1">
      <alignment horizontal="right" vertical="center" indent="1"/>
    </xf>
    <xf numFmtId="3" fontId="5" fillId="8" borderId="24" xfId="0" applyNumberFormat="1" applyFont="1" applyFill="1" applyBorder="1" applyAlignment="1">
      <alignment horizontal="right" vertical="center" indent="1"/>
    </xf>
    <xf numFmtId="9" fontId="7" fillId="6" borderId="25" xfId="2" applyFont="1" applyFill="1" applyBorder="1" applyAlignment="1">
      <alignment horizontal="right" vertical="center" indent="1"/>
    </xf>
    <xf numFmtId="9" fontId="7" fillId="2" borderId="13" xfId="2" applyFont="1" applyFill="1" applyBorder="1" applyAlignment="1">
      <alignment horizontal="right" vertical="center" indent="1"/>
    </xf>
    <xf numFmtId="3" fontId="7" fillId="2" borderId="2" xfId="0" applyNumberFormat="1" applyFont="1" applyFill="1" applyBorder="1" applyAlignment="1">
      <alignment horizontal="right" vertical="center" indent="1"/>
    </xf>
    <xf numFmtId="3" fontId="5" fillId="8" borderId="2" xfId="0" applyNumberFormat="1" applyFont="1" applyFill="1" applyBorder="1" applyAlignment="1">
      <alignment horizontal="right" vertical="center" indent="1"/>
    </xf>
    <xf numFmtId="9" fontId="7" fillId="2" borderId="3" xfId="2" applyFont="1" applyFill="1" applyBorder="1" applyAlignment="1">
      <alignment horizontal="right" vertical="center" indent="1"/>
    </xf>
    <xf numFmtId="9" fontId="3" fillId="9" borderId="3" xfId="2" applyFont="1" applyFill="1" applyBorder="1" applyAlignment="1">
      <alignment horizontal="right" vertical="center" indent="1"/>
    </xf>
    <xf numFmtId="0" fontId="3" fillId="7" borderId="2" xfId="0" applyFont="1" applyFill="1" applyBorder="1" applyAlignment="1">
      <alignment horizontal="right" vertical="center" indent="2"/>
    </xf>
    <xf numFmtId="0" fontId="3" fillId="7" borderId="3" xfId="0" applyFont="1" applyFill="1" applyBorder="1" applyAlignment="1">
      <alignment horizontal="right" vertical="center" indent="2"/>
    </xf>
    <xf numFmtId="0" fontId="3" fillId="7" borderId="29" xfId="0" applyFont="1" applyFill="1" applyBorder="1" applyAlignment="1">
      <alignment horizontal="right" vertical="center" indent="2"/>
    </xf>
    <xf numFmtId="0" fontId="3" fillId="7" borderId="10" xfId="0" applyFont="1" applyFill="1" applyBorder="1" applyAlignment="1">
      <alignment horizontal="right" vertical="center" indent="2"/>
    </xf>
    <xf numFmtId="173" fontId="7" fillId="2" borderId="9" xfId="0" applyNumberFormat="1" applyFont="1" applyFill="1" applyBorder="1" applyAlignment="1">
      <alignment horizontal="right" vertical="center" indent="2"/>
    </xf>
    <xf numFmtId="173" fontId="7" fillId="0" borderId="11" xfId="0" applyNumberFormat="1" applyFont="1" applyBorder="1" applyAlignment="1">
      <alignment horizontal="right" vertical="center" indent="2"/>
    </xf>
    <xf numFmtId="4" fontId="7" fillId="2" borderId="9" xfId="0" applyNumberFormat="1" applyFont="1" applyFill="1" applyBorder="1" applyAlignment="1">
      <alignment horizontal="right" vertical="center" indent="2"/>
    </xf>
    <xf numFmtId="4" fontId="7" fillId="0" borderId="11" xfId="0" applyNumberFormat="1" applyFont="1" applyBorder="1" applyAlignment="1">
      <alignment horizontal="right" vertical="center" indent="2"/>
    </xf>
    <xf numFmtId="170" fontId="7" fillId="2" borderId="26" xfId="0" applyNumberFormat="1" applyFont="1" applyFill="1" applyBorder="1" applyAlignment="1">
      <alignment horizontal="right" vertical="center" indent="2"/>
    </xf>
    <xf numFmtId="170" fontId="7" fillId="0" borderId="27" xfId="0" applyNumberFormat="1" applyFont="1" applyBorder="1" applyAlignment="1">
      <alignment horizontal="right" vertical="center" indent="2"/>
    </xf>
    <xf numFmtId="174" fontId="7" fillId="2" borderId="9" xfId="0" applyNumberFormat="1" applyFont="1" applyFill="1" applyBorder="1" applyAlignment="1">
      <alignment horizontal="right" vertical="center" indent="2"/>
    </xf>
    <xf numFmtId="174" fontId="7" fillId="0" borderId="11" xfId="0" applyNumberFormat="1" applyFont="1" applyBorder="1" applyAlignment="1">
      <alignment horizontal="right" vertical="center" indent="2"/>
    </xf>
    <xf numFmtId="0" fontId="4" fillId="10" borderId="19" xfId="0" applyFont="1" applyFill="1" applyBorder="1" applyAlignment="1">
      <alignment horizontal="right" vertical="center"/>
    </xf>
    <xf numFmtId="0" fontId="10" fillId="2" borderId="0" xfId="3" applyFont="1" applyFill="1" applyAlignment="1">
      <alignment horizontal="left" vertical="center" indent="1"/>
    </xf>
    <xf numFmtId="0" fontId="26" fillId="9" borderId="1" xfId="0" applyFont="1" applyFill="1" applyBorder="1" applyAlignment="1">
      <alignment horizontal="left" vertical="center" wrapText="1" indent="1"/>
    </xf>
    <xf numFmtId="0" fontId="42" fillId="2" borderId="0" xfId="0" applyFont="1" applyFill="1" applyAlignment="1">
      <alignment vertical="center"/>
    </xf>
    <xf numFmtId="0" fontId="10" fillId="2" borderId="4" xfId="0" applyFont="1" applyFill="1" applyBorder="1" applyAlignment="1">
      <alignment horizontal="left" vertical="center" wrapText="1" indent="2"/>
    </xf>
    <xf numFmtId="172" fontId="9" fillId="2" borderId="0" xfId="0" applyNumberFormat="1" applyFont="1" applyFill="1"/>
    <xf numFmtId="0" fontId="10" fillId="2" borderId="0" xfId="3" applyFont="1" applyFill="1" applyAlignment="1">
      <alignment horizontal="left" vertical="center" wrapText="1" indent="1"/>
    </xf>
    <xf numFmtId="0" fontId="3" fillId="6" borderId="1" xfId="0" applyFont="1" applyFill="1" applyBorder="1" applyAlignment="1">
      <alignment horizontal="left" wrapText="1" indent="1"/>
    </xf>
    <xf numFmtId="0" fontId="3" fillId="6" borderId="1" xfId="0" applyFont="1" applyFill="1" applyBorder="1" applyAlignment="1">
      <alignment horizontal="left" vertical="center" wrapText="1" indent="1"/>
    </xf>
    <xf numFmtId="0" fontId="4" fillId="4" borderId="6" xfId="0" applyFont="1" applyFill="1" applyBorder="1" applyAlignment="1">
      <alignment horizontal="right" vertical="center"/>
    </xf>
    <xf numFmtId="0" fontId="4" fillId="4" borderId="7" xfId="0" applyFont="1" applyFill="1" applyBorder="1" applyAlignment="1">
      <alignment horizontal="right" vertical="center"/>
    </xf>
    <xf numFmtId="0" fontId="6" fillId="5" borderId="50" xfId="0" applyFont="1" applyFill="1" applyBorder="1" applyAlignment="1">
      <alignment horizontal="right" vertical="center"/>
    </xf>
    <xf numFmtId="0" fontId="6" fillId="5" borderId="6" xfId="0" applyFont="1" applyFill="1" applyBorder="1" applyAlignment="1">
      <alignment horizontal="right" vertical="center"/>
    </xf>
    <xf numFmtId="0" fontId="6" fillId="5" borderId="7" xfId="0" applyFont="1" applyFill="1" applyBorder="1" applyAlignment="1">
      <alignment horizontal="right" vertical="center"/>
    </xf>
    <xf numFmtId="0" fontId="3" fillId="7" borderId="51" xfId="0" applyFont="1" applyFill="1" applyBorder="1" applyAlignment="1">
      <alignment horizontal="right" vertical="center"/>
    </xf>
    <xf numFmtId="0" fontId="3" fillId="7" borderId="29" xfId="0" applyFont="1" applyFill="1" applyBorder="1" applyAlignment="1">
      <alignment horizontal="right" vertical="center"/>
    </xf>
    <xf numFmtId="0" fontId="3" fillId="7" borderId="10" xfId="0" applyFont="1" applyFill="1" applyBorder="1" applyAlignment="1">
      <alignment horizontal="right" vertical="center"/>
    </xf>
    <xf numFmtId="172" fontId="7" fillId="2" borderId="52" xfId="1" applyNumberFormat="1" applyFont="1" applyFill="1" applyBorder="1" applyAlignment="1">
      <alignment horizontal="right" vertical="center"/>
    </xf>
    <xf numFmtId="172" fontId="7" fillId="2" borderId="9" xfId="1" applyNumberFormat="1" applyFont="1" applyFill="1" applyBorder="1" applyAlignment="1">
      <alignment horizontal="right" vertical="center"/>
    </xf>
    <xf numFmtId="172" fontId="7" fillId="2" borderId="11" xfId="1" applyNumberFormat="1" applyFont="1" applyFill="1" applyBorder="1" applyAlignment="1">
      <alignment horizontal="right" vertical="center"/>
    </xf>
    <xf numFmtId="172" fontId="5" fillId="8" borderId="49" xfId="1" applyNumberFormat="1" applyFont="1" applyFill="1" applyBorder="1" applyAlignment="1">
      <alignment horizontal="right" vertical="center"/>
    </xf>
    <xf numFmtId="172" fontId="7" fillId="2" borderId="53" xfId="1" applyNumberFormat="1" applyFont="1" applyFill="1" applyBorder="1" applyAlignment="1">
      <alignment horizontal="right" vertical="center"/>
    </xf>
    <xf numFmtId="172" fontId="7" fillId="2" borderId="0" xfId="1" applyNumberFormat="1" applyFont="1" applyFill="1" applyAlignment="1">
      <alignment horizontal="right" vertical="center"/>
    </xf>
    <xf numFmtId="172" fontId="7" fillId="2" borderId="6" xfId="1" applyNumberFormat="1" applyFont="1" applyFill="1" applyBorder="1" applyAlignment="1">
      <alignment horizontal="right" vertical="center"/>
    </xf>
    <xf numFmtId="172" fontId="7" fillId="2" borderId="17" xfId="1" applyNumberFormat="1" applyFont="1" applyFill="1" applyBorder="1" applyAlignment="1">
      <alignment horizontal="right" vertical="center"/>
    </xf>
    <xf numFmtId="172" fontId="5" fillId="8" borderId="20" xfId="1" applyNumberFormat="1" applyFont="1" applyFill="1" applyBorder="1" applyAlignment="1">
      <alignment horizontal="right" vertical="center"/>
    </xf>
    <xf numFmtId="0" fontId="5" fillId="8" borderId="19" xfId="0" applyFont="1" applyFill="1" applyBorder="1" applyAlignment="1">
      <alignment horizontal="right" vertical="center"/>
    </xf>
    <xf numFmtId="167" fontId="5" fillId="8" borderId="34" xfId="1" applyFont="1" applyFill="1" applyBorder="1" applyAlignment="1">
      <alignment horizontal="right" vertical="center"/>
    </xf>
    <xf numFmtId="0" fontId="6" fillId="5" borderId="2" xfId="0" applyFont="1" applyFill="1" applyBorder="1" applyAlignment="1">
      <alignment horizontal="right" vertical="center"/>
    </xf>
    <xf numFmtId="0" fontId="3" fillId="7" borderId="2" xfId="0" applyFont="1" applyFill="1" applyBorder="1" applyAlignment="1">
      <alignment horizontal="right" vertical="center"/>
    </xf>
    <xf numFmtId="0" fontId="3" fillId="7" borderId="3" xfId="0" applyFont="1" applyFill="1" applyBorder="1" applyAlignment="1">
      <alignment horizontal="right" vertical="center"/>
    </xf>
    <xf numFmtId="0" fontId="4" fillId="4" borderId="6" xfId="0" applyFont="1" applyFill="1" applyBorder="1" applyAlignment="1">
      <alignment vertical="center"/>
    </xf>
    <xf numFmtId="0" fontId="4" fillId="4" borderId="7" xfId="0" applyFont="1" applyFill="1" applyBorder="1" applyAlignment="1">
      <alignment vertical="center"/>
    </xf>
    <xf numFmtId="0" fontId="7" fillId="2" borderId="0" xfId="0" applyFont="1" applyFill="1" applyAlignment="1">
      <alignment vertical="center"/>
    </xf>
    <xf numFmtId="3" fontId="7" fillId="2" borderId="9" xfId="0" applyNumberFormat="1" applyFont="1" applyFill="1" applyBorder="1" applyAlignment="1">
      <alignment vertical="center"/>
    </xf>
    <xf numFmtId="3" fontId="7" fillId="2" borderId="0" xfId="0" applyNumberFormat="1" applyFont="1" applyFill="1" applyAlignment="1">
      <alignment vertical="center"/>
    </xf>
    <xf numFmtId="3" fontId="7" fillId="2" borderId="17" xfId="0" applyNumberFormat="1" applyFont="1" applyFill="1" applyBorder="1" applyAlignment="1">
      <alignment vertical="center"/>
    </xf>
    <xf numFmtId="0" fontId="7" fillId="2" borderId="17" xfId="0" applyFont="1" applyFill="1" applyBorder="1" applyAlignment="1">
      <alignment vertical="center"/>
    </xf>
    <xf numFmtId="3" fontId="7" fillId="2" borderId="11" xfId="0" applyNumberFormat="1" applyFont="1" applyFill="1" applyBorder="1" applyAlignment="1">
      <alignment horizontal="right" vertical="center" indent="1"/>
    </xf>
    <xf numFmtId="3" fontId="7" fillId="2" borderId="17" xfId="0" applyNumberFormat="1" applyFont="1" applyFill="1" applyBorder="1" applyAlignment="1">
      <alignment horizontal="right" vertical="center" indent="1"/>
    </xf>
    <xf numFmtId="3" fontId="7" fillId="2" borderId="16" xfId="0" applyNumberFormat="1" applyFont="1" applyFill="1" applyBorder="1" applyAlignment="1">
      <alignment horizontal="right" vertical="center" indent="1"/>
    </xf>
    <xf numFmtId="0" fontId="7" fillId="2" borderId="0" xfId="0" applyFont="1" applyFill="1" applyAlignment="1">
      <alignment horizontal="right" vertical="center"/>
    </xf>
    <xf numFmtId="0" fontId="7" fillId="2" borderId="13" xfId="0" applyFont="1" applyFill="1" applyBorder="1" applyAlignment="1">
      <alignment horizontal="right" vertical="center"/>
    </xf>
    <xf numFmtId="3" fontId="7" fillId="2" borderId="9" xfId="0" applyNumberFormat="1" applyFont="1" applyFill="1" applyBorder="1" applyAlignment="1">
      <alignment horizontal="right" vertical="center"/>
    </xf>
    <xf numFmtId="3" fontId="7" fillId="2" borderId="11" xfId="0" applyNumberFormat="1" applyFont="1" applyFill="1" applyBorder="1" applyAlignment="1">
      <alignment horizontal="right" vertical="center"/>
    </xf>
    <xf numFmtId="3" fontId="7" fillId="2" borderId="0" xfId="0" applyNumberFormat="1" applyFont="1" applyFill="1" applyAlignment="1">
      <alignment horizontal="right" vertical="center"/>
    </xf>
    <xf numFmtId="3" fontId="7" fillId="2" borderId="17" xfId="0" applyNumberFormat="1" applyFont="1" applyFill="1" applyBorder="1" applyAlignment="1">
      <alignment horizontal="right" vertical="center"/>
    </xf>
    <xf numFmtId="0" fontId="7" fillId="2" borderId="17" xfId="0" applyFont="1" applyFill="1" applyBorder="1" applyAlignment="1">
      <alignment horizontal="right" vertical="center"/>
    </xf>
    <xf numFmtId="3" fontId="7" fillId="2" borderId="15" xfId="0" applyNumberFormat="1" applyFont="1" applyFill="1" applyBorder="1" applyAlignment="1">
      <alignment horizontal="right" vertical="center"/>
    </xf>
    <xf numFmtId="3" fontId="7" fillId="2" borderId="16" xfId="0" applyNumberFormat="1" applyFont="1" applyFill="1" applyBorder="1" applyAlignment="1">
      <alignment horizontal="right" vertical="center"/>
    </xf>
    <xf numFmtId="3" fontId="7" fillId="6" borderId="24" xfId="0" applyNumberFormat="1" applyFont="1" applyFill="1" applyBorder="1" applyAlignment="1">
      <alignment horizontal="right" vertical="center"/>
    </xf>
    <xf numFmtId="3" fontId="7" fillId="6" borderId="25" xfId="0" applyNumberFormat="1" applyFont="1" applyFill="1" applyBorder="1" applyAlignment="1">
      <alignment horizontal="right" vertical="center"/>
    </xf>
    <xf numFmtId="3" fontId="7" fillId="2" borderId="26" xfId="0" applyNumberFormat="1" applyFont="1" applyFill="1" applyBorder="1" applyAlignment="1">
      <alignment horizontal="right" vertical="center"/>
    </xf>
    <xf numFmtId="3" fontId="7" fillId="2" borderId="27" xfId="0" applyNumberFormat="1" applyFont="1" applyFill="1" applyBorder="1" applyAlignment="1">
      <alignment horizontal="right" vertical="center"/>
    </xf>
    <xf numFmtId="3" fontId="7" fillId="6" borderId="2" xfId="0" applyNumberFormat="1" applyFont="1" applyFill="1" applyBorder="1" applyAlignment="1">
      <alignment horizontal="right" vertical="center"/>
    </xf>
    <xf numFmtId="3" fontId="7" fillId="6" borderId="3" xfId="0" applyNumberFormat="1" applyFont="1" applyFill="1" applyBorder="1" applyAlignment="1">
      <alignment horizontal="right" vertical="center"/>
    </xf>
    <xf numFmtId="0" fontId="7" fillId="7" borderId="2" xfId="0" applyFont="1" applyFill="1" applyBorder="1" applyAlignment="1">
      <alignment horizontal="right" vertical="center"/>
    </xf>
    <xf numFmtId="0" fontId="7" fillId="7" borderId="3" xfId="0" applyFont="1" applyFill="1" applyBorder="1" applyAlignment="1">
      <alignment horizontal="right" vertical="center"/>
    </xf>
    <xf numFmtId="3" fontId="7" fillId="6" borderId="6" xfId="0" applyNumberFormat="1" applyFont="1" applyFill="1" applyBorder="1" applyAlignment="1">
      <alignment horizontal="right" vertical="center"/>
    </xf>
    <xf numFmtId="3" fontId="7" fillId="7" borderId="6" xfId="0" applyNumberFormat="1" applyFont="1" applyFill="1" applyBorder="1" applyAlignment="1">
      <alignment horizontal="right" vertical="center"/>
    </xf>
    <xf numFmtId="168" fontId="6" fillId="5" borderId="2" xfId="0" applyNumberFormat="1" applyFont="1" applyFill="1" applyBorder="1" applyAlignment="1">
      <alignment vertical="center"/>
    </xf>
    <xf numFmtId="168" fontId="6" fillId="5" borderId="3" xfId="0" applyNumberFormat="1" applyFont="1" applyFill="1" applyBorder="1" applyAlignment="1">
      <alignment vertical="center"/>
    </xf>
    <xf numFmtId="168" fontId="7" fillId="2" borderId="9" xfId="7" applyNumberFormat="1" applyFont="1" applyFill="1" applyBorder="1" applyAlignment="1">
      <alignment vertical="center"/>
    </xf>
    <xf numFmtId="168" fontId="7" fillId="2" borderId="29" xfId="7" applyNumberFormat="1" applyFont="1" applyFill="1" applyBorder="1" applyAlignment="1">
      <alignment vertical="center"/>
    </xf>
    <xf numFmtId="168" fontId="7" fillId="2" borderId="10" xfId="7" applyNumberFormat="1" applyFont="1" applyFill="1" applyBorder="1" applyAlignment="1">
      <alignment vertical="center"/>
    </xf>
    <xf numFmtId="168" fontId="7" fillId="6" borderId="3" xfId="1" applyNumberFormat="1" applyFont="1" applyFill="1" applyBorder="1" applyAlignment="1">
      <alignment vertical="center"/>
    </xf>
    <xf numFmtId="9" fontId="7" fillId="2" borderId="9" xfId="2" applyFont="1" applyFill="1" applyBorder="1" applyAlignment="1">
      <alignment vertical="center"/>
    </xf>
    <xf numFmtId="9" fontId="7" fillId="2" borderId="11" xfId="2" applyFont="1" applyFill="1" applyBorder="1" applyAlignment="1">
      <alignment vertical="center"/>
    </xf>
    <xf numFmtId="3" fontId="7" fillId="2" borderId="6" xfId="1" applyNumberFormat="1" applyFont="1" applyFill="1" applyBorder="1" applyAlignment="1">
      <alignment vertical="center"/>
    </xf>
    <xf numFmtId="3" fontId="7" fillId="2" borderId="7" xfId="1" applyNumberFormat="1" applyFont="1" applyFill="1" applyBorder="1" applyAlignment="1">
      <alignment vertical="center"/>
    </xf>
    <xf numFmtId="0" fontId="6" fillId="5" borderId="3" xfId="0" applyFont="1" applyFill="1" applyBorder="1" applyAlignment="1">
      <alignment horizontal="right" vertical="center"/>
    </xf>
    <xf numFmtId="9" fontId="3" fillId="2" borderId="9" xfId="2" applyFont="1" applyFill="1" applyBorder="1" applyAlignment="1">
      <alignment vertical="center"/>
    </xf>
    <xf numFmtId="9" fontId="3" fillId="2" borderId="11" xfId="2" applyFont="1" applyFill="1" applyBorder="1" applyAlignment="1">
      <alignment vertical="center"/>
    </xf>
    <xf numFmtId="3" fontId="3" fillId="2" borderId="0" xfId="3" applyNumberFormat="1" applyFont="1" applyFill="1" applyAlignment="1">
      <alignment vertical="center"/>
    </xf>
    <xf numFmtId="3" fontId="3" fillId="2" borderId="17" xfId="3" applyNumberFormat="1" applyFont="1" applyFill="1" applyBorder="1" applyAlignment="1">
      <alignment vertical="center"/>
    </xf>
    <xf numFmtId="0" fontId="3" fillId="2" borderId="0" xfId="3" applyFont="1" applyFill="1" applyAlignment="1">
      <alignment vertical="center"/>
    </xf>
    <xf numFmtId="0" fontId="3" fillId="2" borderId="17" xfId="3" applyFont="1" applyFill="1" applyBorder="1" applyAlignment="1">
      <alignment vertical="center"/>
    </xf>
    <xf numFmtId="3" fontId="3" fillId="2" borderId="9" xfId="1" applyNumberFormat="1" applyFont="1" applyFill="1" applyBorder="1" applyAlignment="1">
      <alignment vertical="center"/>
    </xf>
    <xf numFmtId="3" fontId="3" fillId="2" borderId="11" xfId="1" applyNumberFormat="1" applyFont="1" applyFill="1" applyBorder="1" applyAlignment="1">
      <alignment vertical="center"/>
    </xf>
    <xf numFmtId="0" fontId="5" fillId="3" borderId="2" xfId="0" applyFont="1" applyFill="1" applyBorder="1" applyAlignment="1">
      <alignment horizontal="right" vertical="center"/>
    </xf>
    <xf numFmtId="0" fontId="5" fillId="3" borderId="3" xfId="0" applyFont="1" applyFill="1" applyBorder="1" applyAlignment="1">
      <alignment horizontal="right" vertical="center"/>
    </xf>
    <xf numFmtId="0" fontId="4" fillId="4" borderId="4" xfId="0" applyFont="1" applyFill="1" applyBorder="1" applyAlignment="1">
      <alignment horizontal="right" vertical="center"/>
    </xf>
    <xf numFmtId="0" fontId="4" fillId="4" borderId="13" xfId="0" applyFont="1" applyFill="1" applyBorder="1" applyAlignment="1">
      <alignment horizontal="right" vertical="center"/>
    </xf>
    <xf numFmtId="1" fontId="3" fillId="2" borderId="4" xfId="0" applyNumberFormat="1" applyFont="1" applyFill="1" applyBorder="1" applyAlignment="1">
      <alignment horizontal="right" vertical="center"/>
    </xf>
    <xf numFmtId="1" fontId="3" fillId="2" borderId="2" xfId="0" applyNumberFormat="1" applyFont="1" applyFill="1" applyBorder="1" applyAlignment="1">
      <alignment horizontal="right" vertical="center"/>
    </xf>
    <xf numFmtId="1" fontId="3" fillId="2" borderId="13" xfId="0" applyNumberFormat="1" applyFont="1" applyFill="1" applyBorder="1" applyAlignment="1">
      <alignment horizontal="right" vertical="center"/>
    </xf>
    <xf numFmtId="0" fontId="3" fillId="0" borderId="0" xfId="0" applyFont="1" applyAlignment="1">
      <alignment horizontal="right"/>
    </xf>
    <xf numFmtId="0" fontId="4" fillId="4" borderId="0" xfId="0" applyFont="1" applyFill="1" applyAlignment="1">
      <alignment horizontal="right" vertical="center"/>
    </xf>
    <xf numFmtId="168" fontId="3" fillId="2" borderId="15" xfId="7" applyNumberFormat="1" applyFont="1" applyFill="1" applyBorder="1" applyAlignment="1">
      <alignment vertical="center"/>
    </xf>
    <xf numFmtId="168" fontId="7" fillId="2" borderId="16" xfId="7" applyNumberFormat="1" applyFont="1" applyFill="1" applyBorder="1" applyAlignment="1">
      <alignment vertical="center"/>
    </xf>
    <xf numFmtId="1" fontId="3" fillId="2" borderId="4" xfId="0" applyNumberFormat="1" applyFont="1" applyFill="1" applyBorder="1" applyAlignment="1">
      <alignment vertical="center" wrapText="1"/>
    </xf>
    <xf numFmtId="168" fontId="7" fillId="6" borderId="2" xfId="1" applyNumberFormat="1" applyFont="1" applyFill="1" applyBorder="1" applyAlignment="1">
      <alignment horizontal="right"/>
    </xf>
    <xf numFmtId="169" fontId="41" fillId="2" borderId="0" xfId="0" applyNumberFormat="1" applyFont="1" applyFill="1" applyAlignment="1">
      <alignment horizontal="right"/>
    </xf>
    <xf numFmtId="0" fontId="41" fillId="2" borderId="0" xfId="0" applyFont="1" applyFill="1" applyAlignment="1">
      <alignment horizontal="right"/>
    </xf>
    <xf numFmtId="9" fontId="41" fillId="2" borderId="0" xfId="2" applyFont="1" applyFill="1" applyAlignment="1">
      <alignment horizontal="right"/>
    </xf>
    <xf numFmtId="0" fontId="9" fillId="2" borderId="0" xfId="0" applyFont="1" applyFill="1" applyAlignment="1">
      <alignment horizontal="right"/>
    </xf>
    <xf numFmtId="164" fontId="9" fillId="2" borderId="0" xfId="0" applyNumberFormat="1" applyFont="1" applyFill="1" applyAlignment="1">
      <alignment horizontal="right" vertical="center"/>
    </xf>
    <xf numFmtId="168" fontId="7" fillId="6" borderId="2" xfId="1" applyNumberFormat="1" applyFont="1" applyFill="1" applyBorder="1" applyAlignment="1">
      <alignment horizontal="right" vertical="center"/>
    </xf>
    <xf numFmtId="0" fontId="9" fillId="0" borderId="0" xfId="0" applyFont="1" applyAlignment="1">
      <alignment horizontal="right"/>
    </xf>
    <xf numFmtId="168" fontId="3" fillId="2" borderId="9" xfId="7" applyNumberFormat="1" applyFont="1" applyFill="1" applyBorder="1" applyAlignment="1">
      <alignment horizontal="right" vertical="center"/>
    </xf>
    <xf numFmtId="168" fontId="3" fillId="2" borderId="0" xfId="7" applyNumberFormat="1" applyFont="1" applyFill="1" applyBorder="1" applyAlignment="1">
      <alignment horizontal="right" vertical="center"/>
    </xf>
    <xf numFmtId="169" fontId="41" fillId="2" borderId="4" xfId="0" applyNumberFormat="1" applyFont="1" applyFill="1" applyBorder="1" applyAlignment="1">
      <alignment horizontal="right"/>
    </xf>
    <xf numFmtId="9" fontId="41" fillId="2" borderId="4" xfId="0" applyNumberFormat="1" applyFont="1" applyFill="1" applyBorder="1" applyAlignment="1">
      <alignment horizontal="right"/>
    </xf>
    <xf numFmtId="0" fontId="41" fillId="2" borderId="4" xfId="0" applyFont="1" applyFill="1" applyBorder="1" applyAlignment="1">
      <alignment horizontal="right"/>
    </xf>
    <xf numFmtId="9" fontId="41" fillId="2" borderId="4" xfId="2" applyFont="1" applyFill="1" applyBorder="1" applyAlignment="1">
      <alignment horizontal="right"/>
    </xf>
    <xf numFmtId="0" fontId="4" fillId="4" borderId="4" xfId="3" applyFont="1" applyFill="1" applyBorder="1" applyAlignment="1">
      <alignment vertical="center"/>
    </xf>
    <xf numFmtId="0" fontId="4" fillId="4" borderId="13" xfId="3" applyFont="1" applyFill="1" applyBorder="1" applyAlignment="1">
      <alignment vertical="center"/>
    </xf>
    <xf numFmtId="0" fontId="4" fillId="4" borderId="6" xfId="3" applyFont="1" applyFill="1" applyBorder="1" applyAlignment="1">
      <alignment vertical="center"/>
    </xf>
    <xf numFmtId="0" fontId="4" fillId="4" borderId="7" xfId="3" applyFont="1" applyFill="1" applyBorder="1" applyAlignment="1">
      <alignment vertical="center"/>
    </xf>
    <xf numFmtId="3" fontId="3" fillId="2" borderId="9" xfId="3" applyNumberFormat="1" applyFont="1" applyFill="1" applyBorder="1" applyAlignment="1">
      <alignment vertical="center"/>
    </xf>
    <xf numFmtId="3" fontId="3" fillId="2" borderId="11" xfId="3" applyNumberFormat="1" applyFont="1" applyFill="1" applyBorder="1" applyAlignment="1">
      <alignment vertical="center"/>
    </xf>
    <xf numFmtId="9" fontId="7" fillId="2" borderId="0" xfId="4" applyFont="1" applyFill="1" applyBorder="1" applyAlignment="1">
      <alignment vertical="center"/>
    </xf>
    <xf numFmtId="9" fontId="7" fillId="2" borderId="17" xfId="4" applyFont="1" applyFill="1" applyBorder="1" applyAlignment="1">
      <alignment vertical="center"/>
    </xf>
    <xf numFmtId="9" fontId="7" fillId="2" borderId="9" xfId="4" applyFont="1" applyFill="1" applyBorder="1" applyAlignment="1">
      <alignment vertical="center"/>
    </xf>
    <xf numFmtId="9" fontId="7" fillId="2" borderId="11" xfId="4" applyFont="1" applyFill="1" applyBorder="1" applyAlignment="1">
      <alignment vertical="center"/>
    </xf>
    <xf numFmtId="9" fontId="3" fillId="7" borderId="2" xfId="4" applyFont="1" applyFill="1" applyBorder="1" applyAlignment="1">
      <alignment vertical="center"/>
    </xf>
    <xf numFmtId="9" fontId="3" fillId="7" borderId="3" xfId="4" applyFont="1" applyFill="1" applyBorder="1" applyAlignment="1">
      <alignment vertical="center"/>
    </xf>
    <xf numFmtId="9" fontId="3" fillId="2" borderId="9" xfId="4" applyFont="1" applyFill="1" applyBorder="1" applyAlignment="1">
      <alignment vertical="center"/>
    </xf>
    <xf numFmtId="9" fontId="3" fillId="2" borderId="11" xfId="4" applyFont="1" applyFill="1" applyBorder="1" applyAlignment="1">
      <alignment vertical="center"/>
    </xf>
    <xf numFmtId="9" fontId="6" fillId="7" borderId="2" xfId="3" applyNumberFormat="1" applyFont="1" applyFill="1" applyBorder="1" applyAlignment="1">
      <alignment vertical="center" wrapText="1"/>
    </xf>
    <xf numFmtId="9" fontId="6" fillId="7" borderId="3" xfId="3" applyNumberFormat="1" applyFont="1" applyFill="1" applyBorder="1" applyAlignment="1">
      <alignment vertical="center" wrapText="1"/>
    </xf>
    <xf numFmtId="9" fontId="3" fillId="2" borderId="26" xfId="4" applyFont="1" applyFill="1" applyBorder="1" applyAlignment="1">
      <alignment vertical="center"/>
    </xf>
    <xf numFmtId="9" fontId="3" fillId="2" borderId="27" xfId="4" applyFont="1" applyFill="1" applyBorder="1" applyAlignment="1">
      <alignment vertical="center"/>
    </xf>
    <xf numFmtId="9" fontId="7" fillId="2" borderId="9" xfId="6" applyFont="1" applyFill="1" applyBorder="1" applyAlignment="1">
      <alignment vertical="top" wrapText="1"/>
    </xf>
    <xf numFmtId="9" fontId="7" fillId="2" borderId="11" xfId="6" applyFont="1" applyFill="1" applyBorder="1" applyAlignment="1">
      <alignment vertical="top" wrapText="1"/>
    </xf>
    <xf numFmtId="9" fontId="3" fillId="2" borderId="9" xfId="4" applyFont="1" applyFill="1" applyBorder="1" applyAlignment="1">
      <alignment vertical="top"/>
    </xf>
    <xf numFmtId="9" fontId="7" fillId="2" borderId="9" xfId="4" applyFont="1" applyFill="1" applyBorder="1" applyAlignment="1">
      <alignment vertical="top" wrapText="1"/>
    </xf>
    <xf numFmtId="9" fontId="7" fillId="2" borderId="11" xfId="4" applyFont="1" applyFill="1" applyBorder="1" applyAlignment="1">
      <alignment vertical="top" wrapText="1"/>
    </xf>
    <xf numFmtId="9" fontId="3" fillId="2" borderId="26" xfId="4" applyFont="1" applyFill="1" applyBorder="1" applyAlignment="1">
      <alignment vertical="top"/>
    </xf>
    <xf numFmtId="9" fontId="7" fillId="2" borderId="26" xfId="4" applyFont="1" applyFill="1" applyBorder="1" applyAlignment="1">
      <alignment vertical="top" wrapText="1"/>
    </xf>
    <xf numFmtId="9" fontId="7" fillId="2" borderId="27" xfId="4" applyFont="1" applyFill="1" applyBorder="1" applyAlignment="1">
      <alignment vertical="top" wrapText="1"/>
    </xf>
    <xf numFmtId="9" fontId="3" fillId="6" borderId="2" xfId="4" applyFont="1" applyFill="1" applyBorder="1" applyAlignment="1">
      <alignment vertical="center"/>
    </xf>
    <xf numFmtId="9" fontId="3" fillId="6" borderId="3" xfId="4" applyFont="1" applyFill="1" applyBorder="1" applyAlignment="1">
      <alignment vertical="center"/>
    </xf>
    <xf numFmtId="175" fontId="3" fillId="2" borderId="9" xfId="4" applyNumberFormat="1" applyFont="1" applyFill="1" applyBorder="1" applyAlignment="1">
      <alignment vertical="center"/>
    </xf>
    <xf numFmtId="175" fontId="3" fillId="2" borderId="11" xfId="4" applyNumberFormat="1" applyFont="1" applyFill="1" applyBorder="1" applyAlignment="1">
      <alignment vertical="center"/>
    </xf>
    <xf numFmtId="175" fontId="3" fillId="6" borderId="2" xfId="4" applyNumberFormat="1" applyFont="1" applyFill="1" applyBorder="1" applyAlignment="1">
      <alignment vertical="center"/>
    </xf>
    <xf numFmtId="175" fontId="3" fillId="6" borderId="3" xfId="4" applyNumberFormat="1" applyFont="1" applyFill="1" applyBorder="1" applyAlignment="1">
      <alignment vertical="center"/>
    </xf>
    <xf numFmtId="3" fontId="7" fillId="7" borderId="2" xfId="1" applyNumberFormat="1" applyFont="1" applyFill="1" applyBorder="1" applyAlignment="1">
      <alignment vertical="center"/>
    </xf>
    <xf numFmtId="3" fontId="7" fillId="7" borderId="3" xfId="1" applyNumberFormat="1" applyFont="1" applyFill="1" applyBorder="1" applyAlignment="1">
      <alignment vertical="center"/>
    </xf>
    <xf numFmtId="9" fontId="3" fillId="6" borderId="2" xfId="2" applyFont="1" applyFill="1" applyBorder="1" applyAlignment="1">
      <alignment vertical="center"/>
    </xf>
    <xf numFmtId="9" fontId="3" fillId="6" borderId="3" xfId="2" applyFont="1" applyFill="1" applyBorder="1" applyAlignment="1">
      <alignment vertical="center"/>
    </xf>
    <xf numFmtId="3" fontId="3" fillId="2" borderId="15" xfId="3" applyNumberFormat="1" applyFont="1" applyFill="1" applyBorder="1" applyAlignment="1">
      <alignment vertical="center"/>
    </xf>
    <xf numFmtId="3" fontId="3" fillId="2" borderId="16" xfId="3" applyNumberFormat="1" applyFont="1" applyFill="1" applyBorder="1" applyAlignment="1">
      <alignment vertical="center"/>
    </xf>
    <xf numFmtId="9" fontId="7" fillId="6" borderId="2" xfId="4" applyFont="1" applyFill="1" applyBorder="1" applyAlignment="1">
      <alignment vertical="center"/>
    </xf>
    <xf numFmtId="9" fontId="7" fillId="6" borderId="3" xfId="4" applyFont="1" applyFill="1" applyBorder="1" applyAlignment="1">
      <alignment vertical="center"/>
    </xf>
    <xf numFmtId="3" fontId="3" fillId="2" borderId="6" xfId="3" applyNumberFormat="1" applyFont="1" applyFill="1" applyBorder="1" applyAlignment="1">
      <alignment vertical="center"/>
    </xf>
    <xf numFmtId="3" fontId="3" fillId="2" borderId="7" xfId="3" applyNumberFormat="1" applyFont="1" applyFill="1" applyBorder="1" applyAlignment="1">
      <alignment vertical="center"/>
    </xf>
    <xf numFmtId="1" fontId="3" fillId="2" borderId="4" xfId="3" applyNumberFormat="1" applyFont="1" applyFill="1" applyBorder="1" applyAlignment="1">
      <alignment vertical="center" wrapText="1"/>
    </xf>
    <xf numFmtId="3" fontId="7" fillId="2" borderId="29" xfId="0" applyNumberFormat="1" applyFont="1" applyFill="1" applyBorder="1" applyAlignment="1">
      <alignment vertical="center"/>
    </xf>
    <xf numFmtId="3" fontId="7" fillId="2" borderId="10" xfId="0" applyNumberFormat="1" applyFont="1" applyFill="1" applyBorder="1" applyAlignment="1">
      <alignment vertical="center"/>
    </xf>
    <xf numFmtId="0" fontId="7" fillId="2" borderId="15" xfId="0" applyFont="1" applyFill="1" applyBorder="1" applyAlignment="1">
      <alignment vertical="center" wrapText="1"/>
    </xf>
    <xf numFmtId="0" fontId="7" fillId="2" borderId="16" xfId="0" applyFont="1" applyFill="1" applyBorder="1" applyAlignment="1">
      <alignment vertical="center" wrapText="1"/>
    </xf>
    <xf numFmtId="1" fontId="7" fillId="2" borderId="9" xfId="1" applyNumberFormat="1" applyFont="1" applyFill="1" applyBorder="1" applyAlignment="1">
      <alignment vertical="center"/>
    </xf>
    <xf numFmtId="1" fontId="7" fillId="2" borderId="11" xfId="1" applyNumberFormat="1" applyFont="1" applyFill="1" applyBorder="1" applyAlignment="1">
      <alignment vertical="center"/>
    </xf>
    <xf numFmtId="1" fontId="7" fillId="7" borderId="2" xfId="1" applyNumberFormat="1" applyFont="1" applyFill="1" applyBorder="1" applyAlignment="1">
      <alignment vertical="center"/>
    </xf>
    <xf numFmtId="1" fontId="7" fillId="7" borderId="3" xfId="1" applyNumberFormat="1" applyFont="1" applyFill="1" applyBorder="1" applyAlignment="1">
      <alignment vertical="center"/>
    </xf>
    <xf numFmtId="2" fontId="7" fillId="2" borderId="9" xfId="1" applyNumberFormat="1" applyFont="1" applyFill="1" applyBorder="1" applyAlignment="1">
      <alignment vertical="center"/>
    </xf>
    <xf numFmtId="2" fontId="7" fillId="2" borderId="11" xfId="1" applyNumberFormat="1" applyFont="1" applyFill="1" applyBorder="1" applyAlignment="1">
      <alignment vertical="center"/>
    </xf>
    <xf numFmtId="2" fontId="7" fillId="7" borderId="2" xfId="0" applyNumberFormat="1" applyFont="1" applyFill="1" applyBorder="1" applyAlignment="1">
      <alignment vertical="center" wrapText="1"/>
    </xf>
    <xf numFmtId="2" fontId="7" fillId="7" borderId="3" xfId="0" applyNumberFormat="1" applyFont="1" applyFill="1" applyBorder="1" applyAlignment="1">
      <alignment vertical="center" wrapText="1"/>
    </xf>
    <xf numFmtId="176" fontId="7" fillId="2" borderId="9" xfId="1" applyNumberFormat="1" applyFont="1" applyFill="1" applyBorder="1" applyAlignment="1">
      <alignment vertical="center"/>
    </xf>
    <xf numFmtId="176" fontId="7" fillId="2" borderId="11" xfId="1" applyNumberFormat="1" applyFont="1" applyFill="1" applyBorder="1" applyAlignment="1">
      <alignment vertical="center"/>
    </xf>
    <xf numFmtId="176" fontId="7" fillId="7" borderId="2" xfId="0" applyNumberFormat="1" applyFont="1" applyFill="1" applyBorder="1" applyAlignment="1">
      <alignment vertical="center" wrapText="1"/>
    </xf>
    <xf numFmtId="176" fontId="7" fillId="7" borderId="3" xfId="0" applyNumberFormat="1" applyFont="1" applyFill="1" applyBorder="1" applyAlignment="1">
      <alignment vertical="center" wrapText="1"/>
    </xf>
    <xf numFmtId="168" fontId="6" fillId="6" borderId="2" xfId="7" applyNumberFormat="1" applyFont="1" applyFill="1" applyBorder="1" applyAlignment="1">
      <alignment vertical="center"/>
    </xf>
    <xf numFmtId="168" fontId="6" fillId="7" borderId="2" xfId="7" applyNumberFormat="1" applyFont="1" applyFill="1" applyBorder="1" applyAlignment="1">
      <alignment vertical="center"/>
    </xf>
    <xf numFmtId="168" fontId="6" fillId="7" borderId="3" xfId="7" applyNumberFormat="1" applyFont="1" applyFill="1" applyBorder="1" applyAlignment="1">
      <alignment vertical="center"/>
    </xf>
    <xf numFmtId="9" fontId="7" fillId="2" borderId="15" xfId="2" applyFont="1" applyFill="1" applyBorder="1" applyAlignment="1">
      <alignment vertical="center"/>
    </xf>
    <xf numFmtId="9" fontId="7" fillId="2" borderId="16" xfId="2" applyFont="1" applyFill="1" applyBorder="1" applyAlignment="1">
      <alignment vertical="center"/>
    </xf>
    <xf numFmtId="3" fontId="7" fillId="2" borderId="6" xfId="0" applyNumberFormat="1" applyFont="1" applyFill="1" applyBorder="1" applyAlignment="1">
      <alignment vertical="center"/>
    </xf>
    <xf numFmtId="3" fontId="7" fillId="2" borderId="7" xfId="0" applyNumberFormat="1" applyFont="1" applyFill="1" applyBorder="1" applyAlignment="1">
      <alignment vertical="center"/>
    </xf>
    <xf numFmtId="0" fontId="19" fillId="7" borderId="2" xfId="0" applyFont="1" applyFill="1" applyBorder="1" applyAlignment="1">
      <alignment vertical="center"/>
    </xf>
    <xf numFmtId="0" fontId="19" fillId="7" borderId="3" xfId="0" applyFont="1" applyFill="1" applyBorder="1" applyAlignment="1">
      <alignment vertical="center"/>
    </xf>
    <xf numFmtId="1" fontId="7" fillId="2" borderId="15" xfId="1" applyNumberFormat="1" applyFont="1" applyFill="1" applyBorder="1" applyAlignment="1">
      <alignment vertical="center"/>
    </xf>
    <xf numFmtId="1" fontId="7" fillId="2" borderId="16" xfId="1" applyNumberFormat="1" applyFont="1" applyFill="1" applyBorder="1" applyAlignment="1">
      <alignment vertical="center"/>
    </xf>
    <xf numFmtId="1" fontId="7" fillId="2" borderId="4" xfId="0" applyNumberFormat="1" applyFont="1" applyFill="1" applyBorder="1" applyAlignment="1">
      <alignment vertical="center" wrapText="1"/>
    </xf>
    <xf numFmtId="0" fontId="5" fillId="3" borderId="2" xfId="0" applyFont="1" applyFill="1" applyBorder="1" applyAlignment="1">
      <alignment horizontal="right" vertical="center" indent="1"/>
    </xf>
    <xf numFmtId="9" fontId="5" fillId="3" borderId="2" xfId="2" applyFont="1" applyFill="1" applyBorder="1" applyAlignment="1">
      <alignment horizontal="right" vertical="center" indent="1"/>
    </xf>
    <xf numFmtId="0" fontId="19" fillId="5" borderId="21" xfId="0" applyFont="1" applyFill="1" applyBorder="1" applyAlignment="1">
      <alignment horizontal="right" vertical="center" wrapText="1" indent="1"/>
    </xf>
    <xf numFmtId="9" fontId="19" fillId="5" borderId="21" xfId="2" applyFont="1" applyFill="1" applyBorder="1" applyAlignment="1">
      <alignment horizontal="right" vertical="center" wrapText="1" indent="1"/>
    </xf>
    <xf numFmtId="0" fontId="4" fillId="8" borderId="20" xfId="0" applyFont="1" applyFill="1" applyBorder="1" applyAlignment="1">
      <alignment horizontal="right" vertical="center" wrapText="1" indent="1"/>
    </xf>
    <xf numFmtId="9" fontId="7" fillId="2" borderId="0" xfId="2" applyFont="1" applyFill="1" applyAlignment="1">
      <alignment horizontal="right" vertical="center" indent="1"/>
    </xf>
    <xf numFmtId="9" fontId="7" fillId="2" borderId="9" xfId="2" applyFont="1" applyFill="1" applyBorder="1" applyAlignment="1">
      <alignment horizontal="right" vertical="center" indent="1"/>
    </xf>
    <xf numFmtId="9" fontId="7" fillId="2" borderId="15" xfId="2" applyFont="1" applyFill="1" applyBorder="1" applyAlignment="1">
      <alignment horizontal="right" vertical="center" indent="1"/>
    </xf>
    <xf numFmtId="168" fontId="7" fillId="6" borderId="24" xfId="0" applyNumberFormat="1" applyFont="1" applyFill="1" applyBorder="1" applyAlignment="1">
      <alignment horizontal="right" vertical="center" indent="1"/>
    </xf>
    <xf numFmtId="9" fontId="7" fillId="6" borderId="24" xfId="2" applyFont="1" applyFill="1" applyBorder="1" applyAlignment="1">
      <alignment horizontal="right" vertical="center" indent="1"/>
    </xf>
    <xf numFmtId="168" fontId="5" fillId="8" borderId="24" xfId="0" applyNumberFormat="1" applyFont="1" applyFill="1" applyBorder="1" applyAlignment="1">
      <alignment horizontal="right" vertical="center" indent="1"/>
    </xf>
    <xf numFmtId="168" fontId="7" fillId="6" borderId="25" xfId="0" applyNumberFormat="1" applyFont="1" applyFill="1" applyBorder="1" applyAlignment="1">
      <alignment horizontal="right" vertical="center" indent="1"/>
    </xf>
    <xf numFmtId="9" fontId="7" fillId="2" borderId="2" xfId="2" applyFont="1" applyFill="1" applyBorder="1" applyAlignment="1">
      <alignment horizontal="right" vertical="center" indent="1"/>
    </xf>
    <xf numFmtId="3" fontId="5" fillId="2" borderId="2" xfId="0" applyNumberFormat="1" applyFont="1" applyFill="1" applyBorder="1" applyAlignment="1">
      <alignment horizontal="right" vertical="center" indent="1"/>
    </xf>
    <xf numFmtId="3" fontId="7" fillId="2" borderId="3" xfId="0" applyNumberFormat="1" applyFont="1" applyFill="1" applyBorder="1" applyAlignment="1">
      <alignment horizontal="right" vertical="center" indent="1"/>
    </xf>
    <xf numFmtId="168" fontId="3" fillId="6" borderId="2" xfId="0" applyNumberFormat="1" applyFont="1" applyFill="1" applyBorder="1" applyAlignment="1">
      <alignment horizontal="right" vertical="center" indent="1"/>
    </xf>
    <xf numFmtId="9" fontId="3" fillId="6" borderId="2" xfId="2" applyFont="1" applyFill="1" applyBorder="1" applyAlignment="1">
      <alignment horizontal="right" vertical="center" indent="1"/>
    </xf>
    <xf numFmtId="168" fontId="5" fillId="8" borderId="2" xfId="0" applyNumberFormat="1" applyFont="1" applyFill="1" applyBorder="1" applyAlignment="1">
      <alignment horizontal="right" vertical="center" indent="1"/>
    </xf>
    <xf numFmtId="168" fontId="7" fillId="6" borderId="3" xfId="2" applyNumberFormat="1" applyFont="1" applyFill="1" applyBorder="1" applyAlignment="1">
      <alignment horizontal="right" vertical="center" indent="1"/>
    </xf>
    <xf numFmtId="1" fontId="7" fillId="2" borderId="4" xfId="0" applyNumberFormat="1" applyFont="1" applyFill="1" applyBorder="1" applyAlignment="1">
      <alignment horizontal="right" vertical="center" wrapText="1" indent="1"/>
    </xf>
    <xf numFmtId="9" fontId="7" fillId="2" borderId="4" xfId="2" applyFont="1" applyFill="1" applyBorder="1" applyAlignment="1">
      <alignment horizontal="right" vertical="center" wrapText="1" indent="1"/>
    </xf>
    <xf numFmtId="1" fontId="5" fillId="2" borderId="4" xfId="0" applyNumberFormat="1" applyFont="1" applyFill="1" applyBorder="1" applyAlignment="1">
      <alignment horizontal="right" vertical="center" wrapText="1" indent="1"/>
    </xf>
    <xf numFmtId="0" fontId="5" fillId="2" borderId="0" xfId="0" applyFont="1" applyFill="1" applyAlignment="1">
      <alignment horizontal="right" indent="1"/>
    </xf>
    <xf numFmtId="0" fontId="7" fillId="2" borderId="0" xfId="0" applyFont="1" applyFill="1" applyAlignment="1">
      <alignment horizontal="right" indent="1"/>
    </xf>
    <xf numFmtId="9" fontId="0" fillId="2" borderId="0" xfId="0" applyNumberFormat="1" applyFill="1" applyAlignment="1">
      <alignment horizontal="right" indent="1"/>
    </xf>
    <xf numFmtId="9" fontId="0" fillId="2" borderId="0" xfId="2" applyFont="1" applyFill="1" applyAlignment="1">
      <alignment horizontal="right" indent="1"/>
    </xf>
    <xf numFmtId="0" fontId="0" fillId="2" borderId="0" xfId="0" applyFill="1" applyAlignment="1">
      <alignment horizontal="right" indent="1"/>
    </xf>
    <xf numFmtId="0" fontId="22" fillId="2" borderId="0" xfId="0" applyFont="1" applyFill="1" applyAlignment="1">
      <alignment horizontal="right" indent="1"/>
    </xf>
    <xf numFmtId="0" fontId="51" fillId="2" borderId="0" xfId="0" applyFont="1" applyFill="1" applyAlignment="1">
      <alignment horizontal="right" indent="1"/>
    </xf>
    <xf numFmtId="0" fontId="3" fillId="2" borderId="0" xfId="0" applyFont="1" applyFill="1" applyAlignment="1">
      <alignment horizontal="right" indent="1"/>
    </xf>
    <xf numFmtId="9" fontId="3" fillId="2" borderId="0" xfId="2" applyFont="1" applyFill="1" applyAlignment="1">
      <alignment horizontal="right" indent="1"/>
    </xf>
    <xf numFmtId="0" fontId="3" fillId="0" borderId="0" xfId="0" applyFont="1" applyAlignment="1">
      <alignment horizontal="right" indent="1"/>
    </xf>
    <xf numFmtId="9" fontId="3" fillId="0" borderId="0" xfId="2" applyFont="1" applyAlignment="1">
      <alignment horizontal="right" indent="1"/>
    </xf>
    <xf numFmtId="0" fontId="4" fillId="8" borderId="13" xfId="0" applyFont="1" applyFill="1" applyBorder="1" applyAlignment="1">
      <alignment vertical="center"/>
    </xf>
    <xf numFmtId="0" fontId="4" fillId="8" borderId="7" xfId="0" applyFont="1" applyFill="1" applyBorder="1" applyAlignment="1">
      <alignment vertical="center"/>
    </xf>
    <xf numFmtId="0" fontId="19" fillId="9" borderId="7" xfId="0" applyFont="1" applyFill="1" applyBorder="1" applyAlignment="1">
      <alignment horizontal="center" vertical="center"/>
    </xf>
    <xf numFmtId="3" fontId="3" fillId="2" borderId="26" xfId="7" applyNumberFormat="1" applyFont="1" applyFill="1" applyBorder="1" applyAlignment="1">
      <alignment horizontal="right" vertical="center"/>
    </xf>
    <xf numFmtId="3" fontId="5" fillId="8" borderId="11" xfId="0" applyNumberFormat="1" applyFont="1" applyFill="1" applyBorder="1" applyAlignment="1">
      <alignment horizontal="right" vertical="center"/>
    </xf>
    <xf numFmtId="3" fontId="3" fillId="2" borderId="0" xfId="7" applyNumberFormat="1" applyFont="1" applyFill="1" applyBorder="1" applyAlignment="1">
      <alignment horizontal="right" vertical="center"/>
    </xf>
    <xf numFmtId="3" fontId="5" fillId="8" borderId="16" xfId="0" applyNumberFormat="1" applyFont="1" applyFill="1" applyBorder="1" applyAlignment="1">
      <alignment horizontal="right" vertical="center"/>
    </xf>
    <xf numFmtId="3" fontId="3" fillId="2" borderId="9" xfId="7" applyNumberFormat="1" applyFont="1" applyFill="1" applyBorder="1" applyAlignment="1">
      <alignment horizontal="right" vertical="center"/>
    </xf>
    <xf numFmtId="3" fontId="5" fillId="8" borderId="17" xfId="0" applyNumberFormat="1" applyFont="1" applyFill="1" applyBorder="1" applyAlignment="1">
      <alignment horizontal="right" vertical="center"/>
    </xf>
    <xf numFmtId="3" fontId="7" fillId="2" borderId="26" xfId="1" applyNumberFormat="1" applyFont="1" applyFill="1" applyBorder="1" applyAlignment="1">
      <alignment horizontal="right"/>
    </xf>
    <xf numFmtId="3" fontId="7" fillId="2" borderId="9" xfId="7" applyNumberFormat="1" applyFont="1" applyFill="1" applyBorder="1" applyAlignment="1">
      <alignment vertical="center"/>
    </xf>
    <xf numFmtId="3" fontId="7" fillId="2" borderId="11" xfId="7" applyNumberFormat="1" applyFont="1" applyFill="1" applyBorder="1" applyAlignment="1">
      <alignment vertical="center"/>
    </xf>
    <xf numFmtId="168" fontId="7" fillId="2" borderId="9" xfId="0" applyNumberFormat="1" applyFont="1" applyFill="1" applyBorder="1" applyAlignment="1">
      <alignment horizontal="right" vertical="center" indent="1"/>
    </xf>
    <xf numFmtId="168" fontId="7" fillId="2" borderId="11" xfId="0" applyNumberFormat="1" applyFont="1" applyFill="1" applyBorder="1" applyAlignment="1">
      <alignment horizontal="right" vertical="center" indent="1"/>
    </xf>
    <xf numFmtId="0" fontId="7" fillId="2" borderId="24" xfId="0" applyFont="1" applyFill="1" applyBorder="1" applyAlignment="1">
      <alignment horizontal="left" vertical="center" indent="3"/>
    </xf>
    <xf numFmtId="165" fontId="3" fillId="7" borderId="3" xfId="0" applyNumberFormat="1" applyFont="1" applyFill="1" applyBorder="1" applyAlignment="1">
      <alignment horizontal="center" vertical="center"/>
    </xf>
    <xf numFmtId="0" fontId="10" fillId="2" borderId="0" xfId="0" applyFont="1" applyFill="1" applyAlignment="1">
      <alignment vertical="center" wrapText="1"/>
    </xf>
    <xf numFmtId="0" fontId="6" fillId="15" borderId="4" xfId="0" applyFont="1" applyFill="1" applyBorder="1"/>
    <xf numFmtId="0" fontId="6" fillId="15" borderId="13" xfId="0" applyFont="1" applyFill="1" applyBorder="1"/>
    <xf numFmtId="0" fontId="9" fillId="2" borderId="0" xfId="0" applyFont="1" applyFill="1" applyAlignment="1">
      <alignment vertical="top" wrapText="1"/>
    </xf>
    <xf numFmtId="165" fontId="21" fillId="16" borderId="13" xfId="0" applyNumberFormat="1" applyFont="1" applyFill="1" applyBorder="1" applyAlignment="1">
      <alignment horizontal="left" vertical="center" indent="3"/>
    </xf>
    <xf numFmtId="3" fontId="7" fillId="16" borderId="16" xfId="0" applyNumberFormat="1" applyFont="1" applyFill="1" applyBorder="1" applyAlignment="1">
      <alignment horizontal="right" vertical="center" indent="2"/>
    </xf>
    <xf numFmtId="165" fontId="21" fillId="16" borderId="17" xfId="0" applyNumberFormat="1" applyFont="1" applyFill="1" applyBorder="1" applyAlignment="1">
      <alignment horizontal="left" vertical="center" indent="3"/>
    </xf>
    <xf numFmtId="165" fontId="3" fillId="16" borderId="11" xfId="0" applyNumberFormat="1" applyFont="1" applyFill="1" applyBorder="1" applyAlignment="1">
      <alignment horizontal="right" vertical="center"/>
    </xf>
    <xf numFmtId="0" fontId="6" fillId="9" borderId="5" xfId="0" applyFont="1" applyFill="1" applyBorder="1" applyAlignment="1">
      <alignment horizontal="left" vertical="center" wrapText="1" indent="1"/>
    </xf>
    <xf numFmtId="0" fontId="6" fillId="9" borderId="7" xfId="0" applyFont="1" applyFill="1" applyBorder="1" applyAlignment="1">
      <alignment horizontal="right" vertical="top" wrapText="1"/>
    </xf>
    <xf numFmtId="0" fontId="4" fillId="4" borderId="21" xfId="0" applyFont="1" applyFill="1" applyBorder="1" applyAlignment="1">
      <alignment horizontal="left" vertical="center" indent="1"/>
    </xf>
    <xf numFmtId="0" fontId="4" fillId="4" borderId="20" xfId="0" applyFont="1" applyFill="1" applyBorder="1" applyAlignment="1">
      <alignment horizontal="right" vertical="center"/>
    </xf>
    <xf numFmtId="0" fontId="3" fillId="2" borderId="12" xfId="3" applyFont="1" applyFill="1" applyBorder="1" applyAlignment="1">
      <alignment horizontal="left" vertical="center" wrapText="1" indent="4"/>
    </xf>
    <xf numFmtId="0" fontId="3" fillId="6" borderId="1" xfId="3" applyFont="1" applyFill="1" applyBorder="1" applyAlignment="1">
      <alignment horizontal="left" vertical="center" wrapText="1" indent="2"/>
    </xf>
    <xf numFmtId="0" fontId="7" fillId="2" borderId="12" xfId="3" applyFont="1" applyFill="1" applyBorder="1" applyAlignment="1">
      <alignment horizontal="left" vertical="center" wrapText="1" indent="4"/>
    </xf>
    <xf numFmtId="0" fontId="7" fillId="6" borderId="1" xfId="3" applyFont="1" applyFill="1" applyBorder="1" applyAlignment="1">
      <alignment horizontal="left" vertical="center" wrapText="1" indent="2"/>
    </xf>
    <xf numFmtId="0" fontId="19" fillId="5" borderId="3" xfId="0" applyFont="1" applyFill="1" applyBorder="1" applyAlignment="1">
      <alignment horizontal="right" vertical="center" wrapText="1" indent="1"/>
    </xf>
    <xf numFmtId="0" fontId="7" fillId="5" borderId="1" xfId="0" applyFont="1" applyFill="1" applyBorder="1" applyAlignment="1">
      <alignment horizontal="left" vertical="center" indent="1"/>
    </xf>
    <xf numFmtId="0" fontId="19" fillId="5" borderId="1" xfId="0" applyFont="1" applyFill="1" applyBorder="1" applyAlignment="1">
      <alignment horizontal="right" vertical="center" wrapText="1" indent="1"/>
    </xf>
    <xf numFmtId="0" fontId="4" fillId="8" borderId="2" xfId="0" applyFont="1" applyFill="1" applyBorder="1" applyAlignment="1">
      <alignment horizontal="right" vertical="center" wrapText="1" indent="1"/>
    </xf>
    <xf numFmtId="0" fontId="7" fillId="5" borderId="2" xfId="0" applyFont="1" applyFill="1" applyBorder="1" applyAlignment="1">
      <alignment horizontal="left" vertical="center" indent="1"/>
    </xf>
    <xf numFmtId="0" fontId="19" fillId="5" borderId="2" xfId="0" applyFont="1" applyFill="1" applyBorder="1" applyAlignment="1">
      <alignment horizontal="right" vertical="center" wrapText="1" indent="1"/>
    </xf>
    <xf numFmtId="0" fontId="3" fillId="2" borderId="8" xfId="0" applyFont="1" applyFill="1" applyBorder="1" applyAlignment="1">
      <alignment horizontal="left" vertical="center" indent="1"/>
    </xf>
    <xf numFmtId="0" fontId="3" fillId="2" borderId="28" xfId="0" applyFont="1" applyFill="1" applyBorder="1" applyAlignment="1">
      <alignment horizontal="left" vertical="center" indent="1"/>
    </xf>
    <xf numFmtId="0" fontId="21" fillId="2" borderId="12" xfId="0" applyFont="1" applyFill="1" applyBorder="1" applyAlignment="1">
      <alignment horizontal="left" vertical="center" indent="1"/>
    </xf>
    <xf numFmtId="0" fontId="3" fillId="2" borderId="12" xfId="0" applyFont="1" applyFill="1" applyBorder="1" applyAlignment="1">
      <alignment horizontal="left" vertical="center" indent="1"/>
    </xf>
    <xf numFmtId="0" fontId="0" fillId="2" borderId="0" xfId="0" applyFill="1" applyAlignment="1">
      <alignment wrapText="1"/>
    </xf>
    <xf numFmtId="0" fontId="3" fillId="2" borderId="0" xfId="0" applyFont="1" applyFill="1" applyAlignment="1">
      <alignment horizontal="right" vertical="center" wrapText="1"/>
    </xf>
    <xf numFmtId="1" fontId="3" fillId="2" borderId="0" xfId="0" applyNumberFormat="1" applyFont="1" applyFill="1" applyAlignment="1">
      <alignment horizontal="right" vertical="center" wrapText="1"/>
    </xf>
    <xf numFmtId="0" fontId="4" fillId="3" borderId="2" xfId="0" applyFont="1" applyFill="1" applyBorder="1" applyAlignment="1">
      <alignment horizontal="right" vertical="center"/>
    </xf>
    <xf numFmtId="3" fontId="3" fillId="2" borderId="9" xfId="0" applyNumberFormat="1" applyFont="1" applyFill="1" applyBorder="1" applyAlignment="1">
      <alignment horizontal="right" vertical="center"/>
    </xf>
    <xf numFmtId="3" fontId="3" fillId="6" borderId="2" xfId="0" applyNumberFormat="1" applyFont="1" applyFill="1" applyBorder="1" applyAlignment="1">
      <alignment horizontal="right" vertical="center"/>
    </xf>
    <xf numFmtId="3" fontId="3" fillId="2" borderId="2" xfId="0" applyNumberFormat="1" applyFont="1" applyFill="1" applyBorder="1" applyAlignment="1">
      <alignment horizontal="right" vertical="center"/>
    </xf>
    <xf numFmtId="9" fontId="3" fillId="6" borderId="6" xfId="2" applyFont="1" applyFill="1" applyBorder="1" applyAlignment="1">
      <alignment horizontal="right" vertical="center"/>
    </xf>
    <xf numFmtId="3" fontId="3" fillId="2" borderId="6" xfId="0" applyNumberFormat="1" applyFont="1" applyFill="1" applyBorder="1" applyAlignment="1">
      <alignment horizontal="right" vertical="center"/>
    </xf>
    <xf numFmtId="0" fontId="4" fillId="4" borderId="17" xfId="0" applyFont="1" applyFill="1" applyBorder="1" applyAlignment="1">
      <alignment vertical="center"/>
    </xf>
    <xf numFmtId="3" fontId="3" fillId="2" borderId="0" xfId="0" applyNumberFormat="1" applyFont="1" applyFill="1" applyAlignment="1">
      <alignment horizontal="right"/>
    </xf>
    <xf numFmtId="9" fontId="3" fillId="6" borderId="67" xfId="2" applyFont="1" applyFill="1" applyBorder="1" applyAlignment="1">
      <alignment horizontal="right" vertical="center"/>
    </xf>
    <xf numFmtId="3" fontId="3" fillId="16" borderId="9" xfId="0" applyNumberFormat="1" applyFont="1" applyFill="1" applyBorder="1" applyAlignment="1">
      <alignment horizontal="right" vertical="center"/>
    </xf>
    <xf numFmtId="3" fontId="3" fillId="16" borderId="2" xfId="0" applyNumberFormat="1" applyFont="1" applyFill="1" applyBorder="1" applyAlignment="1">
      <alignment horizontal="right" vertical="center"/>
    </xf>
    <xf numFmtId="3" fontId="3" fillId="16" borderId="6" xfId="0" applyNumberFormat="1" applyFont="1" applyFill="1" applyBorder="1" applyAlignment="1">
      <alignment horizontal="right" vertical="center"/>
    </xf>
    <xf numFmtId="0" fontId="7" fillId="6" borderId="8" xfId="0" applyFont="1" applyFill="1" applyBorder="1" applyAlignment="1">
      <alignment horizontal="left" vertical="center" wrapText="1" indent="1"/>
    </xf>
    <xf numFmtId="0" fontId="4" fillId="4" borderId="37" xfId="0" applyFont="1" applyFill="1" applyBorder="1" applyAlignment="1">
      <alignment horizontal="left" vertical="center" wrapText="1" indent="1"/>
    </xf>
    <xf numFmtId="0" fontId="4" fillId="4" borderId="43" xfId="0" applyFont="1" applyFill="1" applyBorder="1" applyAlignment="1">
      <alignment horizontal="left" vertical="center" wrapText="1" indent="1"/>
    </xf>
    <xf numFmtId="0" fontId="4" fillId="4" borderId="61" xfId="0" applyFont="1" applyFill="1" applyBorder="1" applyAlignment="1">
      <alignment horizontal="left" vertical="center" wrapText="1" indent="1"/>
    </xf>
    <xf numFmtId="0" fontId="52" fillId="4" borderId="44" xfId="0" applyFont="1" applyFill="1" applyBorder="1" applyAlignment="1">
      <alignment horizontal="left" vertical="center" wrapText="1" indent="1"/>
    </xf>
    <xf numFmtId="0" fontId="3" fillId="0" borderId="32" xfId="0" applyFont="1" applyBorder="1" applyAlignment="1">
      <alignment vertical="center"/>
    </xf>
    <xf numFmtId="3" fontId="7" fillId="2" borderId="38" xfId="1" applyNumberFormat="1" applyFont="1" applyFill="1" applyBorder="1" applyAlignment="1">
      <alignment horizontal="right" vertical="center" wrapText="1" indent="2"/>
    </xf>
    <xf numFmtId="3" fontId="7" fillId="2" borderId="58" xfId="1" applyNumberFormat="1" applyFont="1" applyFill="1" applyBorder="1" applyAlignment="1">
      <alignment horizontal="right" vertical="center" wrapText="1" indent="2"/>
    </xf>
    <xf numFmtId="3" fontId="7" fillId="2" borderId="56" xfId="1" applyNumberFormat="1" applyFont="1" applyFill="1" applyBorder="1" applyAlignment="1">
      <alignment horizontal="right" vertical="center" wrapText="1" indent="2"/>
    </xf>
    <xf numFmtId="3" fontId="7" fillId="12" borderId="32" xfId="1" applyNumberFormat="1" applyFont="1" applyFill="1" applyBorder="1" applyAlignment="1">
      <alignment horizontal="right" vertical="center" wrapText="1" indent="2"/>
    </xf>
    <xf numFmtId="3" fontId="7" fillId="12" borderId="59" xfId="1" applyNumberFormat="1" applyFont="1" applyFill="1" applyBorder="1" applyAlignment="1">
      <alignment horizontal="right" vertical="center" wrapText="1" indent="2"/>
    </xf>
    <xf numFmtId="3" fontId="7" fillId="12" borderId="57" xfId="1" applyNumberFormat="1" applyFont="1" applyFill="1" applyBorder="1" applyAlignment="1">
      <alignment horizontal="right" vertical="center" wrapText="1" indent="2"/>
    </xf>
    <xf numFmtId="3" fontId="7" fillId="2" borderId="32" xfId="1" applyNumberFormat="1" applyFont="1" applyFill="1" applyBorder="1" applyAlignment="1">
      <alignment horizontal="right" vertical="center" wrapText="1" indent="2"/>
    </xf>
    <xf numFmtId="3" fontId="7" fillId="2" borderId="59" xfId="1" applyNumberFormat="1" applyFont="1" applyFill="1" applyBorder="1" applyAlignment="1">
      <alignment horizontal="right" vertical="center" wrapText="1" indent="2"/>
    </xf>
    <xf numFmtId="3" fontId="7" fillId="2" borderId="57" xfId="1" applyNumberFormat="1" applyFont="1" applyFill="1" applyBorder="1" applyAlignment="1">
      <alignment horizontal="right" vertical="center" wrapText="1" indent="2"/>
    </xf>
    <xf numFmtId="3" fontId="7" fillId="2" borderId="60" xfId="1" applyNumberFormat="1" applyFont="1" applyFill="1" applyBorder="1" applyAlignment="1">
      <alignment horizontal="right" vertical="center" wrapText="1" indent="2"/>
    </xf>
    <xf numFmtId="3" fontId="7" fillId="12" borderId="38" xfId="1" applyNumberFormat="1" applyFont="1" applyFill="1" applyBorder="1" applyAlignment="1">
      <alignment horizontal="right" vertical="center" wrapText="1" indent="2"/>
    </xf>
    <xf numFmtId="3" fontId="7" fillId="12" borderId="60" xfId="1" applyNumberFormat="1" applyFont="1" applyFill="1" applyBorder="1" applyAlignment="1">
      <alignment horizontal="right" vertical="center" wrapText="1" indent="2"/>
    </xf>
    <xf numFmtId="3" fontId="7" fillId="12" borderId="56" xfId="1" applyNumberFormat="1" applyFont="1" applyFill="1" applyBorder="1" applyAlignment="1">
      <alignment horizontal="right" vertical="center" wrapText="1" indent="2"/>
    </xf>
    <xf numFmtId="3" fontId="7" fillId="12" borderId="62" xfId="1" applyNumberFormat="1" applyFont="1" applyFill="1" applyBorder="1" applyAlignment="1">
      <alignment horizontal="right" vertical="center" wrapText="1" indent="2"/>
    </xf>
    <xf numFmtId="3" fontId="7" fillId="12" borderId="63" xfId="1" applyNumberFormat="1" applyFont="1" applyFill="1" applyBorder="1" applyAlignment="1">
      <alignment horizontal="right" vertical="center" wrapText="1" indent="2"/>
    </xf>
    <xf numFmtId="3" fontId="7" fillId="12" borderId="64" xfId="1" applyNumberFormat="1" applyFont="1" applyFill="1" applyBorder="1" applyAlignment="1">
      <alignment horizontal="right" vertical="center" wrapText="1" indent="2"/>
    </xf>
    <xf numFmtId="3" fontId="19" fillId="2" borderId="38" xfId="1" applyNumberFormat="1" applyFont="1" applyFill="1" applyBorder="1" applyAlignment="1">
      <alignment horizontal="right" vertical="center" wrapText="1" indent="2"/>
    </xf>
    <xf numFmtId="3" fontId="19" fillId="2" borderId="60" xfId="1" applyNumberFormat="1" applyFont="1" applyFill="1" applyBorder="1" applyAlignment="1">
      <alignment horizontal="right" vertical="center" wrapText="1" indent="2"/>
    </xf>
    <xf numFmtId="3" fontId="19" fillId="2" borderId="56" xfId="1" applyNumberFormat="1" applyFont="1" applyFill="1" applyBorder="1" applyAlignment="1">
      <alignment horizontal="right" vertical="center" wrapText="1" indent="2"/>
    </xf>
    <xf numFmtId="3" fontId="43" fillId="2" borderId="32" xfId="1" applyNumberFormat="1" applyFont="1" applyFill="1" applyBorder="1" applyAlignment="1">
      <alignment horizontal="right" vertical="center" wrapText="1" indent="2"/>
    </xf>
    <xf numFmtId="3" fontId="43" fillId="2" borderId="59" xfId="1" applyNumberFormat="1" applyFont="1" applyFill="1" applyBorder="1" applyAlignment="1">
      <alignment horizontal="right" vertical="center" wrapText="1" indent="2"/>
    </xf>
    <xf numFmtId="3" fontId="43" fillId="2" borderId="57" xfId="1" applyNumberFormat="1" applyFont="1" applyFill="1" applyBorder="1" applyAlignment="1">
      <alignment horizontal="right" vertical="center" wrapText="1" indent="2"/>
    </xf>
    <xf numFmtId="168" fontId="7" fillId="2" borderId="26" xfId="1" applyNumberFormat="1" applyFont="1" applyFill="1" applyBorder="1" applyAlignment="1">
      <alignment horizontal="right"/>
    </xf>
    <xf numFmtId="3" fontId="7" fillId="2" borderId="26" xfId="1" applyNumberFormat="1" applyFont="1" applyFill="1" applyBorder="1" applyAlignment="1">
      <alignment horizontal="right" vertical="center"/>
    </xf>
    <xf numFmtId="168" fontId="7" fillId="2" borderId="26" xfId="1" applyNumberFormat="1" applyFont="1" applyFill="1" applyBorder="1" applyAlignment="1">
      <alignment horizontal="right" vertical="center"/>
    </xf>
    <xf numFmtId="0" fontId="5" fillId="10" borderId="12" xfId="0" applyFont="1" applyFill="1" applyBorder="1" applyAlignment="1">
      <alignment horizontal="left" vertical="center" wrapText="1" indent="1"/>
    </xf>
    <xf numFmtId="0" fontId="4" fillId="10" borderId="0" xfId="0" applyFont="1" applyFill="1" applyAlignment="1">
      <alignment horizontal="right" vertical="center"/>
    </xf>
    <xf numFmtId="0" fontId="3" fillId="2" borderId="28" xfId="0" applyFont="1" applyFill="1" applyBorder="1" applyAlignment="1">
      <alignment horizontal="left" indent="1"/>
    </xf>
    <xf numFmtId="0" fontId="3" fillId="2" borderId="14" xfId="0" applyFont="1" applyFill="1" applyBorder="1" applyAlignment="1">
      <alignment horizontal="left" indent="1"/>
    </xf>
    <xf numFmtId="0" fontId="5" fillId="10" borderId="12" xfId="0" applyFont="1" applyFill="1" applyBorder="1" applyAlignment="1">
      <alignment horizontal="left" wrapText="1" indent="1"/>
    </xf>
    <xf numFmtId="0" fontId="4" fillId="10" borderId="0" xfId="0" applyFont="1" applyFill="1" applyAlignment="1">
      <alignment horizontal="right"/>
    </xf>
    <xf numFmtId="168" fontId="3" fillId="2" borderId="0" xfId="0" applyNumberFormat="1" applyFont="1" applyFill="1" applyAlignment="1">
      <alignment horizontal="right" vertical="center"/>
    </xf>
    <xf numFmtId="0" fontId="13" fillId="2" borderId="0" xfId="3" applyFont="1" applyFill="1" applyAlignment="1">
      <alignment horizontal="left" vertical="center" wrapText="1" indent="1"/>
    </xf>
    <xf numFmtId="3" fontId="3" fillId="2" borderId="29" xfId="0" applyNumberFormat="1" applyFont="1" applyFill="1" applyBorder="1" applyAlignment="1">
      <alignment horizontal="right" vertical="center"/>
    </xf>
    <xf numFmtId="0" fontId="3" fillId="6" borderId="5" xfId="0" applyFont="1" applyFill="1" applyBorder="1" applyAlignment="1">
      <alignment horizontal="left" vertical="center" wrapText="1" indent="1"/>
    </xf>
    <xf numFmtId="0" fontId="3" fillId="2" borderId="70" xfId="0" applyFont="1" applyFill="1" applyBorder="1" applyAlignment="1">
      <alignment horizontal="left" vertical="center" wrapText="1" indent="3"/>
    </xf>
    <xf numFmtId="3" fontId="3" fillId="2" borderId="71" xfId="0" applyNumberFormat="1" applyFont="1" applyFill="1" applyBorder="1" applyAlignment="1">
      <alignment horizontal="right" vertical="center"/>
    </xf>
    <xf numFmtId="3" fontId="3" fillId="2" borderId="72" xfId="0" applyNumberFormat="1" applyFont="1" applyFill="1" applyBorder="1" applyAlignment="1">
      <alignment horizontal="right" vertical="center"/>
    </xf>
    <xf numFmtId="3" fontId="3" fillId="2" borderId="74" xfId="0" applyNumberFormat="1" applyFont="1" applyFill="1" applyBorder="1" applyAlignment="1">
      <alignment horizontal="right" vertical="center"/>
    </xf>
    <xf numFmtId="3" fontId="3" fillId="6" borderId="75" xfId="0" applyNumberFormat="1" applyFont="1" applyFill="1" applyBorder="1" applyAlignment="1">
      <alignment horizontal="right" vertical="center"/>
    </xf>
    <xf numFmtId="3" fontId="3" fillId="2" borderId="75" xfId="0" applyNumberFormat="1" applyFont="1" applyFill="1" applyBorder="1" applyAlignment="1">
      <alignment horizontal="right" vertical="center"/>
    </xf>
    <xf numFmtId="3" fontId="3" fillId="2" borderId="76" xfId="0" applyNumberFormat="1" applyFont="1" applyFill="1" applyBorder="1" applyAlignment="1">
      <alignment horizontal="right" vertical="center"/>
    </xf>
    <xf numFmtId="9" fontId="3" fillId="6" borderId="76" xfId="2" applyFont="1" applyFill="1" applyBorder="1" applyAlignment="1">
      <alignment horizontal="right" vertical="center"/>
    </xf>
    <xf numFmtId="3" fontId="3" fillId="2" borderId="77" xfId="0" applyNumberFormat="1" applyFont="1" applyFill="1" applyBorder="1" applyAlignment="1">
      <alignment horizontal="right" vertical="center"/>
    </xf>
    <xf numFmtId="0" fontId="3" fillId="6" borderId="55" xfId="0" applyFont="1" applyFill="1" applyBorder="1" applyAlignment="1">
      <alignment horizontal="left" vertical="center" wrapText="1" indent="1"/>
    </xf>
    <xf numFmtId="9" fontId="3" fillId="6" borderId="79" xfId="2" applyFont="1" applyFill="1" applyBorder="1" applyAlignment="1">
      <alignment horizontal="right" vertical="center"/>
    </xf>
    <xf numFmtId="0" fontId="4" fillId="3" borderId="3" xfId="0" applyFont="1" applyFill="1" applyBorder="1" applyAlignment="1">
      <alignment horizontal="right" vertical="center"/>
    </xf>
    <xf numFmtId="0" fontId="4" fillId="4" borderId="12" xfId="0" applyFont="1" applyFill="1" applyBorder="1" applyAlignment="1">
      <alignment vertical="center"/>
    </xf>
    <xf numFmtId="0" fontId="3" fillId="16" borderId="22" xfId="0" applyFont="1" applyFill="1" applyBorder="1" applyAlignment="1">
      <alignment horizontal="left" vertical="center" wrapText="1" indent="3"/>
    </xf>
    <xf numFmtId="3" fontId="3" fillId="16" borderId="29" xfId="0" applyNumberFormat="1" applyFont="1" applyFill="1" applyBorder="1" applyAlignment="1">
      <alignment horizontal="right" vertical="center"/>
    </xf>
    <xf numFmtId="3" fontId="3" fillId="16" borderId="77" xfId="0" applyNumberFormat="1" applyFont="1" applyFill="1" applyBorder="1" applyAlignment="1">
      <alignment horizontal="right" vertical="center"/>
    </xf>
    <xf numFmtId="0" fontId="3" fillId="16" borderId="8" xfId="0" applyFont="1" applyFill="1" applyBorder="1" applyAlignment="1">
      <alignment horizontal="left" vertical="center" wrapText="1" indent="3"/>
    </xf>
    <xf numFmtId="3" fontId="3" fillId="16" borderId="74" xfId="0" applyNumberFormat="1" applyFont="1" applyFill="1" applyBorder="1" applyAlignment="1">
      <alignment horizontal="right" vertical="center"/>
    </xf>
    <xf numFmtId="0" fontId="3" fillId="16" borderId="8" xfId="0" applyFont="1" applyFill="1" applyBorder="1" applyAlignment="1">
      <alignment horizontal="left" vertical="center" wrapText="1" indent="1"/>
    </xf>
    <xf numFmtId="3" fontId="3" fillId="16" borderId="75" xfId="0" applyNumberFormat="1" applyFont="1" applyFill="1" applyBorder="1" applyAlignment="1">
      <alignment horizontal="right" vertical="center"/>
    </xf>
    <xf numFmtId="0" fontId="7" fillId="16" borderId="8" xfId="0" applyFont="1" applyFill="1" applyBorder="1" applyAlignment="1">
      <alignment horizontal="left" vertical="center" wrapText="1" indent="1"/>
    </xf>
    <xf numFmtId="3" fontId="3" fillId="16" borderId="76" xfId="0" applyNumberFormat="1" applyFont="1" applyFill="1" applyBorder="1" applyAlignment="1">
      <alignment horizontal="right" vertical="center"/>
    </xf>
    <xf numFmtId="0" fontId="3" fillId="16" borderId="70" xfId="0" applyFont="1" applyFill="1" applyBorder="1" applyAlignment="1">
      <alignment horizontal="left" vertical="center" wrapText="1" indent="3"/>
    </xf>
    <xf numFmtId="3" fontId="3" fillId="16" borderId="71" xfId="0" applyNumberFormat="1" applyFont="1" applyFill="1" applyBorder="1" applyAlignment="1">
      <alignment horizontal="right" vertical="center"/>
    </xf>
    <xf numFmtId="3" fontId="3" fillId="16" borderId="72" xfId="0" applyNumberFormat="1" applyFont="1" applyFill="1" applyBorder="1" applyAlignment="1">
      <alignment horizontal="right" vertical="center"/>
    </xf>
    <xf numFmtId="0" fontId="9" fillId="2" borderId="0" xfId="0" applyFont="1" applyFill="1" applyAlignment="1">
      <alignment horizontal="left" vertical="top" indent="1"/>
    </xf>
    <xf numFmtId="168" fontId="3" fillId="2" borderId="9" xfId="7" applyNumberFormat="1" applyFont="1" applyFill="1" applyBorder="1" applyAlignment="1">
      <alignment vertical="center"/>
    </xf>
    <xf numFmtId="168" fontId="7" fillId="2" borderId="11" xfId="7" applyNumberFormat="1" applyFont="1" applyFill="1" applyBorder="1" applyAlignment="1">
      <alignment vertical="center"/>
    </xf>
    <xf numFmtId="168" fontId="5" fillId="8" borderId="11" xfId="0" applyNumberFormat="1" applyFont="1" applyFill="1" applyBorder="1" applyAlignment="1">
      <alignment horizontal="right"/>
    </xf>
    <xf numFmtId="3" fontId="5" fillId="8" borderId="11" xfId="0" applyNumberFormat="1" applyFont="1" applyFill="1" applyBorder="1" applyAlignment="1">
      <alignment horizontal="right"/>
    </xf>
    <xf numFmtId="3" fontId="5" fillId="8" borderId="17" xfId="0" applyNumberFormat="1" applyFont="1" applyFill="1" applyBorder="1" applyAlignment="1">
      <alignment horizontal="right"/>
    </xf>
    <xf numFmtId="168" fontId="5" fillId="8" borderId="3" xfId="0" applyNumberFormat="1" applyFont="1" applyFill="1" applyBorder="1" applyAlignment="1">
      <alignment horizontal="right"/>
    </xf>
    <xf numFmtId="9" fontId="7" fillId="2" borderId="0" xfId="0" applyNumberFormat="1" applyFont="1" applyFill="1" applyAlignment="1">
      <alignment vertical="center" wrapText="1"/>
    </xf>
    <xf numFmtId="0" fontId="7" fillId="2" borderId="8" xfId="0" applyFont="1" applyFill="1" applyBorder="1" applyAlignment="1">
      <alignment horizontal="left" vertical="center" wrapText="1" indent="4"/>
    </xf>
    <xf numFmtId="0" fontId="7" fillId="6" borderId="1" xfId="0" applyFont="1" applyFill="1" applyBorder="1" applyAlignment="1">
      <alignment horizontal="left" vertical="center" wrapText="1" indent="2"/>
    </xf>
    <xf numFmtId="0" fontId="7" fillId="2" borderId="24" xfId="0" applyFont="1" applyFill="1" applyBorder="1" applyAlignment="1">
      <alignment vertical="center" wrapText="1"/>
    </xf>
    <xf numFmtId="165" fontId="3" fillId="16" borderId="27" xfId="0" applyNumberFormat="1" applyFont="1" applyFill="1" applyBorder="1" applyAlignment="1">
      <alignment horizontal="right" vertical="center"/>
    </xf>
    <xf numFmtId="0" fontId="6" fillId="9" borderId="3" xfId="0" applyFont="1" applyFill="1" applyBorder="1" applyAlignment="1">
      <alignment horizontal="right" vertical="top" wrapText="1"/>
    </xf>
    <xf numFmtId="165" fontId="21" fillId="2" borderId="13" xfId="0" applyNumberFormat="1" applyFont="1" applyFill="1" applyBorder="1" applyAlignment="1">
      <alignment horizontal="left" vertical="center" indent="3"/>
    </xf>
    <xf numFmtId="165" fontId="3" fillId="2" borderId="11" xfId="0" applyNumberFormat="1" applyFont="1" applyFill="1" applyBorder="1" applyAlignment="1">
      <alignment horizontal="right" vertical="center"/>
    </xf>
    <xf numFmtId="165" fontId="3" fillId="2" borderId="27" xfId="0" applyNumberFormat="1" applyFont="1" applyFill="1" applyBorder="1" applyAlignment="1">
      <alignment horizontal="right" vertical="center"/>
    </xf>
    <xf numFmtId="165" fontId="3" fillId="2" borderId="16" xfId="0" applyNumberFormat="1" applyFont="1" applyFill="1" applyBorder="1" applyAlignment="1">
      <alignment horizontal="right" vertical="center"/>
    </xf>
    <xf numFmtId="165" fontId="21" fillId="2" borderId="17" xfId="0" applyNumberFormat="1" applyFont="1" applyFill="1" applyBorder="1" applyAlignment="1">
      <alignment horizontal="left" vertical="center" indent="3"/>
    </xf>
    <xf numFmtId="0" fontId="10" fillId="2" borderId="0" xfId="0" applyFont="1" applyFill="1" applyAlignment="1">
      <alignment vertical="center"/>
    </xf>
    <xf numFmtId="0" fontId="9" fillId="2" borderId="0" xfId="0" applyFont="1" applyFill="1" applyAlignment="1">
      <alignment vertical="top"/>
    </xf>
    <xf numFmtId="0" fontId="5" fillId="0" borderId="18" xfId="0" applyFont="1" applyBorder="1"/>
    <xf numFmtId="3" fontId="7" fillId="2" borderId="4" xfId="0" applyNumberFormat="1" applyFont="1" applyFill="1" applyBorder="1" applyAlignment="1">
      <alignment horizontal="right" vertical="center" indent="2"/>
    </xf>
    <xf numFmtId="3" fontId="7" fillId="2" borderId="13" xfId="0" applyNumberFormat="1" applyFont="1" applyFill="1" applyBorder="1" applyAlignment="1">
      <alignment horizontal="right" vertical="center" indent="2"/>
    </xf>
    <xf numFmtId="0" fontId="7" fillId="6" borderId="14" xfId="0" applyFont="1" applyFill="1" applyBorder="1" applyAlignment="1">
      <alignment horizontal="left" vertical="center" wrapText="1" indent="2"/>
    </xf>
    <xf numFmtId="3" fontId="7" fillId="6" borderId="15" xfId="0" applyNumberFormat="1" applyFont="1" applyFill="1" applyBorder="1" applyAlignment="1">
      <alignment horizontal="right" vertical="center" indent="1"/>
    </xf>
    <xf numFmtId="9" fontId="7" fillId="6" borderId="16" xfId="2" applyFont="1" applyFill="1" applyBorder="1" applyAlignment="1">
      <alignment horizontal="right" vertical="center" indent="1"/>
    </xf>
    <xf numFmtId="1" fontId="7" fillId="2" borderId="0" xfId="0" applyNumberFormat="1" applyFont="1" applyFill="1" applyAlignment="1">
      <alignment horizontal="center" vertical="center" wrapText="1"/>
    </xf>
    <xf numFmtId="0" fontId="0" fillId="0" borderId="18" xfId="0" applyBorder="1"/>
    <xf numFmtId="0" fontId="0" fillId="2" borderId="18" xfId="0" applyFill="1" applyBorder="1"/>
    <xf numFmtId="170" fontId="3" fillId="2" borderId="4" xfId="0" applyNumberFormat="1" applyFont="1" applyFill="1" applyBorder="1" applyAlignment="1">
      <alignment horizontal="right" indent="1"/>
    </xf>
    <xf numFmtId="170" fontId="3" fillId="2" borderId="13" xfId="0" applyNumberFormat="1" applyFont="1" applyFill="1" applyBorder="1" applyAlignment="1">
      <alignment horizontal="right" indent="1"/>
    </xf>
    <xf numFmtId="0" fontId="6" fillId="5" borderId="12" xfId="0" applyFont="1" applyFill="1" applyBorder="1" applyAlignment="1">
      <alignment horizontal="left" vertical="center" indent="1"/>
    </xf>
    <xf numFmtId="0" fontId="6" fillId="5" borderId="0" xfId="0" applyFont="1" applyFill="1" applyAlignment="1">
      <alignment horizontal="right" vertical="center"/>
    </xf>
    <xf numFmtId="0" fontId="6" fillId="5" borderId="17" xfId="0" applyFont="1" applyFill="1" applyBorder="1" applyAlignment="1">
      <alignment horizontal="right" vertical="center"/>
    </xf>
    <xf numFmtId="0" fontId="4" fillId="3" borderId="2" xfId="0" applyFont="1" applyFill="1" applyBorder="1" applyAlignment="1">
      <alignment horizontal="left" vertical="center" indent="1"/>
    </xf>
    <xf numFmtId="0" fontId="6" fillId="5" borderId="0" xfId="0" applyFont="1" applyFill="1" applyAlignment="1">
      <alignment horizontal="left" vertical="center" indent="1"/>
    </xf>
    <xf numFmtId="0" fontId="6" fillId="5" borderId="55" xfId="0" applyFont="1" applyFill="1" applyBorder="1" applyAlignment="1">
      <alignment horizontal="left" vertical="center" indent="1"/>
    </xf>
    <xf numFmtId="0" fontId="7" fillId="2" borderId="85" xfId="1" applyNumberFormat="1" applyFont="1" applyFill="1" applyBorder="1" applyAlignment="1">
      <alignment vertical="top" wrapText="1"/>
    </xf>
    <xf numFmtId="0" fontId="7" fillId="2" borderId="86" xfId="1" applyNumberFormat="1" applyFont="1" applyFill="1" applyBorder="1" applyAlignment="1">
      <alignment vertical="top" wrapText="1"/>
    </xf>
    <xf numFmtId="0" fontId="19" fillId="12" borderId="33" xfId="0" applyFont="1" applyFill="1" applyBorder="1" applyAlignment="1">
      <alignment vertical="top" wrapText="1"/>
    </xf>
    <xf numFmtId="0" fontId="5" fillId="2" borderId="87" xfId="0" applyFont="1" applyFill="1" applyBorder="1" applyAlignment="1">
      <alignment vertical="top" wrapText="1"/>
    </xf>
    <xf numFmtId="177" fontId="7" fillId="2" borderId="0" xfId="0" applyNumberFormat="1" applyFont="1" applyFill="1"/>
    <xf numFmtId="0" fontId="30" fillId="2" borderId="0" xfId="8" applyFill="1"/>
    <xf numFmtId="0" fontId="3" fillId="2" borderId="5" xfId="0" applyFont="1" applyFill="1" applyBorder="1" applyAlignment="1">
      <alignment vertical="center" wrapText="1"/>
    </xf>
    <xf numFmtId="0" fontId="3" fillId="2" borderId="6" xfId="0" applyFont="1" applyFill="1" applyBorder="1" applyAlignment="1">
      <alignment vertical="center" wrapText="1"/>
    </xf>
    <xf numFmtId="0" fontId="4" fillId="4" borderId="2" xfId="0" applyFont="1" applyFill="1" applyBorder="1" applyAlignment="1">
      <alignment horizontal="left" vertical="center" indent="1"/>
    </xf>
    <xf numFmtId="0" fontId="6" fillId="5" borderId="6" xfId="0" applyFont="1" applyFill="1" applyBorder="1" applyAlignment="1">
      <alignment horizontal="left" vertical="center" indent="1"/>
    </xf>
    <xf numFmtId="0" fontId="3" fillId="2" borderId="0" xfId="0" applyFont="1" applyFill="1" applyAlignment="1">
      <alignment horizontal="left" vertical="center" wrapText="1" indent="2"/>
    </xf>
    <xf numFmtId="0" fontId="3" fillId="2" borderId="2" xfId="0" applyFont="1" applyFill="1" applyBorder="1" applyAlignment="1">
      <alignment horizontal="left" vertical="center" wrapText="1" indent="2"/>
    </xf>
    <xf numFmtId="0" fontId="56" fillId="2" borderId="0" xfId="0" applyFont="1" applyFill="1"/>
    <xf numFmtId="0" fontId="3" fillId="2" borderId="4" xfId="0" applyFont="1" applyFill="1" applyBorder="1"/>
    <xf numFmtId="175" fontId="7" fillId="2" borderId="9" xfId="4" applyNumberFormat="1" applyFont="1" applyFill="1" applyBorder="1" applyAlignment="1">
      <alignment vertical="center"/>
    </xf>
    <xf numFmtId="175" fontId="7" fillId="2" borderId="11" xfId="4" applyNumberFormat="1" applyFont="1" applyFill="1" applyBorder="1" applyAlignment="1">
      <alignment vertical="center"/>
    </xf>
    <xf numFmtId="3" fontId="7" fillId="7" borderId="3" xfId="0" applyNumberFormat="1" applyFont="1" applyFill="1" applyBorder="1" applyAlignment="1">
      <alignment horizontal="right" vertical="center"/>
    </xf>
    <xf numFmtId="2" fontId="7" fillId="2" borderId="17" xfId="1" applyNumberFormat="1" applyFont="1" applyFill="1" applyBorder="1" applyAlignment="1">
      <alignment horizontal="right" vertical="center"/>
    </xf>
    <xf numFmtId="165" fontId="7" fillId="16" borderId="11" xfId="0" applyNumberFormat="1" applyFont="1" applyFill="1" applyBorder="1" applyAlignment="1">
      <alignment horizontal="right" vertical="center"/>
    </xf>
    <xf numFmtId="165" fontId="7" fillId="7" borderId="3" xfId="0" applyNumberFormat="1" applyFont="1" applyFill="1" applyBorder="1" applyAlignment="1">
      <alignment horizontal="center" vertical="center"/>
    </xf>
    <xf numFmtId="3" fontId="7" fillId="2" borderId="10" xfId="0" applyNumberFormat="1" applyFont="1" applyFill="1" applyBorder="1" applyAlignment="1">
      <alignment horizontal="right" vertical="center" indent="3"/>
    </xf>
    <xf numFmtId="3" fontId="7" fillId="2" borderId="72" xfId="0" applyNumberFormat="1" applyFont="1" applyFill="1" applyBorder="1" applyAlignment="1">
      <alignment horizontal="right" vertical="center"/>
    </xf>
    <xf numFmtId="3" fontId="7" fillId="2" borderId="74" xfId="0" applyNumberFormat="1" applyFont="1" applyFill="1" applyBorder="1" applyAlignment="1">
      <alignment horizontal="right" vertical="center"/>
    </xf>
    <xf numFmtId="3" fontId="7" fillId="16" borderId="77" xfId="0" applyNumberFormat="1" applyFont="1" applyFill="1" applyBorder="1" applyAlignment="1">
      <alignment horizontal="right" vertical="center"/>
    </xf>
    <xf numFmtId="3" fontId="7" fillId="16" borderId="74" xfId="0" applyNumberFormat="1" applyFont="1" applyFill="1" applyBorder="1" applyAlignment="1">
      <alignment horizontal="right" vertical="center"/>
    </xf>
    <xf numFmtId="3" fontId="7" fillId="16" borderId="72" xfId="0" applyNumberFormat="1" applyFont="1" applyFill="1" applyBorder="1" applyAlignment="1">
      <alignment horizontal="right" vertical="center"/>
    </xf>
    <xf numFmtId="0" fontId="3" fillId="2" borderId="2" xfId="0" applyFont="1" applyFill="1" applyBorder="1" applyAlignment="1">
      <alignment horizontal="right" vertical="center" wrapText="1" indent="2"/>
    </xf>
    <xf numFmtId="3" fontId="25" fillId="2" borderId="3" xfId="0" applyNumberFormat="1" applyFont="1" applyFill="1" applyBorder="1" applyAlignment="1">
      <alignment horizontal="right" vertical="center" indent="2"/>
    </xf>
    <xf numFmtId="0" fontId="3" fillId="2" borderId="1" xfId="0" applyFont="1" applyFill="1" applyBorder="1" applyAlignment="1">
      <alignment horizontal="left" vertical="center" wrapText="1" indent="1"/>
    </xf>
    <xf numFmtId="3" fontId="3" fillId="6" borderId="31" xfId="0" applyNumberFormat="1" applyFont="1" applyFill="1" applyBorder="1" applyAlignment="1">
      <alignment horizontal="right" vertical="center" indent="3"/>
    </xf>
    <xf numFmtId="3" fontId="3" fillId="6" borderId="88" xfId="0" applyNumberFormat="1" applyFont="1" applyFill="1" applyBorder="1" applyAlignment="1">
      <alignment horizontal="right" vertical="center" indent="3"/>
    </xf>
    <xf numFmtId="9" fontId="7" fillId="2" borderId="11" xfId="2" applyFont="1" applyFill="1" applyBorder="1" applyAlignment="1">
      <alignment horizontal="right" vertical="center"/>
    </xf>
    <xf numFmtId="0" fontId="10" fillId="2" borderId="0" xfId="0" applyFont="1" applyFill="1" applyAlignment="1">
      <alignment horizontal="left" indent="1"/>
    </xf>
    <xf numFmtId="0" fontId="6" fillId="15" borderId="18" xfId="0" applyFont="1" applyFill="1" applyBorder="1" applyAlignment="1">
      <alignment horizontal="left" indent="1"/>
    </xf>
    <xf numFmtId="16" fontId="7" fillId="2" borderId="21" xfId="1" applyNumberFormat="1" applyFont="1" applyFill="1" applyBorder="1" applyAlignment="1">
      <alignment vertical="top"/>
    </xf>
    <xf numFmtId="0" fontId="7" fillId="2" borderId="21" xfId="1" applyNumberFormat="1" applyFont="1" applyFill="1" applyBorder="1" applyAlignment="1">
      <alignment vertical="top" wrapText="1"/>
    </xf>
    <xf numFmtId="0" fontId="7" fillId="2" borderId="21" xfId="1" applyNumberFormat="1" applyFont="1" applyFill="1" applyBorder="1" applyAlignment="1">
      <alignment vertical="top"/>
    </xf>
    <xf numFmtId="0" fontId="3" fillId="2" borderId="21" xfId="0" applyFont="1" applyFill="1" applyBorder="1" applyAlignment="1">
      <alignment vertical="top"/>
    </xf>
    <xf numFmtId="0" fontId="7" fillId="0" borderId="21" xfId="0" applyFont="1" applyBorder="1" applyAlignment="1">
      <alignment horizontal="left" vertical="top" wrapText="1"/>
    </xf>
    <xf numFmtId="0" fontId="7" fillId="0" borderId="21" xfId="1" applyNumberFormat="1" applyFont="1" applyFill="1" applyBorder="1" applyAlignment="1">
      <alignment vertical="top" wrapText="1"/>
    </xf>
    <xf numFmtId="166" fontId="7" fillId="2" borderId="21" xfId="1" applyNumberFormat="1" applyFont="1" applyFill="1" applyBorder="1" applyAlignment="1">
      <alignment vertical="top" wrapText="1"/>
    </xf>
    <xf numFmtId="0" fontId="7" fillId="0" borderId="21" xfId="1" applyNumberFormat="1" applyFont="1" applyBorder="1" applyAlignment="1">
      <alignment vertical="top" wrapText="1"/>
    </xf>
    <xf numFmtId="0" fontId="7" fillId="2" borderId="21" xfId="0" applyFont="1" applyFill="1" applyBorder="1" applyAlignment="1">
      <alignment vertical="top" wrapText="1"/>
    </xf>
    <xf numFmtId="0" fontId="7" fillId="0" borderId="21" xfId="0" applyFont="1" applyBorder="1" applyAlignment="1">
      <alignment vertical="top" wrapText="1"/>
    </xf>
    <xf numFmtId="16" fontId="7" fillId="2" borderId="21" xfId="1" applyNumberFormat="1" applyFont="1" applyFill="1" applyBorder="1" applyAlignment="1">
      <alignment vertical="top" wrapText="1"/>
    </xf>
    <xf numFmtId="0" fontId="7" fillId="2" borderId="21" xfId="0" applyFont="1" applyFill="1" applyBorder="1" applyAlignment="1">
      <alignment vertical="top"/>
    </xf>
    <xf numFmtId="166" fontId="7" fillId="0" borderId="21" xfId="1" applyNumberFormat="1" applyFont="1" applyBorder="1" applyAlignment="1">
      <alignment vertical="top" wrapText="1"/>
    </xf>
    <xf numFmtId="0" fontId="3" fillId="2" borderId="21" xfId="0" applyFont="1" applyFill="1" applyBorder="1" applyAlignment="1">
      <alignment horizontal="left" vertical="top" wrapText="1"/>
    </xf>
    <xf numFmtId="0" fontId="3" fillId="0" borderId="21" xfId="0" applyFont="1" applyBorder="1" applyAlignment="1">
      <alignment horizontal="left" vertical="top" wrapText="1"/>
    </xf>
    <xf numFmtId="0" fontId="4" fillId="4" borderId="41" xfId="0" applyFont="1" applyFill="1" applyBorder="1" applyAlignment="1">
      <alignment vertical="center" wrapText="1"/>
    </xf>
    <xf numFmtId="166" fontId="7" fillId="0" borderId="21" xfId="1" applyNumberFormat="1" applyFont="1" applyFill="1" applyBorder="1" applyAlignment="1">
      <alignment vertical="top" wrapText="1"/>
    </xf>
    <xf numFmtId="0" fontId="4" fillId="4" borderId="43" xfId="0" applyFont="1" applyFill="1" applyBorder="1" applyAlignment="1">
      <alignment vertical="center" wrapText="1"/>
    </xf>
    <xf numFmtId="0" fontId="15" fillId="0" borderId="21" xfId="0" applyFont="1" applyBorder="1" applyAlignment="1">
      <alignment vertical="top" wrapText="1"/>
    </xf>
    <xf numFmtId="0" fontId="7" fillId="2" borderId="19" xfId="0" applyFont="1" applyFill="1" applyBorder="1" applyAlignment="1">
      <alignment vertical="top" wrapText="1"/>
    </xf>
    <xf numFmtId="0" fontId="3" fillId="2" borderId="21" xfId="0" applyFont="1" applyFill="1" applyBorder="1" applyAlignment="1">
      <alignment vertical="top" wrapText="1"/>
    </xf>
    <xf numFmtId="0" fontId="4" fillId="4" borderId="44" xfId="0" applyFont="1" applyFill="1" applyBorder="1" applyAlignment="1">
      <alignment vertical="center" wrapText="1"/>
    </xf>
    <xf numFmtId="0" fontId="4" fillId="4" borderId="47" xfId="0" applyFont="1" applyFill="1" applyBorder="1" applyAlignment="1">
      <alignment vertical="center" wrapText="1"/>
    </xf>
    <xf numFmtId="0" fontId="7" fillId="2" borderId="1" xfId="0" applyFont="1" applyFill="1" applyBorder="1" applyAlignment="1">
      <alignment vertical="top" wrapText="1"/>
    </xf>
    <xf numFmtId="0" fontId="7" fillId="0" borderId="1" xfId="0" applyFont="1" applyBorder="1" applyAlignment="1">
      <alignment vertical="top" wrapText="1"/>
    </xf>
    <xf numFmtId="0" fontId="7" fillId="2" borderId="1" xfId="0" applyFont="1" applyFill="1" applyBorder="1" applyAlignment="1">
      <alignment horizontal="left" vertical="top" wrapText="1"/>
    </xf>
    <xf numFmtId="0" fontId="7" fillId="2" borderId="21" xfId="0" applyFont="1" applyFill="1" applyBorder="1" applyAlignment="1">
      <alignment horizontal="left" vertical="top" wrapText="1"/>
    </xf>
    <xf numFmtId="0" fontId="7" fillId="14" borderId="6" xfId="0" applyFont="1" applyFill="1" applyBorder="1" applyAlignment="1">
      <alignment wrapText="1"/>
    </xf>
    <xf numFmtId="0" fontId="7" fillId="14" borderId="21" xfId="0" applyFont="1" applyFill="1" applyBorder="1"/>
    <xf numFmtId="0" fontId="6" fillId="5" borderId="2" xfId="0" applyFont="1" applyFill="1" applyBorder="1" applyAlignment="1">
      <alignment horizontal="left" vertical="center" indent="2"/>
    </xf>
    <xf numFmtId="0" fontId="6" fillId="5" borderId="2" xfId="0" applyFont="1" applyFill="1" applyBorder="1" applyAlignment="1">
      <alignment horizontal="left" vertical="center" wrapText="1" indent="1"/>
    </xf>
    <xf numFmtId="0" fontId="6" fillId="5" borderId="4" xfId="0" applyFont="1" applyFill="1" applyBorder="1" applyAlignment="1">
      <alignment horizontal="left" vertical="center" indent="1"/>
    </xf>
    <xf numFmtId="0" fontId="4" fillId="3" borderId="18" xfId="0" applyFont="1" applyFill="1" applyBorder="1" applyAlignment="1">
      <alignment horizontal="left" vertical="center" wrapText="1" indent="1"/>
    </xf>
    <xf numFmtId="0" fontId="4" fillId="3" borderId="18" xfId="0" applyFont="1" applyFill="1" applyBorder="1" applyAlignment="1">
      <alignment horizontal="left" vertical="center" indent="1"/>
    </xf>
    <xf numFmtId="0" fontId="7" fillId="2" borderId="0" xfId="0" applyFont="1" applyFill="1" applyAlignment="1">
      <alignment horizontal="left" vertical="top" wrapText="1" indent="1"/>
    </xf>
    <xf numFmtId="0" fontId="6" fillId="2" borderId="0" xfId="0" applyFont="1" applyFill="1" applyAlignment="1">
      <alignment horizontal="left" indent="1"/>
    </xf>
    <xf numFmtId="0" fontId="19" fillId="2" borderId="0" xfId="0" applyFont="1" applyFill="1" applyAlignment="1">
      <alignment horizontal="left" vertical="top" indent="1"/>
    </xf>
    <xf numFmtId="3" fontId="5" fillId="8" borderId="7" xfId="0" applyNumberFormat="1" applyFont="1" applyFill="1" applyBorder="1" applyAlignment="1">
      <alignment horizontal="right" vertical="center"/>
    </xf>
    <xf numFmtId="0" fontId="35" fillId="11" borderId="0" xfId="0" applyFont="1" applyFill="1" applyAlignment="1">
      <alignment horizontal="left"/>
    </xf>
    <xf numFmtId="0" fontId="53" fillId="2" borderId="0" xfId="0" applyFont="1" applyFill="1" applyAlignment="1">
      <alignment horizontal="left" vertical="top" wrapText="1"/>
    </xf>
    <xf numFmtId="0" fontId="57" fillId="2" borderId="0" xfId="0" applyFont="1" applyFill="1" applyAlignment="1">
      <alignment horizontal="left" vertical="top" wrapText="1"/>
    </xf>
    <xf numFmtId="0" fontId="4" fillId="3" borderId="1" xfId="0" applyFont="1" applyFill="1" applyBorder="1" applyAlignment="1">
      <alignment horizontal="left" vertical="center"/>
    </xf>
    <xf numFmtId="0" fontId="4" fillId="3" borderId="2" xfId="0" applyFont="1" applyFill="1" applyBorder="1" applyAlignment="1">
      <alignment horizontal="left" vertical="center"/>
    </xf>
    <xf numFmtId="0" fontId="10" fillId="2" borderId="0" xfId="0" applyFont="1" applyFill="1" applyAlignment="1">
      <alignment horizontal="left" vertical="center" wrapText="1" indent="1"/>
    </xf>
    <xf numFmtId="0" fontId="10" fillId="2" borderId="0" xfId="0" applyFont="1" applyFill="1" applyAlignment="1">
      <alignment horizontal="left" vertical="center" wrapText="1"/>
    </xf>
    <xf numFmtId="0" fontId="10" fillId="2" borderId="0" xfId="0" applyFont="1" applyFill="1" applyAlignment="1">
      <alignment horizontal="left" vertical="center" indent="1"/>
    </xf>
    <xf numFmtId="0" fontId="9" fillId="2" borderId="0" xfId="0" applyFont="1" applyFill="1" applyAlignment="1">
      <alignment horizontal="left" vertical="center" indent="1"/>
    </xf>
    <xf numFmtId="0" fontId="9" fillId="2" borderId="0" xfId="0" applyFont="1" applyFill="1" applyAlignment="1">
      <alignment horizontal="left" vertical="center" wrapText="1" indent="1"/>
    </xf>
    <xf numFmtId="0" fontId="10" fillId="2" borderId="0" xfId="3" applyFont="1" applyFill="1" applyAlignment="1">
      <alignment horizontal="left" vertical="center" indent="1"/>
    </xf>
    <xf numFmtId="0" fontId="10" fillId="2" borderId="0" xfId="3" applyFont="1" applyFill="1" applyAlignment="1">
      <alignment horizontal="left" vertical="center" wrapText="1" indent="1"/>
    </xf>
    <xf numFmtId="0" fontId="13" fillId="2" borderId="0" xfId="3" applyFont="1" applyFill="1" applyAlignment="1">
      <alignment horizontal="left" vertical="center" wrapText="1" indent="1"/>
    </xf>
    <xf numFmtId="0" fontId="7" fillId="2" borderId="4" xfId="0" applyFont="1" applyFill="1" applyBorder="1" applyAlignment="1">
      <alignment horizontal="left" vertical="top" wrapText="1" indent="1"/>
    </xf>
    <xf numFmtId="0" fontId="7" fillId="2" borderId="13" xfId="0" applyFont="1" applyFill="1" applyBorder="1" applyAlignment="1">
      <alignment horizontal="left" vertical="top" wrapText="1" indent="1"/>
    </xf>
    <xf numFmtId="0" fontId="7" fillId="2" borderId="0" xfId="0" applyFont="1" applyFill="1" applyAlignment="1">
      <alignment horizontal="left" vertical="top" wrapText="1" indent="1"/>
    </xf>
    <xf numFmtId="0" fontId="7" fillId="2" borderId="17" xfId="0" applyFont="1" applyFill="1" applyBorder="1" applyAlignment="1">
      <alignment horizontal="left" vertical="top" wrapText="1" indent="1"/>
    </xf>
    <xf numFmtId="0" fontId="6" fillId="5" borderId="19" xfId="0" applyFont="1" applyFill="1" applyBorder="1" applyAlignment="1">
      <alignment horizontal="center" vertical="top" wrapText="1"/>
    </xf>
    <xf numFmtId="0" fontId="6" fillId="5" borderId="34" xfId="0" applyFont="1" applyFill="1" applyBorder="1" applyAlignment="1">
      <alignment horizontal="center" vertical="top" wrapText="1"/>
    </xf>
    <xf numFmtId="0" fontId="6" fillId="5" borderId="20" xfId="0" applyFont="1" applyFill="1" applyBorder="1" applyAlignment="1">
      <alignment horizontal="center" vertical="top" wrapText="1"/>
    </xf>
    <xf numFmtId="0" fontId="6" fillId="5" borderId="21" xfId="0" applyFont="1" applyFill="1" applyBorder="1" applyAlignment="1">
      <alignment horizontal="center" vertical="top" wrapText="1"/>
    </xf>
    <xf numFmtId="0" fontId="6" fillId="5" borderId="1" xfId="0" applyFont="1" applyFill="1" applyBorder="1" applyAlignment="1">
      <alignment horizontal="center" vertical="top" wrapText="1"/>
    </xf>
    <xf numFmtId="0" fontId="4" fillId="3" borderId="54" xfId="0" applyFont="1" applyFill="1" applyBorder="1" applyAlignment="1">
      <alignment horizontal="left" wrapText="1" indent="1"/>
    </xf>
    <xf numFmtId="0" fontId="4" fillId="3" borderId="12" xfId="0" applyFont="1" applyFill="1" applyBorder="1" applyAlignment="1">
      <alignment horizontal="left" wrapText="1" indent="1"/>
    </xf>
    <xf numFmtId="0" fontId="4" fillId="3" borderId="55" xfId="0" applyFont="1" applyFill="1" applyBorder="1" applyAlignment="1">
      <alignment horizontal="left" wrapText="1" indent="1"/>
    </xf>
    <xf numFmtId="0" fontId="6" fillId="5" borderId="2" xfId="0" applyFont="1" applyFill="1" applyBorder="1" applyAlignment="1">
      <alignment horizontal="center" vertical="top" wrapText="1"/>
    </xf>
    <xf numFmtId="0" fontId="4" fillId="10" borderId="0" xfId="0" applyFont="1" applyFill="1" applyAlignment="1">
      <alignment horizontal="center" vertical="top" wrapText="1"/>
    </xf>
    <xf numFmtId="0" fontId="4" fillId="10" borderId="17" xfId="0" applyFont="1" applyFill="1" applyBorder="1" applyAlignment="1">
      <alignment horizontal="center" vertical="top" wrapText="1"/>
    </xf>
    <xf numFmtId="0" fontId="9" fillId="2" borderId="0" xfId="0" applyFont="1" applyFill="1" applyAlignment="1">
      <alignment horizontal="left" wrapText="1" indent="1"/>
    </xf>
    <xf numFmtId="0" fontId="10" fillId="2" borderId="0" xfId="0" applyFont="1" applyFill="1" applyAlignment="1">
      <alignment horizontal="left" wrapText="1" indent="1"/>
    </xf>
    <xf numFmtId="0" fontId="10" fillId="2" borderId="0" xfId="0" applyFont="1" applyFill="1" applyAlignment="1">
      <alignment horizontal="left" vertical="top" wrapText="1" indent="1"/>
    </xf>
    <xf numFmtId="0" fontId="51" fillId="2" borderId="12" xfId="0" applyFont="1" applyFill="1" applyBorder="1" applyAlignment="1">
      <alignment horizontal="left" wrapText="1"/>
    </xf>
    <xf numFmtId="0" fontId="51" fillId="2" borderId="0" xfId="0" applyFont="1" applyFill="1" applyAlignment="1">
      <alignment horizontal="left" wrapText="1"/>
    </xf>
    <xf numFmtId="0" fontId="54" fillId="16" borderId="19" xfId="0" applyFont="1" applyFill="1" applyBorder="1" applyAlignment="1">
      <alignment horizontal="left" vertical="center" wrapText="1" indent="1"/>
    </xf>
    <xf numFmtId="0" fontId="54" fillId="16" borderId="34" xfId="0" applyFont="1" applyFill="1" applyBorder="1" applyAlignment="1">
      <alignment horizontal="left" vertical="center" wrapText="1" indent="1"/>
    </xf>
    <xf numFmtId="0" fontId="54" fillId="16" borderId="20" xfId="0" applyFont="1" applyFill="1" applyBorder="1" applyAlignment="1">
      <alignment horizontal="left" vertical="center" wrapText="1" indent="1"/>
    </xf>
    <xf numFmtId="0" fontId="4" fillId="8" borderId="19" xfId="0" applyFont="1" applyFill="1" applyBorder="1" applyAlignment="1">
      <alignment horizontal="right" vertical="center" wrapText="1" indent="1"/>
    </xf>
    <xf numFmtId="0" fontId="4" fillId="8" borderId="20" xfId="0" applyFont="1" applyFill="1" applyBorder="1" applyAlignment="1">
      <alignment horizontal="right" vertical="center" wrapText="1" indent="1"/>
    </xf>
    <xf numFmtId="0" fontId="10" fillId="2" borderId="0" xfId="0" quotePrefix="1" applyFont="1" applyFill="1" applyAlignment="1">
      <alignment horizontal="left" vertical="top" wrapText="1" indent="1"/>
    </xf>
    <xf numFmtId="0" fontId="4" fillId="8" borderId="1" xfId="0" applyFont="1" applyFill="1" applyBorder="1" applyAlignment="1">
      <alignment horizontal="center" vertical="center"/>
    </xf>
    <xf numFmtId="0" fontId="4" fillId="8" borderId="2" xfId="0" applyFont="1" applyFill="1" applyBorder="1" applyAlignment="1">
      <alignment horizontal="center" vertical="center"/>
    </xf>
    <xf numFmtId="0" fontId="4" fillId="8" borderId="3" xfId="0" applyFont="1" applyFill="1" applyBorder="1" applyAlignment="1">
      <alignment horizontal="center" vertical="center"/>
    </xf>
    <xf numFmtId="0" fontId="7" fillId="6" borderId="1" xfId="0" applyFont="1" applyFill="1" applyBorder="1" applyAlignment="1">
      <alignment horizontal="left" vertical="center" wrapText="1" indent="1"/>
    </xf>
    <xf numFmtId="0" fontId="7" fillId="6" borderId="2" xfId="0" applyFont="1" applyFill="1" applyBorder="1" applyAlignment="1">
      <alignment horizontal="left" vertical="center" wrapText="1" indent="1"/>
    </xf>
    <xf numFmtId="0" fontId="7" fillId="2" borderId="12" xfId="0" applyFont="1" applyFill="1" applyBorder="1" applyAlignment="1">
      <alignment horizontal="left" vertical="top" wrapText="1"/>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10" fillId="2" borderId="12" xfId="0" applyFont="1" applyFill="1" applyBorder="1" applyAlignment="1">
      <alignment horizontal="left" vertical="center" wrapText="1" indent="1"/>
    </xf>
    <xf numFmtId="0" fontId="10" fillId="2" borderId="17" xfId="0" applyFont="1" applyFill="1" applyBorder="1" applyAlignment="1">
      <alignment horizontal="left" vertical="center" wrapText="1" indent="1"/>
    </xf>
    <xf numFmtId="0" fontId="9" fillId="2" borderId="12" xfId="0" applyFont="1" applyFill="1" applyBorder="1" applyAlignment="1">
      <alignment horizontal="left" vertical="top" wrapText="1" indent="1"/>
    </xf>
    <xf numFmtId="0" fontId="9" fillId="2" borderId="0" xfId="0" applyFont="1" applyFill="1" applyAlignment="1">
      <alignment horizontal="left" vertical="top" wrapText="1" indent="1"/>
    </xf>
    <xf numFmtId="0" fontId="9" fillId="2" borderId="17" xfId="0" applyFont="1" applyFill="1" applyBorder="1" applyAlignment="1">
      <alignment horizontal="left" vertical="top" wrapText="1" indent="1"/>
    </xf>
    <xf numFmtId="0" fontId="9" fillId="2" borderId="5" xfId="0" applyFont="1" applyFill="1" applyBorder="1" applyAlignment="1">
      <alignment horizontal="left" vertical="top" wrapText="1" indent="1"/>
    </xf>
    <xf numFmtId="0" fontId="9" fillId="2" borderId="6" xfId="0" applyFont="1" applyFill="1" applyBorder="1" applyAlignment="1">
      <alignment horizontal="left" vertical="top" wrapText="1" indent="1"/>
    </xf>
    <xf numFmtId="0" fontId="9" fillId="2" borderId="7" xfId="0" applyFont="1" applyFill="1" applyBorder="1" applyAlignment="1">
      <alignment horizontal="left" vertical="top" wrapText="1" indent="1"/>
    </xf>
    <xf numFmtId="0" fontId="19" fillId="5" borderId="19" xfId="0" applyFont="1" applyFill="1" applyBorder="1" applyAlignment="1">
      <alignment horizontal="right" vertical="center" indent="1"/>
    </xf>
    <xf numFmtId="0" fontId="19" fillId="5" borderId="20" xfId="0" applyFont="1" applyFill="1" applyBorder="1" applyAlignment="1">
      <alignment horizontal="right" vertical="center" indent="1"/>
    </xf>
    <xf numFmtId="0" fontId="6" fillId="5" borderId="21" xfId="0" applyFont="1" applyFill="1" applyBorder="1" applyAlignment="1">
      <alignment horizontal="center" vertical="center" wrapText="1"/>
    </xf>
    <xf numFmtId="0" fontId="3" fillId="2" borderId="4" xfId="0" applyFont="1" applyFill="1" applyBorder="1" applyAlignment="1">
      <alignment horizontal="left" vertical="top" wrapText="1"/>
    </xf>
    <xf numFmtId="0" fontId="3" fillId="2" borderId="0" xfId="0" applyFont="1" applyFill="1" applyAlignment="1">
      <alignment horizontal="left" vertical="top" wrapText="1"/>
    </xf>
    <xf numFmtId="0" fontId="3" fillId="2" borderId="18" xfId="0" applyFont="1" applyFill="1" applyBorder="1" applyAlignment="1">
      <alignment horizontal="left" vertical="center" wrapText="1" indent="2"/>
    </xf>
    <xf numFmtId="0" fontId="3" fillId="2" borderId="4" xfId="0" applyFont="1" applyFill="1" applyBorder="1" applyAlignment="1">
      <alignment horizontal="left" vertical="center" wrapText="1" indent="2"/>
    </xf>
    <xf numFmtId="0" fontId="3" fillId="2" borderId="12" xfId="0" applyFont="1" applyFill="1" applyBorder="1" applyAlignment="1">
      <alignment horizontal="left" vertical="center" wrapText="1" indent="2"/>
    </xf>
    <xf numFmtId="0" fontId="3" fillId="2" borderId="0" xfId="0" applyFont="1" applyFill="1" applyAlignment="1">
      <alignment horizontal="left" vertical="center" wrapText="1" indent="2"/>
    </xf>
    <xf numFmtId="0" fontId="26" fillId="9" borderId="18" xfId="0" applyFont="1" applyFill="1" applyBorder="1" applyAlignment="1">
      <alignment horizontal="left" vertical="center" wrapText="1" indent="1"/>
    </xf>
    <xf numFmtId="0" fontId="26" fillId="9" borderId="5" xfId="0" applyFont="1" applyFill="1" applyBorder="1" applyAlignment="1">
      <alignment horizontal="left" vertical="center" wrapText="1" indent="1"/>
    </xf>
    <xf numFmtId="0" fontId="6" fillId="2" borderId="0" xfId="0" applyFont="1" applyFill="1" applyAlignment="1">
      <alignment horizontal="left" vertical="center"/>
    </xf>
    <xf numFmtId="0" fontId="26" fillId="2" borderId="0" xfId="0" applyFont="1" applyFill="1" applyAlignment="1">
      <alignment horizontal="left" vertical="center" wrapText="1" indent="1"/>
    </xf>
    <xf numFmtId="0" fontId="26" fillId="2" borderId="1" xfId="0" applyFont="1" applyFill="1" applyBorder="1" applyAlignment="1">
      <alignment horizontal="left" vertical="center" wrapText="1" indent="1"/>
    </xf>
    <xf numFmtId="0" fontId="26" fillId="2" borderId="2" xfId="0" applyFont="1" applyFill="1" applyBorder="1" applyAlignment="1">
      <alignment horizontal="left" vertical="center" wrapText="1" indent="1"/>
    </xf>
    <xf numFmtId="0" fontId="26" fillId="2" borderId="3" xfId="0" applyFont="1" applyFill="1" applyBorder="1" applyAlignment="1">
      <alignment horizontal="left" vertical="center" wrapText="1" indent="1"/>
    </xf>
    <xf numFmtId="0" fontId="26" fillId="2" borderId="21" xfId="0" applyFont="1" applyFill="1" applyBorder="1" applyAlignment="1">
      <alignment horizontal="left" vertical="center" wrapText="1" indent="1"/>
    </xf>
    <xf numFmtId="0" fontId="6" fillId="5" borderId="21" xfId="0" applyFont="1" applyFill="1" applyBorder="1" applyAlignment="1">
      <alignment horizontal="left" vertical="center" indent="1"/>
    </xf>
    <xf numFmtId="0" fontId="6" fillId="5" borderId="21" xfId="0" applyFont="1" applyFill="1" applyBorder="1" applyAlignment="1">
      <alignment horizontal="left" vertical="center" indent="2"/>
    </xf>
    <xf numFmtId="0" fontId="6" fillId="5" borderId="1" xfId="0" applyFont="1" applyFill="1" applyBorder="1" applyAlignment="1">
      <alignment horizontal="center" vertical="center"/>
    </xf>
    <xf numFmtId="0" fontId="6" fillId="5" borderId="2" xfId="0" applyFont="1" applyFill="1" applyBorder="1" applyAlignment="1">
      <alignment horizontal="center" vertical="center"/>
    </xf>
    <xf numFmtId="0" fontId="19" fillId="16" borderId="19" xfId="0" applyFont="1" applyFill="1" applyBorder="1" applyAlignment="1">
      <alignment horizontal="left" vertical="center" wrapText="1" indent="2"/>
    </xf>
    <xf numFmtId="0" fontId="19" fillId="16" borderId="34" xfId="0" applyFont="1" applyFill="1" applyBorder="1" applyAlignment="1">
      <alignment horizontal="left" vertical="center" wrapText="1" indent="2"/>
    </xf>
    <xf numFmtId="0" fontId="19" fillId="16" borderId="68" xfId="0" applyFont="1" applyFill="1" applyBorder="1" applyAlignment="1">
      <alignment horizontal="left" vertical="center" wrapText="1" indent="2"/>
    </xf>
    <xf numFmtId="0" fontId="19" fillId="16" borderId="80" xfId="0" applyFont="1" applyFill="1" applyBorder="1" applyAlignment="1">
      <alignment horizontal="left" vertical="center" wrapText="1" indent="2"/>
    </xf>
    <xf numFmtId="0" fontId="19" fillId="16" borderId="66" xfId="0" applyFont="1" applyFill="1" applyBorder="1" applyAlignment="1">
      <alignment horizontal="left" vertical="center" wrapText="1" indent="2"/>
    </xf>
    <xf numFmtId="0" fontId="19" fillId="16" borderId="81" xfId="0" applyFont="1" applyFill="1" applyBorder="1" applyAlignment="1">
      <alignment horizontal="left" vertical="center" wrapText="1" indent="2"/>
    </xf>
    <xf numFmtId="0" fontId="19" fillId="16" borderId="82" xfId="0" applyFont="1" applyFill="1" applyBorder="1" applyAlignment="1">
      <alignment horizontal="left" vertical="center" wrapText="1" indent="2"/>
    </xf>
    <xf numFmtId="0" fontId="19" fillId="16" borderId="21" xfId="0" applyFont="1" applyFill="1" applyBorder="1" applyAlignment="1">
      <alignment horizontal="left" vertical="center" wrapText="1" indent="2"/>
    </xf>
    <xf numFmtId="0" fontId="19" fillId="16" borderId="83" xfId="0" applyFont="1" applyFill="1" applyBorder="1" applyAlignment="1">
      <alignment horizontal="left" vertical="center" wrapText="1" indent="2"/>
    </xf>
    <xf numFmtId="0" fontId="19" fillId="16" borderId="69" xfId="0" applyFont="1" applyFill="1" applyBorder="1" applyAlignment="1">
      <alignment horizontal="left" vertical="center" wrapText="1" indent="2"/>
    </xf>
    <xf numFmtId="0" fontId="19" fillId="16" borderId="20" xfId="0" applyFont="1" applyFill="1" applyBorder="1" applyAlignment="1">
      <alignment horizontal="left" vertical="center" wrapText="1" indent="2"/>
    </xf>
    <xf numFmtId="0" fontId="19" fillId="16" borderId="84" xfId="0" applyFont="1" applyFill="1" applyBorder="1" applyAlignment="1">
      <alignment horizontal="left" vertical="center" wrapText="1" indent="2"/>
    </xf>
    <xf numFmtId="0" fontId="19" fillId="16" borderId="73" xfId="0" applyFont="1" applyFill="1" applyBorder="1" applyAlignment="1">
      <alignment horizontal="left" vertical="center" wrapText="1" indent="2"/>
    </xf>
    <xf numFmtId="0" fontId="19" fillId="16" borderId="78" xfId="0" applyFont="1" applyFill="1" applyBorder="1" applyAlignment="1">
      <alignment horizontal="left" vertical="center" wrapText="1" indent="2"/>
    </xf>
    <xf numFmtId="0" fontId="7" fillId="2" borderId="8" xfId="0" applyFont="1" applyFill="1" applyBorder="1" applyAlignment="1">
      <alignment horizontal="left" vertical="center" wrapText="1" indent="1"/>
    </xf>
    <xf numFmtId="0" fontId="7" fillId="2" borderId="9" xfId="0" applyFont="1" applyFill="1" applyBorder="1" applyAlignment="1">
      <alignment horizontal="left" vertical="center" wrapText="1" indent="1"/>
    </xf>
    <xf numFmtId="0" fontId="7" fillId="2" borderId="23" xfId="0" applyFont="1" applyFill="1" applyBorder="1" applyAlignment="1">
      <alignment horizontal="left" vertical="center" wrapText="1" indent="1"/>
    </xf>
    <xf numFmtId="0" fontId="7" fillId="2" borderId="24" xfId="0" applyFont="1" applyFill="1" applyBorder="1" applyAlignment="1">
      <alignment horizontal="left" vertical="center" wrapText="1" indent="1"/>
    </xf>
    <xf numFmtId="0" fontId="3" fillId="2" borderId="0" xfId="0" applyFont="1" applyFill="1" applyAlignment="1">
      <alignment horizontal="left" wrapText="1"/>
    </xf>
    <xf numFmtId="0" fontId="4" fillId="4" borderId="0" xfId="0" applyFont="1" applyFill="1" applyAlignment="1">
      <alignment horizontal="left" vertical="top" wrapText="1" indent="1"/>
    </xf>
    <xf numFmtId="0" fontId="4" fillId="4" borderId="38" xfId="0" applyFont="1" applyFill="1" applyBorder="1" applyAlignment="1">
      <alignment horizontal="left" vertical="top" wrapText="1" indent="1"/>
    </xf>
    <xf numFmtId="0" fontId="4" fillId="4" borderId="41" xfId="0" applyFont="1" applyFill="1" applyBorder="1" applyAlignment="1">
      <alignment horizontal="left" vertical="top" wrapText="1" indent="1"/>
    </xf>
    <xf numFmtId="0" fontId="4" fillId="4" borderId="44" xfId="0" applyFont="1" applyFill="1" applyBorder="1" applyAlignment="1">
      <alignment horizontal="left" vertical="top" wrapText="1" indent="1"/>
    </xf>
    <xf numFmtId="0" fontId="4" fillId="3" borderId="5" xfId="0" applyFont="1" applyFill="1" applyBorder="1" applyAlignment="1">
      <alignment horizontal="left" vertical="center" indent="1"/>
    </xf>
    <xf numFmtId="0" fontId="4" fillId="3" borderId="6" xfId="0" applyFont="1" applyFill="1" applyBorder="1" applyAlignment="1">
      <alignment horizontal="left" vertical="center" indent="1"/>
    </xf>
    <xf numFmtId="0" fontId="4" fillId="4" borderId="37" xfId="0" applyFont="1" applyFill="1" applyBorder="1" applyAlignment="1">
      <alignment horizontal="left" vertical="top" wrapText="1" indent="1"/>
    </xf>
    <xf numFmtId="0" fontId="7" fillId="2" borderId="45" xfId="1" applyNumberFormat="1" applyFont="1" applyFill="1" applyBorder="1" applyAlignment="1">
      <alignment horizontal="left" vertical="top" wrapText="1"/>
    </xf>
    <xf numFmtId="0" fontId="7" fillId="2" borderId="46" xfId="1" applyNumberFormat="1" applyFont="1" applyFill="1" applyBorder="1" applyAlignment="1">
      <alignment horizontal="left" vertical="top" wrapText="1"/>
    </xf>
    <xf numFmtId="0" fontId="7" fillId="12" borderId="45" xfId="0" applyFont="1" applyFill="1" applyBorder="1" applyAlignment="1">
      <alignment horizontal="left" vertical="top" wrapText="1"/>
    </xf>
    <xf numFmtId="0" fontId="7" fillId="12" borderId="40" xfId="0" applyFont="1" applyFill="1" applyBorder="1" applyAlignment="1">
      <alignment horizontal="left" vertical="top" wrapText="1"/>
    </xf>
    <xf numFmtId="0" fontId="4" fillId="4" borderId="33" xfId="0" applyFont="1" applyFill="1" applyBorder="1" applyAlignment="1">
      <alignment horizontal="left" vertical="top" wrapText="1" indent="1"/>
    </xf>
    <xf numFmtId="0" fontId="7" fillId="12" borderId="33" xfId="1" applyNumberFormat="1" applyFont="1" applyFill="1" applyBorder="1" applyAlignment="1">
      <alignment horizontal="left" vertical="top" wrapText="1"/>
    </xf>
    <xf numFmtId="0" fontId="7" fillId="12" borderId="38" xfId="1" applyNumberFormat="1" applyFont="1" applyFill="1" applyBorder="1" applyAlignment="1">
      <alignment horizontal="left" vertical="top" wrapText="1"/>
    </xf>
    <xf numFmtId="166" fontId="7" fillId="12" borderId="33" xfId="1" applyNumberFormat="1" applyFont="1" applyFill="1" applyBorder="1" applyAlignment="1">
      <alignment horizontal="left" vertical="top" wrapText="1"/>
    </xf>
    <xf numFmtId="166" fontId="7" fillId="12" borderId="38" xfId="1" applyNumberFormat="1" applyFont="1" applyFill="1" applyBorder="1" applyAlignment="1">
      <alignment horizontal="left" vertical="top" wrapText="1"/>
    </xf>
    <xf numFmtId="0" fontId="4" fillId="4" borderId="43" xfId="0" applyFont="1" applyFill="1" applyBorder="1" applyAlignment="1">
      <alignment horizontal="center" vertical="center"/>
    </xf>
    <xf numFmtId="0" fontId="4" fillId="4" borderId="91" xfId="0" applyFont="1" applyFill="1" applyBorder="1" applyAlignment="1">
      <alignment horizontal="center" vertical="center"/>
    </xf>
    <xf numFmtId="0" fontId="7" fillId="2" borderId="4" xfId="0" applyFont="1" applyFill="1" applyBorder="1" applyAlignment="1">
      <alignment horizontal="left" vertical="top" wrapText="1"/>
    </xf>
    <xf numFmtId="0" fontId="14" fillId="0" borderId="0" xfId="0" applyFont="1" applyAlignment="1">
      <alignment horizontal="left" vertical="center" wrapText="1"/>
    </xf>
    <xf numFmtId="0" fontId="7" fillId="0" borderId="18" xfId="0" applyFont="1" applyBorder="1" applyAlignment="1">
      <alignment horizontal="left" vertical="center" wrapText="1" indent="1"/>
    </xf>
    <xf numFmtId="0" fontId="7" fillId="0" borderId="4" xfId="0" applyFont="1" applyBorder="1" applyAlignment="1">
      <alignment horizontal="left" vertical="center" wrapText="1" indent="1"/>
    </xf>
    <xf numFmtId="0" fontId="7" fillId="0" borderId="12" xfId="0" applyFont="1" applyBorder="1" applyAlignment="1">
      <alignment horizontal="left" vertical="center" wrapText="1" indent="1"/>
    </xf>
    <xf numFmtId="0" fontId="7" fillId="0" borderId="0" xfId="0" applyFont="1" applyAlignment="1">
      <alignment horizontal="left" vertical="center" wrapText="1" indent="1"/>
    </xf>
    <xf numFmtId="0" fontId="7" fillId="0" borderId="5" xfId="0" applyFont="1" applyBorder="1" applyAlignment="1">
      <alignment horizontal="left" vertical="center" wrapText="1" indent="1"/>
    </xf>
    <xf numFmtId="0" fontId="7" fillId="0" borderId="6" xfId="0" applyFont="1" applyBorder="1" applyAlignment="1">
      <alignment horizontal="left" vertical="center" wrapText="1" indent="1"/>
    </xf>
    <xf numFmtId="0" fontId="4" fillId="4" borderId="89" xfId="0" applyFont="1" applyFill="1" applyBorder="1" applyAlignment="1">
      <alignment horizontal="center" vertical="center"/>
    </xf>
    <xf numFmtId="0" fontId="4" fillId="4" borderId="90" xfId="0" applyFont="1" applyFill="1" applyBorder="1" applyAlignment="1">
      <alignment horizontal="center" vertical="center"/>
    </xf>
    <xf numFmtId="0" fontId="4" fillId="3" borderId="12" xfId="0" applyFont="1" applyFill="1" applyBorder="1" applyAlignment="1">
      <alignment horizontal="left" vertical="center" indent="1"/>
    </xf>
    <xf numFmtId="0" fontId="4" fillId="3" borderId="0" xfId="0" applyFont="1" applyFill="1" applyAlignment="1">
      <alignment horizontal="left" vertical="center" indent="1"/>
    </xf>
  </cellXfs>
  <cellStyles count="13">
    <cellStyle name="Comma 2" xfId="5" xr:uid="{0CBEAF45-62EF-4426-8F4E-CD1B3FC00C5E}"/>
    <cellStyle name="Currency 2" xfId="12" xr:uid="{B344F672-8D52-4459-B806-1061B8D75622}"/>
    <cellStyle name="Komma" xfId="1" builtinId="3"/>
    <cellStyle name="Link" xfId="8" builtinId="8"/>
    <cellStyle name="Normal 3" xfId="9" xr:uid="{542EF694-6B45-4F85-BE54-9734BF7D7D8A}"/>
    <cellStyle name="Normal 4" xfId="10" xr:uid="{6AA8148C-FF04-4FBC-B8DD-E1E7F8A4FDB0}"/>
    <cellStyle name="Normal 5" xfId="11" xr:uid="{64391A64-4486-4F14-8E05-ED23DBD9DE46}"/>
    <cellStyle name="Normal 83" xfId="3" xr:uid="{3448C2F3-1C6C-4F64-916D-AAAAABD6E356}"/>
    <cellStyle name="Percent 18" xfId="4" xr:uid="{88215B1A-1125-4E69-8947-445B1E67991B}"/>
    <cellStyle name="Percent 2" xfId="6" xr:uid="{04B78A14-7FC8-4D71-A98A-2E5BEAFFFAF4}"/>
    <cellStyle name="Prozent" xfId="2" builtinId="5"/>
    <cellStyle name="Standard" xfId="0" builtinId="0"/>
    <cellStyle name="Währung" xfId="7" builtinId="4"/>
  </cellStyles>
  <dxfs count="0"/>
  <tableStyles count="0" defaultTableStyle="TableStyleMedium2" defaultPivotStyle="PivotStyleLight16"/>
  <colors>
    <mruColors>
      <color rgb="FF8497B0"/>
      <color rgb="FF203764"/>
      <color rgb="FF032F55"/>
      <color rgb="FF1CAAA9"/>
      <color rgb="FFA1B43B"/>
      <color rgb="FF5812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95230</xdr:colOff>
      <xdr:row>0</xdr:row>
      <xdr:rowOff>95250</xdr:rowOff>
    </xdr:from>
    <xdr:to>
      <xdr:col>2</xdr:col>
      <xdr:colOff>939625</xdr:colOff>
      <xdr:row>2</xdr:row>
      <xdr:rowOff>301925</xdr:rowOff>
    </xdr:to>
    <xdr:pic>
      <xdr:nvPicPr>
        <xdr:cNvPr id="2" name="Picture 1">
          <a:extLst>
            <a:ext uri="{FF2B5EF4-FFF2-40B4-BE49-F238E27FC236}">
              <a16:creationId xmlns:a16="http://schemas.microsoft.com/office/drawing/2014/main" id="{9D9F3D6A-4BD5-4E6A-A022-1600C43F4E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0070" y="95250"/>
          <a:ext cx="1965170" cy="56735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fcx365.sharepoint.com/sites/HRRecruiting/cr/Executive%20Summary%20Reports/2016%20College%20Recruit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fcx365.sharepoint.com/Sites/PHX-HRAnalyticsRptg/TeamsDocs/GRI/20211231/GRI%20Data%20-%202021%20Report%20(Feb%202022)_WorkingFile.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fcx365.sharepoint.com/sharedir/HR%20ANALYTICS/Large%20Files/GRI/2013/Data/FCX_HR_DataSummary_2013123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ar End"/>
      <sheetName val="ROLES"/>
      <sheetName val="v"/>
      <sheetName val="FCX"/>
      <sheetName val="DECL"/>
      <sheetName val="Sheet1"/>
      <sheetName val="Sheet2"/>
      <sheetName val="WeeklySite"/>
      <sheetName val="Confirmed #s"/>
      <sheetName val="ReqStatus1"/>
      <sheetName val="ReqStatus2"/>
      <sheetName val="RedQrtlyMtg"/>
      <sheetName val="TowerCands"/>
      <sheetName val="DRAFT"/>
      <sheetName val="FCXstatus"/>
      <sheetName val="rpt.ONBD"/>
      <sheetName val="Contact"/>
      <sheetName val="Def&amp;Err"/>
      <sheetName val="ERROR Counts"/>
      <sheetName val="ErrorCountsFCX"/>
      <sheetName val="Reports to build"/>
      <sheetName val="2016 College Recruiting"/>
    </sheetNames>
    <sheetDataSet>
      <sheetData sheetId="0" refreshError="1"/>
      <sheetData sheetId="1" refreshError="1"/>
      <sheetData sheetId="2">
        <row r="1">
          <cell r="CU1" t="str">
            <v>Reporting Site</v>
          </cell>
        </row>
        <row r="2">
          <cell r="CU2" t="str">
            <v>Bagdad</v>
          </cell>
        </row>
        <row r="3">
          <cell r="CU3" t="str">
            <v>Bayway</v>
          </cell>
        </row>
        <row r="4">
          <cell r="CU4" t="str">
            <v>Chino</v>
          </cell>
        </row>
        <row r="5">
          <cell r="CU5" t="str">
            <v>Climax Mine</v>
          </cell>
        </row>
        <row r="6">
          <cell r="CU6" t="str">
            <v>Climax TC</v>
          </cell>
        </row>
        <row r="7">
          <cell r="CU7" t="str">
            <v>El Paso</v>
          </cell>
        </row>
        <row r="8">
          <cell r="CU8" t="str">
            <v>Fort Madison</v>
          </cell>
        </row>
        <row r="9">
          <cell r="CU9" t="str">
            <v>Henderson Mill</v>
          </cell>
        </row>
        <row r="10">
          <cell r="CU10" t="str">
            <v>Henderson Mine</v>
          </cell>
        </row>
        <row r="11">
          <cell r="CU11" t="str">
            <v>Miami</v>
          </cell>
        </row>
        <row r="12">
          <cell r="CU12" t="str">
            <v>Morenci</v>
          </cell>
        </row>
        <row r="13">
          <cell r="CU13" t="str">
            <v>Norwich</v>
          </cell>
        </row>
        <row r="14">
          <cell r="CU14" t="str">
            <v>Oro Valley</v>
          </cell>
        </row>
        <row r="15">
          <cell r="CU15" t="str">
            <v>Phoenix</v>
          </cell>
        </row>
        <row r="16">
          <cell r="CU16" t="str">
            <v>Safford Mine</v>
          </cell>
        </row>
        <row r="17">
          <cell r="CU17" t="str">
            <v>Sierrita</v>
          </cell>
        </row>
        <row r="18">
          <cell r="CU18" t="str">
            <v>TC: CASC</v>
          </cell>
        </row>
        <row r="19">
          <cell r="CU19" t="str">
            <v>TC: Modoc</v>
          </cell>
        </row>
        <row r="20">
          <cell r="CU20" t="str">
            <v>TC: Sanchez</v>
          </cell>
        </row>
        <row r="21">
          <cell r="CU21" t="str">
            <v>TC: Tucson</v>
          </cell>
        </row>
        <row r="22">
          <cell r="CU22" t="str">
            <v>Tyrone</v>
          </cell>
        </row>
        <row r="23">
          <cell r="CU23" t="str">
            <v>NOLA</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Workforce  - 5 YR Data"/>
      <sheetName val="Workforce - Narrative Data"/>
      <sheetName val="10-k"/>
      <sheetName val="Turnover"/>
      <sheetName val="Hires"/>
      <sheetName val="AZ Mines"/>
      <sheetName val="Cont"/>
      <sheetName val="All Chart"/>
      <sheetName val="PTFI"/>
      <sheetName val="Spain"/>
      <sheetName val="Lookups"/>
      <sheetName val="ManualEEOCat"/>
      <sheetName val="EEO"/>
      <sheetName val="ExecMgmt"/>
      <sheetName val="Internal Hires"/>
      <sheetName val="EDW-End"/>
      <sheetName val="EDW-Beg"/>
      <sheetName val="Ethnicity"/>
      <sheetName val="SAP-Cont"/>
      <sheetName val="BOD"/>
      <sheetName val="EDW-Hires"/>
      <sheetName val="EDW-Terms"/>
      <sheetName val="BDates"/>
      <sheetName val="JobCat"/>
      <sheetName val="Pos-Job"/>
      <sheetName val="SA-Cont"/>
      <sheetName val="SA-Trng"/>
      <sheetName val="NA_Evals"/>
      <sheetName val="NA-Trng"/>
      <sheetName val="SAP-TermReas"/>
      <sheetName val="EDW-TermReas"/>
      <sheetName val="GRI_Terms_2021_NeededGender"/>
      <sheetName val="ByCountry"/>
      <sheetName val="BRSurve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
          <cell r="A1" t="str">
            <v>12/31/2021 FT/PT Employees</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Charts"/>
      <sheetName val="FCX Consolidation"/>
      <sheetName val="Intl (April)"/>
      <sheetName val="Intl (SAP)"/>
      <sheetName val="Inputs"/>
      <sheetName val="10-k"/>
      <sheetName val="Turnover"/>
      <sheetName val="HC-2013"/>
      <sheetName val="NASA-End"/>
      <sheetName val="PTFI"/>
      <sheetName val="Africa"/>
      <sheetName val="Africa-Trng"/>
      <sheetName val="Cobalt"/>
      <sheetName val="FMOG-All"/>
      <sheetName val="FMOG-CA"/>
      <sheetName val="FMOG-LA"/>
      <sheetName val="FMOG-TX"/>
      <sheetName val="AtlCopper"/>
      <sheetName val="SA-Cont"/>
      <sheetName val="SA-Trng"/>
      <sheetName val="SA-Nat"/>
      <sheetName val="FMS"/>
      <sheetName val="NASA-Beg"/>
      <sheetName val="NASA-Terms"/>
      <sheetName val="NA-Cont"/>
      <sheetName val="JobCat"/>
      <sheetName val="NA_Evals"/>
      <sheetName val="NA BOD"/>
      <sheetName val="Lookups"/>
      <sheetName val="HC-2012"/>
      <sheetName val="Index"/>
    </sheetNames>
    <sheetDataSet>
      <sheetData sheetId="0" refreshError="1"/>
      <sheetData sheetId="1" refreshError="1"/>
      <sheetData sheetId="2" refreshError="1"/>
      <sheetData sheetId="3" refreshError="1"/>
      <sheetData sheetId="4" refreshError="1"/>
      <sheetData sheetId="5">
        <row r="1">
          <cell r="A1" t="str">
            <v>(A) Location Groups - Personnel Area</v>
          </cell>
        </row>
        <row r="3">
          <cell r="AG3" t="str">
            <v>Africa</v>
          </cell>
        </row>
        <row r="4">
          <cell r="AG4" t="str">
            <v>Europe/Other</v>
          </cell>
        </row>
        <row r="5">
          <cell r="AG5" t="str">
            <v>Indonesia</v>
          </cell>
        </row>
        <row r="6">
          <cell r="AG6" t="str">
            <v>North America</v>
          </cell>
        </row>
        <row r="7">
          <cell r="AG7" t="str">
            <v>South America</v>
          </cell>
        </row>
        <row r="8">
          <cell r="AG8" t="str">
            <v>Unknown</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https://www.fcx.com/sustainability/people/public-health" TargetMode="External"/><Relationship Id="rId18" Type="http://schemas.openxmlformats.org/officeDocument/2006/relationships/hyperlink" Target="https://www.fcx.com/sites/fcx/files/documents/policies/bpcc_eng.pdf" TargetMode="External"/><Relationship Id="rId26" Type="http://schemas.openxmlformats.org/officeDocument/2006/relationships/hyperlink" Target="https://www.fcx.com/sustainability/people/grievance-mechanism" TargetMode="External"/><Relationship Id="rId39" Type="http://schemas.openxmlformats.org/officeDocument/2006/relationships/hyperlink" Target="https://www.fcx.com/sites/fcx/files/documents/sustainability/2021-Climate-Report.pdf" TargetMode="External"/><Relationship Id="rId21" Type="http://schemas.openxmlformats.org/officeDocument/2006/relationships/hyperlink" Target="https://www.fcx.com/sustainability/environment/tailings-americas" TargetMode="External"/><Relationship Id="rId34" Type="http://schemas.openxmlformats.org/officeDocument/2006/relationships/hyperlink" Target="https://www.fcx.com/about/political-activity-and-spending" TargetMode="External"/><Relationship Id="rId7" Type="http://schemas.openxmlformats.org/officeDocument/2006/relationships/hyperlink" Target="https://fcx.com/sites/fcx/files/documents/sustainability/tsf_inventory_data.pdf" TargetMode="External"/><Relationship Id="rId12" Type="http://schemas.openxmlformats.org/officeDocument/2006/relationships/hyperlink" Target="https://www.fcx.com/sustainability/people/impacts" TargetMode="External"/><Relationship Id="rId17" Type="http://schemas.openxmlformats.org/officeDocument/2006/relationships/hyperlink" Target="https://www.fcx.com/sites/fcx/files/documents/policies/tailings-policy.pdf?d=20211209" TargetMode="External"/><Relationship Id="rId25" Type="http://schemas.openxmlformats.org/officeDocument/2006/relationships/hyperlink" Target="https://www.fcx.com/index.php/sustainability/governance/security-human-rights" TargetMode="External"/><Relationship Id="rId33" Type="http://schemas.openxmlformats.org/officeDocument/2006/relationships/hyperlink" Target="https://www.fcx.com/sites/fcx/files/documents/corp_gov/corp_respons_comm.pdf" TargetMode="External"/><Relationship Id="rId38" Type="http://schemas.openxmlformats.org/officeDocument/2006/relationships/hyperlink" Target="https://performancemanager4.successfactors.com/freeportmc/benefits_overview%202023_FINAL.pdf" TargetMode="External"/><Relationship Id="rId2" Type="http://schemas.openxmlformats.org/officeDocument/2006/relationships/hyperlink" Target="https://www.fcx.com/sites/fcx/files/documents/corp_gov/corp_gov_guidelines.pdf" TargetMode="External"/><Relationship Id="rId16" Type="http://schemas.openxmlformats.org/officeDocument/2006/relationships/hyperlink" Target="https://www.fcx.com/sites/fcx/files/documents/sustainability/vol_principle_2021.pdf" TargetMode="External"/><Relationship Id="rId20" Type="http://schemas.openxmlformats.org/officeDocument/2006/relationships/hyperlink" Target="https://www.fcx.com/sustainability/environment/tailings-indonesia" TargetMode="External"/><Relationship Id="rId29" Type="http://schemas.openxmlformats.org/officeDocument/2006/relationships/hyperlink" Target="https://www.fcx.com/suppliers/overview" TargetMode="External"/><Relationship Id="rId1" Type="http://schemas.openxmlformats.org/officeDocument/2006/relationships/hyperlink" Target="https://www.fcx.com/sites/fcx/files/documents/policies/com_pol.pdf" TargetMode="External"/><Relationship Id="rId6" Type="http://schemas.openxmlformats.org/officeDocument/2006/relationships/hyperlink" Target="https://www.fcx.com/sites/fcx/files/documents/policies/ResponsibleSourcingofMineralsPolicy.pdf" TargetMode="External"/><Relationship Id="rId11" Type="http://schemas.openxmlformats.org/officeDocument/2006/relationships/hyperlink" Target="https://www.fcx.com/sites/fcx/files/documents/sustainability/2021_OECD-step5_report.pdf" TargetMode="External"/><Relationship Id="rId24" Type="http://schemas.openxmlformats.org/officeDocument/2006/relationships/hyperlink" Target="https://www.fcx.com/sustainability/governance/embedding-respect" TargetMode="External"/><Relationship Id="rId32" Type="http://schemas.openxmlformats.org/officeDocument/2006/relationships/hyperlink" Target="https://www.fcx.com/sites/fcx/files/documents/sustainability/HRIA-methodology.pdf" TargetMode="External"/><Relationship Id="rId37" Type="http://schemas.openxmlformats.org/officeDocument/2006/relationships/hyperlink" Target="https://www.fcx.com/sites/fcx/files/documents/sustainability/2019-water-report.pdf" TargetMode="External"/><Relationship Id="rId40" Type="http://schemas.openxmlformats.org/officeDocument/2006/relationships/printerSettings" Target="../printerSettings/printerSettings3.bin"/><Relationship Id="rId5" Type="http://schemas.openxmlformats.org/officeDocument/2006/relationships/hyperlink" Target="https://www.fcx.com/sites/fcx/files/documents/policies/Principles_Business_Conduct-english.pdf" TargetMode="External"/><Relationship Id="rId15" Type="http://schemas.openxmlformats.org/officeDocument/2006/relationships/hyperlink" Target="https://www.fcx.com/sites/fcx/files/documents/sustainability/2022-annual-report-on-sustainability.pdf" TargetMode="External"/><Relationship Id="rId23" Type="http://schemas.openxmlformats.org/officeDocument/2006/relationships/hyperlink" Target="https://www.fcx.com/sustainability/governance/due-diligence" TargetMode="External"/><Relationship Id="rId28" Type="http://schemas.openxmlformats.org/officeDocument/2006/relationships/hyperlink" Target="https://www.fcx.com/sustainability/people/economic-impact" TargetMode="External"/><Relationship Id="rId36" Type="http://schemas.openxmlformats.org/officeDocument/2006/relationships/hyperlink" Target="https://www.fcx.com/careers" TargetMode="External"/><Relationship Id="rId10" Type="http://schemas.openxmlformats.org/officeDocument/2006/relationships/hyperlink" Target="https://www.fcx.com/sustainability/people/land-use" TargetMode="External"/><Relationship Id="rId19" Type="http://schemas.openxmlformats.org/officeDocument/2006/relationships/hyperlink" Target="https://www.fcx.com/sites/fcx/files/documents/sustainability/UK_Modern_Slavery_Act_Statement_2021.pdf" TargetMode="External"/><Relationship Id="rId31" Type="http://schemas.openxmlformats.org/officeDocument/2006/relationships/hyperlink" Target="https://www.fcx.com/sustainability/reports/audits_assessments" TargetMode="External"/><Relationship Id="rId4" Type="http://schemas.openxmlformats.org/officeDocument/2006/relationships/hyperlink" Target="https://www.fcx.com/sites/fcx/files/documents/policies/hr_policy.pdf" TargetMode="External"/><Relationship Id="rId9" Type="http://schemas.openxmlformats.org/officeDocument/2006/relationships/hyperlink" Target="https://www.fcx.com/sustainability/reports-and-documents" TargetMode="External"/><Relationship Id="rId14" Type="http://schemas.openxmlformats.org/officeDocument/2006/relationships/hyperlink" Target="https://s22.q4cdn.com/529358580/files/doc_financials/proxy/FCX_Prox_2023.pdf" TargetMode="External"/><Relationship Id="rId22" Type="http://schemas.openxmlformats.org/officeDocument/2006/relationships/hyperlink" Target="https://www.fcx.com/sustainability/environment/ptfi-external-audits" TargetMode="External"/><Relationship Id="rId27" Type="http://schemas.openxmlformats.org/officeDocument/2006/relationships/hyperlink" Target="https://www.freeportinmycommunity.com/" TargetMode="External"/><Relationship Id="rId30" Type="http://schemas.openxmlformats.org/officeDocument/2006/relationships/hyperlink" Target="https://www.fcx.com/suppliers/commodity-management" TargetMode="External"/><Relationship Id="rId35" Type="http://schemas.openxmlformats.org/officeDocument/2006/relationships/hyperlink" Target="https://www.fcx.com/sites/fcx/files/documents/policies/Anti-Corruption_Policy.pdf" TargetMode="External"/><Relationship Id="rId8" Type="http://schemas.openxmlformats.org/officeDocument/2006/relationships/hyperlink" Target="https://s22.q4cdn.com/529358580/files/doc_financials/10-K/10_k2022.pdf" TargetMode="External"/><Relationship Id="rId3" Type="http://schemas.openxmlformats.org/officeDocument/2006/relationships/hyperlink" Target="https://www.fcx.com/sites/fcx/files/documents/policies/envi_pol.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B64A0-996B-481A-8284-8C6886D57C0D}">
  <sheetPr codeName="Sheet1">
    <pageSetUpPr fitToPage="1"/>
  </sheetPr>
  <dimension ref="A1:AM100"/>
  <sheetViews>
    <sheetView zoomScale="85" zoomScaleNormal="85" workbookViewId="0">
      <pane xSplit="1" ySplit="5" topLeftCell="B6" activePane="bottomRight" state="frozen"/>
      <selection activeCell="B7" sqref="B7:O7"/>
      <selection pane="topRight" activeCell="B7" sqref="B7:O7"/>
      <selection pane="bottomLeft" activeCell="B7" sqref="B7:O7"/>
      <selection pane="bottomRight" activeCell="R7" sqref="R7"/>
    </sheetView>
  </sheetViews>
  <sheetFormatPr baseColWidth="10" defaultColWidth="8.85546875" defaultRowHeight="15" x14ac:dyDescent="0.25"/>
  <cols>
    <col min="1" max="1" width="9.140625" customWidth="1"/>
    <col min="2" max="2" width="16.28515625" customWidth="1"/>
    <col min="3" max="3" width="14.140625" customWidth="1"/>
    <col min="4" max="15" width="11.140625" customWidth="1"/>
  </cols>
  <sheetData>
    <row r="1" spans="1:39" x14ac:dyDescent="0.25">
      <c r="A1" s="5"/>
      <c r="B1" s="170"/>
      <c r="C1" s="170"/>
      <c r="D1" s="170"/>
      <c r="E1" s="170"/>
      <c r="F1" s="170"/>
      <c r="G1" s="170"/>
      <c r="H1" s="170"/>
      <c r="I1" s="170"/>
      <c r="J1" s="170"/>
      <c r="K1" s="170"/>
      <c r="L1" s="170"/>
      <c r="M1" s="170"/>
      <c r="N1" s="170"/>
      <c r="O1" s="170"/>
      <c r="P1" s="5"/>
      <c r="Q1" s="5"/>
      <c r="R1" s="5"/>
      <c r="S1" s="5"/>
      <c r="T1" s="5"/>
      <c r="U1" s="5"/>
      <c r="V1" s="5"/>
      <c r="W1" s="5"/>
      <c r="X1" s="5"/>
      <c r="Y1" s="5"/>
      <c r="Z1" s="5"/>
      <c r="AA1" s="5"/>
      <c r="AB1" s="5"/>
      <c r="AC1" s="5"/>
      <c r="AD1" s="5"/>
      <c r="AE1" s="5"/>
      <c r="AF1" s="5"/>
      <c r="AG1" s="5"/>
      <c r="AH1" s="5"/>
      <c r="AI1" s="5"/>
      <c r="AJ1" s="5"/>
      <c r="AK1" s="5"/>
      <c r="AL1" s="5"/>
      <c r="AM1" s="5"/>
    </row>
    <row r="2" spans="1:39" x14ac:dyDescent="0.25">
      <c r="A2" s="5"/>
      <c r="B2" s="170"/>
      <c r="C2" s="170"/>
      <c r="D2" s="170"/>
      <c r="E2" s="170"/>
      <c r="F2" s="170"/>
      <c r="G2" s="170"/>
      <c r="H2" s="170"/>
      <c r="I2" s="170"/>
      <c r="J2" s="170"/>
      <c r="K2" s="170"/>
      <c r="L2" s="170"/>
      <c r="M2" s="170"/>
      <c r="N2" s="170"/>
      <c r="O2" s="170"/>
      <c r="Q2" s="5"/>
      <c r="R2" s="5"/>
      <c r="S2" s="5"/>
      <c r="T2" s="5"/>
      <c r="U2" s="5"/>
      <c r="V2" s="5"/>
      <c r="W2" s="5"/>
      <c r="X2" s="5"/>
      <c r="Y2" s="5"/>
      <c r="Z2" s="5"/>
      <c r="AA2" s="5"/>
      <c r="AB2" s="5"/>
      <c r="AC2" s="5"/>
      <c r="AD2" s="5"/>
      <c r="AE2" s="5"/>
      <c r="AF2" s="5"/>
      <c r="AG2" s="5"/>
      <c r="AH2" s="5"/>
      <c r="AI2" s="5"/>
      <c r="AJ2" s="5"/>
      <c r="AK2" s="5"/>
      <c r="AL2" s="5"/>
      <c r="AM2" s="5"/>
    </row>
    <row r="3" spans="1:39" ht="49.5" customHeight="1" x14ac:dyDescent="0.35">
      <c r="A3" s="5"/>
      <c r="B3" s="994" t="s">
        <v>190</v>
      </c>
      <c r="C3" s="994"/>
      <c r="D3" s="994"/>
      <c r="E3" s="994"/>
      <c r="F3" s="994"/>
      <c r="G3" s="994"/>
      <c r="H3" s="994"/>
      <c r="I3" s="994"/>
      <c r="J3" s="994"/>
      <c r="K3" s="994"/>
      <c r="L3" s="994"/>
      <c r="M3" s="994"/>
      <c r="N3" s="994"/>
      <c r="O3" s="994"/>
      <c r="P3" s="5"/>
      <c r="Q3" s="5"/>
      <c r="R3" s="5"/>
      <c r="S3" s="5"/>
      <c r="T3" s="5"/>
      <c r="U3" s="5"/>
      <c r="V3" s="5"/>
      <c r="W3" s="5"/>
      <c r="X3" s="5"/>
      <c r="Y3" s="5"/>
      <c r="Z3" s="5"/>
      <c r="AA3" s="5"/>
      <c r="AB3" s="5"/>
      <c r="AC3" s="5"/>
      <c r="AD3" s="5"/>
      <c r="AE3" s="5"/>
      <c r="AF3" s="5"/>
      <c r="AG3" s="5"/>
      <c r="AH3" s="5"/>
      <c r="AI3" s="5"/>
      <c r="AJ3" s="5"/>
      <c r="AK3" s="5"/>
      <c r="AL3" s="5"/>
      <c r="AM3" s="5"/>
    </row>
    <row r="4" spans="1:39" ht="19.5" customHeight="1" x14ac:dyDescent="0.35">
      <c r="A4" s="5"/>
      <c r="B4" s="171"/>
      <c r="C4" s="171"/>
      <c r="D4" s="171"/>
      <c r="E4" s="171"/>
      <c r="F4" s="171"/>
      <c r="G4" s="171"/>
      <c r="H4" s="171"/>
      <c r="I4" s="171"/>
      <c r="J4" s="171"/>
      <c r="K4" s="171"/>
      <c r="L4" s="171"/>
      <c r="M4" s="171"/>
      <c r="N4" s="171"/>
      <c r="O4" s="171"/>
      <c r="P4" s="5"/>
      <c r="Q4" s="5"/>
      <c r="R4" s="5"/>
      <c r="S4" s="5"/>
      <c r="T4" s="5"/>
      <c r="U4" s="5"/>
      <c r="V4" s="5"/>
      <c r="W4" s="5"/>
      <c r="X4" s="5"/>
      <c r="Y4" s="5"/>
      <c r="Z4" s="5"/>
      <c r="AA4" s="5"/>
      <c r="AB4" s="5"/>
      <c r="AC4" s="5"/>
      <c r="AD4" s="5"/>
      <c r="AE4" s="5"/>
      <c r="AF4" s="5"/>
      <c r="AG4" s="5"/>
      <c r="AH4" s="5"/>
      <c r="AI4" s="5"/>
      <c r="AJ4" s="5"/>
      <c r="AK4" s="5"/>
      <c r="AL4" s="5"/>
      <c r="AM4" s="5"/>
    </row>
    <row r="5" spans="1:39" ht="21" x14ac:dyDescent="0.35">
      <c r="A5" s="5"/>
      <c r="B5" s="172" t="s">
        <v>191</v>
      </c>
      <c r="C5" s="360">
        <v>45183</v>
      </c>
      <c r="D5" s="173"/>
      <c r="E5" s="170"/>
      <c r="F5" s="170"/>
      <c r="G5" s="170"/>
      <c r="H5" s="170"/>
      <c r="I5" s="170"/>
      <c r="J5" s="170"/>
      <c r="K5" s="170"/>
      <c r="L5" s="170"/>
      <c r="M5" s="170"/>
      <c r="N5" s="170"/>
      <c r="O5" s="170"/>
      <c r="P5" s="174"/>
      <c r="Q5" s="5"/>
      <c r="R5" s="5"/>
      <c r="S5" s="5"/>
      <c r="T5" s="5"/>
      <c r="U5" s="5"/>
      <c r="V5" s="5"/>
      <c r="W5" s="5"/>
      <c r="X5" s="5"/>
      <c r="Y5" s="5"/>
      <c r="Z5" s="5"/>
      <c r="AA5" s="5"/>
      <c r="AB5" s="5"/>
      <c r="AC5" s="5"/>
      <c r="AD5" s="5"/>
      <c r="AE5" s="5"/>
      <c r="AF5" s="5"/>
      <c r="AG5" s="5"/>
      <c r="AH5" s="5"/>
      <c r="AI5" s="5"/>
      <c r="AJ5" s="5"/>
      <c r="AK5" s="5"/>
      <c r="AL5" s="5"/>
      <c r="AM5" s="5"/>
    </row>
    <row r="6" spans="1:39" ht="16.5" x14ac:dyDescent="0.3">
      <c r="A6" s="5"/>
      <c r="B6" s="175"/>
      <c r="C6" s="17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row>
    <row r="7" spans="1:39" ht="409.5" customHeight="1" x14ac:dyDescent="0.25">
      <c r="A7" s="5"/>
      <c r="B7" s="995" t="s">
        <v>1025</v>
      </c>
      <c r="C7" s="995"/>
      <c r="D7" s="995"/>
      <c r="E7" s="995"/>
      <c r="F7" s="995"/>
      <c r="G7" s="995"/>
      <c r="H7" s="995"/>
      <c r="I7" s="995"/>
      <c r="J7" s="995"/>
      <c r="K7" s="995"/>
      <c r="L7" s="995"/>
      <c r="M7" s="995"/>
      <c r="N7" s="995"/>
      <c r="O7" s="995"/>
      <c r="P7" s="5"/>
      <c r="Q7" s="176"/>
      <c r="R7" s="5"/>
      <c r="S7" s="5"/>
      <c r="T7" s="5"/>
      <c r="U7" s="5"/>
      <c r="V7" s="5"/>
      <c r="W7" s="5"/>
      <c r="X7" s="5"/>
      <c r="Y7" s="5"/>
      <c r="Z7" s="5"/>
      <c r="AA7" s="5"/>
      <c r="AB7" s="5"/>
      <c r="AC7" s="5"/>
      <c r="AD7" s="5"/>
      <c r="AE7" s="5"/>
      <c r="AF7" s="5"/>
      <c r="AG7" s="5"/>
      <c r="AH7" s="5"/>
      <c r="AI7" s="5"/>
      <c r="AJ7" s="5"/>
      <c r="AK7" s="5"/>
      <c r="AL7" s="5"/>
      <c r="AM7" s="5"/>
    </row>
    <row r="8" spans="1:39" ht="409.6" customHeight="1" x14ac:dyDescent="0.25">
      <c r="A8" s="5"/>
      <c r="B8" s="996" t="s">
        <v>1028</v>
      </c>
      <c r="C8" s="996"/>
      <c r="D8" s="996"/>
      <c r="E8" s="996"/>
      <c r="F8" s="996"/>
      <c r="G8" s="996"/>
      <c r="H8" s="996"/>
      <c r="I8" s="996"/>
      <c r="J8" s="996"/>
      <c r="K8" s="996"/>
      <c r="L8" s="996"/>
      <c r="M8" s="996"/>
      <c r="N8" s="996"/>
      <c r="O8" s="996"/>
      <c r="P8" s="5"/>
      <c r="Q8" s="5"/>
      <c r="R8" s="5"/>
      <c r="S8" s="5"/>
      <c r="T8" s="5"/>
      <c r="U8" s="5"/>
      <c r="V8" s="5"/>
      <c r="W8" s="5"/>
      <c r="X8" s="5"/>
      <c r="Y8" s="5"/>
      <c r="Z8" s="5"/>
      <c r="AA8" s="5"/>
      <c r="AB8" s="5"/>
      <c r="AC8" s="5"/>
      <c r="AD8" s="5"/>
      <c r="AE8" s="5"/>
      <c r="AF8" s="5"/>
      <c r="AG8" s="5"/>
      <c r="AH8" s="5"/>
      <c r="AI8" s="5"/>
      <c r="AJ8" s="5"/>
      <c r="AK8" s="5"/>
      <c r="AL8" s="5"/>
      <c r="AM8" s="5"/>
    </row>
    <row r="9" spans="1:39" x14ac:dyDescent="0.2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row>
    <row r="10" spans="1:39"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row>
    <row r="11" spans="1:39"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row>
    <row r="12" spans="1:39"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row>
    <row r="13" spans="1:39"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row>
    <row r="14" spans="1:39"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row>
    <row r="15" spans="1:39"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row>
    <row r="16" spans="1:39"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row>
    <row r="17" spans="1:39"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row>
    <row r="19" spans="1:39"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row>
    <row r="20" spans="1:39"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row>
    <row r="21" spans="1:39"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row>
    <row r="22" spans="1:39"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row>
    <row r="23" spans="1:39"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row>
    <row r="24" spans="1:39"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row>
    <row r="25" spans="1:39"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row>
    <row r="26" spans="1:39"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row>
    <row r="27" spans="1:39"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row>
    <row r="28" spans="1:39"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row>
    <row r="29" spans="1:39"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row>
    <row r="30" spans="1:39"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row>
    <row r="31" spans="1:39" x14ac:dyDescent="0.2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row>
    <row r="32" spans="1:39"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row>
    <row r="33" spans="1:39"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row>
    <row r="34" spans="1:39"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row>
    <row r="35" spans="1:39"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row>
    <row r="36" spans="1:39"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row>
    <row r="37" spans="1:39"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row>
    <row r="38" spans="1:39"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row>
    <row r="39" spans="1:39"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row>
    <row r="40" spans="1:39"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row>
    <row r="41" spans="1:39"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row>
    <row r="42" spans="1:39"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row>
    <row r="43" spans="1:39"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row>
    <row r="44" spans="1:39"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row>
    <row r="45" spans="1:39"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row>
    <row r="46" spans="1:39"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row>
    <row r="47" spans="1:39"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row>
    <row r="48" spans="1:39"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row>
    <row r="49" spans="1:39"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row>
    <row r="50" spans="1:39"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row>
    <row r="51" spans="1:39"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row>
    <row r="52" spans="1:39"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row>
    <row r="53" spans="1:39"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row>
    <row r="54" spans="1:39"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row>
    <row r="55" spans="1:39"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row>
    <row r="56" spans="1:39"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row>
    <row r="57" spans="1:39"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row>
    <row r="58" spans="1:39"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row>
    <row r="59" spans="1:39"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row>
    <row r="60" spans="1:39"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row>
    <row r="61" spans="1:39"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row>
    <row r="62" spans="1:39"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row>
    <row r="63" spans="1:39"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row>
    <row r="64" spans="1:39"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row>
    <row r="65" spans="1:39"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row>
    <row r="66" spans="1:39"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row>
    <row r="67" spans="1:39"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row>
    <row r="68" spans="1:39"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row>
    <row r="69" spans="1:39"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row>
    <row r="70" spans="1:39"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row>
    <row r="71" spans="1:39"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row>
    <row r="72" spans="1:39"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row>
    <row r="73" spans="1:39"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row>
    <row r="74" spans="1:39"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row>
    <row r="75" spans="1:39"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row>
    <row r="76" spans="1:39"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row>
    <row r="77" spans="1:39"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row>
    <row r="78" spans="1:39"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row>
    <row r="79" spans="1:39"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row>
    <row r="80" spans="1:39"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row>
    <row r="81" spans="1:39"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row>
    <row r="82" spans="1:39"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row>
    <row r="83" spans="1:39"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row>
    <row r="84" spans="1:39"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row>
    <row r="85" spans="1:39"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row>
    <row r="86" spans="1:39"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row>
    <row r="87" spans="1:39"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row>
    <row r="88" spans="1:39"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row>
    <row r="89" spans="1:39"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row>
    <row r="90" spans="1:39"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row>
    <row r="91" spans="1:39"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row>
    <row r="92" spans="1:39"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row>
    <row r="93" spans="1:39"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row>
    <row r="94" spans="1:39"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row>
    <row r="95" spans="1:39"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row>
    <row r="96" spans="1:39"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row>
    <row r="97" spans="1:39"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row>
    <row r="98" spans="1:39"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row>
    <row r="99" spans="1:39"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row>
    <row r="100" spans="1:39"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row>
  </sheetData>
  <sheetProtection algorithmName="SHA-512" hashValue="4DBwhnxUQKytEzqetgIjtpdj2xArZj1z54LgS8X5+3qXdCK27o7rGnLNOhgr8DtXgx89U5vr+PcUCULNBXd3mA==" saltValue="qDQzncwbeBZ5MDIB2c5Ezw==" spinCount="100000" sheet="1" objects="1" scenarios="1"/>
  <mergeCells count="3">
    <mergeCell ref="B3:O3"/>
    <mergeCell ref="B7:O7"/>
    <mergeCell ref="B8:O8"/>
  </mergeCells>
  <printOptions horizontalCentered="1"/>
  <pageMargins left="0.25" right="0.25" top="0.75" bottom="0.75" header="0.3" footer="0.3"/>
  <pageSetup scale="82" orientation="landscape" r:id="rId1"/>
  <headerFooter>
    <oddFooter>&amp;C&amp;"Century Gothic,Regular"&amp;9Page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CB3FD-9320-452F-AFB0-D799C642C4E8}">
  <sheetPr codeName="Sheet2"/>
  <dimension ref="A1:M52"/>
  <sheetViews>
    <sheetView zoomScale="130" zoomScaleNormal="130" workbookViewId="0">
      <pane ySplit="1" topLeftCell="A2" activePane="bottomLeft" state="frozen"/>
      <selection activeCell="B7" sqref="B7:O7"/>
      <selection pane="bottomLeft" activeCell="A2" sqref="A2"/>
    </sheetView>
  </sheetViews>
  <sheetFormatPr baseColWidth="10" defaultColWidth="9.140625" defaultRowHeight="15" x14ac:dyDescent="0.25"/>
  <cols>
    <col min="1" max="1" width="46.28515625" style="262" customWidth="1"/>
    <col min="2" max="6" width="23.28515625" customWidth="1"/>
    <col min="9" max="10" width="8.85546875" hidden="1" customWidth="1"/>
  </cols>
  <sheetData>
    <row r="1" spans="1:13" ht="19.5" x14ac:dyDescent="0.25">
      <c r="A1" s="274" t="s">
        <v>553</v>
      </c>
      <c r="B1" s="5"/>
      <c r="C1" s="5"/>
      <c r="D1" s="5"/>
      <c r="E1" s="5"/>
      <c r="F1" s="5"/>
      <c r="G1" s="5"/>
      <c r="H1" s="5"/>
      <c r="I1" s="276"/>
      <c r="J1" s="275"/>
      <c r="K1" s="5"/>
      <c r="L1" s="5"/>
      <c r="M1" s="5"/>
    </row>
    <row r="2" spans="1:13" ht="21" x14ac:dyDescent="0.35">
      <c r="A2" s="272" t="str">
        <f>HYPERLINK("#'"&amp;J2&amp;"'!A1",J2)</f>
        <v>About</v>
      </c>
      <c r="B2" s="174"/>
      <c r="C2" s="5"/>
      <c r="D2" s="5"/>
      <c r="E2" s="5"/>
      <c r="F2" s="5"/>
      <c r="G2" s="5"/>
      <c r="H2" s="5"/>
      <c r="I2" s="276">
        <v>1</v>
      </c>
      <c r="J2" s="275" t="str">
        <f>INDEX(SheetNames,I2)</f>
        <v>About</v>
      </c>
      <c r="K2" s="5"/>
      <c r="L2" s="5"/>
      <c r="M2" s="5"/>
    </row>
    <row r="3" spans="1:13" ht="21" x14ac:dyDescent="0.35">
      <c r="A3" s="272" t="str">
        <f>HYPERLINK("#'"&amp;J3&amp;"'!A1",J3)</f>
        <v>References</v>
      </c>
      <c r="B3" s="174"/>
      <c r="C3" s="5"/>
      <c r="D3" s="5"/>
      <c r="E3" s="5"/>
      <c r="F3" s="5"/>
      <c r="G3" s="5"/>
      <c r="H3" s="5"/>
      <c r="I3" s="276">
        <v>3</v>
      </c>
      <c r="J3" s="275" t="str">
        <f>INDEX(SheetNames,I3)</f>
        <v>References</v>
      </c>
      <c r="K3" s="5"/>
      <c r="L3" s="5"/>
      <c r="M3" s="5"/>
    </row>
    <row r="4" spans="1:13" ht="19.5" x14ac:dyDescent="0.25">
      <c r="A4" s="260" t="s">
        <v>554</v>
      </c>
      <c r="B4" s="5"/>
      <c r="C4" s="5"/>
      <c r="D4" s="5"/>
      <c r="E4" s="5"/>
      <c r="F4" s="5"/>
      <c r="G4" s="5"/>
      <c r="H4" s="5"/>
      <c r="I4" s="276"/>
      <c r="J4" s="275"/>
      <c r="K4" s="5"/>
      <c r="L4" s="5"/>
      <c r="M4" s="5"/>
    </row>
    <row r="5" spans="1:13" ht="19.5" x14ac:dyDescent="0.25">
      <c r="A5" s="272" t="str">
        <f t="shared" ref="A5:A27" si="0">HYPERLINK("#'"&amp;J5&amp;"'!A1",J5)</f>
        <v>Health &amp; Safety</v>
      </c>
      <c r="B5" s="5"/>
      <c r="C5" s="5"/>
      <c r="D5" s="5"/>
      <c r="E5" s="5"/>
      <c r="F5" s="5"/>
      <c r="G5" s="5"/>
      <c r="H5" s="5"/>
      <c r="I5" s="276">
        <f>I3+1</f>
        <v>4</v>
      </c>
      <c r="J5" s="275" t="str">
        <f>INDEX(SheetNames,I5)</f>
        <v>Health &amp; Safety</v>
      </c>
      <c r="K5" s="5"/>
      <c r="L5" s="5"/>
      <c r="M5" s="5"/>
    </row>
    <row r="6" spans="1:13" ht="19.5" x14ac:dyDescent="0.25">
      <c r="A6" s="272" t="str">
        <f t="shared" si="0"/>
        <v>Workforce</v>
      </c>
      <c r="B6" s="5"/>
      <c r="C6" s="5"/>
      <c r="D6" s="5"/>
      <c r="E6" s="5"/>
      <c r="F6" s="5"/>
      <c r="G6" s="5"/>
      <c r="H6" s="5"/>
      <c r="I6" s="276">
        <f>I5+1</f>
        <v>5</v>
      </c>
      <c r="J6" s="275" t="str">
        <f>INDEX(SheetNames,I6)</f>
        <v>Workforce</v>
      </c>
      <c r="K6" s="5"/>
      <c r="L6" s="5"/>
      <c r="M6" s="5"/>
    </row>
    <row r="7" spans="1:13" ht="19.5" x14ac:dyDescent="0.25">
      <c r="A7" s="272" t="str">
        <f t="shared" si="0"/>
        <v>2022 U.S. Employee Data EEO-1</v>
      </c>
      <c r="B7" s="5"/>
      <c r="C7" s="5"/>
      <c r="D7" s="5"/>
      <c r="E7" s="5"/>
      <c r="F7" s="5"/>
      <c r="G7" s="5"/>
      <c r="H7" s="5"/>
      <c r="I7" s="276">
        <f t="shared" ref="I7:I15" si="1">I6+1</f>
        <v>6</v>
      </c>
      <c r="J7" s="275" t="str">
        <f>INDEX(SheetNames,I7)</f>
        <v>2022 U.S. Employee Data EEO-1</v>
      </c>
      <c r="K7" s="5"/>
      <c r="L7" s="5"/>
      <c r="M7" s="5"/>
    </row>
    <row r="8" spans="1:13" ht="19.5" x14ac:dyDescent="0.25">
      <c r="A8" s="272" t="str">
        <f t="shared" si="0"/>
        <v>Communities</v>
      </c>
      <c r="B8" s="5"/>
      <c r="C8" s="5"/>
      <c r="D8" s="5"/>
      <c r="E8" s="5"/>
      <c r="F8" s="5"/>
      <c r="G8" s="5"/>
      <c r="H8" s="5"/>
      <c r="I8" s="276">
        <f t="shared" si="1"/>
        <v>7</v>
      </c>
      <c r="J8" s="275" t="str">
        <f>INDEX(SheetNames,I8)</f>
        <v>Communities</v>
      </c>
      <c r="K8" s="5"/>
      <c r="L8" s="5"/>
      <c r="M8" s="5"/>
    </row>
    <row r="9" spans="1:13" ht="19.5" x14ac:dyDescent="0.25">
      <c r="A9" s="272" t="str">
        <f t="shared" si="0"/>
        <v>Key Economic Contributions</v>
      </c>
      <c r="B9" s="5"/>
      <c r="C9" s="5"/>
      <c r="D9" s="5"/>
      <c r="E9" s="5"/>
      <c r="F9" s="5"/>
      <c r="G9" s="5"/>
      <c r="H9" s="5"/>
      <c r="I9" s="276">
        <f t="shared" si="1"/>
        <v>8</v>
      </c>
      <c r="J9" s="275" t="str">
        <f>INDEX(SheetNames,I9)</f>
        <v>Key Economic Contributions</v>
      </c>
      <c r="K9" s="5"/>
      <c r="L9" s="5"/>
      <c r="M9" s="5"/>
    </row>
    <row r="10" spans="1:13" ht="19.5" x14ac:dyDescent="0.25">
      <c r="A10" s="272" t="str">
        <f t="shared" si="0"/>
        <v>Cash Payments to Governments</v>
      </c>
      <c r="B10" s="5"/>
      <c r="C10" s="5"/>
      <c r="D10" s="5"/>
      <c r="E10" s="5"/>
      <c r="F10" s="5"/>
      <c r="G10" s="5"/>
      <c r="H10" s="5"/>
      <c r="I10" s="276">
        <f t="shared" si="1"/>
        <v>9</v>
      </c>
      <c r="J10" s="275" t="str">
        <f t="shared" ref="J10:J26" si="2">INDEX(SheetNames,I10)</f>
        <v>Cash Payments to Governments</v>
      </c>
      <c r="K10" s="5"/>
      <c r="L10" s="5"/>
      <c r="M10" s="5"/>
    </row>
    <row r="11" spans="1:13" ht="19.5" x14ac:dyDescent="0.25">
      <c r="A11" s="272" t="str">
        <f t="shared" si="0"/>
        <v>Economic Value Contributed</v>
      </c>
      <c r="B11" s="5"/>
      <c r="C11" s="5"/>
      <c r="D11" s="5"/>
      <c r="E11" s="5"/>
      <c r="F11" s="5"/>
      <c r="G11" s="5"/>
      <c r="H11" s="5"/>
      <c r="I11" s="276">
        <f>I10+1</f>
        <v>10</v>
      </c>
      <c r="J11" s="275" t="str">
        <f t="shared" si="2"/>
        <v>Economic Value Contributed</v>
      </c>
      <c r="K11" s="5"/>
      <c r="L11" s="5"/>
      <c r="M11" s="5"/>
    </row>
    <row r="12" spans="1:13" ht="19.5" x14ac:dyDescent="0.25">
      <c r="A12" s="260" t="s">
        <v>0</v>
      </c>
      <c r="B12" s="5"/>
      <c r="C12" s="5"/>
      <c r="D12" s="5"/>
      <c r="E12" s="5"/>
      <c r="F12" s="5"/>
      <c r="G12" s="5"/>
      <c r="H12" s="5"/>
      <c r="I12" s="276"/>
      <c r="J12" s="275"/>
      <c r="K12" s="5"/>
      <c r="L12" s="5"/>
      <c r="M12" s="5"/>
    </row>
    <row r="13" spans="1:13" ht="19.5" x14ac:dyDescent="0.25">
      <c r="A13" s="272" t="str">
        <f t="shared" si="0"/>
        <v>Human Rights</v>
      </c>
      <c r="B13" s="5"/>
      <c r="C13" s="5"/>
      <c r="D13" s="5"/>
      <c r="E13" s="5"/>
      <c r="F13" s="5"/>
      <c r="G13" s="5"/>
      <c r="H13" s="5"/>
      <c r="I13" s="276">
        <f>I11+1</f>
        <v>11</v>
      </c>
      <c r="J13" s="275" t="str">
        <f t="shared" si="2"/>
        <v>Human Rights</v>
      </c>
      <c r="K13" s="5"/>
      <c r="L13" s="5"/>
      <c r="M13" s="5"/>
    </row>
    <row r="14" spans="1:13" ht="19.5" x14ac:dyDescent="0.25">
      <c r="A14" s="272" t="str">
        <f t="shared" si="0"/>
        <v>Business Ethics</v>
      </c>
      <c r="B14" s="5"/>
      <c r="C14" s="5"/>
      <c r="D14" s="5"/>
      <c r="E14" s="5"/>
      <c r="F14" s="5"/>
      <c r="G14" s="5"/>
      <c r="H14" s="5"/>
      <c r="I14" s="276">
        <f t="shared" si="1"/>
        <v>12</v>
      </c>
      <c r="J14" s="275" t="str">
        <f t="shared" si="2"/>
        <v>Business Ethics</v>
      </c>
      <c r="K14" s="5"/>
      <c r="L14" s="5"/>
      <c r="M14" s="5"/>
    </row>
    <row r="15" spans="1:13" ht="19.5" x14ac:dyDescent="0.25">
      <c r="A15" s="272" t="str">
        <f t="shared" si="0"/>
        <v>Procurement Spend Distribution</v>
      </c>
      <c r="B15" s="5"/>
      <c r="C15" s="5"/>
      <c r="D15" s="5"/>
      <c r="E15" s="5"/>
      <c r="F15" s="5"/>
      <c r="G15" s="5"/>
      <c r="H15" s="5"/>
      <c r="I15" s="276">
        <f t="shared" si="1"/>
        <v>13</v>
      </c>
      <c r="J15" s="275" t="str">
        <f t="shared" si="2"/>
        <v>Procurement Spend Distribution</v>
      </c>
      <c r="K15" s="5"/>
      <c r="L15" s="5"/>
      <c r="M15" s="5"/>
    </row>
    <row r="16" spans="1:13" ht="19.5" x14ac:dyDescent="0.25">
      <c r="A16" s="272" t="str">
        <f>HYPERLINK("#'"&amp;J16&amp;"'!A1",J16)</f>
        <v>Procurement - by site</v>
      </c>
      <c r="B16" s="5"/>
      <c r="C16" s="5"/>
      <c r="D16" s="5"/>
      <c r="E16" s="5"/>
      <c r="F16" s="5"/>
      <c r="G16" s="5"/>
      <c r="H16" s="5"/>
      <c r="I16" s="276">
        <f>I15+1</f>
        <v>14</v>
      </c>
      <c r="J16" s="275" t="str">
        <f t="shared" ref="J16:J23" si="3">INDEX(SheetNames,I16)</f>
        <v>Procurement - by site</v>
      </c>
      <c r="K16" s="5"/>
      <c r="L16" s="5"/>
      <c r="M16" s="5"/>
    </row>
    <row r="17" spans="1:13" ht="19.5" x14ac:dyDescent="0.25">
      <c r="A17" s="260" t="s">
        <v>35</v>
      </c>
      <c r="B17" s="5"/>
      <c r="C17" s="5"/>
      <c r="D17" s="5"/>
      <c r="E17" s="5"/>
      <c r="F17" s="5"/>
      <c r="G17" s="5"/>
      <c r="H17" s="5"/>
      <c r="I17" s="276"/>
      <c r="J17" s="275"/>
      <c r="K17" s="5"/>
      <c r="L17" s="5"/>
      <c r="M17" s="5"/>
    </row>
    <row r="18" spans="1:13" ht="19.5" x14ac:dyDescent="0.25">
      <c r="A18" s="272" t="str">
        <f>HYPERLINK("#'"&amp;J18&amp;"'!A1",J18)</f>
        <v>GHG Emissions</v>
      </c>
      <c r="B18" s="5"/>
      <c r="C18" s="5"/>
      <c r="D18" s="5"/>
      <c r="E18" s="5"/>
      <c r="F18" s="5"/>
      <c r="G18" s="5"/>
      <c r="H18" s="5"/>
      <c r="I18" s="276">
        <f>I16+1</f>
        <v>15</v>
      </c>
      <c r="J18" s="275" t="str">
        <f t="shared" si="3"/>
        <v>GHG Emissions</v>
      </c>
      <c r="K18" s="5"/>
      <c r="L18" s="5"/>
      <c r="M18" s="5"/>
    </row>
    <row r="19" spans="1:13" ht="19.5" x14ac:dyDescent="0.25">
      <c r="A19" s="272" t="str">
        <f t="shared" si="0"/>
        <v>GHG Emissions - 2030 Targets</v>
      </c>
      <c r="B19" s="5"/>
      <c r="C19" s="5"/>
      <c r="D19" s="5"/>
      <c r="E19" s="5"/>
      <c r="F19" s="5"/>
      <c r="G19" s="5"/>
      <c r="H19" s="5"/>
      <c r="I19" s="276">
        <f t="shared" ref="I19:I33" si="4">I18+1</f>
        <v>16</v>
      </c>
      <c r="J19" s="275" t="str">
        <f t="shared" si="3"/>
        <v>GHG Emissions - 2030 Targets</v>
      </c>
      <c r="K19" s="5"/>
      <c r="L19" s="5"/>
      <c r="M19" s="5"/>
    </row>
    <row r="20" spans="1:13" ht="19.5" x14ac:dyDescent="0.25">
      <c r="A20" s="272" t="str">
        <f t="shared" si="0"/>
        <v>Dual Reporting</v>
      </c>
      <c r="B20" s="5"/>
      <c r="C20" s="5"/>
      <c r="D20" s="5"/>
      <c r="E20" s="5"/>
      <c r="F20" s="5"/>
      <c r="G20" s="5"/>
      <c r="H20" s="5"/>
      <c r="I20" s="276">
        <f t="shared" si="4"/>
        <v>17</v>
      </c>
      <c r="J20" s="275" t="str">
        <f t="shared" si="3"/>
        <v>Dual Reporting</v>
      </c>
      <c r="K20" s="5"/>
      <c r="L20" s="5"/>
      <c r="M20" s="5"/>
    </row>
    <row r="21" spans="1:13" ht="19.5" x14ac:dyDescent="0.25">
      <c r="A21" s="272" t="str">
        <f t="shared" si="0"/>
        <v>Scope 3 Inventory Development</v>
      </c>
      <c r="B21" s="5"/>
      <c r="C21" s="5"/>
      <c r="D21" s="5"/>
      <c r="E21" s="5"/>
      <c r="F21" s="5"/>
      <c r="G21" s="5"/>
      <c r="H21" s="5"/>
      <c r="I21" s="276">
        <f t="shared" si="4"/>
        <v>18</v>
      </c>
      <c r="J21" s="275" t="str">
        <f t="shared" si="3"/>
        <v>Scope 3 Inventory Development</v>
      </c>
      <c r="K21" s="5"/>
      <c r="L21" s="5"/>
      <c r="M21" s="5"/>
    </row>
    <row r="22" spans="1:13" ht="19.5" x14ac:dyDescent="0.25">
      <c r="A22" s="272" t="str">
        <f t="shared" si="0"/>
        <v>Air Emissions</v>
      </c>
      <c r="B22" s="5"/>
      <c r="C22" s="5"/>
      <c r="D22" s="5"/>
      <c r="E22" s="5"/>
      <c r="F22" s="5"/>
      <c r="G22" s="5"/>
      <c r="H22" s="5"/>
      <c r="I22" s="276">
        <f t="shared" si="4"/>
        <v>19</v>
      </c>
      <c r="J22" s="275" t="str">
        <f t="shared" si="3"/>
        <v>Air Emissions</v>
      </c>
      <c r="K22" s="5"/>
      <c r="L22" s="5"/>
      <c r="M22" s="5"/>
    </row>
    <row r="23" spans="1:13" ht="19.5" x14ac:dyDescent="0.25">
      <c r="A23" s="272" t="str">
        <f t="shared" si="0"/>
        <v>Energy Consumption - by site</v>
      </c>
      <c r="B23" s="5"/>
      <c r="C23" s="5"/>
      <c r="D23" s="5"/>
      <c r="E23" s="5"/>
      <c r="F23" s="5"/>
      <c r="G23" s="5"/>
      <c r="H23" s="5"/>
      <c r="I23" s="276">
        <f t="shared" si="4"/>
        <v>20</v>
      </c>
      <c r="J23" s="275" t="str">
        <f t="shared" si="3"/>
        <v>Energy Consumption - by site</v>
      </c>
      <c r="K23" s="5"/>
      <c r="L23" s="5"/>
      <c r="M23" s="5"/>
    </row>
    <row r="24" spans="1:13" ht="19.5" x14ac:dyDescent="0.25">
      <c r="A24" s="272" t="str">
        <f t="shared" si="0"/>
        <v>2022 Energy Consumption - Type</v>
      </c>
      <c r="B24" s="5"/>
      <c r="C24" s="5"/>
      <c r="D24" s="5"/>
      <c r="E24" s="5"/>
      <c r="F24" s="5"/>
      <c r="G24" s="5"/>
      <c r="H24" s="5"/>
      <c r="I24" s="276">
        <f t="shared" si="4"/>
        <v>21</v>
      </c>
      <c r="J24" s="275" t="str">
        <f t="shared" si="2"/>
        <v>2022 Energy Consumption - Type</v>
      </c>
      <c r="K24" s="5"/>
      <c r="L24" s="5"/>
      <c r="M24" s="5"/>
    </row>
    <row r="25" spans="1:13" ht="19.5" x14ac:dyDescent="0.25">
      <c r="A25" s="272" t="str">
        <f t="shared" si="0"/>
        <v>2022 Indirect Energy - Source</v>
      </c>
      <c r="B25" s="5"/>
      <c r="C25" s="5"/>
      <c r="D25" s="5"/>
      <c r="E25" s="5"/>
      <c r="F25" s="5"/>
      <c r="G25" s="5"/>
      <c r="H25" s="5"/>
      <c r="I25" s="276">
        <f t="shared" si="4"/>
        <v>22</v>
      </c>
      <c r="J25" s="275" t="str">
        <f t="shared" si="2"/>
        <v>2022 Indirect Energy - Source</v>
      </c>
      <c r="K25" s="5"/>
      <c r="L25" s="5"/>
      <c r="M25" s="5"/>
    </row>
    <row r="26" spans="1:13" ht="19.5" x14ac:dyDescent="0.25">
      <c r="A26" s="272" t="str">
        <f t="shared" si="0"/>
        <v>2022 Direct Energy - Source</v>
      </c>
      <c r="B26" s="5"/>
      <c r="C26" s="5"/>
      <c r="D26" s="5"/>
      <c r="E26" s="5"/>
      <c r="F26" s="5"/>
      <c r="G26" s="5"/>
      <c r="H26" s="5"/>
      <c r="I26" s="276">
        <f t="shared" si="4"/>
        <v>23</v>
      </c>
      <c r="J26" s="275" t="str">
        <f t="shared" si="2"/>
        <v>2022 Direct Energy - Source</v>
      </c>
      <c r="K26" s="5"/>
      <c r="L26" s="5"/>
      <c r="M26" s="5"/>
    </row>
    <row r="27" spans="1:13" ht="19.5" x14ac:dyDescent="0.25">
      <c r="A27" s="272" t="str">
        <f t="shared" si="0"/>
        <v>Water</v>
      </c>
      <c r="B27" s="5"/>
      <c r="C27" s="5"/>
      <c r="D27" s="5"/>
      <c r="E27" s="5"/>
      <c r="F27" s="5"/>
      <c r="G27" s="5"/>
      <c r="H27" s="5"/>
      <c r="I27" s="276">
        <f t="shared" si="4"/>
        <v>24</v>
      </c>
      <c r="J27" s="275" t="str">
        <f t="shared" ref="J27:J33" si="5">INDEX(SheetNames,I27)</f>
        <v>Water</v>
      </c>
      <c r="K27" s="5"/>
      <c r="L27" s="5"/>
      <c r="M27" s="5"/>
    </row>
    <row r="28" spans="1:13" ht="19.5" x14ac:dyDescent="0.25">
      <c r="A28" s="272" t="str">
        <f t="shared" ref="A28:A33" si="6">HYPERLINK("#'"&amp;J28&amp;"'!A1",J28)</f>
        <v>Water - by region</v>
      </c>
      <c r="B28" s="5"/>
      <c r="C28" s="5"/>
      <c r="D28" s="5"/>
      <c r="E28" s="5"/>
      <c r="F28" s="5"/>
      <c r="G28" s="5"/>
      <c r="H28" s="5"/>
      <c r="I28" s="276">
        <f t="shared" si="4"/>
        <v>25</v>
      </c>
      <c r="J28" s="275" t="str">
        <f t="shared" si="5"/>
        <v>Water - by region</v>
      </c>
      <c r="K28" s="5"/>
      <c r="L28" s="5"/>
      <c r="M28" s="5"/>
    </row>
    <row r="29" spans="1:13" ht="19.5" x14ac:dyDescent="0.25">
      <c r="A29" s="272" t="str">
        <f t="shared" si="6"/>
        <v>Mining.Mineral Processing Waste</v>
      </c>
      <c r="B29" s="5"/>
      <c r="C29" s="5"/>
      <c r="D29" s="5"/>
      <c r="E29" s="5"/>
      <c r="F29" s="5"/>
      <c r="G29" s="5"/>
      <c r="H29" s="5"/>
      <c r="I29" s="276">
        <f t="shared" si="4"/>
        <v>26</v>
      </c>
      <c r="J29" s="275" t="str">
        <f t="shared" si="5"/>
        <v>Mining.Mineral Processing Waste</v>
      </c>
      <c r="K29" s="5"/>
      <c r="L29" s="5"/>
      <c r="M29" s="5"/>
    </row>
    <row r="30" spans="1:13" ht="19.5" x14ac:dyDescent="0.25">
      <c r="A30" s="272" t="str">
        <f t="shared" si="6"/>
        <v>Non-Mineral Waste.Recycled</v>
      </c>
      <c r="B30" s="5"/>
      <c r="C30" s="5"/>
      <c r="D30" s="5"/>
      <c r="E30" s="5"/>
      <c r="F30" s="5"/>
      <c r="G30" s="5"/>
      <c r="H30" s="5"/>
      <c r="I30" s="276">
        <f t="shared" si="4"/>
        <v>27</v>
      </c>
      <c r="J30" s="275" t="str">
        <f t="shared" si="5"/>
        <v>Non-Mineral Waste.Recycled</v>
      </c>
      <c r="K30" s="5"/>
      <c r="L30" s="5"/>
      <c r="M30" s="5"/>
    </row>
    <row r="31" spans="1:13" ht="19.5" x14ac:dyDescent="0.25">
      <c r="A31" s="272" t="str">
        <f t="shared" si="6"/>
        <v>Biodiversity and Land</v>
      </c>
      <c r="B31" s="5"/>
      <c r="C31" s="5"/>
      <c r="D31" s="5"/>
      <c r="E31" s="5"/>
      <c r="F31" s="5"/>
      <c r="G31" s="5"/>
      <c r="H31" s="5"/>
      <c r="I31" s="276">
        <f t="shared" si="4"/>
        <v>28</v>
      </c>
      <c r="J31" s="275" t="str">
        <f t="shared" si="5"/>
        <v>Biodiversity and Land</v>
      </c>
      <c r="K31" s="5"/>
      <c r="L31" s="5"/>
      <c r="M31" s="5"/>
    </row>
    <row r="32" spans="1:13" ht="19.5" x14ac:dyDescent="0.25">
      <c r="A32" s="272" t="str">
        <f t="shared" si="6"/>
        <v>Tailings Impoundments</v>
      </c>
      <c r="B32" s="5"/>
      <c r="C32" s="5"/>
      <c r="D32" s="5"/>
      <c r="E32" s="5"/>
      <c r="F32" s="5"/>
      <c r="G32" s="5"/>
      <c r="H32" s="5"/>
      <c r="I32" s="276">
        <f t="shared" si="4"/>
        <v>29</v>
      </c>
      <c r="J32" s="275" t="str">
        <f t="shared" si="5"/>
        <v>Tailings Impoundments</v>
      </c>
      <c r="K32" s="5"/>
      <c r="L32" s="5"/>
      <c r="M32" s="5"/>
    </row>
    <row r="33" spans="1:13" ht="19.5" x14ac:dyDescent="0.25">
      <c r="A33" s="272" t="str">
        <f t="shared" si="6"/>
        <v>Environmental Compliance</v>
      </c>
      <c r="B33" s="5"/>
      <c r="C33" s="5"/>
      <c r="D33" s="5"/>
      <c r="E33" s="5"/>
      <c r="F33" s="5"/>
      <c r="G33" s="5"/>
      <c r="H33" s="5"/>
      <c r="I33" s="276">
        <f t="shared" si="4"/>
        <v>30</v>
      </c>
      <c r="J33" s="275" t="str">
        <f t="shared" si="5"/>
        <v>Environmental Compliance</v>
      </c>
      <c r="K33" s="5"/>
      <c r="L33" s="5"/>
      <c r="M33" s="5"/>
    </row>
    <row r="34" spans="1:13" ht="19.5" x14ac:dyDescent="0.25">
      <c r="A34" s="260" t="s">
        <v>987</v>
      </c>
      <c r="B34" s="5"/>
      <c r="C34" s="5"/>
      <c r="D34" s="5"/>
      <c r="E34" s="5"/>
      <c r="F34" s="5"/>
      <c r="G34" s="5"/>
      <c r="H34" s="5"/>
      <c r="I34" s="276"/>
      <c r="J34" s="275"/>
      <c r="K34" s="5"/>
      <c r="L34" s="5"/>
      <c r="M34" s="5"/>
    </row>
    <row r="35" spans="1:13" ht="19.5" x14ac:dyDescent="0.25">
      <c r="A35" s="272" t="str">
        <f>HYPERLINK("#'"&amp;J35&amp;"'!A1",J35)</f>
        <v>SASB</v>
      </c>
      <c r="B35" s="5"/>
      <c r="C35" s="5"/>
      <c r="D35" s="5"/>
      <c r="E35" s="5"/>
      <c r="F35" s="5"/>
      <c r="G35" s="5"/>
      <c r="H35" s="5"/>
      <c r="I35" s="276">
        <f>I33+1</f>
        <v>31</v>
      </c>
      <c r="J35" s="275" t="str">
        <f>INDEX(SheetNames,I35)</f>
        <v>SASB</v>
      </c>
      <c r="K35" s="5"/>
      <c r="L35" s="5"/>
      <c r="M35" s="5"/>
    </row>
    <row r="36" spans="1:13" ht="19.5" x14ac:dyDescent="0.25">
      <c r="A36" s="272" t="str">
        <f>HYPERLINK("#'"&amp;J36&amp;"'!A1",J36)</f>
        <v>GRI Index; SDGs</v>
      </c>
      <c r="B36" s="5"/>
      <c r="C36" s="5"/>
      <c r="D36" s="5"/>
      <c r="E36" s="5"/>
      <c r="F36" s="5"/>
      <c r="G36" s="5"/>
      <c r="H36" s="5"/>
      <c r="I36" s="276">
        <f>I35+1</f>
        <v>32</v>
      </c>
      <c r="J36" s="275" t="str">
        <f>INDEX(SheetNames,I36)</f>
        <v>GRI Index; SDGs</v>
      </c>
      <c r="K36" s="5"/>
      <c r="L36" s="5"/>
      <c r="M36" s="5"/>
    </row>
    <row r="37" spans="1:13" ht="19.5" x14ac:dyDescent="0.25">
      <c r="A37" s="272" t="str">
        <f>HYPERLINK("#'"&amp;J37&amp;"'!A1",J37)</f>
        <v>ICMM</v>
      </c>
      <c r="B37" s="5"/>
      <c r="C37" s="5"/>
      <c r="D37" s="5"/>
      <c r="E37" s="5"/>
      <c r="F37" s="5"/>
      <c r="G37" s="5"/>
      <c r="H37" s="5"/>
      <c r="I37" s="276">
        <f>I36+1</f>
        <v>33</v>
      </c>
      <c r="J37" s="275" t="str">
        <f>INDEX(SheetNames,I37)</f>
        <v>ICMM</v>
      </c>
      <c r="K37" s="5"/>
      <c r="L37" s="5"/>
      <c r="M37" s="5"/>
    </row>
    <row r="38" spans="1:13" ht="19.5" x14ac:dyDescent="0.25">
      <c r="A38" s="273"/>
      <c r="B38" s="5"/>
      <c r="C38" s="5"/>
      <c r="D38" s="5"/>
      <c r="E38" s="5"/>
      <c r="F38" s="5"/>
      <c r="G38" s="5"/>
      <c r="H38" s="5"/>
      <c r="I38" s="5"/>
      <c r="J38" s="275"/>
      <c r="K38" s="5"/>
      <c r="L38" s="5"/>
      <c r="M38" s="5"/>
    </row>
    <row r="39" spans="1:13" ht="19.5" x14ac:dyDescent="0.25">
      <c r="A39" s="273"/>
      <c r="B39" s="5"/>
      <c r="C39" s="5"/>
      <c r="D39" s="5"/>
      <c r="E39" s="5"/>
      <c r="F39" s="5"/>
      <c r="G39" s="5"/>
      <c r="H39" s="5"/>
      <c r="I39" s="5"/>
      <c r="J39" s="275"/>
      <c r="K39" s="5"/>
      <c r="L39" s="5"/>
      <c r="M39" s="5"/>
    </row>
    <row r="40" spans="1:13" x14ac:dyDescent="0.25">
      <c r="A40" s="273"/>
      <c r="B40" s="5"/>
      <c r="C40" s="5"/>
      <c r="D40" s="5"/>
      <c r="E40" s="5"/>
      <c r="F40" s="5"/>
      <c r="G40" s="5"/>
      <c r="H40" s="5"/>
      <c r="I40" s="5"/>
      <c r="J40" s="5"/>
      <c r="K40" s="5"/>
      <c r="L40" s="5"/>
      <c r="M40" s="5"/>
    </row>
    <row r="41" spans="1:13" x14ac:dyDescent="0.25">
      <c r="A41" s="273"/>
      <c r="B41" s="5"/>
      <c r="C41" s="5"/>
      <c r="D41" s="5"/>
      <c r="E41" s="5"/>
      <c r="F41" s="5"/>
      <c r="G41" s="5"/>
      <c r="H41" s="5"/>
      <c r="I41" s="5"/>
      <c r="J41" s="5"/>
      <c r="K41" s="5"/>
      <c r="L41" s="5"/>
      <c r="M41" s="5"/>
    </row>
    <row r="42" spans="1:13" x14ac:dyDescent="0.25">
      <c r="A42" s="273"/>
      <c r="B42" s="5"/>
      <c r="C42" s="5"/>
      <c r="D42" s="5"/>
      <c r="E42" s="5"/>
      <c r="F42" s="5"/>
      <c r="G42" s="5"/>
      <c r="H42" s="5"/>
      <c r="I42" s="5"/>
      <c r="J42" s="5"/>
      <c r="K42" s="5"/>
      <c r="L42" s="5"/>
      <c r="M42" s="5"/>
    </row>
    <row r="43" spans="1:13" x14ac:dyDescent="0.25">
      <c r="A43" s="273"/>
      <c r="B43" s="5"/>
      <c r="C43" s="5"/>
      <c r="D43" s="5"/>
      <c r="E43" s="5"/>
      <c r="F43" s="5"/>
      <c r="G43" s="5"/>
      <c r="H43" s="5"/>
      <c r="I43" s="5"/>
      <c r="J43" s="5"/>
      <c r="K43" s="5"/>
      <c r="L43" s="5"/>
      <c r="M43" s="5"/>
    </row>
    <row r="44" spans="1:13" x14ac:dyDescent="0.25">
      <c r="A44" s="273"/>
      <c r="B44" s="5"/>
      <c r="C44" s="5"/>
      <c r="D44" s="5"/>
      <c r="E44" s="5"/>
      <c r="F44" s="5"/>
      <c r="G44" s="5"/>
      <c r="H44" s="5"/>
      <c r="I44" s="5"/>
      <c r="J44" s="5"/>
      <c r="K44" s="5"/>
      <c r="L44" s="5"/>
      <c r="M44" s="5"/>
    </row>
    <row r="45" spans="1:13" x14ac:dyDescent="0.25">
      <c r="A45" s="273"/>
      <c r="B45" s="5"/>
      <c r="C45" s="5"/>
      <c r="D45" s="5"/>
      <c r="E45" s="5"/>
      <c r="F45" s="5"/>
      <c r="G45" s="5"/>
      <c r="H45" s="5"/>
      <c r="I45" s="5"/>
      <c r="J45" s="5"/>
      <c r="K45" s="5"/>
      <c r="L45" s="5"/>
      <c r="M45" s="5"/>
    </row>
    <row r="46" spans="1:13" x14ac:dyDescent="0.25">
      <c r="A46" s="273"/>
      <c r="B46" s="5"/>
      <c r="C46" s="5"/>
      <c r="D46" s="5"/>
      <c r="E46" s="5"/>
      <c r="F46" s="5"/>
      <c r="G46" s="5"/>
      <c r="H46" s="5"/>
      <c r="I46" s="5"/>
      <c r="J46" s="5"/>
      <c r="K46" s="5"/>
      <c r="L46" s="5"/>
      <c r="M46" s="5"/>
    </row>
    <row r="47" spans="1:13" x14ac:dyDescent="0.25">
      <c r="A47" s="273"/>
      <c r="B47" s="5"/>
      <c r="C47" s="5"/>
      <c r="D47" s="5"/>
      <c r="E47" s="5"/>
      <c r="F47" s="5"/>
      <c r="G47" s="5"/>
      <c r="H47" s="5"/>
      <c r="I47" s="5"/>
      <c r="J47" s="5"/>
      <c r="K47" s="5"/>
      <c r="L47" s="5"/>
      <c r="M47" s="5"/>
    </row>
    <row r="48" spans="1:13" x14ac:dyDescent="0.25">
      <c r="A48" s="273"/>
      <c r="B48" s="5"/>
      <c r="C48" s="5"/>
      <c r="D48" s="5"/>
      <c r="E48" s="5"/>
      <c r="F48" s="5"/>
      <c r="G48" s="5"/>
      <c r="H48" s="5"/>
      <c r="I48" s="5"/>
      <c r="J48" s="5"/>
      <c r="K48" s="5"/>
      <c r="L48" s="5"/>
      <c r="M48" s="5"/>
    </row>
    <row r="49" spans="1:13" x14ac:dyDescent="0.25">
      <c r="A49" s="273"/>
      <c r="B49" s="5"/>
      <c r="C49" s="5"/>
      <c r="D49" s="5"/>
      <c r="E49" s="5"/>
      <c r="F49" s="5"/>
      <c r="G49" s="5"/>
      <c r="H49" s="5"/>
      <c r="I49" s="5"/>
      <c r="J49" s="5"/>
      <c r="K49" s="5"/>
      <c r="L49" s="5"/>
      <c r="M49" s="5"/>
    </row>
    <row r="50" spans="1:13" x14ac:dyDescent="0.25">
      <c r="A50" s="273"/>
      <c r="B50" s="5"/>
      <c r="C50" s="5"/>
      <c r="D50" s="5"/>
      <c r="E50" s="5"/>
      <c r="F50" s="5"/>
      <c r="G50" s="5"/>
      <c r="H50" s="5"/>
      <c r="I50" s="5"/>
      <c r="J50" s="5"/>
      <c r="K50" s="5"/>
      <c r="L50" s="5"/>
      <c r="M50" s="5"/>
    </row>
    <row r="51" spans="1:13" x14ac:dyDescent="0.25">
      <c r="A51" s="273"/>
      <c r="B51" s="5"/>
      <c r="C51" s="5"/>
      <c r="D51" s="5"/>
      <c r="E51" s="5"/>
      <c r="F51" s="5"/>
      <c r="G51" s="5"/>
      <c r="H51" s="5"/>
      <c r="I51" s="5"/>
      <c r="J51" s="5"/>
      <c r="K51" s="5"/>
      <c r="L51" s="5"/>
      <c r="M51" s="5"/>
    </row>
    <row r="52" spans="1:13" x14ac:dyDescent="0.25">
      <c r="A52" s="273"/>
      <c r="B52" s="5"/>
      <c r="C52" s="5"/>
      <c r="D52" s="5"/>
      <c r="E52" s="5"/>
      <c r="F52" s="5"/>
      <c r="G52" s="5"/>
      <c r="H52" s="5"/>
      <c r="I52" s="5"/>
      <c r="J52" s="5"/>
      <c r="K52" s="5"/>
      <c r="L52" s="5"/>
      <c r="M52" s="5"/>
    </row>
  </sheetData>
  <sheetProtection algorithmName="SHA-512" hashValue="rp+CEL2KgJcczUVackSPbQ2ho/8n5gLX78x/SS7JhvUMQGyAj/1b+EhtioOU43m0AlLibsML9Ed6muBGluL9cw==" saltValue="KghddWabF/kQRYVKIeatUA==" spinCount="100000" sheet="1" objects="1" scenarios="1"/>
  <pageMargins left="0.7" right="0.7" top="0.75" bottom="0.75" header="0.3" footer="0.3"/>
  <pageSetup scale="98" orientation="portrait" r:id="rId1"/>
  <ignoredErrors>
    <ignoredError sqref="A2:A3 A13:A15 A18:A28 A5:A11 A16 A29:A33 A35:A37"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C3A2B-0E0F-4C84-A635-5E2A682DE1FA}">
  <sheetPr codeName="Sheet3"/>
  <dimension ref="A1:I111"/>
  <sheetViews>
    <sheetView zoomScale="130" zoomScaleNormal="130" zoomScaleSheetLayoutView="130" workbookViewId="0">
      <pane xSplit="1" ySplit="5" topLeftCell="B6" activePane="bottomRight" state="frozen"/>
      <selection activeCell="B7" sqref="B7:O7"/>
      <selection pane="topRight" activeCell="B7" sqref="B7:O7"/>
      <selection pane="bottomLeft" activeCell="B7" sqref="B7:O7"/>
      <selection pane="bottomRight" activeCell="B6" sqref="B6"/>
    </sheetView>
  </sheetViews>
  <sheetFormatPr baseColWidth="10" defaultColWidth="9.140625" defaultRowHeight="15.75" x14ac:dyDescent="0.3"/>
  <cols>
    <col min="1" max="1" width="57.7109375" style="262" bestFit="1" customWidth="1"/>
    <col min="2" max="2" width="74.7109375" style="7" bestFit="1" customWidth="1"/>
  </cols>
  <sheetData>
    <row r="1" spans="1:9" ht="15" x14ac:dyDescent="0.25">
      <c r="A1" s="997" t="s">
        <v>177</v>
      </c>
      <c r="B1" s="998"/>
      <c r="C1" s="305"/>
      <c r="D1" s="305"/>
      <c r="E1" s="305"/>
      <c r="F1" s="305"/>
      <c r="G1" s="305"/>
      <c r="H1" s="305"/>
      <c r="I1" s="305"/>
    </row>
    <row r="2" spans="1:9" ht="15" x14ac:dyDescent="0.25">
      <c r="A2" s="258"/>
      <c r="B2" s="14"/>
      <c r="C2" s="5"/>
      <c r="D2" s="5"/>
      <c r="E2" s="5"/>
      <c r="F2" s="5"/>
      <c r="G2" s="5"/>
      <c r="H2" s="5"/>
      <c r="I2" s="5"/>
    </row>
    <row r="3" spans="1:9" ht="15" x14ac:dyDescent="0.25">
      <c r="A3" s="94"/>
      <c r="B3" s="82"/>
      <c r="C3" s="5"/>
      <c r="D3" s="5"/>
      <c r="E3" s="5"/>
      <c r="F3" s="5"/>
      <c r="G3" s="5"/>
      <c r="H3" s="5"/>
      <c r="I3" s="5"/>
    </row>
    <row r="4" spans="1:9" x14ac:dyDescent="0.3">
      <c r="A4" s="114" t="s">
        <v>178</v>
      </c>
      <c r="B4" s="66"/>
      <c r="C4" s="5"/>
      <c r="D4" s="5"/>
      <c r="E4" s="5"/>
      <c r="F4" s="5"/>
      <c r="G4" s="5"/>
      <c r="H4" s="5"/>
      <c r="I4" s="5"/>
    </row>
    <row r="5" spans="1:9" thickBot="1" x14ac:dyDescent="0.3">
      <c r="A5" s="259" t="s">
        <v>179</v>
      </c>
      <c r="B5" s="167" t="s">
        <v>821</v>
      </c>
      <c r="C5" s="5"/>
      <c r="D5" s="5"/>
      <c r="E5" s="5"/>
      <c r="F5" s="5"/>
      <c r="G5" s="5"/>
      <c r="H5" s="5"/>
      <c r="I5" s="5"/>
    </row>
    <row r="6" spans="1:9" ht="15" x14ac:dyDescent="0.25">
      <c r="A6" s="260" t="s">
        <v>180</v>
      </c>
      <c r="B6" s="168" t="s">
        <v>822</v>
      </c>
      <c r="C6" s="326"/>
      <c r="D6" s="5"/>
      <c r="E6" s="5"/>
      <c r="F6" s="5"/>
      <c r="G6" s="5"/>
      <c r="H6" s="5"/>
      <c r="I6" s="5"/>
    </row>
    <row r="7" spans="1:9" ht="15" x14ac:dyDescent="0.25">
      <c r="A7" s="260" t="s">
        <v>188</v>
      </c>
      <c r="B7" s="168" t="s">
        <v>188</v>
      </c>
      <c r="C7" s="5"/>
      <c r="D7" s="5"/>
      <c r="E7" s="5"/>
      <c r="F7" s="5"/>
      <c r="G7" s="5"/>
      <c r="H7" s="5"/>
      <c r="I7" s="5"/>
    </row>
    <row r="8" spans="1:9" ht="15" x14ac:dyDescent="0.25">
      <c r="A8" s="260" t="s">
        <v>657</v>
      </c>
      <c r="B8" s="168" t="s">
        <v>657</v>
      </c>
      <c r="C8" s="5"/>
      <c r="D8" s="5"/>
      <c r="E8" s="5"/>
      <c r="F8" s="5"/>
      <c r="G8" s="5"/>
      <c r="H8" s="5"/>
      <c r="I8" s="5"/>
    </row>
    <row r="9" spans="1:9" ht="15" x14ac:dyDescent="0.25">
      <c r="A9" s="260" t="s">
        <v>944</v>
      </c>
      <c r="B9" s="168" t="s">
        <v>823</v>
      </c>
      <c r="C9" s="5"/>
      <c r="D9" s="5"/>
      <c r="E9" s="5"/>
      <c r="F9" s="5"/>
      <c r="G9" s="5"/>
      <c r="H9" s="5"/>
      <c r="I9" s="5"/>
    </row>
    <row r="10" spans="1:9" ht="15" x14ac:dyDescent="0.25">
      <c r="A10" s="260" t="s">
        <v>934</v>
      </c>
      <c r="B10" s="168" t="s">
        <v>824</v>
      </c>
      <c r="C10" s="326"/>
      <c r="D10" s="5"/>
      <c r="E10" s="5"/>
      <c r="F10" s="5"/>
      <c r="G10" s="5"/>
      <c r="H10" s="5"/>
      <c r="I10" s="5"/>
    </row>
    <row r="11" spans="1:9" ht="15" x14ac:dyDescent="0.25">
      <c r="A11" s="260" t="s">
        <v>935</v>
      </c>
      <c r="B11" s="168" t="s">
        <v>182</v>
      </c>
      <c r="C11" s="5"/>
      <c r="D11" s="5"/>
      <c r="E11" s="5"/>
      <c r="F11" s="5"/>
      <c r="G11" s="5"/>
      <c r="H11" s="5"/>
      <c r="I11" s="5"/>
    </row>
    <row r="12" spans="1:9" ht="15" x14ac:dyDescent="0.25">
      <c r="A12" s="260" t="s">
        <v>936</v>
      </c>
      <c r="B12" s="168" t="s">
        <v>820</v>
      </c>
      <c r="C12" s="5"/>
      <c r="D12" s="5"/>
      <c r="E12" s="5"/>
      <c r="F12" s="5"/>
      <c r="G12" s="5"/>
      <c r="H12" s="5"/>
      <c r="I12" s="5"/>
    </row>
    <row r="13" spans="1:9" ht="15" x14ac:dyDescent="0.25">
      <c r="A13" s="260" t="s">
        <v>937</v>
      </c>
      <c r="B13" s="168" t="s">
        <v>776</v>
      </c>
      <c r="C13" s="5"/>
      <c r="D13" s="5"/>
      <c r="E13" s="5"/>
      <c r="F13" s="5"/>
      <c r="G13" s="5"/>
      <c r="H13" s="5"/>
      <c r="I13" s="5"/>
    </row>
    <row r="14" spans="1:9" ht="15" x14ac:dyDescent="0.25">
      <c r="A14" s="260" t="s">
        <v>943</v>
      </c>
      <c r="B14" s="168" t="s">
        <v>185</v>
      </c>
      <c r="C14" s="5"/>
      <c r="D14" s="5"/>
      <c r="E14" s="5"/>
      <c r="F14" s="5"/>
      <c r="G14" s="5"/>
      <c r="H14" s="5"/>
      <c r="I14" s="5"/>
    </row>
    <row r="15" spans="1:9" ht="15" x14ac:dyDescent="0.25">
      <c r="A15" s="260" t="s">
        <v>945</v>
      </c>
      <c r="B15" s="168" t="s">
        <v>777</v>
      </c>
      <c r="C15" s="5"/>
      <c r="D15" s="5"/>
      <c r="E15" s="5"/>
      <c r="F15" s="5"/>
      <c r="G15" s="5"/>
      <c r="H15" s="5"/>
      <c r="I15" s="5"/>
    </row>
    <row r="16" spans="1:9" ht="15" x14ac:dyDescent="0.25">
      <c r="A16" s="260" t="s">
        <v>942</v>
      </c>
      <c r="B16" s="168" t="s">
        <v>647</v>
      </c>
      <c r="C16" s="5"/>
      <c r="D16" s="5"/>
      <c r="E16" s="5"/>
      <c r="F16" s="5"/>
      <c r="G16" s="5"/>
      <c r="H16" s="5"/>
      <c r="I16" s="5"/>
    </row>
    <row r="17" spans="1:9" ht="15" x14ac:dyDescent="0.25">
      <c r="A17" s="260" t="s">
        <v>938</v>
      </c>
      <c r="B17" s="168" t="s">
        <v>669</v>
      </c>
      <c r="C17" s="5"/>
      <c r="D17" s="5"/>
      <c r="E17" s="5"/>
      <c r="F17" s="5"/>
      <c r="G17" s="5"/>
      <c r="H17" s="5"/>
      <c r="I17" s="5"/>
    </row>
    <row r="18" spans="1:9" ht="15" x14ac:dyDescent="0.25">
      <c r="A18" s="260" t="s">
        <v>939</v>
      </c>
      <c r="B18" s="168" t="s">
        <v>656</v>
      </c>
      <c r="C18" s="5"/>
      <c r="D18" s="5"/>
      <c r="E18" s="5"/>
      <c r="F18" s="5"/>
      <c r="G18" s="5"/>
      <c r="H18" s="5"/>
      <c r="I18" s="5"/>
    </row>
    <row r="19" spans="1:9" ht="15" x14ac:dyDescent="0.25">
      <c r="A19" s="260" t="s">
        <v>940</v>
      </c>
      <c r="B19" s="168" t="s">
        <v>186</v>
      </c>
      <c r="C19" s="5"/>
      <c r="D19" s="5"/>
      <c r="E19" s="5"/>
      <c r="F19" s="5"/>
      <c r="G19" s="5"/>
      <c r="H19" s="5"/>
      <c r="I19" s="5"/>
    </row>
    <row r="20" spans="1:9" ht="15" x14ac:dyDescent="0.25">
      <c r="A20" s="260" t="s">
        <v>941</v>
      </c>
      <c r="B20" s="168" t="s">
        <v>187</v>
      </c>
      <c r="C20" s="5"/>
      <c r="D20" s="5"/>
      <c r="E20" s="5"/>
      <c r="F20" s="5"/>
      <c r="G20" s="5"/>
      <c r="H20" s="5"/>
      <c r="I20" s="5"/>
    </row>
    <row r="21" spans="1:9" ht="15" x14ac:dyDescent="0.25">
      <c r="A21" s="260" t="s">
        <v>652</v>
      </c>
      <c r="B21" s="168" t="s">
        <v>660</v>
      </c>
      <c r="C21" s="5"/>
      <c r="D21" s="5"/>
      <c r="E21" s="5"/>
      <c r="F21" s="5"/>
      <c r="G21" s="5"/>
      <c r="H21" s="5"/>
      <c r="I21" s="5"/>
    </row>
    <row r="22" spans="1:9" ht="15" x14ac:dyDescent="0.25">
      <c r="A22" s="260" t="s">
        <v>719</v>
      </c>
      <c r="B22" s="168" t="s">
        <v>720</v>
      </c>
      <c r="C22" s="5"/>
      <c r="D22" s="5"/>
      <c r="E22" s="5"/>
      <c r="F22" s="5"/>
      <c r="G22" s="5"/>
      <c r="H22" s="5"/>
      <c r="I22" s="5"/>
    </row>
    <row r="23" spans="1:9" ht="15" x14ac:dyDescent="0.25">
      <c r="A23" s="260" t="s">
        <v>651</v>
      </c>
      <c r="B23" s="168" t="s">
        <v>661</v>
      </c>
      <c r="C23" s="5"/>
      <c r="D23" s="5"/>
      <c r="E23" s="5"/>
      <c r="F23" s="5"/>
      <c r="G23" s="5"/>
      <c r="H23" s="5"/>
      <c r="I23" s="5"/>
    </row>
    <row r="24" spans="1:9" ht="15" x14ac:dyDescent="0.25">
      <c r="A24" s="260" t="s">
        <v>670</v>
      </c>
      <c r="B24" s="168" t="s">
        <v>662</v>
      </c>
      <c r="C24" s="5"/>
      <c r="D24" s="5"/>
      <c r="E24" s="5"/>
      <c r="F24" s="5"/>
      <c r="G24" s="5"/>
      <c r="H24" s="5"/>
      <c r="I24" s="5"/>
    </row>
    <row r="25" spans="1:9" ht="15" x14ac:dyDescent="0.25">
      <c r="A25" s="260" t="s">
        <v>932</v>
      </c>
      <c r="B25" s="168" t="s">
        <v>648</v>
      </c>
      <c r="C25" s="5"/>
      <c r="D25" s="5"/>
      <c r="E25" s="5"/>
      <c r="F25" s="5"/>
      <c r="G25" s="5"/>
      <c r="H25" s="5"/>
      <c r="I25" s="5"/>
    </row>
    <row r="26" spans="1:9" ht="15" x14ac:dyDescent="0.25">
      <c r="A26" s="260" t="s">
        <v>933</v>
      </c>
      <c r="B26" s="168" t="s">
        <v>649</v>
      </c>
      <c r="C26" s="5"/>
      <c r="D26" s="5"/>
      <c r="E26" s="5"/>
      <c r="F26" s="5"/>
      <c r="G26" s="5"/>
      <c r="H26" s="5"/>
      <c r="I26" s="5"/>
    </row>
    <row r="27" spans="1:9" ht="15" x14ac:dyDescent="0.25">
      <c r="A27" s="260" t="s">
        <v>948</v>
      </c>
      <c r="B27" s="168" t="s">
        <v>184</v>
      </c>
      <c r="C27" s="5"/>
      <c r="D27" s="5"/>
      <c r="E27" s="5"/>
      <c r="F27" s="5"/>
      <c r="G27" s="5"/>
      <c r="H27" s="5"/>
      <c r="I27" s="5"/>
    </row>
    <row r="28" spans="1:9" ht="15" x14ac:dyDescent="0.25">
      <c r="A28" s="260" t="s">
        <v>925</v>
      </c>
      <c r="B28" s="168" t="s">
        <v>926</v>
      </c>
      <c r="C28" s="5"/>
      <c r="D28" s="5"/>
      <c r="E28" s="5"/>
      <c r="F28" s="5"/>
      <c r="G28" s="5"/>
      <c r="H28" s="5"/>
      <c r="I28" s="5"/>
    </row>
    <row r="29" spans="1:9" ht="15" x14ac:dyDescent="0.25">
      <c r="A29" s="260" t="s">
        <v>778</v>
      </c>
      <c r="B29" s="168" t="s">
        <v>1328</v>
      </c>
      <c r="C29" s="5"/>
      <c r="D29" s="5"/>
      <c r="E29" s="5"/>
      <c r="F29" s="5"/>
      <c r="G29" s="5"/>
      <c r="H29" s="5"/>
      <c r="I29" s="5"/>
    </row>
    <row r="30" spans="1:9" ht="15" x14ac:dyDescent="0.25">
      <c r="A30" s="260" t="s">
        <v>671</v>
      </c>
      <c r="B30" s="168" t="s">
        <v>721</v>
      </c>
      <c r="C30" s="5"/>
      <c r="D30" s="5"/>
      <c r="E30" s="5"/>
      <c r="F30" s="5"/>
      <c r="G30" s="5"/>
      <c r="H30" s="5"/>
      <c r="I30" s="5"/>
    </row>
    <row r="31" spans="1:9" ht="15" x14ac:dyDescent="0.25">
      <c r="A31" s="260" t="s">
        <v>672</v>
      </c>
      <c r="B31" s="168" t="s">
        <v>663</v>
      </c>
      <c r="C31" s="5"/>
      <c r="D31" s="5"/>
      <c r="E31" s="5"/>
      <c r="F31" s="5"/>
      <c r="G31" s="5"/>
      <c r="H31" s="5"/>
      <c r="I31" s="5"/>
    </row>
    <row r="32" spans="1:9" ht="15" x14ac:dyDescent="0.25">
      <c r="A32" s="260" t="s">
        <v>673</v>
      </c>
      <c r="B32" s="168" t="s">
        <v>664</v>
      </c>
      <c r="C32" s="5"/>
      <c r="D32" s="5"/>
      <c r="E32" s="5"/>
      <c r="F32" s="5"/>
      <c r="G32" s="5"/>
      <c r="H32" s="5"/>
      <c r="I32" s="5"/>
    </row>
    <row r="33" spans="1:9" ht="15" x14ac:dyDescent="0.25">
      <c r="A33" s="260" t="s">
        <v>674</v>
      </c>
      <c r="B33" s="168" t="s">
        <v>650</v>
      </c>
      <c r="C33" s="5"/>
      <c r="D33" s="5"/>
      <c r="E33" s="5"/>
      <c r="F33" s="5"/>
      <c r="G33" s="5"/>
      <c r="H33" s="5"/>
      <c r="I33" s="5"/>
    </row>
    <row r="34" spans="1:9" ht="15" x14ac:dyDescent="0.25">
      <c r="A34" s="260" t="s">
        <v>675</v>
      </c>
      <c r="B34" s="168" t="s">
        <v>665</v>
      </c>
      <c r="C34" s="5"/>
      <c r="D34" s="5"/>
      <c r="E34" s="5"/>
      <c r="F34" s="5"/>
      <c r="G34" s="5"/>
      <c r="H34" s="5"/>
      <c r="I34" s="5"/>
    </row>
    <row r="35" spans="1:9" ht="15" x14ac:dyDescent="0.25">
      <c r="A35" s="260" t="s">
        <v>676</v>
      </c>
      <c r="B35" s="168" t="s">
        <v>924</v>
      </c>
      <c r="C35" s="5"/>
      <c r="D35" s="5"/>
      <c r="E35" s="5"/>
      <c r="F35" s="5"/>
      <c r="G35" s="5"/>
      <c r="H35" s="5"/>
      <c r="I35" s="5"/>
    </row>
    <row r="36" spans="1:9" ht="15" x14ac:dyDescent="0.25">
      <c r="A36" s="260" t="s">
        <v>946</v>
      </c>
      <c r="B36" s="168" t="s">
        <v>181</v>
      </c>
      <c r="C36" s="5"/>
      <c r="D36" s="5"/>
      <c r="E36" s="5"/>
      <c r="F36" s="5"/>
      <c r="G36" s="5"/>
      <c r="H36" s="5"/>
      <c r="I36" s="5"/>
    </row>
    <row r="37" spans="1:9" ht="15" x14ac:dyDescent="0.25">
      <c r="A37" s="260" t="s">
        <v>930</v>
      </c>
      <c r="B37" s="168" t="s">
        <v>825</v>
      </c>
      <c r="C37" s="5"/>
      <c r="D37" s="5"/>
      <c r="E37" s="5"/>
      <c r="F37" s="5"/>
      <c r="G37" s="5"/>
      <c r="H37" s="5"/>
      <c r="I37" s="5"/>
    </row>
    <row r="38" spans="1:9" ht="15" x14ac:dyDescent="0.25">
      <c r="A38" s="260" t="s">
        <v>931</v>
      </c>
      <c r="B38" s="168" t="s">
        <v>927</v>
      </c>
      <c r="C38" s="5"/>
      <c r="D38" s="5"/>
      <c r="E38" s="5"/>
      <c r="F38" s="5"/>
      <c r="G38" s="5"/>
      <c r="H38" s="5"/>
      <c r="I38" s="5"/>
    </row>
    <row r="39" spans="1:9" ht="15" x14ac:dyDescent="0.25">
      <c r="A39" s="260" t="s">
        <v>653</v>
      </c>
      <c r="B39" s="168" t="s">
        <v>666</v>
      </c>
      <c r="C39" s="5"/>
      <c r="D39" s="5"/>
      <c r="E39" s="5"/>
      <c r="F39" s="5"/>
      <c r="G39" s="5"/>
      <c r="H39" s="5"/>
      <c r="I39" s="5"/>
    </row>
    <row r="40" spans="1:9" ht="15" x14ac:dyDescent="0.25">
      <c r="A40" s="289" t="s">
        <v>929</v>
      </c>
      <c r="B40" s="168" t="s">
        <v>608</v>
      </c>
      <c r="C40" s="326"/>
      <c r="D40" s="5"/>
      <c r="E40" s="5"/>
      <c r="F40" s="5"/>
      <c r="G40" s="5"/>
      <c r="H40" s="5"/>
      <c r="I40" s="5"/>
    </row>
    <row r="41" spans="1:9" ht="15" x14ac:dyDescent="0.25">
      <c r="A41" s="260" t="s">
        <v>654</v>
      </c>
      <c r="B41" s="168" t="s">
        <v>667</v>
      </c>
      <c r="C41" s="5"/>
      <c r="D41" s="5"/>
      <c r="E41" s="5"/>
      <c r="F41" s="5"/>
      <c r="G41" s="5"/>
      <c r="H41" s="5"/>
      <c r="I41" s="5"/>
    </row>
    <row r="42" spans="1:9" ht="15" x14ac:dyDescent="0.25">
      <c r="A42" s="260" t="s">
        <v>655</v>
      </c>
      <c r="B42" s="168" t="s">
        <v>668</v>
      </c>
      <c r="C42" s="5"/>
      <c r="D42" s="5"/>
      <c r="E42" s="5"/>
      <c r="F42" s="5"/>
      <c r="G42" s="5"/>
      <c r="H42" s="5"/>
      <c r="I42" s="5"/>
    </row>
    <row r="43" spans="1:9" ht="15" x14ac:dyDescent="0.25">
      <c r="A43" s="260" t="s">
        <v>928</v>
      </c>
      <c r="B43" s="168" t="s">
        <v>189</v>
      </c>
      <c r="C43" s="5"/>
      <c r="D43" s="5"/>
      <c r="E43" s="5"/>
      <c r="F43" s="5"/>
      <c r="G43" s="5"/>
      <c r="H43" s="5"/>
      <c r="I43" s="5"/>
    </row>
    <row r="44" spans="1:9" ht="15" x14ac:dyDescent="0.25">
      <c r="A44" s="260" t="s">
        <v>947</v>
      </c>
      <c r="B44" s="168" t="s">
        <v>183</v>
      </c>
      <c r="C44" s="5"/>
      <c r="D44" s="5"/>
      <c r="E44" s="5"/>
      <c r="F44" s="5"/>
      <c r="G44" s="5"/>
      <c r="H44" s="5"/>
      <c r="I44" s="5"/>
    </row>
    <row r="45" spans="1:9" ht="19.5" x14ac:dyDescent="0.25">
      <c r="A45" s="261"/>
      <c r="B45" s="927"/>
      <c r="C45" s="5"/>
      <c r="D45" s="5"/>
      <c r="E45" s="5"/>
      <c r="F45" s="5"/>
      <c r="G45" s="5"/>
      <c r="H45" s="5"/>
      <c r="I45" s="5"/>
    </row>
    <row r="46" spans="1:9" ht="20.25" x14ac:dyDescent="0.3">
      <c r="A46" s="261"/>
      <c r="B46" s="1"/>
      <c r="C46" s="5"/>
      <c r="D46" s="5"/>
      <c r="E46" s="5"/>
      <c r="F46" s="5"/>
      <c r="G46" s="5"/>
      <c r="H46" s="5"/>
      <c r="I46" s="5"/>
    </row>
    <row r="47" spans="1:9" ht="20.25" x14ac:dyDescent="0.3">
      <c r="A47" s="261"/>
      <c r="B47" s="1"/>
      <c r="C47" s="5"/>
      <c r="D47" s="5"/>
      <c r="E47" s="5"/>
      <c r="F47" s="5"/>
      <c r="G47" s="5"/>
      <c r="H47" s="5"/>
      <c r="I47" s="5"/>
    </row>
    <row r="48" spans="1:9" ht="20.25" x14ac:dyDescent="0.3">
      <c r="A48" s="261"/>
      <c r="B48" s="1"/>
      <c r="C48" s="5"/>
      <c r="D48" s="5"/>
      <c r="E48" s="5"/>
      <c r="F48" s="5"/>
      <c r="G48" s="5"/>
      <c r="H48" s="5"/>
      <c r="I48" s="5"/>
    </row>
    <row r="49" spans="1:9" ht="20.25" x14ac:dyDescent="0.3">
      <c r="A49" s="261"/>
      <c r="B49" s="1"/>
      <c r="C49" s="5"/>
      <c r="D49" s="5"/>
      <c r="E49" s="5"/>
      <c r="F49" s="5"/>
      <c r="G49" s="5"/>
      <c r="H49" s="5"/>
      <c r="I49" s="5"/>
    </row>
    <row r="50" spans="1:9" ht="20.25" x14ac:dyDescent="0.3">
      <c r="A50" s="261"/>
      <c r="B50" s="1"/>
      <c r="C50" s="5"/>
      <c r="D50" s="5"/>
      <c r="E50" s="5"/>
      <c r="F50" s="5"/>
      <c r="G50" s="5"/>
      <c r="H50" s="5"/>
      <c r="I50" s="5"/>
    </row>
    <row r="51" spans="1:9" ht="20.25" x14ac:dyDescent="0.3">
      <c r="A51" s="261"/>
      <c r="B51" s="1"/>
      <c r="C51" s="5"/>
      <c r="D51" s="5"/>
      <c r="E51" s="5"/>
      <c r="F51" s="5"/>
      <c r="G51" s="5"/>
      <c r="H51" s="5"/>
      <c r="I51" s="5"/>
    </row>
    <row r="52" spans="1:9" ht="20.25" x14ac:dyDescent="0.3">
      <c r="A52" s="261"/>
      <c r="B52" s="1"/>
      <c r="C52" s="5"/>
      <c r="D52" s="5"/>
      <c r="E52" s="5"/>
      <c r="F52" s="5"/>
      <c r="G52" s="5"/>
      <c r="H52" s="5"/>
      <c r="I52" s="5"/>
    </row>
    <row r="53" spans="1:9" ht="20.25" x14ac:dyDescent="0.3">
      <c r="A53" s="261"/>
      <c r="B53" s="1"/>
      <c r="C53" s="5"/>
      <c r="D53" s="5"/>
      <c r="E53" s="5"/>
      <c r="F53" s="5"/>
      <c r="G53" s="5"/>
      <c r="H53" s="5"/>
      <c r="I53" s="5"/>
    </row>
    <row r="54" spans="1:9" ht="20.25" x14ac:dyDescent="0.3">
      <c r="A54" s="261"/>
      <c r="B54" s="1"/>
      <c r="C54" s="5"/>
      <c r="D54" s="5"/>
      <c r="E54" s="5"/>
      <c r="F54" s="5"/>
      <c r="G54" s="5"/>
      <c r="H54" s="5"/>
      <c r="I54" s="5"/>
    </row>
    <row r="55" spans="1:9" ht="20.25" x14ac:dyDescent="0.3">
      <c r="A55" s="261"/>
      <c r="B55" s="1"/>
      <c r="C55" s="5"/>
      <c r="D55" s="5"/>
      <c r="E55" s="5"/>
      <c r="F55" s="5"/>
      <c r="G55" s="5"/>
      <c r="H55" s="5"/>
      <c r="I55" s="5"/>
    </row>
    <row r="56" spans="1:9" ht="20.25" x14ac:dyDescent="0.3">
      <c r="A56" s="261"/>
      <c r="B56" s="1"/>
      <c r="C56" s="5"/>
      <c r="D56" s="5"/>
      <c r="E56" s="5"/>
      <c r="F56" s="5"/>
      <c r="G56" s="5"/>
      <c r="H56" s="5"/>
      <c r="I56" s="5"/>
    </row>
    <row r="57" spans="1:9" ht="20.25" x14ac:dyDescent="0.3">
      <c r="A57" s="261"/>
      <c r="B57" s="1"/>
      <c r="C57" s="5"/>
      <c r="D57" s="5"/>
      <c r="E57" s="5"/>
      <c r="F57" s="5"/>
      <c r="G57" s="5"/>
      <c r="H57" s="5"/>
      <c r="I57" s="5"/>
    </row>
    <row r="58" spans="1:9" ht="20.25" x14ac:dyDescent="0.3">
      <c r="A58" s="261"/>
      <c r="B58" s="1"/>
      <c r="C58" s="5"/>
      <c r="D58" s="5"/>
      <c r="E58" s="5"/>
      <c r="F58" s="5"/>
      <c r="G58" s="5"/>
      <c r="H58" s="5"/>
      <c r="I58" s="5"/>
    </row>
    <row r="59" spans="1:9" ht="20.25" x14ac:dyDescent="0.3">
      <c r="A59" s="261"/>
      <c r="B59" s="1"/>
      <c r="C59" s="5"/>
      <c r="D59" s="5"/>
      <c r="E59" s="5"/>
      <c r="F59" s="5"/>
      <c r="G59" s="5"/>
      <c r="H59" s="5"/>
      <c r="I59" s="5"/>
    </row>
    <row r="60" spans="1:9" ht="20.25" x14ac:dyDescent="0.3">
      <c r="A60" s="261"/>
      <c r="B60" s="1"/>
      <c r="C60" s="5"/>
      <c r="D60" s="5"/>
      <c r="E60" s="5"/>
      <c r="F60" s="5"/>
      <c r="G60" s="5"/>
      <c r="H60" s="5"/>
      <c r="I60" s="5"/>
    </row>
    <row r="61" spans="1:9" ht="20.25" x14ac:dyDescent="0.3">
      <c r="A61" s="261"/>
      <c r="B61" s="1"/>
      <c r="C61" s="5"/>
      <c r="D61" s="5"/>
      <c r="E61" s="5"/>
      <c r="F61" s="5"/>
      <c r="G61" s="5"/>
      <c r="H61" s="5"/>
      <c r="I61" s="5"/>
    </row>
    <row r="62" spans="1:9" ht="20.25" x14ac:dyDescent="0.3">
      <c r="A62" s="261"/>
      <c r="B62" s="1"/>
      <c r="C62" s="5"/>
      <c r="D62" s="5"/>
      <c r="E62" s="5"/>
      <c r="F62" s="5"/>
      <c r="G62" s="5"/>
      <c r="H62" s="5"/>
      <c r="I62" s="5"/>
    </row>
    <row r="63" spans="1:9" ht="20.25" x14ac:dyDescent="0.3">
      <c r="A63" s="261"/>
      <c r="B63" s="1"/>
      <c r="C63" s="5"/>
      <c r="D63" s="5"/>
      <c r="E63" s="5"/>
      <c r="F63" s="5"/>
      <c r="G63" s="5"/>
      <c r="H63" s="5"/>
      <c r="I63" s="5"/>
    </row>
    <row r="64" spans="1:9" ht="20.25" x14ac:dyDescent="0.3">
      <c r="A64" s="261"/>
      <c r="B64" s="1"/>
      <c r="C64" s="5"/>
      <c r="D64" s="5"/>
      <c r="E64" s="5"/>
      <c r="F64" s="5"/>
      <c r="G64" s="5"/>
      <c r="H64" s="5"/>
      <c r="I64" s="5"/>
    </row>
    <row r="65" spans="1:9" ht="20.25" x14ac:dyDescent="0.3">
      <c r="A65" s="261"/>
      <c r="B65" s="1"/>
      <c r="C65" s="5"/>
      <c r="D65" s="5"/>
      <c r="E65" s="5"/>
      <c r="F65" s="5"/>
      <c r="G65" s="5"/>
      <c r="H65" s="5"/>
      <c r="I65" s="5"/>
    </row>
    <row r="66" spans="1:9" ht="20.25" x14ac:dyDescent="0.3">
      <c r="A66" s="261"/>
      <c r="B66" s="1"/>
      <c r="C66" s="5"/>
      <c r="D66" s="5"/>
      <c r="E66" s="5"/>
      <c r="F66" s="5"/>
      <c r="G66" s="5"/>
      <c r="H66" s="5"/>
      <c r="I66" s="5"/>
    </row>
    <row r="67" spans="1:9" ht="20.25" x14ac:dyDescent="0.3">
      <c r="A67" s="261"/>
      <c r="B67" s="1"/>
      <c r="C67" s="5"/>
      <c r="D67" s="5"/>
      <c r="E67" s="5"/>
      <c r="F67" s="5"/>
      <c r="G67" s="5"/>
      <c r="H67" s="5"/>
      <c r="I67" s="5"/>
    </row>
    <row r="68" spans="1:9" ht="20.25" x14ac:dyDescent="0.3">
      <c r="A68" s="261"/>
      <c r="B68" s="1"/>
      <c r="C68" s="5"/>
      <c r="D68" s="5"/>
      <c r="E68" s="5"/>
      <c r="F68" s="5"/>
      <c r="G68" s="5"/>
      <c r="H68" s="5"/>
      <c r="I68" s="5"/>
    </row>
    <row r="69" spans="1:9" ht="20.25" x14ac:dyDescent="0.3">
      <c r="A69" s="261"/>
      <c r="B69" s="1"/>
      <c r="C69" s="5"/>
      <c r="D69" s="5"/>
      <c r="E69" s="5"/>
      <c r="F69" s="5"/>
      <c r="G69" s="5"/>
      <c r="H69" s="5"/>
      <c r="I69" s="5"/>
    </row>
    <row r="70" spans="1:9" ht="20.25" x14ac:dyDescent="0.3">
      <c r="A70" s="261"/>
      <c r="B70" s="1"/>
      <c r="C70" s="5"/>
      <c r="D70" s="5"/>
      <c r="E70" s="5"/>
      <c r="F70" s="5"/>
      <c r="G70" s="5"/>
      <c r="H70" s="5"/>
      <c r="I70" s="5"/>
    </row>
    <row r="71" spans="1:9" ht="20.25" x14ac:dyDescent="0.3">
      <c r="A71" s="261"/>
      <c r="B71" s="1"/>
      <c r="C71" s="5"/>
      <c r="D71" s="5"/>
      <c r="E71" s="5"/>
      <c r="F71" s="5"/>
      <c r="G71" s="5"/>
      <c r="H71" s="5"/>
      <c r="I71" s="5"/>
    </row>
    <row r="72" spans="1:9" ht="20.25" x14ac:dyDescent="0.3">
      <c r="A72" s="261"/>
      <c r="B72" s="1"/>
      <c r="C72" s="5"/>
      <c r="D72" s="5"/>
      <c r="E72" s="5"/>
      <c r="F72" s="5"/>
      <c r="G72" s="5"/>
      <c r="H72" s="5"/>
      <c r="I72" s="5"/>
    </row>
    <row r="73" spans="1:9" ht="20.25" x14ac:dyDescent="0.3">
      <c r="A73" s="261"/>
      <c r="B73" s="1"/>
      <c r="C73" s="5"/>
      <c r="D73" s="5"/>
      <c r="E73" s="5"/>
      <c r="F73" s="5"/>
      <c r="G73" s="5"/>
      <c r="H73" s="5"/>
      <c r="I73" s="5"/>
    </row>
    <row r="74" spans="1:9" ht="20.25" x14ac:dyDescent="0.3">
      <c r="A74" s="261"/>
      <c r="B74" s="1"/>
      <c r="C74" s="5"/>
      <c r="D74" s="5"/>
      <c r="E74" s="5"/>
      <c r="F74" s="5"/>
      <c r="G74" s="5"/>
      <c r="H74" s="5"/>
      <c r="I74" s="5"/>
    </row>
    <row r="75" spans="1:9" ht="20.25" x14ac:dyDescent="0.3">
      <c r="A75" s="261"/>
      <c r="B75" s="1"/>
      <c r="C75" s="5"/>
      <c r="D75" s="5"/>
      <c r="E75" s="5"/>
      <c r="F75" s="5"/>
      <c r="G75" s="5"/>
      <c r="H75" s="5"/>
      <c r="I75" s="5"/>
    </row>
    <row r="76" spans="1:9" ht="20.25" x14ac:dyDescent="0.3">
      <c r="A76" s="261"/>
      <c r="B76" s="1"/>
      <c r="C76" s="5"/>
      <c r="D76" s="5"/>
      <c r="E76" s="5"/>
      <c r="F76" s="5"/>
      <c r="G76" s="5"/>
      <c r="H76" s="5"/>
      <c r="I76" s="5"/>
    </row>
    <row r="77" spans="1:9" ht="20.25" x14ac:dyDescent="0.3">
      <c r="A77" s="261"/>
      <c r="B77" s="1"/>
      <c r="C77" s="5"/>
      <c r="D77" s="5"/>
      <c r="E77" s="5"/>
      <c r="F77" s="5"/>
      <c r="G77" s="5"/>
      <c r="H77" s="5"/>
      <c r="I77" s="5"/>
    </row>
    <row r="78" spans="1:9" ht="20.25" x14ac:dyDescent="0.3">
      <c r="A78" s="261"/>
      <c r="B78" s="1"/>
      <c r="C78" s="5"/>
      <c r="D78" s="5"/>
      <c r="E78" s="5"/>
      <c r="F78" s="5"/>
      <c r="G78" s="5"/>
      <c r="H78" s="5"/>
      <c r="I78" s="5"/>
    </row>
    <row r="79" spans="1:9" ht="20.25" x14ac:dyDescent="0.3">
      <c r="A79" s="261"/>
      <c r="B79" s="1"/>
      <c r="C79" s="5"/>
      <c r="D79" s="5"/>
      <c r="E79" s="5"/>
      <c r="F79" s="5"/>
      <c r="G79" s="5"/>
      <c r="H79" s="5"/>
      <c r="I79" s="5"/>
    </row>
    <row r="80" spans="1:9" ht="20.25" x14ac:dyDescent="0.3">
      <c r="A80" s="261"/>
      <c r="B80" s="1"/>
      <c r="C80" s="5"/>
      <c r="D80" s="5"/>
      <c r="E80" s="5"/>
      <c r="F80" s="5"/>
      <c r="G80" s="5"/>
      <c r="H80" s="5"/>
      <c r="I80" s="5"/>
    </row>
    <row r="81" spans="1:9" ht="20.25" x14ac:dyDescent="0.3">
      <c r="A81" s="261"/>
      <c r="B81" s="1"/>
      <c r="C81" s="5"/>
      <c r="D81" s="5"/>
      <c r="E81" s="5"/>
      <c r="F81" s="5"/>
      <c r="G81" s="5"/>
      <c r="H81" s="5"/>
      <c r="I81" s="5"/>
    </row>
    <row r="82" spans="1:9" ht="20.25" x14ac:dyDescent="0.3">
      <c r="A82" s="261"/>
      <c r="B82" s="1"/>
      <c r="C82" s="5"/>
      <c r="D82" s="5"/>
      <c r="E82" s="5"/>
      <c r="F82" s="5"/>
      <c r="G82" s="5"/>
      <c r="H82" s="5"/>
      <c r="I82" s="5"/>
    </row>
    <row r="83" spans="1:9" ht="20.25" x14ac:dyDescent="0.3">
      <c r="A83" s="261"/>
      <c r="B83" s="1"/>
      <c r="C83" s="5"/>
      <c r="D83" s="5"/>
      <c r="E83" s="5"/>
      <c r="F83" s="5"/>
      <c r="G83" s="5"/>
      <c r="H83" s="5"/>
      <c r="I83" s="5"/>
    </row>
    <row r="84" spans="1:9" ht="20.25" x14ac:dyDescent="0.3">
      <c r="A84" s="261"/>
      <c r="B84" s="1"/>
      <c r="C84" s="5"/>
      <c r="D84" s="5"/>
      <c r="E84" s="5"/>
      <c r="F84" s="5"/>
      <c r="G84" s="5"/>
      <c r="H84" s="5"/>
      <c r="I84" s="5"/>
    </row>
    <row r="85" spans="1:9" ht="20.25" x14ac:dyDescent="0.3">
      <c r="A85" s="261"/>
      <c r="B85" s="1"/>
      <c r="C85" s="5"/>
      <c r="D85" s="5"/>
      <c r="E85" s="5"/>
      <c r="F85" s="5"/>
      <c r="G85" s="5"/>
      <c r="H85" s="5"/>
      <c r="I85" s="5"/>
    </row>
    <row r="86" spans="1:9" ht="20.25" x14ac:dyDescent="0.3">
      <c r="A86" s="261"/>
      <c r="B86" s="1"/>
      <c r="C86" s="5"/>
      <c r="D86" s="5"/>
      <c r="E86" s="5"/>
      <c r="F86" s="5"/>
      <c r="G86" s="5"/>
      <c r="H86" s="5"/>
      <c r="I86" s="5"/>
    </row>
    <row r="87" spans="1:9" ht="20.25" x14ac:dyDescent="0.3">
      <c r="A87" s="261"/>
      <c r="B87" s="1"/>
      <c r="C87" s="5"/>
      <c r="D87" s="5"/>
      <c r="E87" s="5"/>
      <c r="F87" s="5"/>
      <c r="G87" s="5"/>
      <c r="H87" s="5"/>
      <c r="I87" s="5"/>
    </row>
    <row r="88" spans="1:9" ht="20.25" x14ac:dyDescent="0.3">
      <c r="A88" s="261"/>
      <c r="B88" s="1"/>
      <c r="C88" s="5"/>
      <c r="D88" s="5"/>
      <c r="E88" s="5"/>
      <c r="F88" s="5"/>
      <c r="G88" s="5"/>
      <c r="H88" s="5"/>
      <c r="I88" s="5"/>
    </row>
    <row r="89" spans="1:9" ht="20.25" x14ac:dyDescent="0.3">
      <c r="A89" s="261"/>
      <c r="B89" s="1"/>
      <c r="C89" s="5"/>
      <c r="D89" s="5"/>
      <c r="E89" s="5"/>
      <c r="F89" s="5"/>
      <c r="G89" s="5"/>
      <c r="H89" s="5"/>
      <c r="I89" s="5"/>
    </row>
    <row r="90" spans="1:9" ht="20.25" x14ac:dyDescent="0.3">
      <c r="A90" s="261"/>
      <c r="B90" s="1"/>
      <c r="C90" s="5"/>
      <c r="D90" s="5"/>
      <c r="E90" s="5"/>
      <c r="F90" s="5"/>
      <c r="G90" s="5"/>
      <c r="H90" s="5"/>
      <c r="I90" s="5"/>
    </row>
    <row r="91" spans="1:9" ht="20.25" x14ac:dyDescent="0.3">
      <c r="A91" s="261"/>
      <c r="B91" s="1"/>
      <c r="C91" s="5"/>
      <c r="D91" s="5"/>
      <c r="E91" s="5"/>
      <c r="F91" s="5"/>
      <c r="G91" s="5"/>
      <c r="H91" s="5"/>
      <c r="I91" s="5"/>
    </row>
    <row r="92" spans="1:9" ht="20.25" x14ac:dyDescent="0.3">
      <c r="A92" s="261"/>
      <c r="B92" s="1"/>
      <c r="C92" s="5"/>
      <c r="D92" s="5"/>
      <c r="E92" s="5"/>
      <c r="F92" s="5"/>
      <c r="G92" s="5"/>
      <c r="H92" s="5"/>
      <c r="I92" s="5"/>
    </row>
    <row r="93" spans="1:9" ht="20.25" x14ac:dyDescent="0.3">
      <c r="A93" s="261"/>
      <c r="B93" s="1"/>
      <c r="C93" s="5"/>
      <c r="D93" s="5"/>
      <c r="E93" s="5"/>
      <c r="F93" s="5"/>
      <c r="G93" s="5"/>
      <c r="H93" s="5"/>
      <c r="I93" s="5"/>
    </row>
    <row r="94" spans="1:9" ht="20.25" x14ac:dyDescent="0.3">
      <c r="A94" s="261"/>
      <c r="B94" s="1"/>
      <c r="C94" s="5"/>
      <c r="D94" s="5"/>
      <c r="E94" s="5"/>
      <c r="F94" s="5"/>
      <c r="G94" s="5"/>
      <c r="H94" s="5"/>
      <c r="I94" s="5"/>
    </row>
    <row r="95" spans="1:9" ht="20.25" x14ac:dyDescent="0.3">
      <c r="A95" s="261"/>
      <c r="B95" s="1"/>
      <c r="C95" s="5"/>
      <c r="D95" s="5"/>
      <c r="E95" s="5"/>
      <c r="F95" s="5"/>
      <c r="G95" s="5"/>
      <c r="H95" s="5"/>
      <c r="I95" s="5"/>
    </row>
    <row r="96" spans="1:9" ht="20.25" x14ac:dyDescent="0.3">
      <c r="A96" s="261"/>
      <c r="B96" s="1"/>
      <c r="C96" s="5"/>
      <c r="D96" s="5"/>
      <c r="E96" s="5"/>
      <c r="F96" s="5"/>
      <c r="G96" s="5"/>
      <c r="H96" s="5"/>
      <c r="I96" s="5"/>
    </row>
    <row r="97" spans="1:9" ht="20.25" x14ac:dyDescent="0.3">
      <c r="A97" s="261"/>
      <c r="B97" s="1"/>
      <c r="C97" s="5"/>
      <c r="D97" s="5"/>
      <c r="E97" s="5"/>
      <c r="F97" s="5"/>
      <c r="G97" s="5"/>
      <c r="H97" s="5"/>
      <c r="I97" s="5"/>
    </row>
    <row r="98" spans="1:9" ht="20.25" x14ac:dyDescent="0.3">
      <c r="A98" s="261"/>
      <c r="B98" s="1"/>
      <c r="C98" s="5"/>
      <c r="D98" s="5"/>
      <c r="E98" s="5"/>
      <c r="F98" s="5"/>
      <c r="G98" s="5"/>
      <c r="H98" s="5"/>
      <c r="I98" s="5"/>
    </row>
    <row r="99" spans="1:9" ht="20.25" x14ac:dyDescent="0.3">
      <c r="A99" s="261"/>
      <c r="B99" s="1"/>
      <c r="C99" s="5"/>
      <c r="D99" s="5"/>
      <c r="E99" s="5"/>
      <c r="F99" s="5"/>
      <c r="G99" s="5"/>
      <c r="H99" s="5"/>
      <c r="I99" s="5"/>
    </row>
    <row r="100" spans="1:9" ht="20.25" x14ac:dyDescent="0.3">
      <c r="A100" s="261"/>
      <c r="B100" s="1"/>
      <c r="C100" s="5"/>
      <c r="D100" s="5"/>
      <c r="E100" s="5"/>
      <c r="F100" s="5"/>
      <c r="G100" s="5"/>
      <c r="H100" s="5"/>
      <c r="I100" s="5"/>
    </row>
    <row r="101" spans="1:9" ht="20.25" x14ac:dyDescent="0.3">
      <c r="A101" s="261"/>
      <c r="B101" s="1"/>
      <c r="C101" s="5"/>
      <c r="D101" s="5"/>
      <c r="E101" s="5"/>
      <c r="F101" s="5"/>
      <c r="G101" s="5"/>
      <c r="H101" s="5"/>
      <c r="I101" s="5"/>
    </row>
    <row r="102" spans="1:9" ht="20.25" x14ac:dyDescent="0.3">
      <c r="A102" s="261"/>
      <c r="B102" s="1"/>
      <c r="C102" s="5"/>
      <c r="D102" s="5"/>
      <c r="E102" s="5"/>
      <c r="F102" s="5"/>
      <c r="G102" s="5"/>
      <c r="H102" s="5"/>
      <c r="I102" s="5"/>
    </row>
    <row r="103" spans="1:9" ht="20.25" x14ac:dyDescent="0.3">
      <c r="A103" s="261"/>
      <c r="B103" s="1"/>
      <c r="C103" s="5"/>
      <c r="D103" s="5"/>
      <c r="E103" s="5"/>
      <c r="F103" s="5"/>
      <c r="G103" s="5"/>
      <c r="H103" s="5"/>
      <c r="I103" s="5"/>
    </row>
    <row r="104" spans="1:9" ht="20.25" x14ac:dyDescent="0.3">
      <c r="A104" s="261"/>
      <c r="B104" s="1"/>
      <c r="C104" s="5"/>
      <c r="D104" s="5"/>
      <c r="E104" s="5"/>
      <c r="F104" s="5"/>
      <c r="G104" s="5"/>
      <c r="H104" s="5"/>
      <c r="I104" s="5"/>
    </row>
    <row r="105" spans="1:9" ht="20.25" x14ac:dyDescent="0.3">
      <c r="A105" s="261"/>
      <c r="B105" s="1"/>
      <c r="C105" s="5"/>
      <c r="D105" s="5"/>
      <c r="E105" s="5"/>
      <c r="F105" s="5"/>
      <c r="G105" s="5"/>
      <c r="H105" s="5"/>
      <c r="I105" s="5"/>
    </row>
    <row r="106" spans="1:9" ht="20.25" x14ac:dyDescent="0.3">
      <c r="A106" s="261"/>
      <c r="B106" s="1"/>
      <c r="C106" s="5"/>
      <c r="D106" s="5"/>
      <c r="E106" s="5"/>
      <c r="F106" s="5"/>
      <c r="G106" s="5"/>
      <c r="H106" s="5"/>
      <c r="I106" s="5"/>
    </row>
    <row r="107" spans="1:9" ht="20.25" x14ac:dyDescent="0.3">
      <c r="A107" s="261"/>
      <c r="B107" s="1"/>
      <c r="C107" s="5"/>
      <c r="D107" s="5"/>
      <c r="E107" s="5"/>
      <c r="F107" s="5"/>
      <c r="G107" s="5"/>
      <c r="H107" s="5"/>
      <c r="I107" s="5"/>
    </row>
    <row r="108" spans="1:9" ht="20.25" x14ac:dyDescent="0.3">
      <c r="A108" s="261"/>
      <c r="B108" s="1"/>
      <c r="C108" s="5"/>
      <c r="D108" s="5"/>
      <c r="E108" s="5"/>
      <c r="F108" s="5"/>
      <c r="G108" s="5"/>
      <c r="H108" s="5"/>
      <c r="I108" s="5"/>
    </row>
    <row r="109" spans="1:9" ht="20.25" x14ac:dyDescent="0.3">
      <c r="A109" s="261"/>
      <c r="B109" s="1"/>
      <c r="C109" s="5"/>
      <c r="D109" s="5"/>
      <c r="E109" s="5"/>
      <c r="F109" s="5"/>
      <c r="G109" s="5"/>
      <c r="H109" s="5"/>
      <c r="I109" s="5"/>
    </row>
    <row r="110" spans="1:9" ht="20.25" x14ac:dyDescent="0.3">
      <c r="A110" s="261"/>
      <c r="B110" s="1"/>
      <c r="C110" s="5"/>
      <c r="D110" s="5"/>
      <c r="E110" s="5"/>
      <c r="F110" s="5"/>
      <c r="G110" s="5"/>
      <c r="H110" s="5"/>
      <c r="I110" s="5"/>
    </row>
    <row r="111" spans="1:9" x14ac:dyDescent="0.3">
      <c r="C111" s="5"/>
      <c r="D111" s="5"/>
      <c r="E111" s="5"/>
      <c r="F111" s="5"/>
      <c r="G111" s="5"/>
      <c r="H111" s="5"/>
      <c r="I111" s="5"/>
    </row>
  </sheetData>
  <sheetProtection algorithmName="SHA-512" hashValue="gnczl5DoJfGU++aijCDXH8+o8AGKIg9KyZyLsKiSWEob7BOdhaxS8vUUIPLEUuMrXP0uu8SIX56H3U+ywXKpwQ==" saltValue="90x+NDHNUfMeN1xH4FFS/g==" spinCount="100000" sheet="1" objects="1" scenarios="1"/>
  <mergeCells count="1">
    <mergeCell ref="A1:B1"/>
  </mergeCells>
  <hyperlinks>
    <hyperlink ref="B36" r:id="rId1" xr:uid="{4DFB3BFD-64E1-45C0-8645-E60BE2247465}"/>
    <hyperlink ref="B11" r:id="rId2" xr:uid="{A5E5F4CE-E0F8-4714-9D30-BFC391CE3672}"/>
    <hyperlink ref="B44" r:id="rId3" xr:uid="{FFDD37E9-4E72-4CA2-AACE-CB492C0718CE}"/>
    <hyperlink ref="B27" r:id="rId4" xr:uid="{75A4CEA2-AFBE-401B-9654-5F2EE23CC8C0}"/>
    <hyperlink ref="B14" r:id="rId5" xr:uid="{01C7CE4E-AAAA-4C83-B67F-0E1C66D36BAD}"/>
    <hyperlink ref="B19" r:id="rId6" xr:uid="{C8179CA6-4DB6-49BB-A1F1-F74BAAFB19D6}"/>
    <hyperlink ref="B40" r:id="rId7" xr:uid="{BE1CB4CB-D2DC-4B95-8739-2D60880DB167}"/>
    <hyperlink ref="B9" r:id="rId8" xr:uid="{8B914B8E-4407-4407-9235-512988052188}"/>
    <hyperlink ref="B7" r:id="rId9" xr:uid="{4100C1BF-0610-492F-99D7-587F8A13FEA1}"/>
    <hyperlink ref="B33" r:id="rId10" xr:uid="{E77D285B-A009-43C9-8A93-27A8581390A9}"/>
    <hyperlink ref="B20" r:id="rId11" xr:uid="{0AC2F570-F164-49F6-A8D6-0124670F9D03}"/>
    <hyperlink ref="B31" r:id="rId12" xr:uid="{B6692DD5-6785-47A9-8363-E27CF1B10E9B}"/>
    <hyperlink ref="B32" r:id="rId13" xr:uid="{3EE52FDC-B1A7-4292-815E-725B197B813E}"/>
    <hyperlink ref="B10" r:id="rId14" xr:uid="{AD2C8D0F-342F-4A29-9FC8-A42BF7537E3B}"/>
    <hyperlink ref="B6" r:id="rId15" xr:uid="{719BD882-0DA9-46A3-8ADB-9647B0E63E94}"/>
    <hyperlink ref="B26" r:id="rId16" xr:uid="{26299B0E-91C1-4615-B1D5-D7A1B0FADBAB}"/>
    <hyperlink ref="B43" r:id="rId17" xr:uid="{7D4A8D99-DF89-4D54-9F38-84CC88605E61}"/>
    <hyperlink ref="B16" r:id="rId18" xr:uid="{26C34706-7634-47FF-835F-B5E5415E9EF7}"/>
    <hyperlink ref="B25" r:id="rId19" xr:uid="{739286D4-6A70-48D0-B894-8C4DF7A33B85}"/>
    <hyperlink ref="B41" r:id="rId20" xr:uid="{8A711E81-BAA1-412D-853A-2982F5A70B58}"/>
    <hyperlink ref="B39" r:id="rId21" xr:uid="{603F1A7B-A461-455F-9E35-097042A48E24}"/>
    <hyperlink ref="B42" r:id="rId22" xr:uid="{5E5A8459-EE73-4EAD-9F5E-0A487A620AB9}"/>
    <hyperlink ref="B21" r:id="rId23" xr:uid="{3AA0EAA3-EEF6-4725-B549-CB0BEB653307}"/>
    <hyperlink ref="B23" r:id="rId24" xr:uid="{13A4428C-90E2-499C-80B5-5A82974C3057}"/>
    <hyperlink ref="B24" r:id="rId25" xr:uid="{4446B657-8A21-4EA9-8120-F6A34327944F}"/>
    <hyperlink ref="B30" r:id="rId26" xr:uid="{25F07D9E-2407-4FCD-A5E3-524CD1B2CC26}"/>
    <hyperlink ref="B34" r:id="rId27" xr:uid="{FD330489-B154-4E0C-BAE4-7AF92E20FC26}"/>
    <hyperlink ref="B35" r:id="rId28" xr:uid="{45B93846-61B5-48CA-AE0C-33A032BA35A7}"/>
    <hyperlink ref="B17" r:id="rId29" xr:uid="{94084961-76B6-422D-9793-611C01ED6054}"/>
    <hyperlink ref="B18" r:id="rId30" xr:uid="{A3F76B26-E2AE-4B48-AD54-27AC0126BB60}"/>
    <hyperlink ref="B8" r:id="rId31" xr:uid="{50143091-6CEB-42DA-BE06-33940ED4BDDB}"/>
    <hyperlink ref="B22" r:id="rId32" xr:uid="{3733699E-46E6-42CD-A50C-72C2667FF608}"/>
    <hyperlink ref="B12" r:id="rId33" xr:uid="{660ABBD6-DBA1-4ED6-8652-AA27BFED694D}"/>
    <hyperlink ref="B13" r:id="rId34" xr:uid="{5E125853-BEBB-451B-8659-7662E2AAB44C}"/>
    <hyperlink ref="B15" r:id="rId35" xr:uid="{9E4BD6C8-5284-426C-98F7-A96FBD0A7D93}"/>
    <hyperlink ref="B28" r:id="rId36" xr:uid="{888D4679-942F-4BC1-8BEE-9D922B1A13FC}"/>
    <hyperlink ref="B38" r:id="rId37" xr:uid="{9D4BF403-EE45-4843-9F94-5E5B231F54F3}"/>
    <hyperlink ref="B29" r:id="rId38" xr:uid="{9476080E-DBEF-47CA-8C94-A2C69B9AC551}"/>
    <hyperlink ref="B37" r:id="rId39" xr:uid="{E23EB53B-F22C-4A16-B2AD-976D2B4EBC1E}"/>
  </hyperlinks>
  <pageMargins left="0.7" right="0.7" top="0.75" bottom="0.75" header="0.3" footer="0.3"/>
  <pageSetup scale="86" orientation="landscape" r:id="rId40"/>
  <rowBreaks count="1" manualBreakCount="1">
    <brk id="44" max="1"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CC6DC-66B7-47C6-A909-4909A2FF7133}">
  <sheetPr codeName="Sheet17">
    <pageSetUpPr fitToPage="1"/>
  </sheetPr>
  <dimension ref="A1:Y102"/>
  <sheetViews>
    <sheetView zoomScale="130" zoomScaleNormal="130" zoomScaleSheetLayoutView="130" workbookViewId="0">
      <pane ySplit="4" topLeftCell="A5" activePane="bottomLeft" state="frozen"/>
      <selection activeCell="B7" sqref="B7:O7"/>
      <selection pane="bottomLeft" activeCell="A5" sqref="A5"/>
    </sheetView>
  </sheetViews>
  <sheetFormatPr baseColWidth="10" defaultColWidth="9.140625" defaultRowHeight="13.5" x14ac:dyDescent="0.3"/>
  <cols>
    <col min="1" max="1" width="38.7109375" style="7" customWidth="1"/>
    <col min="2" max="6" width="13.7109375" style="7" customWidth="1"/>
    <col min="7" max="8" width="9.140625" style="7"/>
    <col min="9" max="9" width="12" style="7" bestFit="1" customWidth="1"/>
    <col min="10" max="10" width="9.85546875" style="7" bestFit="1" customWidth="1"/>
    <col min="11" max="11" width="10.7109375" style="7" bestFit="1" customWidth="1"/>
    <col min="12" max="12" width="9.140625" style="7"/>
    <col min="13" max="13" width="14.28515625" style="7" bestFit="1" customWidth="1"/>
    <col min="14" max="14" width="12.85546875" style="7" bestFit="1" customWidth="1"/>
    <col min="15" max="15" width="14.28515625" style="7" bestFit="1" customWidth="1"/>
    <col min="16" max="16384" width="9.140625" style="7"/>
  </cols>
  <sheetData>
    <row r="1" spans="1:25" ht="20.45" customHeight="1" x14ac:dyDescent="0.3">
      <c r="A1" s="89" t="s">
        <v>791</v>
      </c>
      <c r="B1" s="2"/>
      <c r="C1" s="2"/>
      <c r="D1" s="2"/>
      <c r="E1" s="2"/>
      <c r="F1" s="3"/>
      <c r="G1" s="1"/>
      <c r="H1" s="5"/>
      <c r="I1" s="5"/>
      <c r="J1" s="1"/>
      <c r="K1" s="1"/>
      <c r="L1" s="1"/>
      <c r="M1" s="1"/>
      <c r="N1" s="1"/>
      <c r="O1" s="1"/>
      <c r="P1" s="1"/>
      <c r="Q1" s="1"/>
      <c r="R1" s="1"/>
      <c r="S1" s="1"/>
      <c r="T1" s="1"/>
      <c r="U1" s="1"/>
      <c r="V1" s="1"/>
      <c r="W1" s="1"/>
      <c r="X1" s="1"/>
      <c r="Y1" s="1"/>
    </row>
    <row r="2" spans="1:25" ht="13.5" customHeight="1" x14ac:dyDescent="0.3">
      <c r="A2" s="90" t="s">
        <v>133</v>
      </c>
      <c r="B2" s="121"/>
      <c r="C2" s="121"/>
      <c r="D2" s="121"/>
      <c r="E2" s="121"/>
      <c r="F2" s="11"/>
      <c r="G2" s="1"/>
      <c r="H2" s="5"/>
      <c r="I2" s="5"/>
      <c r="J2" s="1"/>
      <c r="K2" s="1"/>
      <c r="L2" s="1"/>
      <c r="M2" s="1"/>
      <c r="N2" s="1"/>
      <c r="O2" s="1"/>
      <c r="P2" s="1"/>
      <c r="Q2" s="1"/>
      <c r="R2" s="1"/>
      <c r="S2" s="1"/>
      <c r="T2" s="1"/>
      <c r="U2" s="1"/>
      <c r="V2" s="1"/>
      <c r="W2" s="1"/>
      <c r="X2" s="1"/>
      <c r="Y2" s="1"/>
    </row>
    <row r="3" spans="1:25" ht="15.75" x14ac:dyDescent="0.3">
      <c r="A3" s="91"/>
      <c r="B3" s="584">
        <v>2018</v>
      </c>
      <c r="C3" s="584">
        <v>2019</v>
      </c>
      <c r="D3" s="584">
        <v>2020</v>
      </c>
      <c r="E3" s="584">
        <v>2021</v>
      </c>
      <c r="F3" s="585">
        <v>2022</v>
      </c>
      <c r="G3" s="1"/>
      <c r="H3" s="5"/>
      <c r="I3" s="5"/>
      <c r="J3" s="1"/>
      <c r="K3" s="1"/>
      <c r="L3" s="1"/>
      <c r="M3" s="1"/>
      <c r="N3" s="1"/>
      <c r="O3" s="1"/>
      <c r="P3" s="1"/>
      <c r="Q3" s="1"/>
      <c r="R3" s="1"/>
      <c r="S3" s="1"/>
      <c r="T3" s="1"/>
      <c r="U3" s="1"/>
      <c r="V3" s="1"/>
      <c r="W3" s="1"/>
      <c r="X3" s="1"/>
      <c r="Y3" s="1"/>
    </row>
    <row r="4" spans="1:25" ht="15.75" customHeight="1" x14ac:dyDescent="0.3">
      <c r="A4" s="92" t="s">
        <v>965</v>
      </c>
      <c r="B4" s="50"/>
      <c r="C4" s="50"/>
      <c r="D4" s="50"/>
      <c r="E4" s="50"/>
      <c r="F4" s="130"/>
      <c r="G4" s="1"/>
      <c r="H4" s="5"/>
      <c r="I4" s="5"/>
      <c r="J4" s="1"/>
      <c r="K4" s="1"/>
      <c r="L4" s="1"/>
      <c r="M4" s="1"/>
      <c r="N4" s="1"/>
      <c r="O4" s="1"/>
      <c r="P4" s="1"/>
      <c r="Q4" s="1"/>
      <c r="R4" s="1"/>
      <c r="S4" s="1"/>
      <c r="T4" s="1"/>
      <c r="U4" s="1"/>
      <c r="V4" s="1"/>
      <c r="W4" s="1"/>
      <c r="X4" s="1"/>
      <c r="Y4" s="1"/>
    </row>
    <row r="5" spans="1:25" s="20" customFormat="1" ht="13.5" customHeight="1" x14ac:dyDescent="0.3">
      <c r="A5" s="105" t="s">
        <v>142</v>
      </c>
      <c r="B5" s="587">
        <v>454</v>
      </c>
      <c r="C5" s="587">
        <v>505</v>
      </c>
      <c r="D5" s="587">
        <v>413</v>
      </c>
      <c r="E5" s="701">
        <v>457</v>
      </c>
      <c r="F5" s="702">
        <v>590</v>
      </c>
      <c r="G5" s="131"/>
      <c r="H5" s="6"/>
      <c r="I5" s="6"/>
      <c r="J5" s="6"/>
      <c r="K5" s="6"/>
      <c r="L5" s="6"/>
      <c r="M5" s="6"/>
      <c r="N5" s="6"/>
      <c r="O5" s="6"/>
      <c r="P5" s="6"/>
      <c r="Q5" s="6"/>
      <c r="R5" s="6"/>
      <c r="S5" s="6"/>
      <c r="T5" s="6"/>
      <c r="U5" s="6"/>
      <c r="V5" s="6"/>
      <c r="W5" s="6"/>
      <c r="X5" s="6"/>
      <c r="Y5" s="6"/>
    </row>
    <row r="6" spans="1:25" s="20" customFormat="1" ht="13.5" customHeight="1" x14ac:dyDescent="0.3">
      <c r="A6" s="16" t="s">
        <v>143</v>
      </c>
      <c r="B6" s="619">
        <v>0.107</v>
      </c>
      <c r="C6" s="619">
        <v>0.107</v>
      </c>
      <c r="D6" s="619">
        <v>6.7000000000000004E-2</v>
      </c>
      <c r="E6" s="619">
        <v>7.0000000000000007E-2</v>
      </c>
      <c r="F6" s="620">
        <v>7.0000000000000007E-2</v>
      </c>
      <c r="G6" s="41"/>
      <c r="H6" s="6"/>
      <c r="I6" s="6"/>
      <c r="J6" s="6"/>
      <c r="K6" s="6"/>
      <c r="L6" s="6"/>
      <c r="M6" s="6"/>
      <c r="N6" s="6"/>
      <c r="O6" s="6"/>
      <c r="P6" s="6"/>
      <c r="Q6" s="6"/>
      <c r="R6" s="6"/>
      <c r="S6" s="6"/>
      <c r="T6" s="6"/>
      <c r="U6" s="6"/>
      <c r="V6" s="6"/>
      <c r="W6" s="6"/>
      <c r="X6" s="6"/>
      <c r="Y6" s="6"/>
    </row>
    <row r="7" spans="1:25" s="20" customFormat="1" x14ac:dyDescent="0.3">
      <c r="A7" s="22"/>
      <c r="B7" s="703"/>
      <c r="C7" s="703"/>
      <c r="D7" s="703"/>
      <c r="E7" s="703"/>
      <c r="F7" s="704"/>
      <c r="G7" s="6"/>
      <c r="H7" s="6"/>
      <c r="I7" s="6"/>
      <c r="J7" s="6"/>
      <c r="K7" s="6"/>
      <c r="L7" s="6"/>
      <c r="M7" s="6"/>
      <c r="N7" s="6"/>
      <c r="O7" s="6"/>
      <c r="P7" s="6"/>
      <c r="Q7" s="6"/>
      <c r="R7" s="6"/>
      <c r="S7" s="6"/>
      <c r="T7" s="6"/>
      <c r="U7" s="6"/>
      <c r="V7" s="6"/>
      <c r="W7" s="6"/>
      <c r="X7" s="6"/>
      <c r="Y7" s="6"/>
    </row>
    <row r="8" spans="1:25" ht="13.5" customHeight="1" x14ac:dyDescent="0.3">
      <c r="A8" s="31" t="s">
        <v>799</v>
      </c>
      <c r="B8" s="586"/>
      <c r="C8" s="586"/>
      <c r="D8" s="586"/>
      <c r="E8" s="586"/>
      <c r="F8" s="590"/>
      <c r="G8" s="1"/>
      <c r="H8" s="1"/>
      <c r="I8" s="1"/>
      <c r="J8" s="1"/>
      <c r="K8" s="1"/>
      <c r="L8" s="1"/>
      <c r="M8" s="1"/>
      <c r="N8" s="1"/>
      <c r="O8" s="1"/>
      <c r="P8" s="1"/>
      <c r="Q8" s="1"/>
      <c r="R8" s="1"/>
      <c r="S8" s="1"/>
      <c r="T8" s="1"/>
      <c r="U8" s="1"/>
      <c r="V8" s="1"/>
      <c r="W8" s="1"/>
      <c r="X8" s="1"/>
      <c r="Y8" s="1"/>
    </row>
    <row r="9" spans="1:25" ht="13.5" customHeight="1" x14ac:dyDescent="0.3">
      <c r="A9" s="893" t="s">
        <v>952</v>
      </c>
      <c r="B9" s="705">
        <v>1</v>
      </c>
      <c r="C9" s="705">
        <v>1</v>
      </c>
      <c r="D9" s="705">
        <v>1</v>
      </c>
      <c r="E9" s="705">
        <v>0</v>
      </c>
      <c r="F9" s="706">
        <v>0</v>
      </c>
      <c r="G9" s="132"/>
      <c r="H9" s="1"/>
      <c r="I9" s="1"/>
      <c r="J9" s="1"/>
      <c r="K9" s="1"/>
      <c r="L9" s="1"/>
      <c r="M9" s="1"/>
      <c r="N9" s="1"/>
      <c r="O9" s="1"/>
      <c r="P9" s="1"/>
      <c r="Q9" s="1"/>
      <c r="R9" s="1"/>
      <c r="S9" s="1"/>
      <c r="T9" s="1"/>
      <c r="U9" s="1"/>
      <c r="V9" s="1"/>
      <c r="W9" s="1"/>
      <c r="X9" s="1"/>
      <c r="Y9" s="1"/>
    </row>
    <row r="10" spans="1:25" ht="13.5" customHeight="1" x14ac:dyDescent="0.3">
      <c r="A10" s="436" t="s">
        <v>144</v>
      </c>
      <c r="B10" s="705">
        <v>0</v>
      </c>
      <c r="C10" s="705">
        <v>2</v>
      </c>
      <c r="D10" s="705">
        <v>4</v>
      </c>
      <c r="E10" s="705">
        <v>2</v>
      </c>
      <c r="F10" s="706">
        <v>1</v>
      </c>
      <c r="G10" s="39"/>
      <c r="H10" s="1"/>
      <c r="I10" s="1"/>
      <c r="J10" s="1"/>
      <c r="K10" s="1"/>
      <c r="L10" s="1"/>
      <c r="M10" s="1"/>
      <c r="N10" s="1"/>
      <c r="O10" s="1"/>
      <c r="P10" s="1"/>
      <c r="Q10" s="1"/>
      <c r="R10" s="1"/>
      <c r="S10" s="1"/>
      <c r="T10" s="1"/>
      <c r="U10" s="1"/>
      <c r="V10" s="1"/>
      <c r="W10" s="1"/>
      <c r="X10" s="1"/>
      <c r="Y10" s="1"/>
    </row>
    <row r="11" spans="1:25" ht="13.5" customHeight="1" x14ac:dyDescent="0.3">
      <c r="A11" s="894" t="s">
        <v>783</v>
      </c>
      <c r="B11" s="707">
        <v>1</v>
      </c>
      <c r="C11" s="707">
        <v>3</v>
      </c>
      <c r="D11" s="707">
        <v>5</v>
      </c>
      <c r="E11" s="707">
        <v>2</v>
      </c>
      <c r="F11" s="708">
        <v>1</v>
      </c>
      <c r="H11" s="1"/>
      <c r="I11" s="1"/>
      <c r="J11" s="1"/>
      <c r="K11" s="1"/>
      <c r="L11" s="1"/>
      <c r="M11" s="1"/>
      <c r="N11" s="1"/>
      <c r="O11" s="1"/>
      <c r="P11" s="1"/>
      <c r="Q11" s="1"/>
      <c r="R11" s="1"/>
      <c r="S11" s="1"/>
      <c r="T11" s="1"/>
      <c r="U11" s="1"/>
      <c r="V11" s="1"/>
      <c r="W11" s="1"/>
      <c r="X11" s="1"/>
      <c r="Y11" s="1"/>
    </row>
    <row r="12" spans="1:25" s="20" customFormat="1" x14ac:dyDescent="0.3">
      <c r="A12" s="125"/>
      <c r="B12" s="703"/>
      <c r="C12" s="703"/>
      <c r="D12" s="703"/>
      <c r="E12" s="703"/>
      <c r="F12" s="704"/>
      <c r="G12" s="6"/>
      <c r="H12" s="6"/>
      <c r="I12" s="6"/>
      <c r="J12" s="6"/>
      <c r="K12" s="6"/>
      <c r="L12" s="6"/>
      <c r="M12" s="6"/>
      <c r="N12" s="6"/>
      <c r="O12" s="6"/>
      <c r="P12" s="6"/>
      <c r="Q12" s="6"/>
      <c r="R12" s="6"/>
      <c r="S12" s="6"/>
      <c r="T12" s="6"/>
      <c r="U12" s="6"/>
      <c r="V12" s="6"/>
      <c r="W12" s="6"/>
      <c r="X12" s="6"/>
      <c r="Y12" s="6"/>
    </row>
    <row r="13" spans="1:25" ht="13.5" customHeight="1" x14ac:dyDescent="0.3">
      <c r="A13" s="30" t="s">
        <v>839</v>
      </c>
      <c r="B13" s="586"/>
      <c r="C13" s="586"/>
      <c r="D13" s="586"/>
      <c r="E13" s="586"/>
      <c r="F13" s="590"/>
      <c r="G13" s="1"/>
      <c r="H13" s="1"/>
      <c r="I13" s="1"/>
      <c r="J13" s="1"/>
      <c r="K13" s="1"/>
      <c r="L13" s="1"/>
      <c r="M13" s="1"/>
      <c r="N13" s="1"/>
      <c r="O13" s="1"/>
      <c r="P13" s="1"/>
      <c r="Q13" s="1"/>
      <c r="R13" s="1"/>
      <c r="S13" s="1"/>
      <c r="T13" s="1"/>
      <c r="U13" s="1"/>
      <c r="V13" s="1"/>
      <c r="W13" s="1"/>
      <c r="X13" s="1"/>
      <c r="Y13" s="1"/>
    </row>
    <row r="14" spans="1:25" ht="13.5" customHeight="1" x14ac:dyDescent="0.3">
      <c r="A14" s="893" t="s">
        <v>952</v>
      </c>
      <c r="B14" s="709">
        <v>0.7</v>
      </c>
      <c r="C14" s="709">
        <v>0.78</v>
      </c>
      <c r="D14" s="709">
        <v>0.76</v>
      </c>
      <c r="E14" s="709">
        <v>0.76</v>
      </c>
      <c r="F14" s="710">
        <v>0.93</v>
      </c>
      <c r="G14" s="132"/>
      <c r="H14" s="1"/>
      <c r="I14" s="1"/>
      <c r="J14" s="1"/>
      <c r="K14" s="1"/>
      <c r="L14" s="1"/>
      <c r="M14" s="1"/>
      <c r="N14" s="1"/>
      <c r="O14" s="1"/>
      <c r="P14" s="1"/>
      <c r="Q14" s="1"/>
      <c r="R14" s="1"/>
      <c r="S14" s="1"/>
      <c r="T14" s="1"/>
      <c r="U14" s="1"/>
      <c r="V14" s="1"/>
      <c r="W14" s="1"/>
      <c r="X14" s="1"/>
      <c r="Y14" s="1"/>
    </row>
    <row r="15" spans="1:25" ht="13.5" customHeight="1" x14ac:dyDescent="0.3">
      <c r="A15" s="436" t="s">
        <v>144</v>
      </c>
      <c r="B15" s="709">
        <v>0.71</v>
      </c>
      <c r="C15" s="709">
        <v>0.61</v>
      </c>
      <c r="D15" s="709">
        <v>0.56000000000000005</v>
      </c>
      <c r="E15" s="709">
        <v>0.62</v>
      </c>
      <c r="F15" s="710">
        <v>0.6</v>
      </c>
      <c r="G15" s="1"/>
      <c r="H15" s="1"/>
      <c r="I15" s="1"/>
      <c r="J15" s="1"/>
      <c r="K15" s="1"/>
      <c r="L15" s="1"/>
      <c r="M15" s="1"/>
      <c r="N15" s="1"/>
      <c r="O15" s="1"/>
      <c r="P15" s="1"/>
      <c r="Q15" s="1"/>
      <c r="R15" s="1"/>
      <c r="S15" s="1"/>
      <c r="T15" s="1"/>
      <c r="U15" s="1"/>
      <c r="V15" s="1"/>
      <c r="W15" s="1"/>
      <c r="X15" s="1"/>
      <c r="Y15" s="1"/>
    </row>
    <row r="16" spans="1:25" ht="13.5" customHeight="1" x14ac:dyDescent="0.3">
      <c r="A16" s="894" t="s">
        <v>784</v>
      </c>
      <c r="B16" s="711">
        <v>0.7</v>
      </c>
      <c r="C16" s="711">
        <v>0.71</v>
      </c>
      <c r="D16" s="711">
        <v>0.69</v>
      </c>
      <c r="E16" s="711">
        <v>0.7</v>
      </c>
      <c r="F16" s="712">
        <v>0.77</v>
      </c>
      <c r="G16" s="133"/>
      <c r="H16" s="1"/>
      <c r="I16" s="1"/>
      <c r="J16" s="1"/>
      <c r="K16" s="1"/>
      <c r="L16" s="1"/>
      <c r="M16" s="1"/>
      <c r="N16" s="1"/>
      <c r="O16" s="1"/>
      <c r="P16" s="1"/>
      <c r="Q16" s="1"/>
      <c r="R16" s="1"/>
      <c r="S16" s="1"/>
      <c r="T16" s="1"/>
      <c r="U16" s="1"/>
      <c r="V16" s="1"/>
      <c r="W16" s="1"/>
      <c r="X16" s="1"/>
      <c r="Y16" s="1"/>
    </row>
    <row r="17" spans="1:25" s="20" customFormat="1" x14ac:dyDescent="0.3">
      <c r="A17" s="125" t="s">
        <v>145</v>
      </c>
      <c r="B17" s="703"/>
      <c r="C17" s="703"/>
      <c r="D17" s="703"/>
      <c r="E17" s="703"/>
      <c r="F17" s="704"/>
      <c r="G17" s="6"/>
      <c r="H17" s="6"/>
      <c r="I17" s="6"/>
      <c r="J17" s="6"/>
      <c r="K17" s="6"/>
      <c r="L17" s="6"/>
      <c r="M17" s="6"/>
      <c r="N17" s="6"/>
      <c r="O17" s="6"/>
      <c r="P17" s="6"/>
      <c r="Q17" s="6"/>
      <c r="R17" s="6"/>
      <c r="S17" s="6"/>
      <c r="T17" s="6"/>
      <c r="U17" s="6"/>
      <c r="V17" s="6"/>
      <c r="W17" s="6"/>
      <c r="X17" s="6"/>
      <c r="Y17" s="6"/>
    </row>
    <row r="18" spans="1:25" ht="13.5" customHeight="1" x14ac:dyDescent="0.3">
      <c r="A18" s="30" t="s">
        <v>840</v>
      </c>
      <c r="B18" s="586"/>
      <c r="C18" s="586"/>
      <c r="D18" s="586"/>
      <c r="E18" s="586"/>
      <c r="F18" s="590"/>
      <c r="G18" s="1"/>
      <c r="H18" s="1"/>
      <c r="I18" s="1"/>
      <c r="J18" s="1"/>
      <c r="K18" s="1"/>
      <c r="L18" s="1"/>
      <c r="M18" s="1"/>
      <c r="N18" s="1"/>
      <c r="O18" s="1"/>
      <c r="P18" s="1"/>
      <c r="Q18" s="1"/>
      <c r="R18" s="1"/>
      <c r="S18" s="1"/>
      <c r="T18" s="1"/>
      <c r="U18" s="1"/>
      <c r="V18" s="1"/>
      <c r="W18" s="1"/>
      <c r="X18" s="1"/>
      <c r="Y18" s="1"/>
    </row>
    <row r="19" spans="1:25" ht="13.5" customHeight="1" x14ac:dyDescent="0.3">
      <c r="A19" s="893" t="s">
        <v>952</v>
      </c>
      <c r="B19" s="713">
        <v>2E-3</v>
      </c>
      <c r="C19" s="713">
        <v>2E-3</v>
      </c>
      <c r="D19" s="713">
        <v>3.0000000000000001E-3</v>
      </c>
      <c r="E19" s="713">
        <v>0</v>
      </c>
      <c r="F19" s="714">
        <v>0</v>
      </c>
      <c r="G19" s="132"/>
      <c r="H19" s="1"/>
      <c r="I19" s="1"/>
      <c r="J19" s="1"/>
      <c r="K19" s="1"/>
      <c r="L19" s="1"/>
      <c r="M19" s="1"/>
      <c r="N19" s="1"/>
      <c r="O19" s="1"/>
      <c r="P19" s="1"/>
      <c r="Q19" s="1"/>
      <c r="R19" s="1"/>
      <c r="S19" s="1"/>
      <c r="T19" s="1"/>
      <c r="U19" s="1"/>
      <c r="V19" s="1"/>
      <c r="W19" s="1"/>
      <c r="X19" s="1"/>
      <c r="Y19" s="1"/>
    </row>
    <row r="20" spans="1:25" ht="13.5" customHeight="1" x14ac:dyDescent="0.3">
      <c r="A20" s="436" t="s">
        <v>144</v>
      </c>
      <c r="B20" s="713">
        <v>0</v>
      </c>
      <c r="C20" s="713">
        <v>7.0000000000000001E-3</v>
      </c>
      <c r="D20" s="713">
        <v>1.7999999999999999E-2</v>
      </c>
      <c r="E20" s="713">
        <v>7.0000000000000001E-3</v>
      </c>
      <c r="F20" s="714">
        <v>3.0000000000000001E-3</v>
      </c>
      <c r="G20" s="1"/>
      <c r="H20" s="1"/>
      <c r="I20" s="1"/>
      <c r="J20" s="134"/>
      <c r="K20" s="135"/>
      <c r="L20" s="1"/>
      <c r="M20" s="1"/>
      <c r="N20" s="1"/>
      <c r="O20" s="1"/>
      <c r="P20" s="1"/>
      <c r="Q20" s="1"/>
      <c r="R20" s="1"/>
      <c r="S20" s="1"/>
      <c r="T20" s="1"/>
      <c r="U20" s="1"/>
      <c r="V20" s="1"/>
      <c r="W20" s="1"/>
      <c r="X20" s="1"/>
      <c r="Y20" s="1"/>
    </row>
    <row r="21" spans="1:25" ht="13.5" customHeight="1" x14ac:dyDescent="0.3">
      <c r="A21" s="894" t="s">
        <v>785</v>
      </c>
      <c r="B21" s="715">
        <v>2E-3</v>
      </c>
      <c r="C21" s="715">
        <v>4.0000000000000001E-3</v>
      </c>
      <c r="D21" s="715">
        <v>8.0000000000000002E-3</v>
      </c>
      <c r="E21" s="715">
        <v>3.0000000000000001E-3</v>
      </c>
      <c r="F21" s="716">
        <v>1E-3</v>
      </c>
      <c r="G21" s="133"/>
      <c r="H21" s="1"/>
      <c r="I21" s="134"/>
      <c r="J21" s="1"/>
      <c r="K21" s="135"/>
      <c r="L21" s="1"/>
      <c r="M21" s="1"/>
      <c r="N21" s="1"/>
      <c r="O21" s="1"/>
      <c r="P21" s="1"/>
      <c r="Q21" s="1"/>
      <c r="R21" s="1"/>
      <c r="S21" s="1"/>
      <c r="T21" s="1"/>
      <c r="U21" s="1"/>
      <c r="V21" s="1"/>
      <c r="W21" s="1"/>
      <c r="X21" s="1"/>
      <c r="Y21" s="1"/>
    </row>
    <row r="22" spans="1:25" s="20" customFormat="1" x14ac:dyDescent="0.3">
      <c r="A22" s="125"/>
      <c r="B22" s="703"/>
      <c r="C22" s="703"/>
      <c r="D22" s="703"/>
      <c r="E22" s="703"/>
      <c r="F22" s="704"/>
      <c r="G22" s="6"/>
      <c r="H22" s="6"/>
      <c r="I22" s="1"/>
      <c r="J22" s="1"/>
      <c r="K22" s="1"/>
      <c r="L22" s="6"/>
      <c r="M22" s="6"/>
      <c r="N22" s="6"/>
      <c r="O22" s="6"/>
      <c r="P22" s="6"/>
      <c r="Q22" s="6"/>
      <c r="R22" s="6"/>
      <c r="S22" s="6"/>
      <c r="T22" s="6"/>
      <c r="U22" s="6"/>
      <c r="V22" s="6"/>
      <c r="W22" s="6"/>
      <c r="X22" s="6"/>
      <c r="Y22" s="6"/>
    </row>
    <row r="23" spans="1:25" ht="13.5" customHeight="1" x14ac:dyDescent="0.3">
      <c r="A23" s="30" t="s">
        <v>841</v>
      </c>
      <c r="B23" s="586"/>
      <c r="C23" s="586"/>
      <c r="D23" s="586"/>
      <c r="E23" s="586"/>
      <c r="F23" s="590"/>
      <c r="G23" s="1"/>
      <c r="H23" s="1"/>
      <c r="I23" s="6"/>
      <c r="J23" s="6"/>
      <c r="K23" s="136"/>
      <c r="L23" s="1"/>
      <c r="M23" s="134"/>
      <c r="N23" s="1"/>
      <c r="O23" s="1"/>
      <c r="P23" s="1"/>
      <c r="Q23" s="1"/>
      <c r="R23" s="1"/>
      <c r="S23" s="1"/>
      <c r="T23" s="1"/>
      <c r="U23" s="1"/>
      <c r="V23" s="1"/>
      <c r="W23" s="1"/>
      <c r="X23" s="1"/>
      <c r="Y23" s="1"/>
    </row>
    <row r="24" spans="1:25" ht="13.5" customHeight="1" x14ac:dyDescent="0.3">
      <c r="A24" s="893" t="s">
        <v>952</v>
      </c>
      <c r="B24" s="709">
        <v>1.64</v>
      </c>
      <c r="C24" s="709">
        <v>1.72</v>
      </c>
      <c r="D24" s="709">
        <v>1.27</v>
      </c>
      <c r="E24" s="709">
        <v>1.1499999999999999</v>
      </c>
      <c r="F24" s="710">
        <v>1.03</v>
      </c>
      <c r="G24" s="132"/>
      <c r="H24" s="1"/>
      <c r="I24" s="1"/>
      <c r="J24" s="134"/>
      <c r="K24" s="135"/>
      <c r="L24" s="1"/>
      <c r="M24" s="134"/>
      <c r="N24" s="134"/>
      <c r="O24" s="1"/>
      <c r="P24" s="1"/>
      <c r="Q24" s="1"/>
      <c r="R24" s="1"/>
      <c r="S24" s="1"/>
      <c r="T24" s="1"/>
      <c r="U24" s="1"/>
      <c r="V24" s="1"/>
      <c r="W24" s="1"/>
      <c r="X24" s="1"/>
      <c r="Y24" s="1"/>
    </row>
    <row r="25" spans="1:25" ht="13.5" customHeight="1" x14ac:dyDescent="0.3">
      <c r="A25" s="436" t="s">
        <v>144</v>
      </c>
      <c r="B25" s="709">
        <v>1.38</v>
      </c>
      <c r="C25" s="709">
        <v>1.2</v>
      </c>
      <c r="D25" s="709">
        <v>0.96</v>
      </c>
      <c r="E25" s="709">
        <v>0.92</v>
      </c>
      <c r="F25" s="710">
        <v>0.64</v>
      </c>
      <c r="G25" s="39"/>
      <c r="H25" s="1"/>
      <c r="I25" s="134"/>
      <c r="J25" s="1"/>
      <c r="K25" s="135"/>
      <c r="L25" s="1"/>
      <c r="M25" s="134"/>
      <c r="N25" s="134"/>
      <c r="O25" s="1"/>
      <c r="P25" s="1"/>
      <c r="Q25" s="1"/>
      <c r="R25" s="1"/>
      <c r="S25" s="1"/>
      <c r="T25" s="1"/>
      <c r="U25" s="1"/>
      <c r="V25" s="1"/>
      <c r="W25" s="1"/>
      <c r="X25" s="1"/>
      <c r="Y25" s="1"/>
    </row>
    <row r="26" spans="1:25" ht="13.5" customHeight="1" x14ac:dyDescent="0.3">
      <c r="A26" s="894" t="s">
        <v>786</v>
      </c>
      <c r="B26" s="711">
        <v>2.2599999999999998</v>
      </c>
      <c r="C26" s="711">
        <v>1.98</v>
      </c>
      <c r="D26" s="711">
        <v>1.51</v>
      </c>
      <c r="E26" s="711">
        <v>1.82</v>
      </c>
      <c r="F26" s="712">
        <v>1.17</v>
      </c>
      <c r="G26" s="133"/>
      <c r="H26" s="1"/>
      <c r="I26" s="1"/>
      <c r="J26" s="1"/>
      <c r="K26" s="1"/>
      <c r="L26" s="1"/>
      <c r="M26" s="1"/>
      <c r="N26" s="134"/>
      <c r="O26" s="1"/>
      <c r="P26" s="1"/>
      <c r="Q26" s="1"/>
      <c r="R26" s="1"/>
      <c r="S26" s="1"/>
      <c r="T26" s="1"/>
      <c r="U26" s="1"/>
      <c r="V26" s="1"/>
      <c r="W26" s="1"/>
      <c r="X26" s="1"/>
      <c r="Y26" s="1"/>
    </row>
    <row r="27" spans="1:25" s="20" customFormat="1" x14ac:dyDescent="0.3">
      <c r="A27" s="125"/>
      <c r="B27" s="703"/>
      <c r="C27" s="703"/>
      <c r="D27" s="703"/>
      <c r="E27" s="703"/>
      <c r="F27" s="704"/>
      <c r="G27" s="6"/>
      <c r="H27" s="6"/>
      <c r="I27" s="6"/>
      <c r="J27" s="6"/>
      <c r="K27" s="136"/>
      <c r="L27" s="6"/>
      <c r="M27" s="6"/>
      <c r="N27" s="6"/>
      <c r="O27" s="6"/>
      <c r="P27" s="6"/>
      <c r="Q27" s="6"/>
      <c r="R27" s="6"/>
      <c r="S27" s="6"/>
      <c r="T27" s="6"/>
      <c r="U27" s="6"/>
      <c r="V27" s="6"/>
      <c r="W27" s="6"/>
      <c r="X27" s="6"/>
      <c r="Y27" s="6"/>
    </row>
    <row r="28" spans="1:25" ht="13.5" customHeight="1" x14ac:dyDescent="0.3">
      <c r="A28" s="30" t="s">
        <v>842</v>
      </c>
      <c r="B28" s="586"/>
      <c r="C28" s="586"/>
      <c r="D28" s="586"/>
      <c r="E28" s="586"/>
      <c r="F28" s="590"/>
      <c r="G28" s="1"/>
      <c r="H28" s="1"/>
      <c r="I28" s="1"/>
      <c r="J28" s="1"/>
      <c r="K28" s="1"/>
      <c r="L28" s="1"/>
      <c r="M28" s="1"/>
      <c r="N28" s="1"/>
      <c r="O28" s="1"/>
      <c r="P28" s="1"/>
      <c r="Q28" s="1"/>
      <c r="R28" s="1"/>
      <c r="S28" s="1"/>
      <c r="T28" s="1"/>
      <c r="U28" s="1"/>
      <c r="V28" s="1"/>
      <c r="W28" s="1"/>
      <c r="X28" s="1"/>
      <c r="Y28" s="1"/>
    </row>
    <row r="29" spans="1:25" ht="13.5" customHeight="1" x14ac:dyDescent="0.3">
      <c r="A29" s="893" t="s">
        <v>952</v>
      </c>
      <c r="B29" s="709">
        <v>0.34</v>
      </c>
      <c r="C29" s="709">
        <v>0.37</v>
      </c>
      <c r="D29" s="709">
        <v>0.33</v>
      </c>
      <c r="E29" s="709">
        <v>0.31</v>
      </c>
      <c r="F29" s="710">
        <v>0.43</v>
      </c>
      <c r="G29" s="132"/>
      <c r="H29" s="1"/>
      <c r="I29" s="1"/>
      <c r="J29" s="1"/>
      <c r="K29" s="1"/>
      <c r="L29" s="1"/>
      <c r="M29" s="1"/>
      <c r="N29" s="1"/>
      <c r="O29" s="1"/>
      <c r="P29" s="1"/>
      <c r="Q29" s="1"/>
      <c r="R29" s="1"/>
      <c r="S29" s="1"/>
      <c r="T29" s="1"/>
      <c r="U29" s="1"/>
      <c r="V29" s="1"/>
      <c r="W29" s="1"/>
      <c r="X29" s="1"/>
      <c r="Y29" s="1"/>
    </row>
    <row r="30" spans="1:25" ht="13.5" customHeight="1" x14ac:dyDescent="0.3">
      <c r="A30" s="436" t="s">
        <v>144</v>
      </c>
      <c r="B30" s="709">
        <v>0.33</v>
      </c>
      <c r="C30" s="709">
        <v>0.28000000000000003</v>
      </c>
      <c r="D30" s="709">
        <v>0.24</v>
      </c>
      <c r="E30" s="709">
        <v>0.32</v>
      </c>
      <c r="F30" s="710">
        <v>0.31</v>
      </c>
      <c r="G30" s="1"/>
      <c r="H30" s="1"/>
      <c r="I30" s="1"/>
      <c r="J30" s="1"/>
      <c r="K30" s="1"/>
      <c r="L30" s="1"/>
      <c r="M30" s="1"/>
      <c r="N30" s="1"/>
      <c r="O30" s="1"/>
      <c r="P30" s="1"/>
      <c r="Q30" s="1"/>
      <c r="R30" s="1"/>
      <c r="S30" s="1"/>
      <c r="T30" s="1"/>
      <c r="U30" s="1"/>
      <c r="V30" s="1"/>
      <c r="W30" s="1"/>
      <c r="X30" s="1"/>
      <c r="Y30" s="1"/>
    </row>
    <row r="31" spans="1:25" ht="13.5" customHeight="1" x14ac:dyDescent="0.3">
      <c r="A31" s="894" t="s">
        <v>787</v>
      </c>
      <c r="B31" s="711">
        <v>0.34</v>
      </c>
      <c r="C31" s="711">
        <v>0.33</v>
      </c>
      <c r="D31" s="711">
        <v>0.3</v>
      </c>
      <c r="E31" s="711">
        <v>0.31</v>
      </c>
      <c r="F31" s="712">
        <v>0.37</v>
      </c>
      <c r="G31" s="133"/>
      <c r="H31" s="1"/>
      <c r="I31" s="1"/>
      <c r="J31" s="1"/>
      <c r="K31" s="1"/>
      <c r="L31" s="1"/>
      <c r="M31" s="1"/>
      <c r="N31" s="1"/>
      <c r="O31" s="1"/>
      <c r="P31" s="1"/>
      <c r="Q31" s="1"/>
      <c r="R31" s="1"/>
      <c r="S31" s="1"/>
      <c r="T31" s="1"/>
      <c r="U31" s="1"/>
      <c r="V31" s="1"/>
      <c r="W31" s="1"/>
      <c r="X31" s="1"/>
      <c r="Y31" s="1"/>
    </row>
    <row r="32" spans="1:25" s="20" customFormat="1" x14ac:dyDescent="0.3">
      <c r="A32" s="125"/>
      <c r="B32" s="703"/>
      <c r="C32" s="703"/>
      <c r="D32" s="703"/>
      <c r="E32" s="895"/>
      <c r="F32" s="704"/>
      <c r="G32" s="23"/>
      <c r="H32" s="6"/>
      <c r="I32" s="6"/>
      <c r="J32" s="6"/>
      <c r="K32" s="6"/>
      <c r="L32" s="6"/>
      <c r="M32" s="6"/>
      <c r="N32" s="6"/>
      <c r="O32" s="6"/>
      <c r="P32" s="6"/>
      <c r="Q32" s="6"/>
      <c r="R32" s="6"/>
      <c r="S32" s="6"/>
      <c r="T32" s="6"/>
      <c r="U32" s="6"/>
      <c r="V32" s="6"/>
      <c r="W32" s="6"/>
      <c r="X32" s="6"/>
      <c r="Y32" s="6"/>
    </row>
    <row r="33" spans="1:25" ht="8.1" customHeight="1" x14ac:dyDescent="0.3">
      <c r="A33" s="77"/>
      <c r="B33" s="728"/>
      <c r="C33" s="728"/>
      <c r="D33" s="728"/>
      <c r="E33" s="728"/>
      <c r="F33" s="728"/>
      <c r="G33" s="1"/>
      <c r="H33" s="1"/>
      <c r="I33" s="1"/>
      <c r="J33" s="1"/>
      <c r="K33" s="1"/>
      <c r="L33" s="1"/>
      <c r="M33" s="1"/>
      <c r="N33" s="1"/>
      <c r="O33" s="1"/>
      <c r="P33" s="1"/>
      <c r="Q33" s="1"/>
      <c r="R33" s="1"/>
      <c r="S33" s="1"/>
      <c r="T33" s="1"/>
      <c r="U33" s="1"/>
      <c r="V33" s="1"/>
      <c r="W33" s="1"/>
      <c r="X33" s="1"/>
      <c r="Y33" s="1"/>
    </row>
    <row r="34" spans="1:25" ht="11.45" customHeight="1" x14ac:dyDescent="0.3">
      <c r="A34" s="999" t="s">
        <v>1026</v>
      </c>
      <c r="B34" s="999"/>
      <c r="C34" s="999"/>
      <c r="D34" s="999"/>
      <c r="E34" s="999"/>
      <c r="F34" s="999"/>
      <c r="G34" s="18"/>
      <c r="H34" s="1"/>
      <c r="I34" s="1"/>
      <c r="J34" s="1"/>
      <c r="K34" s="1"/>
      <c r="L34" s="1"/>
      <c r="M34" s="1"/>
      <c r="N34" s="1"/>
      <c r="O34" s="1"/>
      <c r="P34" s="1"/>
      <c r="Q34" s="1"/>
      <c r="R34" s="1"/>
      <c r="S34" s="1"/>
      <c r="T34" s="1"/>
      <c r="U34" s="1"/>
      <c r="V34" s="1"/>
      <c r="W34" s="1"/>
      <c r="X34" s="1"/>
      <c r="Y34" s="1"/>
    </row>
    <row r="35" spans="1:25" ht="10.9" customHeight="1" x14ac:dyDescent="0.3">
      <c r="A35" s="999"/>
      <c r="B35" s="999"/>
      <c r="C35" s="999"/>
      <c r="D35" s="999"/>
      <c r="E35" s="999"/>
      <c r="F35" s="999"/>
      <c r="G35" s="132"/>
      <c r="H35" s="1"/>
      <c r="I35" s="1"/>
      <c r="J35" s="1"/>
      <c r="K35" s="1"/>
      <c r="L35" s="1"/>
      <c r="M35" s="1"/>
      <c r="N35" s="1"/>
      <c r="O35" s="1"/>
      <c r="P35" s="1"/>
      <c r="Q35" s="1"/>
      <c r="R35" s="1"/>
      <c r="S35" s="1"/>
      <c r="T35" s="1"/>
      <c r="U35" s="1"/>
      <c r="V35" s="1"/>
      <c r="W35" s="1"/>
      <c r="X35" s="1"/>
      <c r="Y35" s="1"/>
    </row>
    <row r="36" spans="1:25" ht="10.9" customHeight="1" x14ac:dyDescent="0.3">
      <c r="A36" s="999"/>
      <c r="B36" s="999"/>
      <c r="C36" s="999"/>
      <c r="D36" s="999"/>
      <c r="E36" s="999"/>
      <c r="F36" s="999"/>
      <c r="G36" s="132"/>
      <c r="H36" s="1"/>
      <c r="I36" s="1"/>
      <c r="J36" s="1"/>
      <c r="K36" s="1"/>
      <c r="L36" s="1"/>
      <c r="M36" s="1"/>
      <c r="N36" s="1"/>
      <c r="O36" s="1"/>
      <c r="P36" s="1"/>
      <c r="Q36" s="1"/>
      <c r="R36" s="1"/>
      <c r="S36" s="1"/>
      <c r="T36" s="1"/>
      <c r="U36" s="1"/>
      <c r="V36" s="1"/>
      <c r="W36" s="1"/>
      <c r="X36" s="1"/>
      <c r="Y36" s="1"/>
    </row>
    <row r="37" spans="1:25" ht="12" customHeight="1" x14ac:dyDescent="0.3">
      <c r="A37" s="1001" t="s">
        <v>365</v>
      </c>
      <c r="B37" s="1001"/>
      <c r="C37" s="1001"/>
      <c r="D37" s="1001"/>
      <c r="E37" s="1001"/>
      <c r="F37" s="1001"/>
      <c r="G37" s="18"/>
      <c r="H37" s="1"/>
      <c r="I37" s="1"/>
      <c r="J37" s="1"/>
      <c r="K37" s="1"/>
      <c r="L37" s="1"/>
      <c r="M37" s="1"/>
      <c r="N37" s="1"/>
      <c r="O37" s="1"/>
      <c r="P37" s="1"/>
      <c r="Q37" s="1"/>
      <c r="R37" s="1"/>
      <c r="S37" s="1"/>
      <c r="T37" s="1"/>
      <c r="U37" s="1"/>
      <c r="V37" s="1"/>
      <c r="W37" s="1"/>
      <c r="X37" s="1"/>
      <c r="Y37" s="1"/>
    </row>
    <row r="38" spans="1:25" ht="12" customHeight="1" x14ac:dyDescent="0.3">
      <c r="A38" s="999" t="s">
        <v>1027</v>
      </c>
      <c r="B38" s="999"/>
      <c r="C38" s="999"/>
      <c r="D38" s="999"/>
      <c r="E38" s="999"/>
      <c r="F38" s="999"/>
      <c r="G38" s="18"/>
      <c r="H38" s="1"/>
      <c r="I38" s="1"/>
      <c r="J38" s="1"/>
      <c r="K38" s="1"/>
      <c r="L38" s="1"/>
      <c r="M38" s="1"/>
      <c r="N38" s="1"/>
      <c r="O38" s="1"/>
      <c r="P38" s="1"/>
      <c r="Q38" s="1"/>
      <c r="R38" s="1"/>
      <c r="S38" s="1"/>
      <c r="T38" s="1"/>
      <c r="U38" s="1"/>
      <c r="V38" s="1"/>
      <c r="W38" s="1"/>
      <c r="X38" s="1"/>
      <c r="Y38" s="1"/>
    </row>
    <row r="39" spans="1:25" ht="12" customHeight="1" x14ac:dyDescent="0.3">
      <c r="A39" s="999"/>
      <c r="B39" s="999"/>
      <c r="C39" s="999"/>
      <c r="D39" s="999"/>
      <c r="E39" s="999"/>
      <c r="F39" s="999"/>
      <c r="G39" s="18"/>
      <c r="H39" s="1"/>
      <c r="I39" s="1"/>
      <c r="J39" s="1"/>
      <c r="K39" s="1"/>
      <c r="L39" s="1"/>
      <c r="M39" s="1"/>
      <c r="N39" s="1"/>
      <c r="O39" s="1"/>
      <c r="P39" s="1"/>
      <c r="Q39" s="1"/>
      <c r="R39" s="1"/>
      <c r="S39" s="1"/>
      <c r="T39" s="1"/>
      <c r="U39" s="1"/>
      <c r="V39" s="1"/>
      <c r="W39" s="1"/>
      <c r="X39" s="1"/>
      <c r="Y39" s="1"/>
    </row>
    <row r="40" spans="1:25" ht="11.45" customHeight="1" x14ac:dyDescent="0.3">
      <c r="A40" s="999" t="s">
        <v>1015</v>
      </c>
      <c r="B40" s="999"/>
      <c r="C40" s="999"/>
      <c r="D40" s="999"/>
      <c r="E40" s="999"/>
      <c r="F40" s="999"/>
      <c r="G40" s="18"/>
      <c r="H40" s="1"/>
      <c r="I40" s="1"/>
      <c r="J40" s="1"/>
      <c r="K40" s="1"/>
      <c r="L40" s="1"/>
      <c r="M40" s="1"/>
      <c r="N40" s="1"/>
      <c r="O40" s="1"/>
      <c r="P40" s="1"/>
      <c r="Q40" s="1"/>
      <c r="R40" s="1"/>
      <c r="S40" s="1"/>
      <c r="T40" s="1"/>
      <c r="U40" s="1"/>
      <c r="V40" s="1"/>
      <c r="W40" s="1"/>
      <c r="X40" s="1"/>
      <c r="Y40" s="1"/>
    </row>
    <row r="41" spans="1:25" x14ac:dyDescent="0.3">
      <c r="A41" s="999"/>
      <c r="B41" s="999"/>
      <c r="C41" s="999"/>
      <c r="D41" s="999"/>
      <c r="E41" s="999"/>
      <c r="F41" s="999"/>
      <c r="G41" s="18"/>
      <c r="H41" s="1"/>
      <c r="I41" s="1"/>
      <c r="J41" s="1"/>
      <c r="K41" s="1"/>
      <c r="L41" s="1"/>
      <c r="M41" s="1"/>
      <c r="N41" s="1"/>
      <c r="O41" s="1"/>
      <c r="P41" s="1"/>
      <c r="Q41" s="1"/>
      <c r="R41" s="1"/>
      <c r="S41" s="1"/>
      <c r="T41" s="1"/>
      <c r="U41" s="1"/>
      <c r="V41" s="1"/>
      <c r="W41" s="1"/>
      <c r="X41" s="1"/>
      <c r="Y41" s="1"/>
    </row>
    <row r="42" spans="1:25" ht="11.45" customHeight="1" x14ac:dyDescent="0.3">
      <c r="A42" s="1002" t="s">
        <v>800</v>
      </c>
      <c r="B42" s="1002"/>
      <c r="C42" s="1002"/>
      <c r="D42" s="1002"/>
      <c r="E42" s="1002"/>
      <c r="F42" s="1002"/>
      <c r="G42" s="18"/>
      <c r="H42" s="1"/>
      <c r="I42" s="1"/>
      <c r="J42" s="1"/>
      <c r="K42" s="1"/>
      <c r="L42" s="1"/>
      <c r="M42" s="1"/>
      <c r="N42" s="1"/>
      <c r="O42" s="1"/>
      <c r="P42" s="1"/>
      <c r="Q42" s="1"/>
      <c r="R42" s="1"/>
      <c r="S42" s="1"/>
      <c r="T42" s="1"/>
      <c r="U42" s="1"/>
      <c r="V42" s="1"/>
      <c r="W42" s="1"/>
      <c r="X42" s="1"/>
      <c r="Y42" s="1"/>
    </row>
    <row r="43" spans="1:25" ht="11.45" customHeight="1" x14ac:dyDescent="0.3">
      <c r="A43" s="1003" t="s">
        <v>986</v>
      </c>
      <c r="B43" s="1003"/>
      <c r="C43" s="1003"/>
      <c r="D43" s="1003"/>
      <c r="E43" s="1003"/>
      <c r="F43" s="1003"/>
      <c r="G43" s="18"/>
      <c r="H43" s="1"/>
      <c r="I43" s="1"/>
      <c r="J43" s="1"/>
      <c r="K43" s="1"/>
      <c r="L43" s="1"/>
      <c r="M43" s="1"/>
      <c r="N43" s="1"/>
      <c r="O43" s="1"/>
      <c r="P43" s="1"/>
      <c r="Q43" s="1"/>
      <c r="R43" s="1"/>
      <c r="S43" s="1"/>
      <c r="T43" s="1"/>
      <c r="U43" s="1"/>
      <c r="V43" s="1"/>
      <c r="W43" s="1"/>
      <c r="X43" s="1"/>
      <c r="Y43" s="1"/>
    </row>
    <row r="44" spans="1:25" ht="11.45" customHeight="1" x14ac:dyDescent="0.3">
      <c r="A44" s="1003"/>
      <c r="B44" s="1003"/>
      <c r="C44" s="1003"/>
      <c r="D44" s="1003"/>
      <c r="E44" s="1003"/>
      <c r="F44" s="1003"/>
      <c r="G44" s="18"/>
      <c r="H44" s="1"/>
      <c r="I44" s="1"/>
      <c r="J44" s="1"/>
      <c r="K44" s="1"/>
      <c r="L44" s="1"/>
      <c r="M44" s="1"/>
      <c r="N44" s="1"/>
      <c r="O44" s="1"/>
      <c r="P44" s="1"/>
      <c r="Q44" s="1"/>
      <c r="R44" s="1"/>
      <c r="S44" s="1"/>
      <c r="T44" s="1"/>
      <c r="U44" s="1"/>
      <c r="V44" s="1"/>
      <c r="W44" s="1"/>
      <c r="X44" s="1"/>
      <c r="Y44" s="1"/>
    </row>
    <row r="45" spans="1:25" ht="11.45" customHeight="1" x14ac:dyDescent="0.3">
      <c r="A45" s="1002" t="s">
        <v>801</v>
      </c>
      <c r="B45" s="1002"/>
      <c r="C45" s="1002"/>
      <c r="D45" s="1002"/>
      <c r="E45" s="1002"/>
      <c r="F45" s="1002"/>
      <c r="G45" s="18"/>
      <c r="H45" s="1"/>
      <c r="I45" s="1"/>
      <c r="J45" s="1"/>
      <c r="K45" s="1"/>
      <c r="L45" s="1"/>
      <c r="M45" s="1"/>
      <c r="N45" s="1"/>
      <c r="O45" s="1"/>
      <c r="P45" s="1"/>
      <c r="Q45" s="1"/>
      <c r="R45" s="1"/>
      <c r="S45" s="1"/>
      <c r="T45" s="1"/>
      <c r="U45" s="1"/>
      <c r="V45" s="1"/>
      <c r="W45" s="1"/>
      <c r="X45" s="1"/>
      <c r="Y45" s="1"/>
    </row>
    <row r="46" spans="1:25" ht="25.15" customHeight="1" x14ac:dyDescent="0.3">
      <c r="A46" s="1000"/>
      <c r="B46" s="1000"/>
      <c r="C46" s="1000"/>
      <c r="D46" s="1000"/>
      <c r="E46" s="1000"/>
      <c r="F46" s="1000"/>
      <c r="G46" s="18"/>
      <c r="H46" s="1"/>
      <c r="I46" s="1"/>
      <c r="J46" s="1"/>
      <c r="K46" s="1"/>
      <c r="L46" s="1"/>
      <c r="M46" s="1"/>
      <c r="N46" s="1"/>
      <c r="O46" s="1"/>
      <c r="P46" s="1"/>
      <c r="Q46" s="1"/>
      <c r="R46" s="1"/>
      <c r="S46" s="1"/>
      <c r="T46" s="1"/>
      <c r="U46" s="1"/>
      <c r="V46" s="1"/>
      <c r="W46" s="1"/>
      <c r="X46" s="1"/>
      <c r="Y46" s="1"/>
    </row>
    <row r="47" spans="1:25" customFormat="1" ht="15" x14ac:dyDescent="0.25">
      <c r="A47" s="804"/>
      <c r="B47" s="5"/>
      <c r="C47" s="5"/>
      <c r="D47" s="5"/>
      <c r="E47" s="5"/>
      <c r="F47" s="5"/>
      <c r="G47" s="5"/>
      <c r="H47" s="5"/>
      <c r="I47" s="5"/>
      <c r="J47" s="5"/>
      <c r="K47" s="5"/>
      <c r="L47" s="5"/>
      <c r="M47" s="5"/>
      <c r="N47" s="5"/>
      <c r="O47" s="5"/>
      <c r="P47" s="5"/>
      <c r="Q47" s="5"/>
      <c r="R47" s="5"/>
      <c r="S47" s="5"/>
      <c r="T47" s="5"/>
      <c r="U47" s="5"/>
      <c r="V47" s="5"/>
      <c r="W47" s="5"/>
      <c r="X47" s="5"/>
      <c r="Y47" s="5"/>
    </row>
    <row r="48" spans="1:25" customFormat="1" ht="15" x14ac:dyDescent="0.25">
      <c r="A48" s="5"/>
      <c r="B48" s="5"/>
      <c r="C48" s="5"/>
      <c r="D48" s="5"/>
      <c r="E48" s="5"/>
      <c r="F48" s="5"/>
      <c r="G48" s="5"/>
      <c r="H48" s="5"/>
      <c r="I48" s="5"/>
      <c r="J48" s="5"/>
      <c r="K48" s="5"/>
      <c r="L48" s="5"/>
      <c r="M48" s="5"/>
      <c r="N48" s="5"/>
      <c r="O48" s="5"/>
      <c r="P48" s="5"/>
      <c r="Q48" s="5"/>
      <c r="R48" s="5"/>
      <c r="S48" s="5"/>
      <c r="T48" s="5"/>
      <c r="U48" s="5"/>
      <c r="V48" s="5"/>
      <c r="W48" s="5"/>
      <c r="X48" s="5"/>
      <c r="Y48" s="5"/>
    </row>
    <row r="49" spans="1:25" customFormat="1" ht="15" x14ac:dyDescent="0.25">
      <c r="A49" s="5"/>
      <c r="B49" s="5"/>
      <c r="C49" s="5"/>
      <c r="D49" s="5"/>
      <c r="E49" s="5"/>
      <c r="F49" s="5"/>
      <c r="G49" s="5"/>
      <c r="H49" s="5"/>
      <c r="I49" s="5"/>
      <c r="J49" s="5"/>
      <c r="K49" s="5"/>
      <c r="L49" s="5"/>
      <c r="M49" s="5"/>
      <c r="N49" s="5"/>
      <c r="O49" s="5"/>
      <c r="P49" s="5"/>
      <c r="Q49" s="5"/>
      <c r="R49" s="5"/>
      <c r="S49" s="5"/>
      <c r="T49" s="5"/>
      <c r="U49" s="5"/>
      <c r="V49" s="5"/>
      <c r="W49" s="5"/>
      <c r="X49" s="5"/>
      <c r="Y49" s="5"/>
    </row>
    <row r="50" spans="1:25" customFormat="1" ht="15" x14ac:dyDescent="0.25">
      <c r="A50" s="5"/>
      <c r="B50" s="5"/>
      <c r="C50" s="5"/>
      <c r="D50" s="5"/>
      <c r="E50" s="5"/>
      <c r="F50" s="5"/>
      <c r="G50" s="5"/>
      <c r="H50" s="5"/>
      <c r="I50" s="5"/>
      <c r="J50" s="5"/>
      <c r="K50" s="5"/>
      <c r="L50" s="5"/>
      <c r="M50" s="5"/>
      <c r="N50" s="5"/>
      <c r="O50" s="5"/>
      <c r="P50" s="5"/>
      <c r="Q50" s="5"/>
      <c r="R50" s="5"/>
      <c r="S50" s="5"/>
      <c r="T50" s="5"/>
      <c r="U50" s="5"/>
      <c r="V50" s="5"/>
      <c r="W50" s="5"/>
      <c r="X50" s="5"/>
      <c r="Y50" s="5"/>
    </row>
    <row r="51" spans="1:25" customFormat="1" ht="15" x14ac:dyDescent="0.25">
      <c r="A51" s="5"/>
      <c r="B51" s="5"/>
      <c r="C51" s="5"/>
      <c r="D51" s="5"/>
      <c r="E51" s="5"/>
      <c r="F51" s="5"/>
      <c r="G51" s="5"/>
      <c r="H51" s="5"/>
      <c r="I51" s="5"/>
      <c r="J51" s="5"/>
      <c r="K51" s="5"/>
      <c r="L51" s="5"/>
      <c r="M51" s="5"/>
      <c r="N51" s="5"/>
      <c r="O51" s="5"/>
      <c r="P51" s="5"/>
      <c r="Q51" s="5"/>
      <c r="R51" s="5"/>
      <c r="S51" s="5"/>
      <c r="T51" s="5"/>
      <c r="U51" s="5"/>
      <c r="V51" s="5"/>
      <c r="W51" s="5"/>
      <c r="X51" s="5"/>
      <c r="Y51" s="5"/>
    </row>
    <row r="52" spans="1:25" customFormat="1" ht="15" x14ac:dyDescent="0.25">
      <c r="A52" s="5"/>
      <c r="B52" s="5"/>
      <c r="C52" s="5"/>
      <c r="D52" s="5"/>
      <c r="E52" s="5"/>
      <c r="F52" s="5"/>
      <c r="G52" s="5"/>
      <c r="H52" s="5"/>
      <c r="I52" s="5"/>
      <c r="J52" s="5"/>
      <c r="K52" s="5"/>
      <c r="L52" s="5"/>
      <c r="M52" s="5"/>
      <c r="N52" s="5"/>
      <c r="O52" s="5"/>
      <c r="P52" s="5"/>
      <c r="Q52" s="5"/>
      <c r="R52" s="5"/>
      <c r="S52" s="5"/>
      <c r="T52" s="5"/>
      <c r="U52" s="5"/>
      <c r="V52" s="5"/>
      <c r="W52" s="5"/>
      <c r="X52" s="5"/>
      <c r="Y52" s="5"/>
    </row>
    <row r="53" spans="1:25" customFormat="1" ht="15" x14ac:dyDescent="0.25">
      <c r="A53" s="5"/>
      <c r="B53" s="5"/>
      <c r="C53" s="5"/>
      <c r="D53" s="5"/>
      <c r="E53" s="5"/>
      <c r="F53" s="5"/>
      <c r="G53" s="5"/>
      <c r="H53" s="5"/>
      <c r="I53" s="5"/>
      <c r="J53" s="5"/>
      <c r="K53" s="5"/>
      <c r="L53" s="5"/>
      <c r="M53" s="5"/>
      <c r="N53" s="5"/>
      <c r="O53" s="5"/>
      <c r="P53" s="5"/>
      <c r="Q53" s="5"/>
      <c r="R53" s="5"/>
      <c r="S53" s="5"/>
      <c r="T53" s="5"/>
      <c r="U53" s="5"/>
      <c r="V53" s="5"/>
      <c r="W53" s="5"/>
      <c r="X53" s="5"/>
      <c r="Y53" s="5"/>
    </row>
    <row r="54" spans="1:25" customFormat="1" ht="15" x14ac:dyDescent="0.25">
      <c r="A54" s="5"/>
      <c r="B54" s="5"/>
      <c r="C54" s="5"/>
      <c r="D54" s="5"/>
      <c r="E54" s="5"/>
      <c r="F54" s="5"/>
      <c r="G54" s="5"/>
      <c r="H54" s="5"/>
      <c r="I54" s="5"/>
      <c r="J54" s="5"/>
      <c r="K54" s="5"/>
      <c r="L54" s="5"/>
      <c r="M54" s="5"/>
      <c r="N54" s="5"/>
      <c r="O54" s="5"/>
      <c r="P54" s="5"/>
      <c r="Q54" s="5"/>
      <c r="R54" s="5"/>
      <c r="S54" s="5"/>
      <c r="T54" s="5"/>
      <c r="U54" s="5"/>
      <c r="V54" s="5"/>
      <c r="W54" s="5"/>
      <c r="X54" s="5"/>
      <c r="Y54" s="5"/>
    </row>
    <row r="55" spans="1:25" customFormat="1" ht="15" x14ac:dyDescent="0.25">
      <c r="A55" s="5"/>
      <c r="B55" s="5"/>
      <c r="C55" s="5"/>
      <c r="D55" s="5"/>
      <c r="E55" s="5"/>
      <c r="F55" s="5"/>
      <c r="G55" s="5"/>
      <c r="H55" s="5"/>
      <c r="I55" s="5"/>
      <c r="J55" s="5"/>
      <c r="K55" s="5"/>
      <c r="L55" s="5"/>
      <c r="M55" s="5"/>
      <c r="N55" s="5"/>
      <c r="O55" s="5"/>
      <c r="P55" s="5"/>
      <c r="Q55" s="5"/>
      <c r="R55" s="5"/>
      <c r="S55" s="5"/>
      <c r="T55" s="5"/>
      <c r="U55" s="5"/>
      <c r="V55" s="5"/>
      <c r="W55" s="5"/>
      <c r="X55" s="5"/>
      <c r="Y55" s="5"/>
    </row>
    <row r="56" spans="1:25" customFormat="1" ht="15" x14ac:dyDescent="0.25">
      <c r="A56" s="5"/>
      <c r="B56" s="5"/>
      <c r="C56" s="5"/>
      <c r="D56" s="5"/>
      <c r="E56" s="5"/>
      <c r="F56" s="5"/>
      <c r="G56" s="5"/>
      <c r="H56" s="5"/>
      <c r="I56" s="5"/>
      <c r="J56" s="5"/>
      <c r="K56" s="5"/>
      <c r="L56" s="5"/>
      <c r="M56" s="5"/>
      <c r="N56" s="5"/>
      <c r="O56" s="5"/>
      <c r="P56" s="5"/>
      <c r="Q56" s="5"/>
      <c r="R56" s="5"/>
      <c r="S56" s="5"/>
      <c r="T56" s="5"/>
      <c r="U56" s="5"/>
      <c r="V56" s="5"/>
      <c r="W56" s="5"/>
      <c r="X56" s="5"/>
      <c r="Y56" s="5"/>
    </row>
    <row r="57" spans="1:25" customFormat="1" ht="15" x14ac:dyDescent="0.25">
      <c r="A57" s="5"/>
      <c r="B57" s="5"/>
      <c r="C57" s="5"/>
      <c r="D57" s="5"/>
      <c r="E57" s="5"/>
      <c r="F57" s="5"/>
      <c r="G57" s="5"/>
      <c r="H57" s="5"/>
      <c r="I57" s="5"/>
      <c r="J57" s="5"/>
      <c r="K57" s="5"/>
      <c r="L57" s="5"/>
      <c r="M57" s="5"/>
      <c r="N57" s="5"/>
      <c r="O57" s="5"/>
      <c r="P57" s="5"/>
      <c r="Q57" s="5"/>
      <c r="R57" s="5"/>
      <c r="S57" s="5"/>
      <c r="T57" s="5"/>
      <c r="U57" s="5"/>
      <c r="V57" s="5"/>
      <c r="W57" s="5"/>
      <c r="X57" s="5"/>
      <c r="Y57" s="5"/>
    </row>
    <row r="58" spans="1:25" x14ac:dyDescent="0.3">
      <c r="A58" s="19"/>
      <c r="B58" s="1"/>
      <c r="C58" s="1"/>
      <c r="D58" s="1"/>
      <c r="E58" s="1"/>
      <c r="F58" s="1"/>
      <c r="G58" s="1"/>
      <c r="H58" s="1"/>
      <c r="I58" s="1"/>
      <c r="J58" s="1"/>
      <c r="K58" s="1"/>
      <c r="L58" s="1"/>
      <c r="M58" s="1"/>
      <c r="N58" s="1"/>
      <c r="O58" s="1"/>
      <c r="P58" s="1"/>
      <c r="Q58" s="1"/>
      <c r="R58" s="1"/>
      <c r="S58" s="1"/>
      <c r="T58" s="1"/>
      <c r="U58" s="1"/>
      <c r="V58" s="1"/>
      <c r="W58" s="1"/>
      <c r="X58" s="1"/>
      <c r="Y58" s="1"/>
    </row>
    <row r="59" spans="1:25" x14ac:dyDescent="0.3">
      <c r="A59" s="1"/>
      <c r="B59" s="1"/>
      <c r="C59" s="1"/>
      <c r="D59" s="1"/>
      <c r="E59" s="1"/>
      <c r="F59" s="1"/>
      <c r="G59" s="1"/>
      <c r="H59" s="1"/>
      <c r="I59" s="1"/>
      <c r="J59" s="1"/>
      <c r="K59" s="1"/>
      <c r="L59" s="1"/>
      <c r="M59" s="1"/>
      <c r="N59" s="1"/>
      <c r="O59" s="1"/>
      <c r="P59" s="1"/>
      <c r="Q59" s="1"/>
      <c r="R59" s="1"/>
      <c r="S59" s="1"/>
      <c r="T59" s="1"/>
      <c r="U59" s="1"/>
      <c r="V59" s="1"/>
      <c r="W59" s="1"/>
      <c r="X59" s="1"/>
      <c r="Y59" s="1"/>
    </row>
    <row r="60" spans="1:25" x14ac:dyDescent="0.3">
      <c r="A60" s="1"/>
      <c r="B60" s="1"/>
      <c r="C60" s="1"/>
      <c r="D60" s="1"/>
      <c r="E60" s="1"/>
      <c r="F60" s="1"/>
      <c r="G60" s="1"/>
      <c r="H60" s="1"/>
      <c r="I60" s="1"/>
      <c r="J60" s="1"/>
      <c r="K60" s="1"/>
      <c r="L60" s="1"/>
      <c r="M60" s="1"/>
      <c r="N60" s="1"/>
      <c r="O60" s="1"/>
      <c r="P60" s="1"/>
      <c r="Q60" s="1"/>
      <c r="R60" s="1"/>
      <c r="S60" s="1"/>
      <c r="T60" s="1"/>
      <c r="U60" s="1"/>
      <c r="V60" s="1"/>
      <c r="W60" s="1"/>
      <c r="X60" s="1"/>
      <c r="Y60" s="1"/>
    </row>
    <row r="61" spans="1:25" x14ac:dyDescent="0.3">
      <c r="A61" s="1"/>
      <c r="B61" s="1"/>
      <c r="C61" s="1"/>
      <c r="D61" s="1"/>
      <c r="E61" s="1"/>
      <c r="F61" s="1"/>
      <c r="G61" s="1"/>
      <c r="H61" s="1"/>
      <c r="I61" s="1"/>
      <c r="J61" s="1"/>
      <c r="K61" s="1"/>
      <c r="L61" s="1"/>
      <c r="M61" s="1"/>
      <c r="N61" s="1"/>
      <c r="O61" s="1"/>
      <c r="P61" s="1"/>
      <c r="Q61" s="1"/>
      <c r="R61" s="1"/>
      <c r="S61" s="1"/>
      <c r="T61" s="1"/>
      <c r="U61" s="1"/>
      <c r="V61" s="1"/>
      <c r="W61" s="1"/>
      <c r="X61" s="1"/>
      <c r="Y61" s="1"/>
    </row>
    <row r="62" spans="1:25" x14ac:dyDescent="0.3">
      <c r="A62" s="1"/>
      <c r="B62" s="1"/>
      <c r="C62" s="1"/>
      <c r="D62" s="1"/>
      <c r="E62" s="1"/>
      <c r="F62" s="1"/>
      <c r="G62" s="1"/>
      <c r="H62" s="1"/>
      <c r="I62" s="1"/>
      <c r="J62" s="1"/>
      <c r="K62" s="1"/>
      <c r="L62" s="1"/>
      <c r="M62" s="1"/>
      <c r="N62" s="1"/>
      <c r="O62" s="1"/>
      <c r="P62" s="1"/>
      <c r="Q62" s="1"/>
      <c r="R62" s="1"/>
      <c r="S62" s="1"/>
      <c r="T62" s="1"/>
      <c r="U62" s="1"/>
      <c r="V62" s="1"/>
      <c r="W62" s="1"/>
      <c r="X62" s="1"/>
      <c r="Y62" s="1"/>
    </row>
    <row r="63" spans="1:25" x14ac:dyDescent="0.3">
      <c r="A63" s="1"/>
      <c r="B63" s="1"/>
      <c r="C63" s="1"/>
      <c r="D63" s="1"/>
      <c r="E63" s="1"/>
      <c r="F63" s="1"/>
      <c r="G63" s="1"/>
      <c r="H63" s="1"/>
      <c r="I63" s="1"/>
      <c r="J63" s="1"/>
      <c r="K63" s="1"/>
      <c r="L63" s="1"/>
      <c r="M63" s="1"/>
      <c r="N63" s="1"/>
      <c r="O63" s="1"/>
      <c r="P63" s="1"/>
      <c r="Q63" s="1"/>
      <c r="R63" s="1"/>
      <c r="S63" s="1"/>
      <c r="T63" s="1"/>
      <c r="U63" s="1"/>
      <c r="V63" s="1"/>
      <c r="W63" s="1"/>
      <c r="X63" s="1"/>
      <c r="Y63" s="1"/>
    </row>
    <row r="64" spans="1:25" x14ac:dyDescent="0.3">
      <c r="A64" s="1"/>
      <c r="B64" s="1"/>
      <c r="C64" s="1"/>
      <c r="D64" s="1"/>
      <c r="E64" s="1"/>
      <c r="F64" s="1"/>
      <c r="G64" s="1"/>
      <c r="H64" s="1"/>
      <c r="I64" s="1"/>
      <c r="J64" s="1"/>
      <c r="K64" s="1"/>
      <c r="L64" s="1"/>
      <c r="M64" s="1"/>
      <c r="N64" s="1"/>
      <c r="O64" s="1"/>
      <c r="P64" s="1"/>
      <c r="Q64" s="1"/>
      <c r="R64" s="1"/>
      <c r="S64" s="1"/>
      <c r="T64" s="1"/>
      <c r="U64" s="1"/>
      <c r="V64" s="1"/>
      <c r="W64" s="1"/>
      <c r="X64" s="1"/>
      <c r="Y64" s="1"/>
    </row>
    <row r="65" spans="1:25" x14ac:dyDescent="0.3">
      <c r="A65" s="1"/>
      <c r="B65" s="1"/>
      <c r="C65" s="1"/>
      <c r="D65" s="1"/>
      <c r="E65" s="1"/>
      <c r="F65" s="1"/>
      <c r="G65" s="1"/>
      <c r="H65" s="1"/>
      <c r="I65" s="1"/>
      <c r="J65" s="1"/>
      <c r="K65" s="1"/>
      <c r="L65" s="1"/>
      <c r="M65" s="1"/>
      <c r="N65" s="1"/>
      <c r="O65" s="1"/>
      <c r="P65" s="1"/>
      <c r="Q65" s="1"/>
      <c r="R65" s="1"/>
      <c r="S65" s="1"/>
      <c r="T65" s="1"/>
      <c r="U65" s="1"/>
      <c r="V65" s="1"/>
      <c r="W65" s="1"/>
      <c r="X65" s="1"/>
      <c r="Y65" s="1"/>
    </row>
    <row r="66" spans="1:25" x14ac:dyDescent="0.3">
      <c r="A66" s="1"/>
      <c r="B66" s="1"/>
      <c r="C66" s="1"/>
      <c r="D66" s="1"/>
      <c r="E66" s="1"/>
      <c r="F66" s="1"/>
      <c r="G66" s="1"/>
      <c r="H66" s="1"/>
      <c r="I66" s="1"/>
      <c r="J66" s="1"/>
      <c r="K66" s="1"/>
      <c r="L66" s="1"/>
      <c r="M66" s="1"/>
      <c r="N66" s="1"/>
      <c r="O66" s="1"/>
      <c r="P66" s="1"/>
      <c r="Q66" s="1"/>
      <c r="R66" s="1"/>
      <c r="S66" s="1"/>
      <c r="T66" s="1"/>
      <c r="U66" s="1"/>
      <c r="V66" s="1"/>
      <c r="W66" s="1"/>
      <c r="X66" s="1"/>
      <c r="Y66" s="1"/>
    </row>
    <row r="67" spans="1:25" x14ac:dyDescent="0.3">
      <c r="A67" s="1"/>
      <c r="B67" s="1"/>
      <c r="C67" s="1"/>
      <c r="D67" s="1"/>
      <c r="E67" s="1"/>
      <c r="F67" s="1"/>
      <c r="G67" s="1"/>
      <c r="H67" s="1"/>
      <c r="I67" s="1"/>
      <c r="J67" s="1"/>
      <c r="K67" s="1"/>
      <c r="L67" s="1"/>
      <c r="M67" s="1"/>
      <c r="N67" s="1"/>
      <c r="O67" s="1"/>
      <c r="P67" s="1"/>
      <c r="Q67" s="1"/>
      <c r="R67" s="1"/>
      <c r="S67" s="1"/>
      <c r="T67" s="1"/>
      <c r="U67" s="1"/>
      <c r="V67" s="1"/>
      <c r="W67" s="1"/>
      <c r="X67" s="1"/>
      <c r="Y67" s="1"/>
    </row>
    <row r="68" spans="1:25" x14ac:dyDescent="0.3">
      <c r="A68" s="1"/>
      <c r="B68" s="1"/>
      <c r="C68" s="1"/>
      <c r="D68" s="1"/>
      <c r="E68" s="1"/>
      <c r="F68" s="1"/>
      <c r="G68" s="1"/>
      <c r="H68" s="1"/>
      <c r="I68" s="1"/>
      <c r="J68" s="1"/>
      <c r="K68" s="1"/>
      <c r="L68" s="1"/>
      <c r="M68" s="1"/>
      <c r="N68" s="1"/>
      <c r="O68" s="1"/>
      <c r="P68" s="1"/>
      <c r="Q68" s="1"/>
      <c r="R68" s="1"/>
      <c r="S68" s="1"/>
      <c r="T68" s="1"/>
      <c r="U68" s="1"/>
      <c r="V68" s="1"/>
      <c r="W68" s="1"/>
      <c r="X68" s="1"/>
      <c r="Y68" s="1"/>
    </row>
    <row r="69" spans="1:25" x14ac:dyDescent="0.3">
      <c r="A69" s="1"/>
      <c r="B69" s="1"/>
      <c r="C69" s="1"/>
      <c r="D69" s="1"/>
      <c r="E69" s="1"/>
      <c r="F69" s="1"/>
      <c r="G69" s="1"/>
      <c r="H69" s="1"/>
      <c r="I69" s="1"/>
      <c r="J69" s="1"/>
      <c r="K69" s="1"/>
      <c r="L69" s="1"/>
      <c r="M69" s="1"/>
      <c r="N69" s="1"/>
      <c r="O69" s="1"/>
      <c r="P69" s="1"/>
      <c r="Q69" s="1"/>
      <c r="R69" s="1"/>
      <c r="S69" s="1"/>
      <c r="T69" s="1"/>
      <c r="U69" s="1"/>
      <c r="V69" s="1"/>
      <c r="W69" s="1"/>
      <c r="X69" s="1"/>
      <c r="Y69" s="1"/>
    </row>
    <row r="70" spans="1:25" x14ac:dyDescent="0.3">
      <c r="A70" s="1"/>
      <c r="B70" s="1"/>
      <c r="C70" s="1"/>
      <c r="D70" s="1"/>
      <c r="E70" s="1"/>
      <c r="F70" s="1"/>
      <c r="G70" s="1"/>
      <c r="H70" s="1"/>
      <c r="I70" s="1"/>
      <c r="J70" s="1"/>
      <c r="K70" s="1"/>
      <c r="L70" s="1"/>
      <c r="M70" s="1"/>
      <c r="N70" s="1"/>
      <c r="O70" s="1"/>
      <c r="P70" s="1"/>
      <c r="Q70" s="1"/>
      <c r="R70" s="1"/>
      <c r="S70" s="1"/>
      <c r="T70" s="1"/>
      <c r="U70" s="1"/>
      <c r="V70" s="1"/>
      <c r="W70" s="1"/>
      <c r="X70" s="1"/>
      <c r="Y70" s="1"/>
    </row>
    <row r="71" spans="1:25" x14ac:dyDescent="0.3">
      <c r="A71" s="1"/>
      <c r="B71" s="1"/>
      <c r="C71" s="1"/>
      <c r="D71" s="1"/>
      <c r="E71" s="1"/>
      <c r="F71" s="1"/>
      <c r="G71" s="1"/>
      <c r="H71" s="1"/>
      <c r="I71" s="1"/>
      <c r="J71" s="1"/>
      <c r="K71" s="1"/>
      <c r="L71" s="1"/>
      <c r="M71" s="1"/>
      <c r="N71" s="1"/>
      <c r="O71" s="1"/>
      <c r="P71" s="1"/>
      <c r="Q71" s="1"/>
      <c r="R71" s="1"/>
      <c r="S71" s="1"/>
      <c r="T71" s="1"/>
      <c r="U71" s="1"/>
      <c r="V71" s="1"/>
      <c r="W71" s="1"/>
      <c r="X71" s="1"/>
      <c r="Y71" s="1"/>
    </row>
    <row r="72" spans="1:25" x14ac:dyDescent="0.3">
      <c r="A72" s="1"/>
      <c r="B72" s="1"/>
      <c r="C72" s="1"/>
      <c r="D72" s="1"/>
      <c r="E72" s="1"/>
      <c r="F72" s="1"/>
      <c r="G72" s="1"/>
      <c r="H72" s="1"/>
      <c r="I72" s="1"/>
      <c r="J72" s="1"/>
      <c r="K72" s="1"/>
      <c r="L72" s="1"/>
      <c r="M72" s="1"/>
      <c r="N72" s="1"/>
      <c r="O72" s="1"/>
      <c r="P72" s="1"/>
      <c r="Q72" s="1"/>
      <c r="R72" s="1"/>
      <c r="S72" s="1"/>
      <c r="T72" s="1"/>
      <c r="U72" s="1"/>
      <c r="V72" s="1"/>
      <c r="W72" s="1"/>
      <c r="X72" s="1"/>
      <c r="Y72" s="1"/>
    </row>
    <row r="73" spans="1:25" x14ac:dyDescent="0.3">
      <c r="A73" s="1"/>
      <c r="B73" s="1"/>
      <c r="C73" s="1"/>
      <c r="D73" s="1"/>
      <c r="E73" s="1"/>
      <c r="F73" s="1"/>
      <c r="G73" s="1"/>
      <c r="H73" s="1"/>
      <c r="I73" s="1"/>
      <c r="J73" s="1"/>
      <c r="K73" s="1"/>
      <c r="L73" s="1"/>
      <c r="M73" s="1"/>
      <c r="N73" s="1"/>
      <c r="O73" s="1"/>
      <c r="P73" s="1"/>
      <c r="Q73" s="1"/>
      <c r="R73" s="1"/>
      <c r="S73" s="1"/>
      <c r="T73" s="1"/>
      <c r="U73" s="1"/>
      <c r="V73" s="1"/>
      <c r="W73" s="1"/>
      <c r="X73" s="1"/>
      <c r="Y73" s="1"/>
    </row>
    <row r="74" spans="1:25" x14ac:dyDescent="0.3">
      <c r="A74" s="1"/>
      <c r="B74" s="1"/>
      <c r="C74" s="1"/>
      <c r="D74" s="1"/>
      <c r="E74" s="1"/>
      <c r="F74" s="1"/>
      <c r="G74" s="1"/>
      <c r="H74" s="1"/>
      <c r="I74" s="1"/>
      <c r="J74" s="1"/>
      <c r="K74" s="1"/>
      <c r="L74" s="1"/>
      <c r="M74" s="1"/>
      <c r="N74" s="1"/>
      <c r="O74" s="1"/>
      <c r="P74" s="1"/>
      <c r="Q74" s="1"/>
      <c r="R74" s="1"/>
      <c r="S74" s="1"/>
      <c r="T74" s="1"/>
      <c r="U74" s="1"/>
      <c r="V74" s="1"/>
      <c r="W74" s="1"/>
      <c r="X74" s="1"/>
      <c r="Y74" s="1"/>
    </row>
    <row r="75" spans="1:25" x14ac:dyDescent="0.3">
      <c r="A75" s="1"/>
      <c r="B75" s="1"/>
      <c r="C75" s="1"/>
      <c r="D75" s="1"/>
      <c r="E75" s="1"/>
      <c r="F75" s="1"/>
      <c r="G75" s="1"/>
      <c r="H75" s="1"/>
      <c r="I75" s="1"/>
      <c r="J75" s="1"/>
      <c r="K75" s="1"/>
      <c r="L75" s="1"/>
      <c r="M75" s="1"/>
      <c r="N75" s="1"/>
      <c r="O75" s="1"/>
      <c r="P75" s="1"/>
      <c r="Q75" s="1"/>
      <c r="R75" s="1"/>
      <c r="S75" s="1"/>
      <c r="T75" s="1"/>
      <c r="U75" s="1"/>
      <c r="V75" s="1"/>
      <c r="W75" s="1"/>
      <c r="X75" s="1"/>
      <c r="Y75" s="1"/>
    </row>
    <row r="76" spans="1:25" x14ac:dyDescent="0.3">
      <c r="A76" s="1"/>
      <c r="B76" s="1"/>
      <c r="C76" s="1"/>
      <c r="D76" s="1"/>
      <c r="E76" s="1"/>
      <c r="F76" s="1"/>
      <c r="G76" s="1"/>
      <c r="H76" s="1"/>
      <c r="I76" s="1"/>
      <c r="J76" s="1"/>
      <c r="K76" s="1"/>
      <c r="L76" s="1"/>
      <c r="M76" s="1"/>
      <c r="N76" s="1"/>
      <c r="O76" s="1"/>
      <c r="P76" s="1"/>
      <c r="Q76" s="1"/>
      <c r="R76" s="1"/>
      <c r="S76" s="1"/>
      <c r="T76" s="1"/>
      <c r="U76" s="1"/>
      <c r="V76" s="1"/>
      <c r="W76" s="1"/>
      <c r="X76" s="1"/>
      <c r="Y76" s="1"/>
    </row>
    <row r="77" spans="1:25" x14ac:dyDescent="0.3">
      <c r="A77" s="1"/>
      <c r="B77" s="1"/>
      <c r="C77" s="1"/>
      <c r="D77" s="1"/>
      <c r="E77" s="1"/>
      <c r="F77" s="1"/>
      <c r="G77" s="1"/>
      <c r="H77" s="1"/>
      <c r="I77" s="1"/>
      <c r="J77" s="1"/>
      <c r="K77" s="1"/>
      <c r="L77" s="1"/>
      <c r="M77" s="1"/>
      <c r="N77" s="1"/>
      <c r="O77" s="1"/>
      <c r="P77" s="1"/>
      <c r="Q77" s="1"/>
      <c r="R77" s="1"/>
      <c r="S77" s="1"/>
      <c r="T77" s="1"/>
      <c r="U77" s="1"/>
      <c r="V77" s="1"/>
      <c r="W77" s="1"/>
      <c r="X77" s="1"/>
      <c r="Y77" s="1"/>
    </row>
    <row r="78" spans="1:25" x14ac:dyDescent="0.3">
      <c r="A78" s="1"/>
      <c r="B78" s="1"/>
      <c r="C78" s="1"/>
      <c r="D78" s="1"/>
      <c r="E78" s="1"/>
      <c r="F78" s="1"/>
      <c r="G78" s="1"/>
      <c r="H78" s="1"/>
      <c r="I78" s="1"/>
      <c r="J78" s="1"/>
      <c r="K78" s="1"/>
      <c r="L78" s="1"/>
      <c r="M78" s="1"/>
      <c r="N78" s="1"/>
      <c r="O78" s="1"/>
      <c r="P78" s="1"/>
      <c r="Q78" s="1"/>
      <c r="R78" s="1"/>
      <c r="S78" s="1"/>
      <c r="T78" s="1"/>
      <c r="U78" s="1"/>
      <c r="V78" s="1"/>
      <c r="W78" s="1"/>
      <c r="X78" s="1"/>
      <c r="Y78" s="1"/>
    </row>
    <row r="79" spans="1:25" x14ac:dyDescent="0.3">
      <c r="A79" s="1"/>
      <c r="B79" s="1"/>
      <c r="C79" s="1"/>
      <c r="D79" s="1"/>
      <c r="E79" s="1"/>
      <c r="F79" s="1"/>
      <c r="G79" s="1"/>
      <c r="H79" s="1"/>
      <c r="I79" s="1"/>
      <c r="J79" s="1"/>
      <c r="K79" s="1"/>
      <c r="L79" s="1"/>
      <c r="M79" s="1"/>
      <c r="N79" s="1"/>
      <c r="O79" s="1"/>
      <c r="P79" s="1"/>
      <c r="Q79" s="1"/>
      <c r="R79" s="1"/>
      <c r="S79" s="1"/>
      <c r="T79" s="1"/>
      <c r="U79" s="1"/>
      <c r="V79" s="1"/>
      <c r="W79" s="1"/>
      <c r="X79" s="1"/>
      <c r="Y79" s="1"/>
    </row>
    <row r="80" spans="1:25" x14ac:dyDescent="0.3">
      <c r="A80" s="1"/>
      <c r="B80" s="1"/>
      <c r="C80" s="1"/>
      <c r="D80" s="1"/>
      <c r="E80" s="1"/>
      <c r="F80" s="1"/>
      <c r="G80" s="1"/>
      <c r="H80" s="1"/>
      <c r="I80" s="1"/>
      <c r="J80" s="1"/>
      <c r="K80" s="1"/>
      <c r="L80" s="1"/>
      <c r="M80" s="1"/>
      <c r="N80" s="1"/>
      <c r="O80" s="1"/>
      <c r="P80" s="1"/>
      <c r="Q80" s="1"/>
      <c r="R80" s="1"/>
      <c r="S80" s="1"/>
      <c r="T80" s="1"/>
      <c r="U80" s="1"/>
      <c r="V80" s="1"/>
      <c r="W80" s="1"/>
      <c r="X80" s="1"/>
      <c r="Y80" s="1"/>
    </row>
    <row r="81" spans="1:25" x14ac:dyDescent="0.3">
      <c r="A81" s="1"/>
      <c r="B81" s="1"/>
      <c r="C81" s="1"/>
      <c r="D81" s="1"/>
      <c r="E81" s="1"/>
      <c r="F81" s="1"/>
      <c r="G81" s="1"/>
      <c r="H81" s="1"/>
      <c r="I81" s="1"/>
      <c r="J81" s="1"/>
      <c r="K81" s="1"/>
      <c r="L81" s="1"/>
      <c r="M81" s="1"/>
      <c r="N81" s="1"/>
      <c r="O81" s="1"/>
      <c r="P81" s="1"/>
      <c r="Q81" s="1"/>
      <c r="R81" s="1"/>
      <c r="S81" s="1"/>
      <c r="T81" s="1"/>
      <c r="U81" s="1"/>
      <c r="V81" s="1"/>
      <c r="W81" s="1"/>
      <c r="X81" s="1"/>
      <c r="Y81" s="1"/>
    </row>
    <row r="82" spans="1:25" x14ac:dyDescent="0.3">
      <c r="A82" s="1"/>
      <c r="B82" s="1"/>
      <c r="C82" s="1"/>
      <c r="D82" s="1"/>
      <c r="E82" s="1"/>
      <c r="F82" s="1"/>
      <c r="G82" s="1"/>
      <c r="H82" s="1"/>
      <c r="I82" s="1"/>
      <c r="J82" s="1"/>
      <c r="K82" s="1"/>
      <c r="L82" s="1"/>
      <c r="M82" s="1"/>
      <c r="N82" s="1"/>
      <c r="O82" s="1"/>
      <c r="P82" s="1"/>
      <c r="Q82" s="1"/>
      <c r="R82" s="1"/>
      <c r="S82" s="1"/>
      <c r="T82" s="1"/>
      <c r="U82" s="1"/>
      <c r="V82" s="1"/>
      <c r="W82" s="1"/>
      <c r="X82" s="1"/>
      <c r="Y82" s="1"/>
    </row>
    <row r="83" spans="1:25" x14ac:dyDescent="0.3">
      <c r="A83" s="1"/>
      <c r="B83" s="1"/>
      <c r="C83" s="1"/>
      <c r="D83" s="1"/>
      <c r="E83" s="1"/>
      <c r="F83" s="1"/>
      <c r="G83" s="1"/>
      <c r="H83" s="1"/>
      <c r="I83" s="1"/>
      <c r="J83" s="1"/>
      <c r="K83" s="1"/>
      <c r="L83" s="1"/>
      <c r="M83" s="1"/>
      <c r="N83" s="1"/>
      <c r="O83" s="1"/>
      <c r="P83" s="1"/>
      <c r="Q83" s="1"/>
      <c r="R83" s="1"/>
      <c r="S83" s="1"/>
      <c r="T83" s="1"/>
      <c r="U83" s="1"/>
      <c r="V83" s="1"/>
      <c r="W83" s="1"/>
      <c r="X83" s="1"/>
      <c r="Y83" s="1"/>
    </row>
    <row r="84" spans="1:25" x14ac:dyDescent="0.3">
      <c r="A84" s="1"/>
      <c r="B84" s="1"/>
      <c r="C84" s="1"/>
      <c r="D84" s="1"/>
      <c r="E84" s="1"/>
      <c r="F84" s="1"/>
      <c r="G84" s="1"/>
      <c r="H84" s="1"/>
      <c r="I84" s="1"/>
      <c r="J84" s="1"/>
      <c r="K84" s="1"/>
      <c r="L84" s="1"/>
      <c r="M84" s="1"/>
      <c r="N84" s="1"/>
      <c r="O84" s="1"/>
      <c r="P84" s="1"/>
      <c r="Q84" s="1"/>
      <c r="R84" s="1"/>
      <c r="S84" s="1"/>
      <c r="T84" s="1"/>
      <c r="U84" s="1"/>
      <c r="V84" s="1"/>
      <c r="W84" s="1"/>
      <c r="X84" s="1"/>
      <c r="Y84" s="1"/>
    </row>
    <row r="85" spans="1:25" x14ac:dyDescent="0.3">
      <c r="A85" s="1"/>
      <c r="B85" s="1"/>
      <c r="C85" s="1"/>
      <c r="D85" s="1"/>
      <c r="E85" s="1"/>
      <c r="F85" s="1"/>
      <c r="G85" s="1"/>
      <c r="H85" s="1"/>
      <c r="I85" s="1"/>
      <c r="J85" s="1"/>
      <c r="K85" s="1"/>
      <c r="L85" s="1"/>
      <c r="M85" s="1"/>
      <c r="N85" s="1"/>
      <c r="O85" s="1"/>
      <c r="P85" s="1"/>
      <c r="Q85" s="1"/>
      <c r="R85" s="1"/>
      <c r="S85" s="1"/>
      <c r="T85" s="1"/>
      <c r="U85" s="1"/>
      <c r="V85" s="1"/>
      <c r="W85" s="1"/>
      <c r="X85" s="1"/>
      <c r="Y85" s="1"/>
    </row>
    <row r="86" spans="1:25" x14ac:dyDescent="0.3">
      <c r="A86" s="1"/>
      <c r="B86" s="1"/>
      <c r="C86" s="1"/>
      <c r="D86" s="1"/>
      <c r="E86" s="1"/>
      <c r="F86" s="1"/>
      <c r="G86" s="1"/>
      <c r="H86" s="1"/>
      <c r="I86" s="1"/>
      <c r="J86" s="1"/>
      <c r="K86" s="1"/>
      <c r="L86" s="1"/>
      <c r="M86" s="1"/>
      <c r="N86" s="1"/>
      <c r="O86" s="1"/>
      <c r="P86" s="1"/>
      <c r="Q86" s="1"/>
      <c r="R86" s="1"/>
      <c r="S86" s="1"/>
      <c r="T86" s="1"/>
      <c r="U86" s="1"/>
      <c r="V86" s="1"/>
      <c r="W86" s="1"/>
      <c r="X86" s="1"/>
      <c r="Y86" s="1"/>
    </row>
    <row r="87" spans="1:25" x14ac:dyDescent="0.3">
      <c r="A87" s="1"/>
      <c r="B87" s="1"/>
      <c r="C87" s="1"/>
      <c r="D87" s="1"/>
      <c r="E87" s="1"/>
      <c r="F87" s="1"/>
      <c r="G87" s="1"/>
      <c r="H87" s="1"/>
      <c r="I87" s="1"/>
      <c r="J87" s="1"/>
      <c r="K87" s="1"/>
      <c r="L87" s="1"/>
      <c r="M87" s="1"/>
      <c r="N87" s="1"/>
      <c r="O87" s="1"/>
      <c r="P87" s="1"/>
      <c r="Q87" s="1"/>
      <c r="R87" s="1"/>
      <c r="S87" s="1"/>
      <c r="T87" s="1"/>
      <c r="U87" s="1"/>
      <c r="V87" s="1"/>
      <c r="W87" s="1"/>
      <c r="X87" s="1"/>
      <c r="Y87" s="1"/>
    </row>
    <row r="88" spans="1:25" x14ac:dyDescent="0.3">
      <c r="A88" s="1"/>
      <c r="B88" s="1"/>
      <c r="C88" s="1"/>
      <c r="D88" s="1"/>
      <c r="E88" s="1"/>
      <c r="F88" s="1"/>
      <c r="G88" s="1"/>
      <c r="H88" s="1"/>
      <c r="I88" s="1"/>
      <c r="J88" s="1"/>
      <c r="K88" s="1"/>
      <c r="L88" s="1"/>
      <c r="M88" s="1"/>
      <c r="N88" s="1"/>
      <c r="O88" s="1"/>
      <c r="P88" s="1"/>
      <c r="Q88" s="1"/>
      <c r="R88" s="1"/>
      <c r="S88" s="1"/>
      <c r="T88" s="1"/>
      <c r="U88" s="1"/>
      <c r="V88" s="1"/>
      <c r="W88" s="1"/>
      <c r="X88" s="1"/>
      <c r="Y88" s="1"/>
    </row>
    <row r="89" spans="1:25" x14ac:dyDescent="0.3">
      <c r="A89" s="1"/>
      <c r="B89" s="1"/>
      <c r="C89" s="1"/>
      <c r="D89" s="1"/>
      <c r="E89" s="1"/>
      <c r="F89" s="1"/>
      <c r="G89" s="1"/>
      <c r="H89" s="1"/>
      <c r="I89" s="1"/>
      <c r="J89" s="1"/>
      <c r="K89" s="1"/>
      <c r="L89" s="1"/>
      <c r="M89" s="1"/>
      <c r="N89" s="1"/>
      <c r="O89" s="1"/>
      <c r="P89" s="1"/>
      <c r="Q89" s="1"/>
      <c r="R89" s="1"/>
      <c r="S89" s="1"/>
      <c r="T89" s="1"/>
      <c r="U89" s="1"/>
      <c r="V89" s="1"/>
      <c r="W89" s="1"/>
      <c r="X89" s="1"/>
      <c r="Y89" s="1"/>
    </row>
    <row r="90" spans="1:25" x14ac:dyDescent="0.3">
      <c r="A90" s="1"/>
      <c r="B90" s="1"/>
      <c r="C90" s="1"/>
      <c r="D90" s="1"/>
      <c r="E90" s="1"/>
      <c r="F90" s="1"/>
      <c r="G90" s="1"/>
      <c r="H90" s="1"/>
      <c r="I90" s="1"/>
      <c r="J90" s="1"/>
      <c r="K90" s="1"/>
      <c r="L90" s="1"/>
      <c r="M90" s="1"/>
      <c r="N90" s="1"/>
      <c r="O90" s="1"/>
      <c r="P90" s="1"/>
      <c r="Q90" s="1"/>
      <c r="R90" s="1"/>
      <c r="S90" s="1"/>
      <c r="T90" s="1"/>
      <c r="U90" s="1"/>
      <c r="V90" s="1"/>
      <c r="W90" s="1"/>
      <c r="X90" s="1"/>
      <c r="Y90" s="1"/>
    </row>
    <row r="91" spans="1:25" x14ac:dyDescent="0.3">
      <c r="A91" s="1"/>
      <c r="B91" s="1"/>
      <c r="C91" s="1"/>
      <c r="D91" s="1"/>
      <c r="E91" s="1"/>
      <c r="F91" s="1"/>
      <c r="G91" s="1"/>
      <c r="H91" s="1"/>
      <c r="I91" s="1"/>
      <c r="J91" s="1"/>
      <c r="K91" s="1"/>
      <c r="L91" s="1"/>
      <c r="M91" s="1"/>
      <c r="N91" s="1"/>
      <c r="O91" s="1"/>
      <c r="P91" s="1"/>
      <c r="Q91" s="1"/>
      <c r="R91" s="1"/>
      <c r="S91" s="1"/>
      <c r="T91" s="1"/>
      <c r="U91" s="1"/>
      <c r="V91" s="1"/>
      <c r="W91" s="1"/>
      <c r="X91" s="1"/>
      <c r="Y91" s="1"/>
    </row>
    <row r="92" spans="1:25" x14ac:dyDescent="0.3">
      <c r="A92" s="1"/>
      <c r="B92" s="1"/>
      <c r="C92" s="1"/>
      <c r="D92" s="1"/>
      <c r="E92" s="1"/>
      <c r="F92" s="1"/>
      <c r="G92" s="1"/>
      <c r="H92" s="1"/>
      <c r="I92" s="1"/>
      <c r="J92" s="1"/>
      <c r="K92" s="1"/>
      <c r="L92" s="1"/>
      <c r="M92" s="1"/>
      <c r="N92" s="1"/>
      <c r="O92" s="1"/>
      <c r="P92" s="1"/>
      <c r="Q92" s="1"/>
      <c r="R92" s="1"/>
      <c r="S92" s="1"/>
      <c r="T92" s="1"/>
      <c r="U92" s="1"/>
      <c r="V92" s="1"/>
      <c r="W92" s="1"/>
      <c r="X92" s="1"/>
      <c r="Y92" s="1"/>
    </row>
    <row r="93" spans="1:25" x14ac:dyDescent="0.3">
      <c r="A93" s="1"/>
      <c r="B93" s="1"/>
      <c r="C93" s="1"/>
      <c r="D93" s="1"/>
      <c r="E93" s="1"/>
      <c r="F93" s="1"/>
      <c r="G93" s="1"/>
      <c r="H93" s="1"/>
      <c r="I93" s="1"/>
      <c r="J93" s="1"/>
      <c r="K93" s="1"/>
      <c r="L93" s="1"/>
      <c r="M93" s="1"/>
      <c r="N93" s="1"/>
      <c r="O93" s="1"/>
      <c r="P93" s="1"/>
      <c r="Q93" s="1"/>
      <c r="R93" s="1"/>
      <c r="S93" s="1"/>
      <c r="T93" s="1"/>
      <c r="U93" s="1"/>
      <c r="V93" s="1"/>
      <c r="W93" s="1"/>
      <c r="X93" s="1"/>
      <c r="Y93" s="1"/>
    </row>
    <row r="94" spans="1:25" x14ac:dyDescent="0.3">
      <c r="A94" s="1"/>
      <c r="B94" s="1"/>
      <c r="C94" s="1"/>
      <c r="D94" s="1"/>
      <c r="E94" s="1"/>
      <c r="F94" s="1"/>
      <c r="G94" s="1"/>
      <c r="H94" s="1"/>
      <c r="I94" s="1"/>
      <c r="J94" s="1"/>
      <c r="K94" s="1"/>
      <c r="L94" s="1"/>
      <c r="M94" s="1"/>
      <c r="N94" s="1"/>
      <c r="O94" s="1"/>
      <c r="P94" s="1"/>
      <c r="Q94" s="1"/>
      <c r="R94" s="1"/>
      <c r="S94" s="1"/>
      <c r="T94" s="1"/>
      <c r="U94" s="1"/>
      <c r="V94" s="1"/>
      <c r="W94" s="1"/>
      <c r="X94" s="1"/>
      <c r="Y94" s="1"/>
    </row>
    <row r="95" spans="1:25" x14ac:dyDescent="0.3">
      <c r="A95" s="1"/>
      <c r="B95" s="1"/>
      <c r="C95" s="1"/>
      <c r="D95" s="1"/>
      <c r="E95" s="1"/>
      <c r="F95" s="1"/>
      <c r="G95" s="1"/>
      <c r="H95" s="1"/>
      <c r="I95" s="1"/>
      <c r="J95" s="1"/>
      <c r="K95" s="1"/>
      <c r="L95" s="1"/>
      <c r="M95" s="1"/>
      <c r="N95" s="1"/>
      <c r="O95" s="1"/>
      <c r="P95" s="1"/>
      <c r="Q95" s="1"/>
      <c r="R95" s="1"/>
      <c r="S95" s="1"/>
      <c r="T95" s="1"/>
      <c r="U95" s="1"/>
      <c r="V95" s="1"/>
      <c r="W95" s="1"/>
      <c r="X95" s="1"/>
      <c r="Y95" s="1"/>
    </row>
    <row r="96" spans="1:25" x14ac:dyDescent="0.3">
      <c r="A96" s="1"/>
      <c r="B96" s="1"/>
      <c r="C96" s="1"/>
      <c r="D96" s="1"/>
      <c r="E96" s="1"/>
      <c r="F96" s="1"/>
      <c r="G96" s="1"/>
      <c r="H96" s="1"/>
      <c r="I96" s="1"/>
      <c r="J96" s="1"/>
      <c r="K96" s="1"/>
      <c r="L96" s="1"/>
      <c r="M96" s="1"/>
      <c r="N96" s="1"/>
      <c r="O96" s="1"/>
      <c r="P96" s="1"/>
      <c r="Q96" s="1"/>
      <c r="R96" s="1"/>
      <c r="S96" s="1"/>
      <c r="T96" s="1"/>
      <c r="U96" s="1"/>
      <c r="V96" s="1"/>
      <c r="W96" s="1"/>
      <c r="X96" s="1"/>
      <c r="Y96" s="1"/>
    </row>
    <row r="97" spans="1:25" x14ac:dyDescent="0.3">
      <c r="A97" s="1"/>
      <c r="B97" s="1"/>
      <c r="C97" s="1"/>
      <c r="D97" s="1"/>
      <c r="E97" s="1"/>
      <c r="F97" s="1"/>
      <c r="G97" s="1"/>
      <c r="H97" s="1"/>
      <c r="I97" s="1"/>
      <c r="J97" s="1"/>
      <c r="K97" s="1"/>
      <c r="L97" s="1"/>
      <c r="M97" s="1"/>
      <c r="N97" s="1"/>
      <c r="O97" s="1"/>
      <c r="P97" s="1"/>
      <c r="Q97" s="1"/>
      <c r="R97" s="1"/>
      <c r="S97" s="1"/>
      <c r="T97" s="1"/>
      <c r="U97" s="1"/>
      <c r="V97" s="1"/>
      <c r="W97" s="1"/>
      <c r="X97" s="1"/>
      <c r="Y97" s="1"/>
    </row>
    <row r="98" spans="1:25" x14ac:dyDescent="0.3">
      <c r="A98" s="1"/>
      <c r="B98" s="1"/>
      <c r="C98" s="1"/>
      <c r="D98" s="1"/>
      <c r="E98" s="1"/>
      <c r="F98" s="1"/>
      <c r="G98" s="1"/>
      <c r="H98" s="1"/>
      <c r="I98" s="1"/>
      <c r="J98" s="1"/>
      <c r="K98" s="1"/>
      <c r="L98" s="1"/>
      <c r="M98" s="1"/>
      <c r="N98" s="1"/>
      <c r="O98" s="1"/>
      <c r="P98" s="1"/>
      <c r="Q98" s="1"/>
      <c r="R98" s="1"/>
      <c r="S98" s="1"/>
      <c r="T98" s="1"/>
      <c r="U98" s="1"/>
      <c r="V98" s="1"/>
      <c r="W98" s="1"/>
      <c r="X98" s="1"/>
      <c r="Y98" s="1"/>
    </row>
    <row r="99" spans="1:25" x14ac:dyDescent="0.3">
      <c r="A99" s="1"/>
      <c r="B99" s="1"/>
      <c r="C99" s="1"/>
      <c r="D99" s="1"/>
      <c r="E99" s="1"/>
      <c r="F99" s="1"/>
      <c r="G99" s="1"/>
      <c r="H99" s="1"/>
      <c r="I99" s="1"/>
      <c r="J99" s="1"/>
      <c r="K99" s="1"/>
      <c r="L99" s="1"/>
      <c r="M99" s="1"/>
      <c r="N99" s="1"/>
      <c r="O99" s="1"/>
      <c r="P99" s="1"/>
      <c r="Q99" s="1"/>
      <c r="R99" s="1"/>
      <c r="S99" s="1"/>
      <c r="T99" s="1"/>
      <c r="U99" s="1"/>
      <c r="V99" s="1"/>
      <c r="W99" s="1"/>
      <c r="X99" s="1"/>
      <c r="Y99" s="1"/>
    </row>
    <row r="100" spans="1:25"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row>
    <row r="101" spans="1:25"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row>
    <row r="102" spans="1:25"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row>
  </sheetData>
  <sheetProtection algorithmName="SHA-512" hashValue="/LvxNSG5NtErQh6GnyOGmbt5CQVXorcTg5dU3bXv5c0CtIEs4aXOV/y+/BXkYaMnj4kLaUfGWXU1Q+6we68QOw==" saltValue="ZhUc0odsERzBG68ayxZe6Q==" spinCount="100000" sheet="1" objects="1" scenarios="1"/>
  <mergeCells count="8">
    <mergeCell ref="A34:F36"/>
    <mergeCell ref="A46:F46"/>
    <mergeCell ref="A37:F37"/>
    <mergeCell ref="A42:F42"/>
    <mergeCell ref="A45:F45"/>
    <mergeCell ref="A40:F41"/>
    <mergeCell ref="A43:F44"/>
    <mergeCell ref="A38:F39"/>
  </mergeCells>
  <printOptions horizontalCentered="1"/>
  <pageMargins left="0.25" right="0.25" top="0.75" bottom="0.75" header="0.3" footer="0.3"/>
  <pageSetup scale="93" orientation="landscape" r:id="rId1"/>
  <headerFooter>
    <oddFooter>&amp;C&amp;"Century Gothic,Regular"&amp;9Page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0BF5F-C24A-4594-83A4-C15C9B994B7F}">
  <sheetPr codeName="Sheet18">
    <pageSetUpPr fitToPage="1"/>
  </sheetPr>
  <dimension ref="A1:Q99"/>
  <sheetViews>
    <sheetView zoomScale="130" zoomScaleNormal="130" zoomScaleSheetLayoutView="130" workbookViewId="0">
      <pane ySplit="4" topLeftCell="A5" activePane="bottomLeft" state="frozen"/>
      <selection activeCell="A5" sqref="A5"/>
      <selection pane="bottomLeft" activeCell="A5" sqref="A5"/>
    </sheetView>
  </sheetViews>
  <sheetFormatPr baseColWidth="10" defaultColWidth="9.28515625" defaultRowHeight="15.75" x14ac:dyDescent="0.3"/>
  <cols>
    <col min="1" max="1" width="39.5703125" style="140" customWidth="1"/>
    <col min="2" max="6" width="15.28515625" style="140" customWidth="1"/>
    <col min="7" max="7" width="29" style="359" bestFit="1" customWidth="1"/>
    <col min="8" max="8" width="133.7109375" bestFit="1" customWidth="1"/>
    <col min="9" max="16384" width="9.28515625" style="140"/>
  </cols>
  <sheetData>
    <row r="1" spans="1:17" ht="20.65" customHeight="1" x14ac:dyDescent="0.3">
      <c r="A1" s="164" t="s">
        <v>791</v>
      </c>
      <c r="B1" s="138"/>
      <c r="C1" s="138"/>
      <c r="D1" s="138"/>
      <c r="E1" s="138"/>
      <c r="F1" s="139"/>
      <c r="G1" s="333"/>
      <c r="H1" s="5"/>
      <c r="I1" s="137"/>
      <c r="J1" s="137"/>
      <c r="K1" s="137"/>
      <c r="L1" s="137"/>
      <c r="M1" s="137"/>
      <c r="N1" s="137"/>
      <c r="O1" s="137"/>
      <c r="P1" s="137"/>
      <c r="Q1" s="137"/>
    </row>
    <row r="2" spans="1:17" ht="13.5" customHeight="1" x14ac:dyDescent="0.3">
      <c r="A2" s="163" t="s">
        <v>133</v>
      </c>
      <c r="B2" s="658"/>
      <c r="C2" s="658"/>
      <c r="D2" s="658"/>
      <c r="E2" s="658"/>
      <c r="F2" s="659"/>
      <c r="G2" s="333"/>
      <c r="H2" s="5"/>
      <c r="I2" s="137"/>
      <c r="J2" s="137"/>
      <c r="K2" s="137"/>
      <c r="L2" s="137"/>
      <c r="M2" s="137"/>
      <c r="N2" s="137"/>
      <c r="O2" s="137"/>
      <c r="P2" s="137"/>
      <c r="Q2" s="137"/>
    </row>
    <row r="3" spans="1:17" x14ac:dyDescent="0.3">
      <c r="A3" s="143"/>
      <c r="B3" s="660">
        <v>2018</v>
      </c>
      <c r="C3" s="660">
        <v>2019</v>
      </c>
      <c r="D3" s="660">
        <v>2020</v>
      </c>
      <c r="E3" s="660">
        <v>2021</v>
      </c>
      <c r="F3" s="661">
        <v>2022</v>
      </c>
      <c r="G3" s="333"/>
      <c r="H3" s="5"/>
      <c r="I3" s="137"/>
      <c r="J3" s="137"/>
      <c r="K3" s="137"/>
      <c r="L3" s="137"/>
      <c r="M3" s="137"/>
      <c r="N3" s="137"/>
      <c r="O3" s="137"/>
      <c r="P3" s="137"/>
      <c r="Q3" s="137"/>
    </row>
    <row r="4" spans="1:17" ht="15.75" customHeight="1" x14ac:dyDescent="0.3">
      <c r="A4" s="162" t="s">
        <v>146</v>
      </c>
      <c r="B4" s="144"/>
      <c r="C4" s="144"/>
      <c r="D4" s="144"/>
      <c r="E4" s="144"/>
      <c r="F4" s="145"/>
      <c r="G4" s="333"/>
      <c r="H4" s="5"/>
      <c r="I4" s="137"/>
      <c r="J4" s="137"/>
      <c r="K4" s="137"/>
      <c r="L4" s="137"/>
      <c r="M4" s="137"/>
      <c r="N4" s="137"/>
      <c r="O4" s="137"/>
      <c r="P4" s="137"/>
      <c r="Q4" s="137"/>
    </row>
    <row r="5" spans="1:17" ht="13.5" customHeight="1" x14ac:dyDescent="0.3">
      <c r="A5" s="146" t="s">
        <v>802</v>
      </c>
      <c r="B5" s="662">
        <v>26900</v>
      </c>
      <c r="C5" s="662">
        <v>27500</v>
      </c>
      <c r="D5" s="662">
        <v>24600</v>
      </c>
      <c r="E5" s="662">
        <v>24700</v>
      </c>
      <c r="F5" s="663">
        <v>25600</v>
      </c>
      <c r="G5" s="393"/>
      <c r="H5" s="5"/>
      <c r="I5" s="137"/>
      <c r="J5" s="137"/>
      <c r="K5" s="137"/>
      <c r="L5" s="137"/>
      <c r="M5" s="137"/>
      <c r="N5" s="137"/>
      <c r="O5" s="137"/>
      <c r="P5" s="137"/>
      <c r="Q5" s="137"/>
    </row>
    <row r="6" spans="1:17" ht="13.5" customHeight="1" x14ac:dyDescent="0.3">
      <c r="A6" s="146" t="s">
        <v>171</v>
      </c>
      <c r="B6" s="662">
        <v>39900</v>
      </c>
      <c r="C6" s="662">
        <v>42200</v>
      </c>
      <c r="D6" s="662">
        <v>35300</v>
      </c>
      <c r="E6" s="662">
        <v>43900</v>
      </c>
      <c r="F6" s="663">
        <v>48900</v>
      </c>
      <c r="G6" s="393"/>
      <c r="H6" s="5"/>
      <c r="I6" s="137"/>
      <c r="J6" s="137"/>
      <c r="K6" s="137"/>
      <c r="L6" s="137"/>
      <c r="M6" s="137"/>
      <c r="N6" s="137"/>
      <c r="O6" s="137"/>
      <c r="P6" s="137"/>
      <c r="Q6" s="137"/>
    </row>
    <row r="7" spans="1:17" ht="13.5" customHeight="1" x14ac:dyDescent="0.3">
      <c r="A7" s="147"/>
      <c r="B7" s="626"/>
      <c r="C7" s="626"/>
      <c r="D7" s="626"/>
      <c r="E7" s="626"/>
      <c r="F7" s="627"/>
      <c r="G7" s="333"/>
      <c r="H7" s="5"/>
      <c r="I7" s="137"/>
      <c r="J7" s="137"/>
      <c r="K7" s="137"/>
      <c r="L7" s="137"/>
      <c r="M7" s="137"/>
      <c r="N7" s="137"/>
      <c r="O7" s="137"/>
      <c r="P7" s="137"/>
      <c r="Q7" s="137"/>
    </row>
    <row r="8" spans="1:17" ht="13.5" customHeight="1" x14ac:dyDescent="0.3">
      <c r="A8" s="148" t="s">
        <v>172</v>
      </c>
      <c r="B8" s="664"/>
      <c r="C8" s="664"/>
      <c r="D8" s="664"/>
      <c r="E8" s="664"/>
      <c r="F8" s="665"/>
      <c r="G8" s="333"/>
      <c r="H8" s="5"/>
      <c r="I8" s="137"/>
      <c r="J8" s="137"/>
      <c r="K8" s="137"/>
      <c r="L8" s="137"/>
      <c r="M8" s="137"/>
      <c r="N8" s="137"/>
      <c r="O8" s="137"/>
      <c r="P8" s="137"/>
      <c r="Q8" s="137"/>
    </row>
    <row r="9" spans="1:17" ht="13.5" customHeight="1" x14ac:dyDescent="0.3">
      <c r="A9" s="149" t="s">
        <v>124</v>
      </c>
      <c r="B9" s="666">
        <v>0</v>
      </c>
      <c r="C9" s="666">
        <v>0</v>
      </c>
      <c r="D9" s="666">
        <v>0</v>
      </c>
      <c r="E9" s="666">
        <v>0</v>
      </c>
      <c r="F9" s="667">
        <v>0</v>
      </c>
      <c r="G9" s="333"/>
      <c r="H9" s="5"/>
      <c r="I9" s="137"/>
      <c r="J9" s="137"/>
      <c r="K9" s="137"/>
      <c r="L9" s="137"/>
      <c r="M9" s="137"/>
      <c r="N9" s="137"/>
      <c r="O9" s="137"/>
      <c r="P9" s="137"/>
      <c r="Q9" s="137"/>
    </row>
    <row r="10" spans="1:17" ht="13.5" customHeight="1" x14ac:dyDescent="0.3">
      <c r="A10" s="149" t="s">
        <v>112</v>
      </c>
      <c r="B10" s="666">
        <v>0.52200000000000002</v>
      </c>
      <c r="C10" s="666">
        <v>0.51</v>
      </c>
      <c r="D10" s="666">
        <v>0.50800000000000001</v>
      </c>
      <c r="E10" s="666">
        <v>0.48699999999999999</v>
      </c>
      <c r="F10" s="667">
        <v>0.46800000000000003</v>
      </c>
      <c r="G10" s="333"/>
      <c r="H10" s="5"/>
      <c r="I10" s="137"/>
      <c r="J10" s="137"/>
      <c r="K10" s="137"/>
      <c r="L10" s="137"/>
      <c r="M10" s="137"/>
      <c r="N10" s="137"/>
      <c r="O10" s="137"/>
      <c r="P10" s="137"/>
      <c r="Q10" s="137"/>
    </row>
    <row r="11" spans="1:17" ht="13.5" customHeight="1" x14ac:dyDescent="0.3">
      <c r="A11" s="149" t="s">
        <v>111</v>
      </c>
      <c r="B11" s="666">
        <v>0.65400000000000003</v>
      </c>
      <c r="C11" s="666">
        <v>0.65300000000000002</v>
      </c>
      <c r="D11" s="666">
        <v>0.66100000000000003</v>
      </c>
      <c r="E11" s="666">
        <v>0.65900000000000003</v>
      </c>
      <c r="F11" s="667">
        <v>0.66500000000000004</v>
      </c>
      <c r="G11" s="333"/>
      <c r="H11" s="5"/>
      <c r="I11" s="137"/>
      <c r="J11" s="137"/>
      <c r="K11" s="137"/>
      <c r="L11" s="137"/>
      <c r="M11" s="137"/>
      <c r="N11" s="137"/>
      <c r="O11" s="137"/>
      <c r="P11" s="137"/>
      <c r="Q11" s="137"/>
    </row>
    <row r="12" spans="1:17" ht="13.5" customHeight="1" x14ac:dyDescent="0.3">
      <c r="A12" s="790" t="s">
        <v>803</v>
      </c>
      <c r="B12" s="666">
        <v>0.72</v>
      </c>
      <c r="C12" s="666">
        <v>0.66400000000000003</v>
      </c>
      <c r="D12" s="666">
        <v>0.66700000000000004</v>
      </c>
      <c r="E12" s="666">
        <v>0.63200000000000001</v>
      </c>
      <c r="F12" s="667">
        <v>0.60299999999999998</v>
      </c>
      <c r="G12" s="333"/>
      <c r="H12" s="5"/>
      <c r="I12" s="137"/>
      <c r="J12" s="137"/>
      <c r="K12" s="137"/>
      <c r="L12" s="137"/>
      <c r="M12" s="137"/>
      <c r="N12" s="137"/>
      <c r="O12" s="137"/>
      <c r="P12" s="137"/>
      <c r="Q12" s="137"/>
    </row>
    <row r="13" spans="1:17" ht="13.5" customHeight="1" x14ac:dyDescent="0.3">
      <c r="A13" s="791" t="s">
        <v>148</v>
      </c>
      <c r="B13" s="668">
        <v>0.32700000000000001</v>
      </c>
      <c r="C13" s="668">
        <v>0.314</v>
      </c>
      <c r="D13" s="668">
        <v>0.32100000000000001</v>
      </c>
      <c r="E13" s="668">
        <v>0.30599999999999999</v>
      </c>
      <c r="F13" s="669">
        <v>0.29599999999999999</v>
      </c>
      <c r="G13" s="333"/>
      <c r="H13" s="5"/>
      <c r="I13" s="137"/>
      <c r="J13" s="137"/>
      <c r="K13" s="137"/>
      <c r="L13" s="137"/>
      <c r="M13" s="137"/>
      <c r="N13" s="137"/>
      <c r="O13" s="137"/>
      <c r="P13" s="137"/>
      <c r="Q13" s="137"/>
    </row>
    <row r="14" spans="1:17" ht="13.5" customHeight="1" x14ac:dyDescent="0.3">
      <c r="A14" s="149"/>
      <c r="B14" s="670"/>
      <c r="C14" s="670"/>
      <c r="D14" s="670"/>
      <c r="E14" s="670"/>
      <c r="F14" s="671"/>
      <c r="G14" s="333"/>
      <c r="H14" s="5"/>
      <c r="I14" s="137"/>
      <c r="J14" s="137"/>
      <c r="K14" s="137"/>
      <c r="L14" s="137"/>
      <c r="M14" s="137"/>
      <c r="N14" s="137"/>
      <c r="O14" s="137"/>
      <c r="P14" s="137"/>
      <c r="Q14" s="137"/>
    </row>
    <row r="15" spans="1:17" ht="13.5" customHeight="1" x14ac:dyDescent="0.3">
      <c r="A15" s="161" t="s">
        <v>843</v>
      </c>
      <c r="B15" s="672"/>
      <c r="C15" s="672"/>
      <c r="D15" s="672"/>
      <c r="E15" s="672"/>
      <c r="F15" s="673"/>
      <c r="G15" s="333"/>
      <c r="H15" s="5"/>
      <c r="I15" s="137"/>
      <c r="J15" s="137"/>
      <c r="K15" s="137"/>
      <c r="L15" s="137"/>
      <c r="M15" s="137"/>
      <c r="N15" s="137"/>
      <c r="O15" s="137"/>
      <c r="P15" s="137"/>
      <c r="Q15" s="137"/>
    </row>
    <row r="16" spans="1:17" ht="13.5" customHeight="1" x14ac:dyDescent="0.3">
      <c r="A16" s="148" t="s">
        <v>149</v>
      </c>
      <c r="B16" s="628"/>
      <c r="C16" s="628"/>
      <c r="D16" s="628"/>
      <c r="E16" s="628"/>
      <c r="F16" s="629"/>
      <c r="G16" s="333"/>
      <c r="H16" s="5"/>
      <c r="I16" s="137"/>
      <c r="J16" s="137"/>
      <c r="K16" s="137"/>
      <c r="L16" s="137"/>
      <c r="M16" s="137"/>
      <c r="N16" s="137"/>
      <c r="O16" s="137"/>
      <c r="P16" s="137"/>
      <c r="Q16" s="137"/>
    </row>
    <row r="17" spans="1:17" ht="13.5" customHeight="1" x14ac:dyDescent="0.3">
      <c r="A17" s="149" t="s">
        <v>150</v>
      </c>
      <c r="B17" s="670">
        <v>0.13668584152904065</v>
      </c>
      <c r="C17" s="670">
        <v>0.13852261965469512</v>
      </c>
      <c r="D17" s="670">
        <v>0.11793581889731836</v>
      </c>
      <c r="E17" s="670">
        <v>0.11978302230498319</v>
      </c>
      <c r="F17" s="671">
        <v>0.12545937915396044</v>
      </c>
      <c r="G17" s="333"/>
      <c r="H17" s="5"/>
      <c r="I17" s="137"/>
      <c r="J17" s="137"/>
      <c r="K17" s="137"/>
      <c r="L17" s="137"/>
      <c r="M17" s="137"/>
      <c r="N17" s="137"/>
      <c r="O17" s="137"/>
      <c r="P17" s="137"/>
      <c r="Q17" s="137"/>
    </row>
    <row r="18" spans="1:17" ht="13.5" customHeight="1" x14ac:dyDescent="0.3">
      <c r="A18" s="149" t="s">
        <v>151</v>
      </c>
      <c r="B18" s="670">
        <v>0.65162367786231212</v>
      </c>
      <c r="C18" s="670">
        <v>0.64380418154003061</v>
      </c>
      <c r="D18" s="670">
        <v>0.66444886202280007</v>
      </c>
      <c r="E18" s="670">
        <v>0.65392867263085452</v>
      </c>
      <c r="F18" s="671">
        <v>0.643169911642818</v>
      </c>
      <c r="G18" s="333"/>
      <c r="H18" s="5"/>
      <c r="I18" s="137"/>
      <c r="J18" s="137"/>
      <c r="K18" s="137"/>
      <c r="L18" s="137"/>
      <c r="M18" s="137"/>
      <c r="N18" s="137"/>
      <c r="O18" s="137"/>
      <c r="P18" s="137"/>
      <c r="Q18" s="137"/>
    </row>
    <row r="19" spans="1:17" ht="13.5" customHeight="1" x14ac:dyDescent="0.3">
      <c r="A19" s="149" t="s">
        <v>152</v>
      </c>
      <c r="B19" s="670">
        <v>0.21169048060864726</v>
      </c>
      <c r="C19" s="670">
        <v>0.21767319880527428</v>
      </c>
      <c r="D19" s="670">
        <v>0.21761531907988155</v>
      </c>
      <c r="E19" s="670">
        <v>0.22628830506416225</v>
      </c>
      <c r="F19" s="671">
        <v>0.23137070920322153</v>
      </c>
      <c r="G19" s="333"/>
      <c r="H19" s="5"/>
      <c r="I19" s="137"/>
      <c r="J19" s="137"/>
      <c r="K19" s="137"/>
      <c r="L19" s="137"/>
      <c r="M19" s="137"/>
      <c r="N19" s="137"/>
      <c r="O19" s="137"/>
      <c r="P19" s="137"/>
      <c r="Q19" s="137"/>
    </row>
    <row r="20" spans="1:17" s="152" customFormat="1" ht="5.0999999999999996" customHeight="1" x14ac:dyDescent="0.3">
      <c r="A20" s="151"/>
      <c r="B20" s="626"/>
      <c r="C20" s="626"/>
      <c r="D20" s="626"/>
      <c r="E20" s="626"/>
      <c r="F20" s="627"/>
      <c r="G20" s="333"/>
      <c r="H20" s="5"/>
      <c r="I20" s="150"/>
      <c r="J20" s="150"/>
      <c r="K20" s="150"/>
      <c r="L20" s="150"/>
      <c r="M20" s="150"/>
      <c r="N20" s="150"/>
      <c r="O20" s="150"/>
      <c r="P20" s="150"/>
      <c r="Q20" s="150"/>
    </row>
    <row r="21" spans="1:17" ht="13.5" customHeight="1" x14ac:dyDescent="0.3">
      <c r="A21" s="148" t="s">
        <v>153</v>
      </c>
      <c r="B21" s="628"/>
      <c r="C21" s="628"/>
      <c r="D21" s="628"/>
      <c r="E21" s="628"/>
      <c r="F21" s="629"/>
      <c r="G21" s="333"/>
      <c r="H21" s="5"/>
      <c r="I21" s="137"/>
      <c r="J21" s="137"/>
      <c r="K21" s="137"/>
      <c r="L21" s="137"/>
      <c r="M21" s="137"/>
      <c r="N21" s="137"/>
      <c r="O21" s="137"/>
      <c r="P21" s="137"/>
      <c r="Q21" s="137"/>
    </row>
    <row r="22" spans="1:17" ht="13.5" customHeight="1" x14ac:dyDescent="0.3">
      <c r="A22" s="149" t="s">
        <v>154</v>
      </c>
      <c r="B22" s="670">
        <v>0.9904249396919651</v>
      </c>
      <c r="C22" s="670">
        <v>0.99023821665331102</v>
      </c>
      <c r="D22" s="670">
        <v>0.99018215749117611</v>
      </c>
      <c r="E22" s="670">
        <v>0.9909322754321338</v>
      </c>
      <c r="F22" s="671">
        <v>0.99053874423332555</v>
      </c>
      <c r="G22" s="333"/>
      <c r="H22" s="5"/>
      <c r="I22" s="137"/>
      <c r="J22" s="137"/>
      <c r="K22" s="137"/>
      <c r="L22" s="137"/>
      <c r="M22" s="137"/>
      <c r="N22" s="137"/>
      <c r="O22" s="137"/>
      <c r="P22" s="137"/>
      <c r="Q22" s="137"/>
    </row>
    <row r="23" spans="1:17" ht="13.5" customHeight="1" x14ac:dyDescent="0.3">
      <c r="A23" s="153" t="s">
        <v>155</v>
      </c>
      <c r="B23" s="674">
        <v>9.5750603080348856E-3</v>
      </c>
      <c r="C23" s="674">
        <v>9.7617833466890069E-3</v>
      </c>
      <c r="D23" s="674">
        <v>9.8178425088238878E-3</v>
      </c>
      <c r="E23" s="674">
        <v>9.0677245678662515E-3</v>
      </c>
      <c r="F23" s="675">
        <v>9.4612557666744861E-3</v>
      </c>
      <c r="G23" s="333"/>
      <c r="H23" s="5"/>
      <c r="I23" s="137"/>
      <c r="J23" s="137"/>
      <c r="K23" s="137"/>
      <c r="L23" s="137"/>
      <c r="M23" s="137"/>
      <c r="N23" s="137"/>
      <c r="O23" s="137"/>
      <c r="P23" s="137"/>
      <c r="Q23" s="137"/>
    </row>
    <row r="24" spans="1:17" s="152" customFormat="1" x14ac:dyDescent="0.3">
      <c r="A24" s="151"/>
      <c r="B24" s="626"/>
      <c r="C24" s="626"/>
      <c r="D24" s="626"/>
      <c r="E24" s="626"/>
      <c r="F24" s="627"/>
      <c r="G24" s="333"/>
      <c r="H24" s="5"/>
      <c r="I24" s="150"/>
      <c r="J24" s="150"/>
      <c r="K24" s="150"/>
      <c r="L24" s="150"/>
      <c r="M24" s="150"/>
      <c r="N24" s="150"/>
      <c r="O24" s="150"/>
      <c r="P24" s="150"/>
      <c r="Q24" s="150"/>
    </row>
    <row r="25" spans="1:17" ht="13.5" customHeight="1" x14ac:dyDescent="0.3">
      <c r="A25" s="148" t="s">
        <v>844</v>
      </c>
      <c r="B25" s="352"/>
      <c r="C25" s="352"/>
      <c r="D25" s="352"/>
      <c r="E25" s="352"/>
      <c r="F25" s="353"/>
      <c r="G25" s="356"/>
      <c r="H25" s="5"/>
      <c r="I25" s="137"/>
      <c r="J25" s="137"/>
      <c r="K25" s="137"/>
      <c r="L25" s="137"/>
      <c r="M25" s="137"/>
      <c r="N25" s="137"/>
      <c r="O25" s="137"/>
      <c r="P25" s="137"/>
      <c r="Q25" s="137"/>
    </row>
    <row r="26" spans="1:17" x14ac:dyDescent="0.3">
      <c r="A26" s="149" t="s">
        <v>156</v>
      </c>
      <c r="B26" s="670">
        <v>0.55100000000000005</v>
      </c>
      <c r="C26" s="670">
        <v>0.54500000000000004</v>
      </c>
      <c r="D26" s="676">
        <v>0.53400000000000003</v>
      </c>
      <c r="E26" s="676">
        <v>0.52400000000000002</v>
      </c>
      <c r="F26" s="677">
        <v>0.51200000000000001</v>
      </c>
      <c r="G26" s="356"/>
      <c r="H26" s="5"/>
      <c r="I26" s="154"/>
      <c r="J26" s="154"/>
      <c r="K26" s="154"/>
      <c r="L26" s="154"/>
      <c r="M26" s="154"/>
      <c r="N26" s="154"/>
      <c r="O26" s="154"/>
      <c r="P26" s="154"/>
      <c r="Q26" s="154"/>
    </row>
    <row r="27" spans="1:17" x14ac:dyDescent="0.3">
      <c r="A27" s="149" t="s">
        <v>157</v>
      </c>
      <c r="B27" s="670">
        <v>0.38</v>
      </c>
      <c r="C27" s="670">
        <v>0.38400000000000001</v>
      </c>
      <c r="D27" s="676">
        <v>0.39500000000000002</v>
      </c>
      <c r="E27" s="676">
        <v>0.4</v>
      </c>
      <c r="F27" s="677">
        <v>0.40699999999999997</v>
      </c>
      <c r="G27" s="356"/>
      <c r="H27" s="5"/>
      <c r="I27" s="154"/>
      <c r="J27" s="154"/>
      <c r="K27" s="154"/>
      <c r="L27" s="154"/>
      <c r="M27" s="154"/>
      <c r="N27" s="154"/>
      <c r="O27" s="154"/>
      <c r="P27" s="154"/>
      <c r="Q27" s="154"/>
    </row>
    <row r="28" spans="1:17" x14ac:dyDescent="0.3">
      <c r="A28" s="149" t="s">
        <v>158</v>
      </c>
      <c r="B28" s="670">
        <v>3.5000000000000003E-2</v>
      </c>
      <c r="C28" s="670">
        <v>3.5000000000000003E-2</v>
      </c>
      <c r="D28" s="676">
        <v>3.7999999999999999E-2</v>
      </c>
      <c r="E28" s="676">
        <v>0.04</v>
      </c>
      <c r="F28" s="677">
        <v>4.2000000000000003E-2</v>
      </c>
      <c r="G28" s="356"/>
      <c r="H28" s="5"/>
      <c r="I28" s="154"/>
      <c r="J28" s="154"/>
      <c r="K28" s="154"/>
      <c r="L28" s="154"/>
      <c r="M28" s="154"/>
      <c r="N28" s="154"/>
      <c r="O28" s="154"/>
      <c r="P28" s="154"/>
      <c r="Q28" s="154"/>
    </row>
    <row r="29" spans="1:17" x14ac:dyDescent="0.3">
      <c r="A29" s="149" t="s">
        <v>159</v>
      </c>
      <c r="B29" s="670">
        <v>1.6E-2</v>
      </c>
      <c r="C29" s="670">
        <v>1.4999999999999999E-2</v>
      </c>
      <c r="D29" s="676">
        <v>1.4E-2</v>
      </c>
      <c r="E29" s="676">
        <v>1.4E-2</v>
      </c>
      <c r="F29" s="677">
        <v>1.2999999999999999E-2</v>
      </c>
      <c r="G29" s="356"/>
      <c r="H29" s="5"/>
      <c r="I29" s="154"/>
      <c r="J29" s="154"/>
      <c r="K29" s="154"/>
      <c r="L29" s="154"/>
      <c r="M29" s="154"/>
      <c r="N29" s="154"/>
      <c r="O29" s="154"/>
      <c r="P29" s="154"/>
      <c r="Q29" s="154"/>
    </row>
    <row r="30" spans="1:17" x14ac:dyDescent="0.3">
      <c r="A30" s="149" t="s">
        <v>160</v>
      </c>
      <c r="B30" s="670">
        <v>1.7000000000000001E-2</v>
      </c>
      <c r="C30" s="670">
        <v>1.6E-2</v>
      </c>
      <c r="D30" s="676">
        <v>1.4E-2</v>
      </c>
      <c r="E30" s="676">
        <v>1.4E-2</v>
      </c>
      <c r="F30" s="677">
        <v>1.4999999999999999E-2</v>
      </c>
      <c r="G30" s="356"/>
      <c r="H30" s="5"/>
      <c r="I30" s="154"/>
      <c r="J30" s="154"/>
      <c r="K30" s="154"/>
      <c r="L30" s="154"/>
      <c r="M30" s="154"/>
      <c r="N30" s="154"/>
      <c r="O30" s="154"/>
      <c r="P30" s="154"/>
      <c r="Q30" s="154"/>
    </row>
    <row r="31" spans="1:17" x14ac:dyDescent="0.3">
      <c r="A31" s="149" t="s">
        <v>161</v>
      </c>
      <c r="B31" s="670">
        <v>2E-3</v>
      </c>
      <c r="C31" s="670">
        <v>2E-3</v>
      </c>
      <c r="D31" s="676">
        <v>3.0000000000000001E-3</v>
      </c>
      <c r="E31" s="676">
        <v>2E-3</v>
      </c>
      <c r="F31" s="677">
        <v>2E-3</v>
      </c>
      <c r="G31" s="356"/>
      <c r="H31" s="5"/>
      <c r="I31" s="154"/>
      <c r="J31" s="154"/>
      <c r="K31" s="154"/>
      <c r="L31" s="154"/>
      <c r="M31" s="154"/>
      <c r="N31" s="154"/>
      <c r="O31" s="154"/>
      <c r="P31" s="154"/>
      <c r="Q31" s="154"/>
    </row>
    <row r="32" spans="1:17" x14ac:dyDescent="0.3">
      <c r="A32" s="149" t="s">
        <v>162</v>
      </c>
      <c r="B32" s="670">
        <v>0</v>
      </c>
      <c r="C32" s="670">
        <v>3.0000000000000001E-3</v>
      </c>
      <c r="D32" s="676">
        <v>3.0000000000000001E-3</v>
      </c>
      <c r="E32" s="676">
        <v>5.0000000000000001E-3</v>
      </c>
      <c r="F32" s="677">
        <v>8.0000000000000002E-3</v>
      </c>
      <c r="G32" s="356"/>
      <c r="H32" s="5"/>
      <c r="I32" s="154"/>
      <c r="J32" s="154"/>
      <c r="K32" s="154"/>
      <c r="L32" s="154"/>
      <c r="M32" s="154"/>
      <c r="N32" s="154"/>
      <c r="O32" s="154"/>
      <c r="P32" s="154"/>
      <c r="Q32" s="154"/>
    </row>
    <row r="33" spans="1:17" x14ac:dyDescent="0.3">
      <c r="A33" s="149" t="s">
        <v>163</v>
      </c>
      <c r="B33" s="670">
        <v>0</v>
      </c>
      <c r="C33" s="670">
        <v>0</v>
      </c>
      <c r="D33" s="676">
        <v>0</v>
      </c>
      <c r="E33" s="676">
        <v>0</v>
      </c>
      <c r="F33" s="677">
        <v>0</v>
      </c>
      <c r="G33" s="356"/>
      <c r="H33" s="5"/>
      <c r="I33" s="154"/>
      <c r="J33" s="154"/>
      <c r="K33" s="154"/>
      <c r="L33" s="154"/>
      <c r="M33" s="154"/>
      <c r="N33" s="154"/>
      <c r="O33" s="154"/>
      <c r="P33" s="154"/>
      <c r="Q33" s="154"/>
    </row>
    <row r="34" spans="1:17" s="152" customFormat="1" x14ac:dyDescent="0.3">
      <c r="A34" s="151"/>
      <c r="B34" s="626"/>
      <c r="C34" s="626"/>
      <c r="D34" s="626"/>
      <c r="E34" s="626"/>
      <c r="F34" s="627"/>
      <c r="G34" s="333"/>
      <c r="H34" s="5"/>
      <c r="I34" s="150"/>
      <c r="J34" s="150"/>
      <c r="K34" s="150"/>
      <c r="L34" s="150"/>
      <c r="M34" s="150"/>
      <c r="N34" s="150"/>
      <c r="O34" s="150"/>
      <c r="P34" s="150"/>
      <c r="Q34" s="150"/>
    </row>
    <row r="35" spans="1:17" ht="13.5" customHeight="1" x14ac:dyDescent="0.3">
      <c r="A35" s="148" t="s">
        <v>804</v>
      </c>
      <c r="B35" s="628"/>
      <c r="C35" s="628"/>
      <c r="D35" s="628"/>
      <c r="E35" s="628"/>
      <c r="F35" s="629"/>
      <c r="G35" s="333"/>
      <c r="H35" s="5"/>
      <c r="I35" s="137"/>
      <c r="J35" s="137"/>
      <c r="K35" s="137"/>
      <c r="L35" s="137"/>
      <c r="M35" s="137"/>
      <c r="N35" s="137"/>
      <c r="O35" s="137"/>
      <c r="P35" s="137"/>
      <c r="Q35" s="137"/>
    </row>
    <row r="36" spans="1:17" x14ac:dyDescent="0.3">
      <c r="A36" s="155" t="s">
        <v>805</v>
      </c>
      <c r="B36" s="678">
        <v>0.97599999999999998</v>
      </c>
      <c r="C36" s="678">
        <v>0.97399999999999998</v>
      </c>
      <c r="D36" s="679">
        <v>0.97399999999999998</v>
      </c>
      <c r="E36" s="679">
        <v>0.97300000000000009</v>
      </c>
      <c r="F36" s="680">
        <v>0.97100000000000009</v>
      </c>
      <c r="G36" s="333"/>
      <c r="H36" s="5"/>
      <c r="I36" s="154"/>
      <c r="J36" s="154"/>
      <c r="K36" s="154"/>
      <c r="L36" s="154"/>
      <c r="M36" s="154"/>
      <c r="N36" s="154"/>
      <c r="O36" s="154"/>
      <c r="P36" s="154"/>
      <c r="Q36" s="154"/>
    </row>
    <row r="37" spans="1:17" x14ac:dyDescent="0.3">
      <c r="A37" s="156" t="s">
        <v>165</v>
      </c>
      <c r="B37" s="681">
        <v>0.40600000000000003</v>
      </c>
      <c r="C37" s="681">
        <v>0.4</v>
      </c>
      <c r="D37" s="682">
        <v>0.40100000000000002</v>
      </c>
      <c r="E37" s="682">
        <v>0.41199999999999998</v>
      </c>
      <c r="F37" s="683">
        <v>0.41399999999999998</v>
      </c>
      <c r="G37" s="333"/>
      <c r="H37" s="5"/>
      <c r="I37" s="154"/>
      <c r="J37" s="154"/>
      <c r="K37" s="154"/>
      <c r="L37" s="154"/>
      <c r="M37" s="154"/>
      <c r="N37" s="154"/>
      <c r="O37" s="154"/>
      <c r="P37" s="154"/>
      <c r="Q37" s="154"/>
    </row>
    <row r="38" spans="1:17" s="152" customFormat="1" x14ac:dyDescent="0.3">
      <c r="A38" s="151"/>
      <c r="B38" s="626"/>
      <c r="C38" s="626"/>
      <c r="D38" s="626"/>
      <c r="E38" s="626"/>
      <c r="F38" s="627"/>
      <c r="G38" s="333"/>
      <c r="H38" s="5"/>
      <c r="I38" s="150"/>
      <c r="J38" s="150"/>
      <c r="K38" s="150"/>
      <c r="L38" s="150"/>
      <c r="M38" s="150"/>
      <c r="N38" s="150"/>
      <c r="O38" s="150"/>
      <c r="P38" s="150"/>
      <c r="Q38" s="150"/>
    </row>
    <row r="39" spans="1:17" ht="13.5" customHeight="1" x14ac:dyDescent="0.3">
      <c r="A39" s="148" t="s">
        <v>744</v>
      </c>
      <c r="B39" s="628"/>
      <c r="C39" s="628"/>
      <c r="D39" s="628"/>
      <c r="E39" s="628"/>
      <c r="F39" s="629"/>
      <c r="G39" s="333"/>
      <c r="H39" s="5"/>
      <c r="I39" s="137"/>
      <c r="J39" s="137"/>
      <c r="K39" s="137"/>
      <c r="L39" s="137"/>
      <c r="M39" s="137"/>
      <c r="N39" s="137"/>
      <c r="O39" s="137"/>
      <c r="P39" s="137"/>
      <c r="Q39" s="137"/>
    </row>
    <row r="40" spans="1:17" ht="13.5" customHeight="1" x14ac:dyDescent="0.3">
      <c r="A40" s="149" t="s">
        <v>782</v>
      </c>
      <c r="B40" s="670">
        <v>0.18373543410471033</v>
      </c>
      <c r="C40" s="670">
        <v>0.18925490196078432</v>
      </c>
      <c r="D40" s="670">
        <v>0.18285918769010556</v>
      </c>
      <c r="E40" s="670">
        <v>0.19177963906398413</v>
      </c>
      <c r="F40" s="671">
        <v>0.20195887971507204</v>
      </c>
      <c r="G40" s="333"/>
      <c r="H40" s="5"/>
      <c r="I40" s="137"/>
      <c r="J40" s="137"/>
      <c r="K40" s="137"/>
      <c r="L40" s="137"/>
      <c r="M40" s="137"/>
      <c r="N40" s="137"/>
      <c r="O40" s="137"/>
      <c r="P40" s="137"/>
      <c r="Q40" s="137"/>
    </row>
    <row r="41" spans="1:17" ht="13.5" customHeight="1" x14ac:dyDescent="0.3">
      <c r="A41" s="149" t="s">
        <v>112</v>
      </c>
      <c r="B41" s="670">
        <v>6.8373663477771532E-2</v>
      </c>
      <c r="C41" s="670">
        <v>7.1542823905772865E-2</v>
      </c>
      <c r="D41" s="670">
        <v>7.2514442079659472E-2</v>
      </c>
      <c r="E41" s="670">
        <v>7.5367047308319737E-2</v>
      </c>
      <c r="F41" s="671">
        <v>7.9192809903340683E-2</v>
      </c>
      <c r="G41" s="333"/>
      <c r="H41" s="5"/>
      <c r="I41" s="137"/>
      <c r="J41" s="137"/>
      <c r="K41" s="137"/>
      <c r="L41" s="137"/>
      <c r="M41" s="137"/>
      <c r="N41" s="137"/>
      <c r="O41" s="137"/>
      <c r="P41" s="137"/>
      <c r="Q41" s="137"/>
    </row>
    <row r="42" spans="1:17" ht="13.5" customHeight="1" x14ac:dyDescent="0.3">
      <c r="A42" s="149" t="s">
        <v>141</v>
      </c>
      <c r="B42" s="670">
        <v>6.5204505038529939E-2</v>
      </c>
      <c r="C42" s="670">
        <v>6.6741446999439152E-2</v>
      </c>
      <c r="D42" s="670">
        <v>5.8333333333333334E-2</v>
      </c>
      <c r="E42" s="670">
        <v>5.9813084112149535E-2</v>
      </c>
      <c r="F42" s="671">
        <v>5.9385804352247308E-2</v>
      </c>
      <c r="G42" s="333"/>
      <c r="H42" s="5"/>
      <c r="I42" s="137"/>
      <c r="J42" s="137"/>
      <c r="K42" s="137"/>
      <c r="L42" s="137"/>
      <c r="M42" s="137"/>
      <c r="N42" s="137"/>
      <c r="O42" s="137"/>
      <c r="P42" s="137"/>
      <c r="Q42" s="137"/>
    </row>
    <row r="43" spans="1:17" ht="13.5" customHeight="1" x14ac:dyDescent="0.3">
      <c r="A43" s="149" t="s">
        <v>135</v>
      </c>
      <c r="B43" s="670">
        <v>0.10585197934595525</v>
      </c>
      <c r="C43" s="670">
        <v>0.11650485436893204</v>
      </c>
      <c r="D43" s="670">
        <v>0.10920770877944326</v>
      </c>
      <c r="E43" s="670">
        <v>0.14061207609594706</v>
      </c>
      <c r="F43" s="671">
        <v>0.13617021276595745</v>
      </c>
      <c r="G43" s="333"/>
      <c r="H43" s="5"/>
      <c r="I43" s="137"/>
      <c r="J43" s="137"/>
      <c r="K43" s="137"/>
      <c r="L43" s="137"/>
      <c r="M43" s="137"/>
      <c r="N43" s="137"/>
      <c r="O43" s="137"/>
      <c r="P43" s="137"/>
      <c r="Q43" s="137"/>
    </row>
    <row r="44" spans="1:17" ht="13.5" customHeight="1" x14ac:dyDescent="0.3">
      <c r="A44" s="790" t="s">
        <v>147</v>
      </c>
      <c r="B44" s="670">
        <v>0.17507002801120447</v>
      </c>
      <c r="C44" s="670">
        <v>0.17632850241545894</v>
      </c>
      <c r="D44" s="670">
        <v>0.18550474547023296</v>
      </c>
      <c r="E44" s="670">
        <v>0.17045454545454544</v>
      </c>
      <c r="F44" s="671">
        <v>0.17399999999999999</v>
      </c>
      <c r="G44" s="333"/>
      <c r="H44" s="5"/>
      <c r="I44" s="137"/>
      <c r="J44" s="137"/>
      <c r="K44" s="137"/>
      <c r="L44" s="137"/>
      <c r="M44" s="137"/>
      <c r="N44" s="137"/>
      <c r="O44" s="137"/>
      <c r="P44" s="137"/>
      <c r="Q44" s="137"/>
    </row>
    <row r="45" spans="1:17" ht="13.5" customHeight="1" x14ac:dyDescent="0.3">
      <c r="A45" s="791" t="s">
        <v>838</v>
      </c>
      <c r="B45" s="684">
        <v>0.12722211913156431</v>
      </c>
      <c r="C45" s="684">
        <v>0.13203904713338677</v>
      </c>
      <c r="D45" s="684">
        <v>0.12649600389468132</v>
      </c>
      <c r="E45" s="684">
        <v>0.133829899202526</v>
      </c>
      <c r="F45" s="685">
        <v>0.14152787551802329</v>
      </c>
      <c r="G45" s="333"/>
      <c r="H45" s="5"/>
      <c r="I45" s="137"/>
      <c r="J45" s="137"/>
      <c r="K45" s="137"/>
      <c r="L45" s="137"/>
      <c r="M45" s="137"/>
      <c r="N45" s="137"/>
      <c r="O45" s="137"/>
      <c r="P45" s="137"/>
      <c r="Q45" s="137"/>
    </row>
    <row r="46" spans="1:17" s="152" customFormat="1" ht="5.0999999999999996" customHeight="1" x14ac:dyDescent="0.3">
      <c r="A46" s="151"/>
      <c r="B46" s="626"/>
      <c r="C46" s="626"/>
      <c r="D46" s="626"/>
      <c r="E46" s="626"/>
      <c r="F46" s="627"/>
      <c r="G46" s="333"/>
      <c r="H46" s="5"/>
      <c r="I46" s="150"/>
      <c r="J46" s="150"/>
      <c r="K46" s="150"/>
      <c r="L46" s="150"/>
      <c r="M46" s="150"/>
      <c r="N46" s="150"/>
      <c r="O46" s="150"/>
      <c r="P46" s="150"/>
      <c r="Q46" s="150"/>
    </row>
    <row r="47" spans="1:17" ht="13.5" customHeight="1" x14ac:dyDescent="0.3">
      <c r="A47" s="148" t="s">
        <v>1299</v>
      </c>
      <c r="B47" s="628"/>
      <c r="C47" s="628"/>
      <c r="D47" s="628"/>
      <c r="E47" s="628"/>
      <c r="F47" s="629"/>
      <c r="G47" s="333"/>
      <c r="H47" s="5"/>
      <c r="I47" s="137"/>
      <c r="J47" s="137"/>
      <c r="K47" s="137"/>
      <c r="L47" s="137"/>
      <c r="M47" s="137"/>
      <c r="N47" s="137"/>
      <c r="O47" s="137"/>
      <c r="P47" s="137"/>
      <c r="Q47" s="137"/>
    </row>
    <row r="48" spans="1:17" ht="13.5" customHeight="1" x14ac:dyDescent="0.3">
      <c r="A48" s="345" t="s">
        <v>964</v>
      </c>
      <c r="B48" s="936">
        <v>0.33333333333333331</v>
      </c>
      <c r="C48" s="936">
        <v>0.33333333333333331</v>
      </c>
      <c r="D48" s="936">
        <v>0.33333333333333331</v>
      </c>
      <c r="E48" s="936">
        <v>0.36363636363636365</v>
      </c>
      <c r="F48" s="937">
        <v>0.36399999999999999</v>
      </c>
      <c r="G48" s="333"/>
      <c r="H48" s="5"/>
      <c r="I48" s="137"/>
      <c r="J48" s="137"/>
      <c r="K48" s="137"/>
      <c r="L48" s="137"/>
      <c r="M48" s="137"/>
      <c r="N48" s="137"/>
      <c r="O48" s="137"/>
      <c r="P48" s="137"/>
      <c r="Q48" s="137"/>
    </row>
    <row r="49" spans="1:17" ht="13.5" customHeight="1" x14ac:dyDescent="0.3">
      <c r="A49" s="149" t="s">
        <v>166</v>
      </c>
      <c r="B49" s="686">
        <v>0.14814814814814814</v>
      </c>
      <c r="C49" s="686">
        <v>0.13793103448275862</v>
      </c>
      <c r="D49" s="686">
        <v>0.19354838709677419</v>
      </c>
      <c r="E49" s="686">
        <v>0.21212121212121213</v>
      </c>
      <c r="F49" s="687">
        <v>0.22222222222222221</v>
      </c>
      <c r="G49" s="357"/>
      <c r="H49" s="5"/>
      <c r="I49" s="137"/>
      <c r="J49" s="137"/>
      <c r="K49" s="137"/>
      <c r="L49" s="137"/>
      <c r="M49" s="137"/>
      <c r="N49" s="137"/>
      <c r="O49" s="137"/>
      <c r="P49" s="137"/>
      <c r="Q49" s="137"/>
    </row>
    <row r="50" spans="1:17" ht="13.5" customHeight="1" x14ac:dyDescent="0.3">
      <c r="A50" s="149" t="s">
        <v>743</v>
      </c>
      <c r="B50" s="686">
        <v>0.11949685534591195</v>
      </c>
      <c r="C50" s="686">
        <v>0.12402813772676786</v>
      </c>
      <c r="D50" s="686">
        <v>0.12442779858510196</v>
      </c>
      <c r="E50" s="686">
        <v>0.12127398938342181</v>
      </c>
      <c r="F50" s="687">
        <v>0.1216320246343341</v>
      </c>
      <c r="G50" s="333"/>
      <c r="H50" s="5"/>
      <c r="I50" s="137"/>
      <c r="J50" s="137"/>
      <c r="K50" s="137"/>
      <c r="L50" s="137"/>
      <c r="M50" s="137"/>
      <c r="N50" s="137"/>
      <c r="O50" s="137"/>
      <c r="P50" s="137"/>
      <c r="Q50" s="137"/>
    </row>
    <row r="51" spans="1:17" ht="13.5" customHeight="1" x14ac:dyDescent="0.3">
      <c r="A51" s="790" t="s">
        <v>742</v>
      </c>
      <c r="B51" s="686">
        <v>0.12816279357741364</v>
      </c>
      <c r="C51" s="686">
        <v>0.13277589271287768</v>
      </c>
      <c r="D51" s="686">
        <v>0.12657943252844103</v>
      </c>
      <c r="E51" s="686">
        <v>0.13566414686825054</v>
      </c>
      <c r="F51" s="687">
        <v>0.14365411436541142</v>
      </c>
      <c r="G51" s="333"/>
      <c r="H51" s="5"/>
      <c r="I51" s="137"/>
      <c r="J51" s="137"/>
      <c r="K51" s="137"/>
      <c r="L51" s="137"/>
      <c r="M51" s="137"/>
      <c r="N51" s="137"/>
      <c r="O51" s="137"/>
      <c r="P51" s="137"/>
      <c r="Q51" s="137"/>
    </row>
    <row r="52" spans="1:17" ht="13.5" customHeight="1" x14ac:dyDescent="0.3">
      <c r="A52" s="791" t="s">
        <v>1298</v>
      </c>
      <c r="B52" s="688">
        <v>0.12722211913156431</v>
      </c>
      <c r="C52" s="688">
        <v>0.13203904713338677</v>
      </c>
      <c r="D52" s="688">
        <v>0.12649600389468132</v>
      </c>
      <c r="E52" s="688">
        <v>0.133829899202526</v>
      </c>
      <c r="F52" s="689">
        <v>0.14152787551802329</v>
      </c>
      <c r="G52" s="333"/>
      <c r="H52" s="5"/>
      <c r="I52" s="137"/>
      <c r="J52" s="137"/>
      <c r="K52" s="137"/>
      <c r="L52" s="137"/>
      <c r="M52" s="137"/>
      <c r="N52" s="137"/>
      <c r="O52" s="137"/>
      <c r="P52" s="137"/>
      <c r="Q52" s="137"/>
    </row>
    <row r="53" spans="1:17" s="152" customFormat="1" ht="5.0999999999999996" customHeight="1" x14ac:dyDescent="0.3">
      <c r="A53" s="151"/>
      <c r="B53" s="626"/>
      <c r="C53" s="626"/>
      <c r="D53" s="626"/>
      <c r="E53" s="626"/>
      <c r="F53" s="627"/>
      <c r="G53" s="333"/>
      <c r="H53" s="5"/>
      <c r="I53" s="150"/>
      <c r="J53" s="150"/>
      <c r="K53" s="150"/>
      <c r="L53" s="150"/>
      <c r="M53" s="150"/>
      <c r="N53" s="150"/>
      <c r="O53" s="150"/>
      <c r="P53" s="150"/>
      <c r="Q53" s="150"/>
    </row>
    <row r="54" spans="1:17" ht="13.5" customHeight="1" x14ac:dyDescent="0.3">
      <c r="A54" s="161" t="s">
        <v>826</v>
      </c>
      <c r="B54" s="672"/>
      <c r="C54" s="672"/>
      <c r="D54" s="672"/>
      <c r="E54" s="672"/>
      <c r="F54" s="673"/>
      <c r="G54" s="333"/>
      <c r="H54" s="5"/>
      <c r="I54" s="137"/>
      <c r="J54" s="137"/>
      <c r="K54" s="137"/>
      <c r="L54" s="137"/>
      <c r="M54" s="137"/>
      <c r="N54" s="137"/>
      <c r="O54" s="137"/>
      <c r="P54" s="137"/>
      <c r="Q54" s="137"/>
    </row>
    <row r="55" spans="1:17" ht="13.5" customHeight="1" x14ac:dyDescent="0.3">
      <c r="A55" s="344" t="s">
        <v>975</v>
      </c>
      <c r="B55" s="628"/>
      <c r="C55" s="628"/>
      <c r="D55" s="628"/>
      <c r="E55" s="628"/>
      <c r="F55" s="629"/>
      <c r="G55" s="333"/>
      <c r="H55" s="5"/>
      <c r="I55" s="137"/>
      <c r="J55" s="137"/>
      <c r="K55" s="137"/>
      <c r="L55" s="137"/>
      <c r="M55" s="137"/>
      <c r="N55" s="137"/>
      <c r="O55" s="137"/>
      <c r="P55" s="137"/>
      <c r="Q55" s="137"/>
    </row>
    <row r="56" spans="1:17" ht="13.5" customHeight="1" x14ac:dyDescent="0.3">
      <c r="A56" s="345" t="s">
        <v>782</v>
      </c>
      <c r="B56" s="662">
        <v>2365</v>
      </c>
      <c r="C56" s="662">
        <v>1910</v>
      </c>
      <c r="D56" s="662">
        <v>849</v>
      </c>
      <c r="E56" s="662">
        <v>1934</v>
      </c>
      <c r="F56" s="663">
        <v>2338</v>
      </c>
      <c r="G56" s="333"/>
      <c r="H56" s="5"/>
      <c r="I56" s="137"/>
      <c r="J56" s="137"/>
      <c r="K56" s="137"/>
      <c r="L56" s="137"/>
      <c r="M56" s="137"/>
      <c r="N56" s="137"/>
      <c r="O56" s="137"/>
      <c r="P56" s="137"/>
      <c r="Q56" s="137"/>
    </row>
    <row r="57" spans="1:17" ht="13.5" customHeight="1" x14ac:dyDescent="0.3">
      <c r="A57" s="345" t="s">
        <v>112</v>
      </c>
      <c r="B57" s="662">
        <v>32</v>
      </c>
      <c r="C57" s="662">
        <v>38</v>
      </c>
      <c r="D57" s="662">
        <v>23</v>
      </c>
      <c r="E57" s="662">
        <v>21</v>
      </c>
      <c r="F57" s="663">
        <v>35</v>
      </c>
      <c r="G57" s="333"/>
      <c r="H57" s="5"/>
      <c r="I57" s="137"/>
      <c r="J57" s="137"/>
      <c r="K57" s="137"/>
      <c r="L57" s="137"/>
      <c r="M57" s="137"/>
      <c r="N57" s="137"/>
      <c r="O57" s="137"/>
      <c r="P57" s="137"/>
      <c r="Q57" s="137"/>
    </row>
    <row r="58" spans="1:17" ht="13.5" customHeight="1" x14ac:dyDescent="0.3">
      <c r="A58" s="345" t="s">
        <v>141</v>
      </c>
      <c r="B58" s="662">
        <v>459</v>
      </c>
      <c r="C58" s="662">
        <v>474</v>
      </c>
      <c r="D58" s="662">
        <v>194</v>
      </c>
      <c r="E58" s="662">
        <v>135</v>
      </c>
      <c r="F58" s="663">
        <v>267</v>
      </c>
      <c r="G58" s="333"/>
      <c r="H58" s="5"/>
      <c r="I58" s="137"/>
      <c r="J58" s="137"/>
      <c r="K58" s="137"/>
      <c r="L58" s="137"/>
      <c r="M58" s="137"/>
      <c r="N58" s="137"/>
      <c r="O58" s="137"/>
      <c r="P58" s="137"/>
      <c r="Q58" s="137"/>
    </row>
    <row r="59" spans="1:17" ht="13.5" customHeight="1" x14ac:dyDescent="0.3">
      <c r="A59" s="345" t="s">
        <v>135</v>
      </c>
      <c r="B59" s="662">
        <v>54</v>
      </c>
      <c r="C59" s="662">
        <v>30</v>
      </c>
      <c r="D59" s="662">
        <v>18</v>
      </c>
      <c r="E59" s="662">
        <v>53</v>
      </c>
      <c r="F59" s="663">
        <v>207</v>
      </c>
      <c r="G59" s="333"/>
      <c r="H59" s="5"/>
      <c r="I59" s="137"/>
      <c r="J59" s="137"/>
      <c r="K59" s="137"/>
      <c r="L59" s="137"/>
      <c r="M59" s="137"/>
      <c r="N59" s="137"/>
      <c r="O59" s="137"/>
      <c r="P59" s="137"/>
      <c r="Q59" s="137"/>
    </row>
    <row r="60" spans="1:17" ht="13.5" customHeight="1" x14ac:dyDescent="0.3">
      <c r="A60" s="792" t="s">
        <v>147</v>
      </c>
      <c r="B60" s="662">
        <v>54</v>
      </c>
      <c r="C60" s="662">
        <v>60</v>
      </c>
      <c r="D60" s="662">
        <v>20</v>
      </c>
      <c r="E60" s="662">
        <v>33</v>
      </c>
      <c r="F60" s="663">
        <v>51</v>
      </c>
      <c r="G60" s="333"/>
      <c r="H60" s="5"/>
      <c r="I60" s="137"/>
      <c r="J60" s="137"/>
      <c r="K60" s="137"/>
      <c r="L60" s="137"/>
      <c r="M60" s="137"/>
      <c r="N60" s="137"/>
      <c r="O60" s="137"/>
      <c r="P60" s="137"/>
      <c r="Q60" s="137"/>
    </row>
    <row r="61" spans="1:17" ht="13.5" customHeight="1" x14ac:dyDescent="0.3">
      <c r="A61" s="793" t="s">
        <v>976</v>
      </c>
      <c r="B61" s="690">
        <v>2964</v>
      </c>
      <c r="C61" s="690">
        <v>2512</v>
      </c>
      <c r="D61" s="690">
        <v>1104</v>
      </c>
      <c r="E61" s="690">
        <v>2176</v>
      </c>
      <c r="F61" s="691">
        <v>2898</v>
      </c>
      <c r="G61" s="333"/>
      <c r="H61" s="5"/>
      <c r="I61" s="137"/>
      <c r="J61" s="137"/>
      <c r="K61" s="137"/>
      <c r="L61" s="137"/>
      <c r="M61" s="137"/>
      <c r="N61" s="137"/>
      <c r="O61" s="137"/>
      <c r="P61" s="137"/>
      <c r="Q61" s="137"/>
    </row>
    <row r="62" spans="1:17" s="152" customFormat="1" ht="5.0999999999999996" customHeight="1" x14ac:dyDescent="0.3">
      <c r="A62" s="151"/>
      <c r="B62" s="626"/>
      <c r="C62" s="626"/>
      <c r="D62" s="626"/>
      <c r="E62" s="626"/>
      <c r="F62" s="627"/>
      <c r="G62" s="333"/>
      <c r="H62" s="5"/>
      <c r="I62" s="150"/>
      <c r="J62" s="150"/>
      <c r="K62" s="150"/>
      <c r="L62" s="150"/>
      <c r="M62" s="150"/>
      <c r="N62" s="150"/>
      <c r="O62" s="150"/>
      <c r="P62" s="150"/>
      <c r="Q62" s="150"/>
    </row>
    <row r="63" spans="1:17" ht="13.5" customHeight="1" x14ac:dyDescent="0.3">
      <c r="A63" s="791" t="s">
        <v>977</v>
      </c>
      <c r="B63" s="692">
        <v>0.21524966261808368</v>
      </c>
      <c r="C63" s="692">
        <v>0.20780254777070065</v>
      </c>
      <c r="D63" s="692">
        <v>0.2210144927536232</v>
      </c>
      <c r="E63" s="692">
        <v>0.22012867647058823</v>
      </c>
      <c r="F63" s="693">
        <v>0.2277432712215321</v>
      </c>
      <c r="G63" s="333"/>
      <c r="H63" s="5"/>
      <c r="I63" s="137"/>
      <c r="J63" s="137"/>
      <c r="K63" s="137"/>
      <c r="L63" s="137"/>
      <c r="M63" s="137"/>
      <c r="N63" s="137"/>
      <c r="O63" s="137"/>
      <c r="P63" s="137"/>
      <c r="Q63" s="137"/>
    </row>
    <row r="64" spans="1:17" s="152" customFormat="1" ht="5.0999999999999996" customHeight="1" x14ac:dyDescent="0.3">
      <c r="A64" s="151"/>
      <c r="B64" s="626"/>
      <c r="C64" s="626"/>
      <c r="D64" s="626"/>
      <c r="E64" s="626"/>
      <c r="F64" s="627"/>
      <c r="G64" s="333"/>
      <c r="H64" s="5"/>
      <c r="I64" s="150"/>
      <c r="J64" s="150"/>
      <c r="K64" s="150"/>
      <c r="L64" s="150"/>
      <c r="M64" s="150"/>
      <c r="N64" s="150"/>
      <c r="O64" s="150"/>
      <c r="P64" s="150"/>
      <c r="Q64" s="150"/>
    </row>
    <row r="65" spans="1:17" ht="13.5" customHeight="1" x14ac:dyDescent="0.3">
      <c r="A65" s="148" t="s">
        <v>1007</v>
      </c>
      <c r="B65" s="628"/>
      <c r="C65" s="628"/>
      <c r="D65" s="628"/>
      <c r="E65" s="628"/>
      <c r="F65" s="629"/>
      <c r="G65" s="333"/>
      <c r="H65" s="5"/>
      <c r="I65" s="137"/>
      <c r="J65" s="137"/>
      <c r="K65" s="137"/>
      <c r="L65" s="137"/>
      <c r="M65" s="137"/>
      <c r="N65" s="137"/>
      <c r="O65" s="137"/>
      <c r="P65" s="137"/>
      <c r="Q65" s="137"/>
    </row>
    <row r="66" spans="1:17" ht="13.5" customHeight="1" x14ac:dyDescent="0.3">
      <c r="A66" s="149" t="s">
        <v>150</v>
      </c>
      <c r="B66" s="670">
        <v>0.14032909034461347</v>
      </c>
      <c r="C66" s="670">
        <v>0.15766340564298881</v>
      </c>
      <c r="D66" s="670">
        <v>0.22458592919009268</v>
      </c>
      <c r="E66" s="670">
        <v>0.20319915626647916</v>
      </c>
      <c r="F66" s="671">
        <v>0.2049221496735309</v>
      </c>
      <c r="G66" s="333"/>
      <c r="H66" s="5"/>
      <c r="I66" s="137"/>
      <c r="J66" s="137"/>
      <c r="K66" s="137"/>
      <c r="L66" s="137"/>
      <c r="M66" s="137"/>
      <c r="N66" s="137"/>
      <c r="O66" s="137"/>
      <c r="P66" s="137"/>
      <c r="Q66" s="137"/>
    </row>
    <row r="67" spans="1:17" ht="13.5" customHeight="1" x14ac:dyDescent="0.3">
      <c r="A67" s="149" t="s">
        <v>151</v>
      </c>
      <c r="B67" s="670">
        <v>4.6536039188243526E-2</v>
      </c>
      <c r="C67" s="670">
        <v>5.9709153122326775E-2</v>
      </c>
      <c r="D67" s="670">
        <v>8.9644604231743974E-2</v>
      </c>
      <c r="E67" s="670">
        <v>6.7451321387534555E-2</v>
      </c>
      <c r="F67" s="671">
        <v>5.7543773271378898E-2</v>
      </c>
      <c r="G67" s="333"/>
      <c r="H67" s="5"/>
      <c r="I67" s="137"/>
      <c r="J67" s="137"/>
      <c r="K67" s="137"/>
      <c r="L67" s="137"/>
      <c r="M67" s="137"/>
      <c r="N67" s="137"/>
      <c r="O67" s="137"/>
      <c r="P67" s="137"/>
      <c r="Q67" s="137"/>
    </row>
    <row r="68" spans="1:17" ht="13.5" customHeight="1" x14ac:dyDescent="0.3">
      <c r="A68" s="149" t="s">
        <v>152</v>
      </c>
      <c r="B68" s="670">
        <v>7.7657307015105176E-2</v>
      </c>
      <c r="C68" s="670">
        <v>0.10576177762466626</v>
      </c>
      <c r="D68" s="670">
        <v>0.25808738810600018</v>
      </c>
      <c r="E68" s="670">
        <v>0.11549815498154982</v>
      </c>
      <c r="F68" s="671">
        <v>0.12504372158097238</v>
      </c>
      <c r="G68" s="333"/>
      <c r="H68" s="5"/>
      <c r="I68" s="137"/>
      <c r="J68" s="137"/>
      <c r="K68" s="137"/>
      <c r="L68" s="137"/>
      <c r="M68" s="137"/>
      <c r="N68" s="137"/>
      <c r="O68" s="137"/>
      <c r="P68" s="137"/>
      <c r="Q68" s="137"/>
    </row>
    <row r="69" spans="1:17" s="152" customFormat="1" x14ac:dyDescent="0.3">
      <c r="A69" s="151"/>
      <c r="B69" s="626"/>
      <c r="C69" s="626"/>
      <c r="D69" s="626"/>
      <c r="E69" s="626"/>
      <c r="F69" s="627"/>
      <c r="G69" s="333"/>
      <c r="H69" s="5"/>
      <c r="I69" s="150"/>
      <c r="J69" s="150"/>
      <c r="K69" s="150"/>
      <c r="L69" s="150"/>
      <c r="M69" s="150"/>
      <c r="N69" s="150"/>
      <c r="O69" s="150"/>
      <c r="P69" s="150"/>
      <c r="Q69" s="150"/>
    </row>
    <row r="70" spans="1:17" ht="13.5" customHeight="1" x14ac:dyDescent="0.3">
      <c r="A70" s="148" t="s">
        <v>1008</v>
      </c>
      <c r="B70" s="628"/>
      <c r="C70" s="628"/>
      <c r="D70" s="628"/>
      <c r="E70" s="628"/>
      <c r="F70" s="629"/>
      <c r="G70" s="333"/>
      <c r="H70" s="5"/>
      <c r="I70" s="137"/>
      <c r="J70" s="137"/>
      <c r="K70" s="137"/>
      <c r="L70" s="137"/>
      <c r="M70" s="137"/>
      <c r="N70" s="137"/>
      <c r="O70" s="137"/>
      <c r="P70" s="137"/>
      <c r="Q70" s="137"/>
    </row>
    <row r="71" spans="1:17" ht="13.5" customHeight="1" x14ac:dyDescent="0.3">
      <c r="A71" s="149" t="s">
        <v>167</v>
      </c>
      <c r="B71" s="670">
        <v>6.1285301311985771E-2</v>
      </c>
      <c r="C71" s="670">
        <v>7.858020831087055E-2</v>
      </c>
      <c r="D71" s="670">
        <v>0.13464468142306657</v>
      </c>
      <c r="E71" s="670">
        <v>9.175919130702398E-2</v>
      </c>
      <c r="F71" s="671">
        <v>8.7214878933208562E-2</v>
      </c>
      <c r="G71" s="333"/>
      <c r="H71" s="5"/>
      <c r="I71" s="137"/>
      <c r="J71" s="137"/>
      <c r="K71" s="137"/>
      <c r="L71" s="137"/>
      <c r="M71" s="137"/>
      <c r="N71" s="137"/>
      <c r="O71" s="137"/>
      <c r="P71" s="137"/>
      <c r="Q71" s="137"/>
    </row>
    <row r="72" spans="1:17" ht="13.5" customHeight="1" x14ac:dyDescent="0.3">
      <c r="A72" s="149" t="s">
        <v>168</v>
      </c>
      <c r="B72" s="670">
        <v>9.4419208306294619E-2</v>
      </c>
      <c r="C72" s="670">
        <v>0.11715853477680557</v>
      </c>
      <c r="D72" s="670">
        <v>0.21887024780668002</v>
      </c>
      <c r="E72" s="670">
        <v>0.11356670430714631</v>
      </c>
      <c r="F72" s="671">
        <v>0.11854058078927773</v>
      </c>
      <c r="G72" s="333"/>
      <c r="H72" s="5"/>
      <c r="I72" s="137"/>
      <c r="J72" s="137"/>
      <c r="K72" s="137"/>
      <c r="L72" s="137"/>
      <c r="M72" s="137"/>
      <c r="N72" s="137"/>
      <c r="O72" s="137"/>
      <c r="P72" s="137"/>
      <c r="Q72" s="137"/>
    </row>
    <row r="73" spans="1:17" s="152" customFormat="1" x14ac:dyDescent="0.3">
      <c r="A73" s="157"/>
      <c r="B73" s="694"/>
      <c r="C73" s="694"/>
      <c r="D73" s="694"/>
      <c r="E73" s="694"/>
      <c r="F73" s="695"/>
      <c r="G73" s="333"/>
      <c r="H73" s="5"/>
      <c r="I73" s="150"/>
      <c r="J73" s="150"/>
      <c r="K73" s="150"/>
      <c r="L73" s="150"/>
      <c r="M73" s="150"/>
      <c r="N73" s="150"/>
      <c r="O73" s="150"/>
      <c r="P73" s="150"/>
      <c r="Q73" s="150"/>
    </row>
    <row r="74" spans="1:17" ht="13.5" customHeight="1" x14ac:dyDescent="0.3">
      <c r="A74" s="148" t="s">
        <v>845</v>
      </c>
      <c r="B74" s="628"/>
      <c r="C74" s="628"/>
      <c r="D74" s="628"/>
      <c r="E74" s="628"/>
      <c r="F74" s="629"/>
      <c r="G74" s="333"/>
      <c r="H74" s="5"/>
      <c r="I74" s="137"/>
      <c r="J74" s="137"/>
      <c r="K74" s="137"/>
      <c r="L74" s="137"/>
      <c r="M74" s="137"/>
      <c r="N74" s="137"/>
      <c r="O74" s="137"/>
      <c r="P74" s="137"/>
      <c r="Q74" s="137"/>
    </row>
    <row r="75" spans="1:17" ht="13.5" customHeight="1" x14ac:dyDescent="0.3">
      <c r="A75" s="149" t="s">
        <v>124</v>
      </c>
      <c r="B75" s="670">
        <v>0.10471113422615178</v>
      </c>
      <c r="C75" s="670">
        <v>0.11058719219763834</v>
      </c>
      <c r="D75" s="670">
        <v>0.20158616927531367</v>
      </c>
      <c r="E75" s="670">
        <v>0.1399100766992859</v>
      </c>
      <c r="F75" s="671">
        <v>0.13746743971094866</v>
      </c>
      <c r="G75" s="333"/>
      <c r="H75" s="5"/>
      <c r="I75" s="137"/>
      <c r="J75" s="137"/>
      <c r="K75" s="137"/>
      <c r="L75" s="137"/>
      <c r="M75" s="137"/>
      <c r="N75" s="137"/>
      <c r="O75" s="137"/>
      <c r="P75" s="137"/>
      <c r="Q75" s="137"/>
    </row>
    <row r="76" spans="1:17" ht="13.5" customHeight="1" x14ac:dyDescent="0.3">
      <c r="A76" s="149" t="s">
        <v>112</v>
      </c>
      <c r="B76" s="670">
        <v>2.6033471606351024E-2</v>
      </c>
      <c r="C76" s="670">
        <v>4.2851919561243144E-2</v>
      </c>
      <c r="D76" s="670">
        <v>4.6780986762936225E-2</v>
      </c>
      <c r="E76" s="670">
        <v>7.3910645339216763E-2</v>
      </c>
      <c r="F76" s="671">
        <v>6.5664160401002508E-2</v>
      </c>
      <c r="G76" s="333"/>
      <c r="H76" s="5"/>
      <c r="I76" s="137"/>
      <c r="J76" s="137"/>
      <c r="K76" s="137"/>
      <c r="L76" s="137"/>
      <c r="M76" s="137"/>
      <c r="N76" s="137"/>
      <c r="O76" s="137"/>
      <c r="P76" s="137"/>
      <c r="Q76" s="137"/>
    </row>
    <row r="77" spans="1:17" ht="13.5" customHeight="1" x14ac:dyDescent="0.3">
      <c r="A77" s="149" t="s">
        <v>111</v>
      </c>
      <c r="B77" s="670">
        <v>4.0466392318244171E-2</v>
      </c>
      <c r="C77" s="670">
        <v>4.4541626174279238E-2</v>
      </c>
      <c r="D77" s="670">
        <v>0.14467660034962124</v>
      </c>
      <c r="E77" s="670">
        <v>3.1375283249084888E-2</v>
      </c>
      <c r="F77" s="671">
        <v>3.4333333333333334E-2</v>
      </c>
      <c r="G77" s="333"/>
      <c r="H77" s="5"/>
      <c r="I77" s="137"/>
      <c r="J77" s="137"/>
      <c r="K77" s="137"/>
      <c r="L77" s="137"/>
      <c r="M77" s="137"/>
      <c r="N77" s="137"/>
      <c r="O77" s="137"/>
      <c r="P77" s="137"/>
      <c r="Q77" s="137"/>
    </row>
    <row r="78" spans="1:17" ht="13.5" customHeight="1" x14ac:dyDescent="0.3">
      <c r="A78" s="790" t="s">
        <v>147</v>
      </c>
      <c r="B78" s="670">
        <v>3.556658395368073E-2</v>
      </c>
      <c r="C78" s="670">
        <v>0.2427695004382121</v>
      </c>
      <c r="D78" s="670">
        <v>0.13447064726542901</v>
      </c>
      <c r="E78" s="670">
        <v>6.7967275015733172E-2</v>
      </c>
      <c r="F78" s="671">
        <v>3.1990521327014215E-2</v>
      </c>
      <c r="G78" s="333"/>
      <c r="H78" s="5"/>
      <c r="I78" s="137"/>
      <c r="J78" s="137"/>
      <c r="K78" s="137"/>
      <c r="L78" s="137"/>
      <c r="M78" s="137"/>
      <c r="N78" s="137"/>
      <c r="O78" s="137"/>
      <c r="P78" s="137"/>
      <c r="Q78" s="137"/>
    </row>
    <row r="79" spans="1:17" ht="13.5" customHeight="1" x14ac:dyDescent="0.3">
      <c r="A79" s="791" t="s">
        <v>169</v>
      </c>
      <c r="B79" s="684">
        <v>6.5275632125466887E-2</v>
      </c>
      <c r="C79" s="684">
        <v>8.3474528408449114E-2</v>
      </c>
      <c r="D79" s="684">
        <v>0.14534644945534195</v>
      </c>
      <c r="E79" s="684">
        <v>9.4549958711808421E-2</v>
      </c>
      <c r="F79" s="685">
        <v>9.1467852810351802E-2</v>
      </c>
      <c r="G79" s="333"/>
      <c r="H79" s="5"/>
      <c r="I79" s="137"/>
      <c r="J79" s="137"/>
      <c r="K79" s="137"/>
      <c r="L79" s="137"/>
      <c r="M79" s="137"/>
      <c r="N79" s="137"/>
      <c r="O79" s="137"/>
      <c r="P79" s="137"/>
      <c r="Q79" s="137"/>
    </row>
    <row r="80" spans="1:17" s="152" customFormat="1" x14ac:dyDescent="0.3">
      <c r="A80" s="151"/>
      <c r="B80" s="626"/>
      <c r="C80" s="626"/>
      <c r="D80" s="626"/>
      <c r="E80" s="626"/>
      <c r="F80" s="627"/>
      <c r="G80" s="333"/>
      <c r="H80" s="5"/>
      <c r="I80" s="150"/>
      <c r="J80" s="150"/>
      <c r="K80" s="150"/>
      <c r="L80" s="150"/>
      <c r="M80" s="150"/>
      <c r="N80" s="150"/>
      <c r="O80" s="150"/>
      <c r="P80" s="150"/>
      <c r="Q80" s="150"/>
    </row>
    <row r="81" spans="1:17" s="159" customFormat="1" ht="13.5" customHeight="1" x14ac:dyDescent="0.3">
      <c r="A81" s="791" t="s">
        <v>170</v>
      </c>
      <c r="B81" s="696">
        <v>4.3060797465631538E-2</v>
      </c>
      <c r="C81" s="696">
        <v>5.0980835121804284E-2</v>
      </c>
      <c r="D81" s="696">
        <v>8.9061858291123147E-2</v>
      </c>
      <c r="E81" s="696">
        <v>5.8587943848059452E-2</v>
      </c>
      <c r="F81" s="697">
        <v>6.9389405580266877E-2</v>
      </c>
      <c r="G81" s="333"/>
      <c r="H81" s="5"/>
      <c r="I81" s="158"/>
      <c r="J81" s="158"/>
      <c r="K81" s="158"/>
      <c r="L81" s="158"/>
      <c r="M81" s="158"/>
      <c r="N81" s="158"/>
      <c r="O81" s="158"/>
      <c r="P81" s="158"/>
      <c r="Q81" s="158"/>
    </row>
    <row r="82" spans="1:17" s="152" customFormat="1" x14ac:dyDescent="0.3">
      <c r="A82" s="151"/>
      <c r="B82" s="626"/>
      <c r="C82" s="626"/>
      <c r="D82" s="626"/>
      <c r="E82" s="698"/>
      <c r="F82" s="699"/>
      <c r="G82" s="333"/>
      <c r="H82" s="5"/>
      <c r="I82" s="150"/>
      <c r="J82" s="150"/>
      <c r="K82" s="150"/>
      <c r="L82" s="150"/>
      <c r="M82" s="150"/>
      <c r="N82" s="150"/>
      <c r="O82" s="150"/>
      <c r="P82" s="150"/>
      <c r="Q82" s="150"/>
    </row>
    <row r="83" spans="1:17" ht="8.1" customHeight="1" x14ac:dyDescent="0.3">
      <c r="A83" s="160"/>
      <c r="B83" s="700"/>
      <c r="C83" s="700"/>
      <c r="D83" s="700"/>
      <c r="E83" s="700"/>
      <c r="F83" s="700"/>
      <c r="G83" s="333"/>
      <c r="H83" s="5"/>
      <c r="I83" s="137"/>
      <c r="J83" s="137"/>
      <c r="K83" s="137"/>
      <c r="L83" s="137"/>
      <c r="M83" s="137"/>
      <c r="N83" s="137"/>
      <c r="O83" s="137"/>
      <c r="P83" s="137"/>
      <c r="Q83" s="137"/>
    </row>
    <row r="84" spans="1:17" x14ac:dyDescent="0.3">
      <c r="A84" s="1005" t="s">
        <v>847</v>
      </c>
      <c r="B84" s="1005"/>
      <c r="C84" s="1005"/>
      <c r="D84" s="1005"/>
      <c r="E84" s="1005"/>
      <c r="F84" s="1005"/>
      <c r="G84" s="333"/>
      <c r="H84" s="5"/>
      <c r="I84" s="137"/>
      <c r="J84" s="137"/>
      <c r="K84" s="137"/>
      <c r="L84" s="137"/>
      <c r="M84" s="137"/>
      <c r="N84" s="137"/>
      <c r="O84" s="137"/>
      <c r="P84" s="137"/>
      <c r="Q84" s="137"/>
    </row>
    <row r="85" spans="1:17" x14ac:dyDescent="0.3">
      <c r="A85" s="1005" t="s">
        <v>234</v>
      </c>
      <c r="B85" s="1005"/>
      <c r="C85" s="1005"/>
      <c r="D85" s="1005"/>
      <c r="E85" s="1005"/>
      <c r="F85" s="1005"/>
      <c r="G85" s="333"/>
      <c r="H85" s="5"/>
      <c r="I85" s="137"/>
      <c r="J85" s="137"/>
      <c r="K85" s="137"/>
      <c r="L85" s="137"/>
      <c r="M85" s="137"/>
      <c r="N85" s="137"/>
      <c r="O85" s="137"/>
      <c r="P85" s="137"/>
      <c r="Q85" s="137"/>
    </row>
    <row r="86" spans="1:17" x14ac:dyDescent="0.3">
      <c r="A86" s="1005"/>
      <c r="B86" s="1005"/>
      <c r="C86" s="1005"/>
      <c r="D86" s="1005"/>
      <c r="E86" s="1005"/>
      <c r="F86" s="1005"/>
      <c r="G86" s="333"/>
      <c r="H86" s="5"/>
      <c r="I86" s="137"/>
      <c r="J86" s="137"/>
      <c r="K86" s="137"/>
      <c r="L86" s="137"/>
      <c r="M86" s="137"/>
      <c r="N86" s="137"/>
      <c r="O86" s="137"/>
      <c r="P86" s="137"/>
      <c r="Q86" s="137"/>
    </row>
    <row r="87" spans="1:17" x14ac:dyDescent="0.3">
      <c r="A87" s="1005"/>
      <c r="B87" s="1005"/>
      <c r="C87" s="1005"/>
      <c r="D87" s="1005"/>
      <c r="E87" s="1005"/>
      <c r="F87" s="1005"/>
      <c r="G87" s="333"/>
      <c r="H87" s="5"/>
      <c r="I87" s="137"/>
      <c r="J87" s="137"/>
      <c r="K87" s="137"/>
      <c r="L87" s="137"/>
      <c r="M87" s="137"/>
      <c r="N87" s="137"/>
      <c r="O87" s="137"/>
      <c r="P87" s="137"/>
      <c r="Q87" s="137"/>
    </row>
    <row r="88" spans="1:17" ht="13.5" x14ac:dyDescent="0.3">
      <c r="A88" s="559" t="s">
        <v>848</v>
      </c>
      <c r="B88" s="559"/>
      <c r="C88" s="559"/>
      <c r="D88" s="559"/>
      <c r="E88" s="559"/>
      <c r="F88" s="559"/>
      <c r="G88" s="857"/>
      <c r="H88" s="857"/>
      <c r="I88" s="857"/>
      <c r="J88" s="857"/>
      <c r="K88" s="857"/>
      <c r="L88" s="857"/>
      <c r="M88" s="137"/>
      <c r="N88" s="137"/>
      <c r="O88" s="137"/>
      <c r="P88" s="137"/>
      <c r="Q88" s="137"/>
    </row>
    <row r="89" spans="1:17" x14ac:dyDescent="0.3">
      <c r="A89" s="1005" t="s">
        <v>1011</v>
      </c>
      <c r="B89" s="1005"/>
      <c r="C89" s="1005"/>
      <c r="D89" s="1005"/>
      <c r="E89" s="1005"/>
      <c r="F89" s="1005"/>
      <c r="G89" s="358"/>
      <c r="H89" s="5"/>
      <c r="I89" s="137"/>
      <c r="J89" s="137"/>
      <c r="K89" s="137"/>
      <c r="L89" s="137"/>
      <c r="M89" s="137"/>
      <c r="N89" s="137"/>
      <c r="O89" s="137"/>
      <c r="P89" s="137"/>
      <c r="Q89" s="137"/>
    </row>
    <row r="90" spans="1:17" x14ac:dyDescent="0.3">
      <c r="A90" s="1005"/>
      <c r="B90" s="1005"/>
      <c r="C90" s="1005"/>
      <c r="D90" s="1005"/>
      <c r="E90" s="1005"/>
      <c r="F90" s="1005"/>
      <c r="G90" s="358"/>
      <c r="H90" s="5"/>
      <c r="I90" s="137"/>
      <c r="J90" s="137"/>
      <c r="K90" s="137"/>
      <c r="L90" s="137"/>
      <c r="M90" s="137"/>
      <c r="N90" s="137"/>
      <c r="O90" s="137"/>
      <c r="P90" s="137"/>
      <c r="Q90" s="137"/>
    </row>
    <row r="91" spans="1:17" ht="13.5" x14ac:dyDescent="0.3">
      <c r="A91" s="1005"/>
      <c r="B91" s="1005"/>
      <c r="C91" s="1005"/>
      <c r="D91" s="1005"/>
      <c r="E91" s="1005"/>
      <c r="F91" s="1005"/>
      <c r="G91" s="1006"/>
      <c r="H91" s="1006"/>
      <c r="I91" s="1006"/>
      <c r="J91" s="1006"/>
      <c r="K91" s="1006"/>
      <c r="L91" s="1006"/>
      <c r="M91" s="137"/>
      <c r="N91" s="137"/>
      <c r="O91" s="137"/>
      <c r="P91" s="137"/>
      <c r="Q91" s="137"/>
    </row>
    <row r="92" spans="1:17" ht="11.45" customHeight="1" x14ac:dyDescent="0.3">
      <c r="A92" s="1005" t="s">
        <v>1012</v>
      </c>
      <c r="B92" s="1005"/>
      <c r="C92" s="1005"/>
      <c r="D92" s="1005"/>
      <c r="E92" s="1005"/>
      <c r="F92" s="1005"/>
      <c r="G92" s="1006"/>
      <c r="H92" s="1006"/>
      <c r="I92" s="1006"/>
      <c r="J92" s="1006"/>
      <c r="K92" s="1006"/>
      <c r="L92" s="1006"/>
      <c r="M92" s="137"/>
      <c r="N92" s="137"/>
      <c r="O92" s="137"/>
      <c r="P92" s="137"/>
      <c r="Q92" s="137"/>
    </row>
    <row r="93" spans="1:17" ht="13.5" x14ac:dyDescent="0.3">
      <c r="A93" s="1005"/>
      <c r="B93" s="1005"/>
      <c r="C93" s="1005"/>
      <c r="D93" s="1005"/>
      <c r="E93" s="1005"/>
      <c r="F93" s="1005"/>
      <c r="G93" s="857"/>
      <c r="H93" s="857"/>
      <c r="I93" s="857"/>
      <c r="J93" s="857"/>
      <c r="K93" s="857"/>
      <c r="L93" s="857"/>
      <c r="M93" s="137"/>
      <c r="N93" s="137"/>
      <c r="O93" s="137"/>
      <c r="P93" s="137"/>
      <c r="Q93" s="137"/>
    </row>
    <row r="94" spans="1:17" ht="13.5" x14ac:dyDescent="0.3">
      <c r="A94" s="1005"/>
      <c r="B94" s="1005"/>
      <c r="C94" s="1005"/>
      <c r="D94" s="1005"/>
      <c r="E94" s="1005"/>
      <c r="F94" s="1005"/>
      <c r="G94" s="857"/>
      <c r="H94" s="857"/>
      <c r="I94" s="857"/>
      <c r="J94" s="857"/>
      <c r="K94" s="857"/>
      <c r="L94" s="857"/>
      <c r="M94" s="137"/>
      <c r="N94" s="137"/>
      <c r="O94" s="137"/>
      <c r="P94" s="137"/>
      <c r="Q94" s="137"/>
    </row>
    <row r="95" spans="1:17" x14ac:dyDescent="0.3">
      <c r="A95" s="554" t="s">
        <v>846</v>
      </c>
      <c r="B95" s="554"/>
      <c r="C95" s="554"/>
      <c r="D95" s="554"/>
      <c r="E95" s="554"/>
      <c r="F95" s="554"/>
      <c r="G95" s="333"/>
      <c r="H95" s="5"/>
      <c r="I95" s="137"/>
      <c r="J95" s="137"/>
      <c r="K95" s="137"/>
      <c r="L95" s="137"/>
      <c r="M95" s="137"/>
      <c r="N95" s="137"/>
      <c r="O95" s="137"/>
      <c r="P95" s="137"/>
      <c r="Q95" s="137"/>
    </row>
    <row r="96" spans="1:17" x14ac:dyDescent="0.3">
      <c r="A96" s="1004" t="s">
        <v>1013</v>
      </c>
      <c r="B96" s="1004"/>
      <c r="C96" s="1004"/>
      <c r="D96" s="1004"/>
      <c r="E96" s="1004"/>
      <c r="F96" s="1004"/>
      <c r="G96" s="333"/>
      <c r="H96" s="5"/>
      <c r="I96" s="137"/>
      <c r="J96" s="137"/>
      <c r="K96" s="137"/>
      <c r="L96" s="137"/>
      <c r="M96" s="137"/>
      <c r="N96" s="137"/>
      <c r="O96" s="137"/>
      <c r="P96" s="137"/>
      <c r="Q96" s="137"/>
    </row>
    <row r="97" spans="1:17" x14ac:dyDescent="0.3">
      <c r="A97" s="137"/>
      <c r="B97" s="137"/>
      <c r="C97" s="137"/>
      <c r="D97" s="137"/>
      <c r="E97" s="137"/>
      <c r="F97" s="137"/>
      <c r="G97" s="333"/>
      <c r="H97" s="5"/>
      <c r="I97" s="137"/>
      <c r="J97" s="137"/>
      <c r="K97" s="137"/>
      <c r="L97" s="137"/>
      <c r="M97" s="137"/>
      <c r="N97" s="137"/>
      <c r="O97" s="137"/>
      <c r="P97" s="137"/>
      <c r="Q97" s="137"/>
    </row>
    <row r="98" spans="1:17" x14ac:dyDescent="0.3">
      <c r="A98" s="137"/>
      <c r="B98" s="137"/>
      <c r="C98" s="137"/>
      <c r="D98" s="137"/>
      <c r="E98" s="137"/>
      <c r="F98" s="137"/>
      <c r="G98" s="333"/>
      <c r="H98" s="5"/>
      <c r="I98" s="137"/>
      <c r="J98" s="137"/>
      <c r="K98" s="137"/>
      <c r="L98" s="137"/>
      <c r="M98" s="137"/>
      <c r="N98" s="137"/>
      <c r="O98" s="137"/>
      <c r="P98" s="137"/>
      <c r="Q98" s="137"/>
    </row>
    <row r="99" spans="1:17" x14ac:dyDescent="0.3">
      <c r="A99" s="137"/>
      <c r="B99" s="137"/>
      <c r="C99" s="137"/>
      <c r="D99" s="137"/>
      <c r="E99" s="137"/>
      <c r="F99" s="137"/>
      <c r="G99" s="333"/>
      <c r="H99" s="5"/>
      <c r="I99" s="137"/>
      <c r="J99" s="137"/>
      <c r="K99" s="137"/>
      <c r="L99" s="137"/>
      <c r="M99" s="137"/>
      <c r="N99" s="137"/>
      <c r="O99" s="137"/>
      <c r="P99" s="137"/>
      <c r="Q99" s="137"/>
    </row>
  </sheetData>
  <sheetProtection algorithmName="SHA-512" hashValue="flB63iiCxIxLSYufCsT2ONeFeFRrbQg/vTVtJh+Jl/85N/v0hR3n4HY7nNybcAGDDIYpxhrunkFqeZEXVqHKhw==" saltValue="jDfmK7+FSW2VfnlYtAI1lg==" spinCount="100000" sheet="1" objects="1" scenarios="1"/>
  <mergeCells count="6">
    <mergeCell ref="A96:F96"/>
    <mergeCell ref="A84:F84"/>
    <mergeCell ref="G91:L92"/>
    <mergeCell ref="A85:F87"/>
    <mergeCell ref="A89:F91"/>
    <mergeCell ref="A92:F94"/>
  </mergeCells>
  <printOptions horizontalCentered="1"/>
  <pageMargins left="0.25" right="0.25" top="0.75" bottom="0.75" header="0.3" footer="0.3"/>
  <pageSetup scale="54" orientation="portrait" r:id="rId1"/>
  <headerFooter>
    <oddFooter>&amp;C&amp;"Century Gothic,Regular"&amp;9Page &amp;P of &amp;N</oddFooter>
  </headerFooter>
  <rowBreaks count="1" manualBreakCount="1">
    <brk id="82" max="5"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CEAE-8F38-47CF-9E50-2642FFAAA3B6}">
  <sheetPr>
    <pageSetUpPr fitToPage="1"/>
  </sheetPr>
  <dimension ref="A1:X93"/>
  <sheetViews>
    <sheetView zoomScale="130" zoomScaleNormal="130" zoomScaleSheetLayoutView="130" workbookViewId="0">
      <pane xSplit="1" ySplit="10" topLeftCell="B11" activePane="bottomRight" state="frozen"/>
      <selection activeCell="A5" sqref="A5"/>
      <selection pane="topRight" activeCell="A5" sqref="A5"/>
      <selection pane="bottomLeft" activeCell="A5" sqref="A5"/>
      <selection pane="bottomRight" activeCell="B11" sqref="B11"/>
    </sheetView>
  </sheetViews>
  <sheetFormatPr baseColWidth="10" defaultColWidth="9.140625" defaultRowHeight="13.5" x14ac:dyDescent="0.25"/>
  <cols>
    <col min="1" max="1" width="21.140625" style="299" customWidth="1"/>
    <col min="2" max="2" width="9" style="252" customWidth="1"/>
    <col min="3" max="3" width="9" style="253" customWidth="1"/>
    <col min="4" max="4" width="9" style="208" customWidth="1"/>
    <col min="5" max="5" width="9" style="252" customWidth="1"/>
    <col min="6" max="16" width="9" style="208" customWidth="1"/>
    <col min="17" max="16384" width="9.140625" style="208"/>
  </cols>
  <sheetData>
    <row r="1" spans="1:24" s="140" customFormat="1" ht="20.65" customHeight="1" x14ac:dyDescent="0.3">
      <c r="A1" s="164" t="s">
        <v>791</v>
      </c>
      <c r="B1" s="138"/>
      <c r="C1" s="138"/>
      <c r="D1" s="138"/>
      <c r="E1" s="138"/>
      <c r="F1" s="138"/>
      <c r="G1" s="138"/>
      <c r="H1" s="138"/>
      <c r="I1" s="138"/>
      <c r="J1" s="138"/>
      <c r="K1" s="138"/>
      <c r="L1" s="138"/>
      <c r="M1" s="138"/>
      <c r="N1" s="138"/>
      <c r="O1" s="138"/>
      <c r="P1" s="139"/>
      <c r="Q1" s="137"/>
      <c r="R1" s="137"/>
      <c r="S1" s="137"/>
    </row>
    <row r="2" spans="1:24" s="140" customFormat="1" ht="13.5" customHeight="1" x14ac:dyDescent="0.3">
      <c r="A2" s="163" t="s">
        <v>133</v>
      </c>
      <c r="B2" s="141"/>
      <c r="C2" s="141"/>
      <c r="D2" s="141"/>
      <c r="E2" s="141"/>
      <c r="F2" s="141"/>
      <c r="G2" s="141"/>
      <c r="H2" s="141"/>
      <c r="I2" s="141"/>
      <c r="J2" s="141"/>
      <c r="K2" s="141"/>
      <c r="L2" s="141"/>
      <c r="M2" s="141"/>
      <c r="N2" s="141"/>
      <c r="O2" s="141"/>
      <c r="P2" s="142"/>
      <c r="Q2" s="137"/>
      <c r="R2" s="137"/>
      <c r="S2" s="137"/>
    </row>
    <row r="3" spans="1:24" s="140" customFormat="1" ht="15.75" customHeight="1" x14ac:dyDescent="0.3">
      <c r="A3" s="162" t="s">
        <v>146</v>
      </c>
      <c r="B3" s="144"/>
      <c r="C3" s="144"/>
      <c r="D3" s="144"/>
      <c r="E3" s="144"/>
      <c r="F3" s="144"/>
      <c r="G3" s="144"/>
      <c r="H3" s="144"/>
      <c r="I3" s="144"/>
      <c r="J3" s="144"/>
      <c r="K3" s="144"/>
      <c r="L3" s="144"/>
      <c r="M3" s="144"/>
      <c r="N3" s="144"/>
      <c r="O3" s="144"/>
      <c r="P3" s="145"/>
      <c r="Q3" s="137"/>
      <c r="R3" s="137"/>
      <c r="S3" s="137"/>
    </row>
    <row r="4" spans="1:24" ht="10.9" customHeight="1" x14ac:dyDescent="0.25">
      <c r="A4" s="1007" t="s">
        <v>985</v>
      </c>
      <c r="B4" s="1007"/>
      <c r="C4" s="1007"/>
      <c r="D4" s="1007"/>
      <c r="E4" s="1007"/>
      <c r="F4" s="1007"/>
      <c r="G4" s="1007"/>
      <c r="H4" s="1007"/>
      <c r="I4" s="1007"/>
      <c r="J4" s="1007"/>
      <c r="K4" s="1007"/>
      <c r="L4" s="1007"/>
      <c r="M4" s="1007"/>
      <c r="N4" s="1007"/>
      <c r="O4" s="1007"/>
      <c r="P4" s="1008"/>
      <c r="Q4" s="207"/>
      <c r="R4" s="207"/>
      <c r="S4" s="207"/>
      <c r="T4" s="207"/>
      <c r="U4" s="207"/>
      <c r="V4" s="207"/>
      <c r="W4" s="207"/>
      <c r="X4" s="207"/>
    </row>
    <row r="5" spans="1:24" x14ac:dyDescent="0.25">
      <c r="A5" s="1009"/>
      <c r="B5" s="1009"/>
      <c r="C5" s="1009"/>
      <c r="D5" s="1009"/>
      <c r="E5" s="1009"/>
      <c r="F5" s="1009"/>
      <c r="G5" s="1009"/>
      <c r="H5" s="1009"/>
      <c r="I5" s="1009"/>
      <c r="J5" s="1009"/>
      <c r="K5" s="1009"/>
      <c r="L5" s="1009"/>
      <c r="M5" s="1009"/>
      <c r="N5" s="1009"/>
      <c r="O5" s="1009"/>
      <c r="P5" s="1010"/>
      <c r="Q5" s="207"/>
      <c r="R5" s="207"/>
      <c r="S5" s="207"/>
      <c r="T5" s="207"/>
      <c r="U5" s="207"/>
      <c r="V5" s="207"/>
      <c r="W5" s="207"/>
      <c r="X5" s="207"/>
    </row>
    <row r="6" spans="1:24" ht="14.25" thickBot="1" x14ac:dyDescent="0.3">
      <c r="A6" s="1020" t="s">
        <v>781</v>
      </c>
      <c r="B6" s="1020"/>
      <c r="C6" s="1020"/>
      <c r="D6" s="1020"/>
      <c r="E6" s="1020"/>
      <c r="F6" s="1020"/>
      <c r="G6" s="1020"/>
      <c r="H6" s="1020"/>
      <c r="I6" s="1020"/>
      <c r="J6" s="1020"/>
      <c r="K6" s="1020"/>
      <c r="L6" s="1020"/>
      <c r="M6" s="1020"/>
      <c r="N6" s="1020"/>
      <c r="O6" s="1020"/>
      <c r="P6" s="1021"/>
      <c r="Q6" s="207"/>
      <c r="R6" s="207"/>
      <c r="S6" s="207"/>
      <c r="T6" s="207"/>
      <c r="U6" s="207"/>
      <c r="V6" s="207"/>
      <c r="W6" s="207"/>
      <c r="X6" s="207"/>
    </row>
    <row r="7" spans="1:24" customFormat="1" ht="13.15" customHeight="1" x14ac:dyDescent="0.25">
      <c r="A7" s="1016" t="s">
        <v>739</v>
      </c>
      <c r="B7" s="1015" t="s">
        <v>722</v>
      </c>
      <c r="C7" s="1019"/>
      <c r="D7" s="1019"/>
      <c r="E7" s="1019"/>
      <c r="F7" s="1019"/>
      <c r="G7" s="1019"/>
      <c r="H7" s="1019"/>
      <c r="I7" s="1019"/>
      <c r="J7" s="1019"/>
      <c r="K7" s="1019"/>
      <c r="L7" s="1019"/>
      <c r="M7" s="1019"/>
      <c r="N7" s="1019"/>
      <c r="O7" s="1019"/>
      <c r="P7" s="1011" t="s">
        <v>723</v>
      </c>
      <c r="Q7" s="5"/>
      <c r="R7" s="5"/>
      <c r="S7" s="5"/>
    </row>
    <row r="8" spans="1:24" customFormat="1" ht="13.15" customHeight="1" x14ac:dyDescent="0.25">
      <c r="A8" s="1017"/>
      <c r="B8" s="1014" t="s">
        <v>724</v>
      </c>
      <c r="C8" s="1014"/>
      <c r="D8" s="1014" t="s">
        <v>725</v>
      </c>
      <c r="E8" s="1014"/>
      <c r="F8" s="1014"/>
      <c r="G8" s="1014"/>
      <c r="H8" s="1014"/>
      <c r="I8" s="1014"/>
      <c r="J8" s="1014"/>
      <c r="K8" s="1014"/>
      <c r="L8" s="1014"/>
      <c r="M8" s="1014"/>
      <c r="N8" s="1014"/>
      <c r="O8" s="1015"/>
      <c r="P8" s="1012"/>
      <c r="Q8" s="5"/>
      <c r="R8" s="5"/>
      <c r="S8" s="5"/>
    </row>
    <row r="9" spans="1:24" customFormat="1" ht="13.15" customHeight="1" x14ac:dyDescent="0.25">
      <c r="A9" s="1017"/>
      <c r="B9" s="1014"/>
      <c r="C9" s="1014"/>
      <c r="D9" s="1014" t="s">
        <v>726</v>
      </c>
      <c r="E9" s="1014"/>
      <c r="F9" s="1014"/>
      <c r="G9" s="1014"/>
      <c r="H9" s="1014"/>
      <c r="I9" s="1014"/>
      <c r="J9" s="1014" t="s">
        <v>727</v>
      </c>
      <c r="K9" s="1014"/>
      <c r="L9" s="1014"/>
      <c r="M9" s="1014"/>
      <c r="N9" s="1014"/>
      <c r="O9" s="1015"/>
      <c r="P9" s="1012"/>
      <c r="Q9" s="5"/>
      <c r="R9" s="5"/>
      <c r="S9" s="5"/>
    </row>
    <row r="10" spans="1:24" s="346" customFormat="1" ht="64.5" thickBot="1" x14ac:dyDescent="0.3">
      <c r="A10" s="1018"/>
      <c r="B10" s="347" t="s">
        <v>726</v>
      </c>
      <c r="C10" s="347" t="s">
        <v>727</v>
      </c>
      <c r="D10" s="347" t="s">
        <v>156</v>
      </c>
      <c r="E10" s="347" t="s">
        <v>160</v>
      </c>
      <c r="F10" s="347" t="s">
        <v>161</v>
      </c>
      <c r="G10" s="347" t="s">
        <v>159</v>
      </c>
      <c r="H10" s="347" t="s">
        <v>779</v>
      </c>
      <c r="I10" s="347" t="s">
        <v>728</v>
      </c>
      <c r="J10" s="347" t="s">
        <v>156</v>
      </c>
      <c r="K10" s="347" t="s">
        <v>160</v>
      </c>
      <c r="L10" s="347" t="s">
        <v>161</v>
      </c>
      <c r="M10" s="347" t="s">
        <v>159</v>
      </c>
      <c r="N10" s="347" t="s">
        <v>779</v>
      </c>
      <c r="O10" s="351" t="s">
        <v>162</v>
      </c>
      <c r="P10" s="1013"/>
      <c r="Q10" s="348"/>
      <c r="R10" s="348"/>
      <c r="S10" s="348"/>
    </row>
    <row r="11" spans="1:24" s="824" customFormat="1" ht="22.15" customHeight="1" x14ac:dyDescent="0.25">
      <c r="A11" s="820" t="s">
        <v>729</v>
      </c>
      <c r="B11" s="825">
        <v>2</v>
      </c>
      <c r="C11" s="826">
        <v>0</v>
      </c>
      <c r="D11" s="825">
        <v>20</v>
      </c>
      <c r="E11" s="825">
        <v>0</v>
      </c>
      <c r="F11" s="825">
        <v>0</v>
      </c>
      <c r="G11" s="825">
        <v>1</v>
      </c>
      <c r="H11" s="825">
        <v>0</v>
      </c>
      <c r="I11" s="826">
        <v>0</v>
      </c>
      <c r="J11" s="825">
        <v>7</v>
      </c>
      <c r="K11" s="825">
        <v>0</v>
      </c>
      <c r="L11" s="825">
        <v>0</v>
      </c>
      <c r="M11" s="825">
        <v>0</v>
      </c>
      <c r="N11" s="825">
        <v>0</v>
      </c>
      <c r="O11" s="825">
        <v>0</v>
      </c>
      <c r="P11" s="827">
        <v>30</v>
      </c>
      <c r="Q11" s="59"/>
      <c r="R11" s="59"/>
      <c r="S11" s="59"/>
      <c r="T11" s="59"/>
      <c r="U11" s="59"/>
      <c r="V11" s="59"/>
      <c r="W11" s="59"/>
      <c r="X11" s="59"/>
    </row>
    <row r="12" spans="1:24" s="824" customFormat="1" ht="22.15" customHeight="1" x14ac:dyDescent="0.25">
      <c r="A12" s="821" t="s">
        <v>730</v>
      </c>
      <c r="B12" s="828">
        <v>425</v>
      </c>
      <c r="C12" s="829">
        <v>50</v>
      </c>
      <c r="D12" s="828">
        <v>852</v>
      </c>
      <c r="E12" s="828">
        <v>10</v>
      </c>
      <c r="F12" s="828">
        <v>3</v>
      </c>
      <c r="G12" s="828">
        <v>21</v>
      </c>
      <c r="H12" s="828">
        <v>11</v>
      </c>
      <c r="I12" s="829">
        <v>1</v>
      </c>
      <c r="J12" s="828">
        <v>147</v>
      </c>
      <c r="K12" s="828">
        <v>4</v>
      </c>
      <c r="L12" s="828">
        <v>0</v>
      </c>
      <c r="M12" s="828">
        <v>2</v>
      </c>
      <c r="N12" s="828">
        <v>1</v>
      </c>
      <c r="O12" s="828">
        <v>1</v>
      </c>
      <c r="P12" s="830">
        <v>1528</v>
      </c>
      <c r="Q12" s="59"/>
      <c r="R12" s="59"/>
      <c r="S12" s="59"/>
      <c r="T12" s="59"/>
      <c r="U12" s="59"/>
      <c r="V12" s="59"/>
      <c r="W12" s="59"/>
      <c r="X12" s="59"/>
    </row>
    <row r="13" spans="1:24" s="824" customFormat="1" ht="20.45" customHeight="1" x14ac:dyDescent="0.25">
      <c r="A13" s="821" t="s">
        <v>731</v>
      </c>
      <c r="B13" s="831">
        <v>349</v>
      </c>
      <c r="C13" s="832">
        <v>180</v>
      </c>
      <c r="D13" s="831">
        <v>914</v>
      </c>
      <c r="E13" s="831">
        <v>57</v>
      </c>
      <c r="F13" s="831">
        <v>5</v>
      </c>
      <c r="G13" s="831">
        <v>76</v>
      </c>
      <c r="H13" s="831">
        <v>8</v>
      </c>
      <c r="I13" s="832">
        <v>21</v>
      </c>
      <c r="J13" s="831">
        <v>403</v>
      </c>
      <c r="K13" s="831">
        <v>13</v>
      </c>
      <c r="L13" s="831">
        <v>0</v>
      </c>
      <c r="M13" s="831">
        <v>31</v>
      </c>
      <c r="N13" s="831">
        <v>7</v>
      </c>
      <c r="O13" s="831">
        <v>2</v>
      </c>
      <c r="P13" s="833">
        <v>2066</v>
      </c>
      <c r="Q13" s="59"/>
      <c r="R13" s="59"/>
      <c r="S13" s="59"/>
      <c r="T13" s="59"/>
      <c r="U13" s="59"/>
      <c r="V13" s="59"/>
      <c r="W13" s="59"/>
      <c r="X13" s="59"/>
    </row>
    <row r="14" spans="1:24" s="824" customFormat="1" ht="20.45" customHeight="1" x14ac:dyDescent="0.25">
      <c r="A14" s="821" t="s">
        <v>732</v>
      </c>
      <c r="B14" s="828">
        <v>175</v>
      </c>
      <c r="C14" s="829">
        <v>60</v>
      </c>
      <c r="D14" s="828">
        <v>161</v>
      </c>
      <c r="E14" s="828">
        <v>3</v>
      </c>
      <c r="F14" s="828">
        <v>1</v>
      </c>
      <c r="G14" s="828">
        <v>1</v>
      </c>
      <c r="H14" s="828">
        <v>8</v>
      </c>
      <c r="I14" s="829">
        <v>5</v>
      </c>
      <c r="J14" s="828">
        <v>89</v>
      </c>
      <c r="K14" s="828">
        <v>2</v>
      </c>
      <c r="L14" s="828">
        <v>0</v>
      </c>
      <c r="M14" s="828">
        <v>3</v>
      </c>
      <c r="N14" s="828">
        <v>5</v>
      </c>
      <c r="O14" s="828">
        <v>2</v>
      </c>
      <c r="P14" s="830">
        <v>515</v>
      </c>
      <c r="Q14" s="59"/>
      <c r="R14" s="59"/>
      <c r="S14" s="59"/>
      <c r="T14" s="59"/>
      <c r="U14" s="59"/>
      <c r="V14" s="59"/>
      <c r="W14" s="59"/>
      <c r="X14" s="59"/>
    </row>
    <row r="15" spans="1:24" s="824" customFormat="1" ht="20.45" customHeight="1" x14ac:dyDescent="0.25">
      <c r="A15" s="821" t="s">
        <v>733</v>
      </c>
      <c r="B15" s="831">
        <v>0</v>
      </c>
      <c r="C15" s="832">
        <v>0</v>
      </c>
      <c r="D15" s="831">
        <v>1</v>
      </c>
      <c r="E15" s="831">
        <v>0</v>
      </c>
      <c r="F15" s="831">
        <v>0</v>
      </c>
      <c r="G15" s="831">
        <v>1</v>
      </c>
      <c r="H15" s="831">
        <v>0</v>
      </c>
      <c r="I15" s="832">
        <v>0</v>
      </c>
      <c r="J15" s="831">
        <v>1</v>
      </c>
      <c r="K15" s="831">
        <v>0</v>
      </c>
      <c r="L15" s="831">
        <v>0</v>
      </c>
      <c r="M15" s="831">
        <v>0</v>
      </c>
      <c r="N15" s="831">
        <v>0</v>
      </c>
      <c r="O15" s="831">
        <v>0</v>
      </c>
      <c r="P15" s="833">
        <v>3</v>
      </c>
      <c r="Q15" s="59"/>
      <c r="R15" s="59"/>
      <c r="S15" s="59"/>
      <c r="T15" s="59"/>
      <c r="U15" s="59"/>
      <c r="V15" s="59"/>
      <c r="W15" s="59"/>
      <c r="X15" s="59"/>
    </row>
    <row r="16" spans="1:24" s="824" customFormat="1" ht="24" customHeight="1" x14ac:dyDescent="0.25">
      <c r="A16" s="821" t="s">
        <v>734</v>
      </c>
      <c r="B16" s="828">
        <v>15</v>
      </c>
      <c r="C16" s="829">
        <v>117</v>
      </c>
      <c r="D16" s="828">
        <v>23</v>
      </c>
      <c r="E16" s="828">
        <v>3</v>
      </c>
      <c r="F16" s="828">
        <v>0</v>
      </c>
      <c r="G16" s="828">
        <v>1</v>
      </c>
      <c r="H16" s="828">
        <v>0</v>
      </c>
      <c r="I16" s="829">
        <v>0</v>
      </c>
      <c r="J16" s="828">
        <v>124</v>
      </c>
      <c r="K16" s="828">
        <v>10</v>
      </c>
      <c r="L16" s="828">
        <v>0</v>
      </c>
      <c r="M16" s="828">
        <v>3</v>
      </c>
      <c r="N16" s="828">
        <v>6</v>
      </c>
      <c r="O16" s="828">
        <v>4</v>
      </c>
      <c r="P16" s="830">
        <v>306</v>
      </c>
      <c r="Q16" s="59"/>
      <c r="R16" s="59"/>
      <c r="S16" s="59"/>
      <c r="T16" s="59"/>
      <c r="U16" s="59"/>
      <c r="V16" s="59"/>
      <c r="W16" s="59"/>
      <c r="X16" s="59"/>
    </row>
    <row r="17" spans="1:24" s="824" customFormat="1" ht="20.45" customHeight="1" x14ac:dyDescent="0.25">
      <c r="A17" s="821" t="s">
        <v>735</v>
      </c>
      <c r="B17" s="825">
        <v>1117</v>
      </c>
      <c r="C17" s="834">
        <v>26</v>
      </c>
      <c r="D17" s="825">
        <v>1280</v>
      </c>
      <c r="E17" s="825">
        <v>27</v>
      </c>
      <c r="F17" s="825">
        <v>3</v>
      </c>
      <c r="G17" s="825">
        <v>8</v>
      </c>
      <c r="H17" s="825">
        <v>100</v>
      </c>
      <c r="I17" s="834">
        <v>11</v>
      </c>
      <c r="J17" s="825">
        <v>29</v>
      </c>
      <c r="K17" s="825">
        <v>0</v>
      </c>
      <c r="L17" s="825">
        <v>0</v>
      </c>
      <c r="M17" s="825">
        <v>0</v>
      </c>
      <c r="N17" s="825">
        <v>14</v>
      </c>
      <c r="O17" s="825">
        <v>1</v>
      </c>
      <c r="P17" s="827">
        <v>2616</v>
      </c>
      <c r="Q17" s="59"/>
      <c r="R17" s="59"/>
      <c r="S17" s="59"/>
      <c r="T17" s="59"/>
      <c r="U17" s="59"/>
      <c r="V17" s="59"/>
      <c r="W17" s="59"/>
      <c r="X17" s="59"/>
    </row>
    <row r="18" spans="1:24" s="824" customFormat="1" ht="20.45" customHeight="1" x14ac:dyDescent="0.25">
      <c r="A18" s="821" t="s">
        <v>736</v>
      </c>
      <c r="B18" s="835">
        <v>1935</v>
      </c>
      <c r="C18" s="836">
        <v>385</v>
      </c>
      <c r="D18" s="835">
        <v>1715</v>
      </c>
      <c r="E18" s="835">
        <v>56</v>
      </c>
      <c r="F18" s="835">
        <v>12</v>
      </c>
      <c r="G18" s="835">
        <v>11</v>
      </c>
      <c r="H18" s="835">
        <v>219</v>
      </c>
      <c r="I18" s="836">
        <v>38</v>
      </c>
      <c r="J18" s="835">
        <v>445</v>
      </c>
      <c r="K18" s="835">
        <v>1</v>
      </c>
      <c r="L18" s="835">
        <v>4</v>
      </c>
      <c r="M18" s="835">
        <v>1</v>
      </c>
      <c r="N18" s="835">
        <v>130</v>
      </c>
      <c r="O18" s="835">
        <v>10</v>
      </c>
      <c r="P18" s="837">
        <v>4962</v>
      </c>
      <c r="Q18" s="59"/>
      <c r="R18" s="59"/>
      <c r="S18" s="59"/>
      <c r="T18" s="59"/>
      <c r="U18" s="59"/>
      <c r="V18" s="59"/>
      <c r="W18" s="59"/>
      <c r="X18" s="59"/>
    </row>
    <row r="19" spans="1:24" s="824" customFormat="1" ht="20.45" customHeight="1" x14ac:dyDescent="0.25">
      <c r="A19" s="821" t="s">
        <v>737</v>
      </c>
      <c r="B19" s="831">
        <v>68</v>
      </c>
      <c r="C19" s="832">
        <v>15</v>
      </c>
      <c r="D19" s="831">
        <v>29</v>
      </c>
      <c r="E19" s="831">
        <v>2</v>
      </c>
      <c r="F19" s="831">
        <v>0</v>
      </c>
      <c r="G19" s="831">
        <v>0</v>
      </c>
      <c r="H19" s="831">
        <v>9</v>
      </c>
      <c r="I19" s="832">
        <v>1</v>
      </c>
      <c r="J19" s="831">
        <v>7</v>
      </c>
      <c r="K19" s="831">
        <v>0</v>
      </c>
      <c r="L19" s="831">
        <v>0</v>
      </c>
      <c r="M19" s="831">
        <v>0</v>
      </c>
      <c r="N19" s="831">
        <v>7</v>
      </c>
      <c r="O19" s="831">
        <v>0</v>
      </c>
      <c r="P19" s="833">
        <v>138</v>
      </c>
      <c r="Q19" s="59"/>
      <c r="R19" s="59"/>
      <c r="S19" s="59"/>
      <c r="T19" s="59"/>
      <c r="U19" s="59"/>
      <c r="V19" s="59"/>
      <c r="W19" s="59"/>
      <c r="X19" s="59"/>
    </row>
    <row r="20" spans="1:24" s="824" customFormat="1" ht="20.45" customHeight="1" thickBot="1" x14ac:dyDescent="0.3">
      <c r="A20" s="822" t="s">
        <v>738</v>
      </c>
      <c r="B20" s="838">
        <v>44</v>
      </c>
      <c r="C20" s="839">
        <v>92</v>
      </c>
      <c r="D20" s="838">
        <v>38</v>
      </c>
      <c r="E20" s="838">
        <v>1</v>
      </c>
      <c r="F20" s="838">
        <v>0</v>
      </c>
      <c r="G20" s="838">
        <v>0</v>
      </c>
      <c r="H20" s="838">
        <v>0</v>
      </c>
      <c r="I20" s="839">
        <v>1</v>
      </c>
      <c r="J20" s="838">
        <v>53</v>
      </c>
      <c r="K20" s="838">
        <v>1</v>
      </c>
      <c r="L20" s="838">
        <v>0</v>
      </c>
      <c r="M20" s="838">
        <v>0</v>
      </c>
      <c r="N20" s="838">
        <v>8</v>
      </c>
      <c r="O20" s="838">
        <v>2</v>
      </c>
      <c r="P20" s="840">
        <v>240</v>
      </c>
      <c r="Q20" s="59"/>
      <c r="R20" s="59"/>
      <c r="S20" s="59"/>
      <c r="T20" s="59"/>
      <c r="U20" s="59"/>
      <c r="V20" s="59"/>
      <c r="W20" s="59"/>
      <c r="X20" s="59"/>
    </row>
    <row r="21" spans="1:24" s="824" customFormat="1" ht="20.45" customHeight="1" x14ac:dyDescent="0.25">
      <c r="A21" s="289" t="s">
        <v>775</v>
      </c>
      <c r="B21" s="841">
        <v>4130</v>
      </c>
      <c r="C21" s="842">
        <v>925</v>
      </c>
      <c r="D21" s="841">
        <v>5033</v>
      </c>
      <c r="E21" s="841">
        <v>159</v>
      </c>
      <c r="F21" s="841">
        <v>24</v>
      </c>
      <c r="G21" s="841">
        <v>120</v>
      </c>
      <c r="H21" s="841">
        <v>355</v>
      </c>
      <c r="I21" s="842">
        <v>78</v>
      </c>
      <c r="J21" s="841">
        <v>1305</v>
      </c>
      <c r="K21" s="841">
        <v>31</v>
      </c>
      <c r="L21" s="841">
        <v>4</v>
      </c>
      <c r="M21" s="841">
        <v>40</v>
      </c>
      <c r="N21" s="841">
        <v>178</v>
      </c>
      <c r="O21" s="841">
        <v>22</v>
      </c>
      <c r="P21" s="843">
        <v>12404</v>
      </c>
      <c r="Q21" s="59"/>
      <c r="R21" s="59"/>
      <c r="S21" s="59"/>
      <c r="T21" s="59"/>
      <c r="U21" s="59"/>
      <c r="V21" s="59"/>
      <c r="W21" s="59"/>
      <c r="X21" s="59"/>
    </row>
    <row r="22" spans="1:24" s="824" customFormat="1" ht="20.45" customHeight="1" x14ac:dyDescent="0.25">
      <c r="A22" s="823" t="s">
        <v>741</v>
      </c>
      <c r="B22" s="844">
        <v>3847</v>
      </c>
      <c r="C22" s="845">
        <v>803</v>
      </c>
      <c r="D22" s="844">
        <v>4894</v>
      </c>
      <c r="E22" s="844">
        <v>136</v>
      </c>
      <c r="F22" s="844">
        <v>23</v>
      </c>
      <c r="G22" s="844">
        <v>123</v>
      </c>
      <c r="H22" s="844">
        <v>337</v>
      </c>
      <c r="I22" s="845">
        <v>48</v>
      </c>
      <c r="J22" s="844">
        <v>1200</v>
      </c>
      <c r="K22" s="844">
        <v>30</v>
      </c>
      <c r="L22" s="844">
        <v>4</v>
      </c>
      <c r="M22" s="844">
        <v>37</v>
      </c>
      <c r="N22" s="844">
        <v>139</v>
      </c>
      <c r="O22" s="844">
        <v>11</v>
      </c>
      <c r="P22" s="846">
        <v>11632</v>
      </c>
      <c r="Q22" s="59"/>
      <c r="R22" s="59"/>
      <c r="S22" s="59"/>
      <c r="T22" s="59"/>
      <c r="U22" s="59"/>
      <c r="V22" s="59"/>
      <c r="W22" s="59"/>
      <c r="X22" s="59"/>
    </row>
    <row r="23" spans="1:24" x14ac:dyDescent="0.3">
      <c r="A23" s="300" t="s">
        <v>740</v>
      </c>
      <c r="B23" s="209"/>
      <c r="C23" s="210"/>
      <c r="D23" s="207"/>
      <c r="E23" s="211"/>
      <c r="F23" s="207"/>
      <c r="G23" s="212"/>
      <c r="H23" s="207"/>
      <c r="I23" s="207"/>
      <c r="J23" s="207"/>
      <c r="K23" s="207"/>
      <c r="L23" s="207"/>
      <c r="M23" s="207"/>
      <c r="N23" s="207"/>
      <c r="O23" s="207"/>
      <c r="P23" s="207"/>
      <c r="Q23" s="207"/>
      <c r="R23" s="207"/>
      <c r="S23" s="207"/>
      <c r="T23" s="207"/>
      <c r="U23" s="207"/>
      <c r="V23" s="207"/>
      <c r="W23" s="207"/>
      <c r="X23" s="207"/>
    </row>
    <row r="24" spans="1:24" s="220" customFormat="1" ht="15" x14ac:dyDescent="0.25">
      <c r="A24" s="303"/>
      <c r="B24" s="5"/>
      <c r="C24" s="349"/>
      <c r="D24" s="349"/>
      <c r="E24" s="349"/>
      <c r="F24" s="349"/>
      <c r="G24" s="349"/>
      <c r="H24" s="349"/>
      <c r="I24" s="349"/>
      <c r="J24" s="207"/>
      <c r="K24" s="207"/>
      <c r="L24" s="207"/>
      <c r="M24" s="207"/>
      <c r="N24" s="207"/>
      <c r="O24" s="207"/>
      <c r="P24" s="207"/>
      <c r="Q24" s="207"/>
      <c r="R24" s="207"/>
      <c r="S24" s="207"/>
      <c r="T24" s="207"/>
      <c r="U24" s="207"/>
      <c r="V24" s="207"/>
      <c r="W24" s="207"/>
      <c r="X24" s="207"/>
    </row>
    <row r="25" spans="1:24" s="220" customFormat="1" ht="15" x14ac:dyDescent="0.25">
      <c r="A25" s="273"/>
      <c r="B25" s="5"/>
      <c r="C25" s="350"/>
      <c r="D25" s="350"/>
      <c r="E25" s="350"/>
      <c r="F25" s="350"/>
      <c r="G25" s="350"/>
      <c r="H25" s="350"/>
      <c r="I25" s="350"/>
      <c r="J25" s="207"/>
      <c r="K25" s="207"/>
      <c r="L25" s="207"/>
      <c r="M25" s="207"/>
      <c r="N25" s="207"/>
      <c r="O25" s="207"/>
      <c r="P25" s="207"/>
      <c r="Q25" s="207"/>
      <c r="R25" s="207"/>
      <c r="S25" s="207"/>
      <c r="T25" s="207"/>
      <c r="U25" s="207"/>
      <c r="V25" s="207"/>
      <c r="W25" s="207"/>
      <c r="X25" s="207"/>
    </row>
    <row r="26" spans="1:24" s="220" customFormat="1" ht="15" x14ac:dyDescent="0.25">
      <c r="A26" s="273"/>
      <c r="B26" s="5"/>
      <c r="C26" s="5"/>
      <c r="D26" s="5"/>
      <c r="E26" s="5"/>
      <c r="F26" s="5"/>
      <c r="G26" s="5"/>
      <c r="H26" s="207"/>
      <c r="I26" s="207"/>
      <c r="J26" s="207"/>
      <c r="K26" s="207"/>
      <c r="L26" s="207"/>
      <c r="M26" s="207"/>
      <c r="N26" s="207"/>
      <c r="O26" s="207"/>
      <c r="P26" s="207"/>
      <c r="Q26" s="207"/>
      <c r="R26" s="207"/>
      <c r="S26" s="207"/>
      <c r="T26" s="207"/>
      <c r="U26" s="207"/>
      <c r="V26" s="207"/>
      <c r="W26" s="207"/>
      <c r="X26" s="207"/>
    </row>
    <row r="27" spans="1:24" s="220" customFormat="1" ht="15" x14ac:dyDescent="0.25">
      <c r="A27" s="273"/>
      <c r="B27" s="5"/>
      <c r="C27" s="5"/>
      <c r="D27" s="5"/>
      <c r="E27" s="5"/>
      <c r="F27" s="5"/>
      <c r="G27" s="5"/>
      <c r="H27" s="207"/>
      <c r="I27" s="207"/>
      <c r="J27" s="207"/>
      <c r="K27" s="207"/>
      <c r="L27" s="207"/>
      <c r="M27" s="207"/>
      <c r="N27" s="207"/>
      <c r="O27" s="207"/>
      <c r="P27" s="207"/>
      <c r="Q27" s="207"/>
      <c r="R27" s="207"/>
      <c r="S27" s="207"/>
      <c r="T27" s="207"/>
      <c r="U27" s="207"/>
      <c r="V27" s="207"/>
      <c r="W27" s="207"/>
      <c r="X27" s="207"/>
    </row>
    <row r="28" spans="1:24" s="220" customFormat="1" ht="15" x14ac:dyDescent="0.25">
      <c r="A28" s="273"/>
      <c r="B28" s="5"/>
      <c r="C28" s="5"/>
      <c r="D28" s="5"/>
      <c r="E28" s="5"/>
      <c r="F28" s="5"/>
      <c r="G28" s="5"/>
      <c r="H28" s="207"/>
      <c r="I28" s="207"/>
      <c r="J28" s="207"/>
      <c r="K28" s="207"/>
      <c r="L28" s="207"/>
      <c r="M28" s="207"/>
      <c r="N28" s="207"/>
      <c r="O28" s="207"/>
      <c r="P28" s="207"/>
      <c r="Q28" s="207"/>
      <c r="R28" s="207"/>
      <c r="S28" s="207"/>
      <c r="T28" s="207"/>
      <c r="U28" s="207"/>
      <c r="V28" s="207"/>
      <c r="W28" s="207"/>
      <c r="X28" s="207"/>
    </row>
    <row r="29" spans="1:24" s="220" customFormat="1" ht="15" x14ac:dyDescent="0.25">
      <c r="A29" s="273"/>
      <c r="B29" s="5"/>
      <c r="C29" s="5"/>
      <c r="D29" s="5"/>
      <c r="E29" s="5"/>
      <c r="F29" s="5"/>
      <c r="G29" s="5"/>
      <c r="H29" s="207"/>
      <c r="I29" s="207"/>
      <c r="J29" s="207"/>
      <c r="K29" s="207"/>
      <c r="L29" s="207"/>
      <c r="M29" s="207"/>
      <c r="N29" s="207"/>
      <c r="O29" s="207"/>
      <c r="P29" s="207"/>
      <c r="Q29" s="207"/>
      <c r="R29" s="207"/>
      <c r="S29" s="207"/>
      <c r="T29" s="207"/>
      <c r="U29" s="207"/>
      <c r="V29" s="207"/>
      <c r="W29" s="207"/>
      <c r="X29" s="207"/>
    </row>
    <row r="30" spans="1:24" s="220" customFormat="1" ht="15" x14ac:dyDescent="0.25">
      <c r="A30" s="273"/>
      <c r="B30" s="5"/>
      <c r="C30" s="5"/>
      <c r="D30" s="5"/>
      <c r="E30" s="5"/>
      <c r="F30" s="5"/>
      <c r="G30" s="5"/>
      <c r="H30" s="207"/>
      <c r="I30" s="207"/>
      <c r="J30" s="207"/>
      <c r="K30" s="207"/>
      <c r="L30" s="207"/>
      <c r="M30" s="207"/>
      <c r="N30" s="207"/>
      <c r="O30" s="207"/>
      <c r="P30" s="207"/>
      <c r="Q30" s="207"/>
      <c r="R30" s="207"/>
      <c r="S30" s="207"/>
      <c r="T30" s="207"/>
      <c r="U30" s="207"/>
      <c r="V30" s="207"/>
      <c r="W30" s="207"/>
      <c r="X30" s="207"/>
    </row>
    <row r="31" spans="1:24" s="220" customFormat="1" ht="15" x14ac:dyDescent="0.25">
      <c r="A31" s="273"/>
      <c r="B31" s="5"/>
      <c r="C31" s="5"/>
      <c r="D31" s="5"/>
      <c r="E31" s="5"/>
      <c r="F31" s="5"/>
      <c r="G31" s="5"/>
      <c r="H31" s="207"/>
      <c r="I31" s="207"/>
      <c r="J31" s="207"/>
      <c r="K31" s="207"/>
      <c r="L31" s="207"/>
      <c r="M31" s="207"/>
      <c r="N31" s="207"/>
      <c r="O31" s="207"/>
      <c r="P31" s="207"/>
      <c r="Q31" s="207"/>
      <c r="R31" s="207"/>
      <c r="S31" s="207"/>
      <c r="T31" s="207"/>
      <c r="U31" s="207"/>
      <c r="V31" s="207"/>
      <c r="W31" s="207"/>
      <c r="X31" s="207"/>
    </row>
    <row r="32" spans="1:24" x14ac:dyDescent="0.25">
      <c r="A32" s="298"/>
      <c r="B32" s="211"/>
      <c r="C32" s="210"/>
      <c r="D32" s="207"/>
      <c r="E32" s="211"/>
      <c r="F32" s="207"/>
      <c r="G32" s="207"/>
      <c r="H32" s="207"/>
      <c r="I32" s="207"/>
      <c r="J32" s="207"/>
      <c r="K32" s="207"/>
      <c r="L32" s="207"/>
      <c r="M32" s="207"/>
      <c r="N32" s="207"/>
      <c r="O32" s="207"/>
      <c r="P32" s="207"/>
      <c r="Q32" s="207"/>
      <c r="R32" s="207"/>
      <c r="S32" s="207"/>
      <c r="T32" s="207"/>
      <c r="U32" s="207"/>
      <c r="V32" s="207"/>
      <c r="W32" s="207"/>
      <c r="X32" s="207"/>
    </row>
    <row r="33" spans="1:24" x14ac:dyDescent="0.25">
      <c r="A33" s="298"/>
      <c r="B33" s="211"/>
      <c r="C33" s="210"/>
      <c r="D33" s="207"/>
      <c r="E33" s="211"/>
      <c r="F33" s="207"/>
      <c r="G33" s="207"/>
      <c r="H33" s="207"/>
      <c r="I33" s="207"/>
      <c r="J33" s="207"/>
      <c r="K33" s="207"/>
      <c r="L33" s="207"/>
      <c r="M33" s="207"/>
      <c r="N33" s="207"/>
      <c r="O33" s="207"/>
      <c r="P33" s="207"/>
      <c r="Q33" s="207"/>
      <c r="R33" s="207"/>
      <c r="S33" s="207"/>
      <c r="T33" s="207"/>
      <c r="U33" s="207"/>
      <c r="V33" s="207"/>
      <c r="W33" s="207"/>
      <c r="X33" s="207"/>
    </row>
    <row r="34" spans="1:24" x14ac:dyDescent="0.25">
      <c r="A34" s="298"/>
      <c r="B34" s="211"/>
      <c r="C34" s="210"/>
      <c r="D34" s="207"/>
      <c r="E34" s="211"/>
      <c r="F34" s="207"/>
      <c r="G34" s="207"/>
      <c r="H34" s="207"/>
      <c r="I34" s="207"/>
      <c r="J34" s="207"/>
      <c r="K34" s="207"/>
      <c r="L34" s="207"/>
      <c r="M34" s="207"/>
      <c r="N34" s="207"/>
      <c r="O34" s="207"/>
      <c r="P34" s="207"/>
      <c r="Q34" s="207"/>
      <c r="R34" s="207"/>
      <c r="S34" s="207"/>
      <c r="T34" s="207"/>
      <c r="U34" s="207"/>
      <c r="V34" s="207"/>
      <c r="W34" s="207"/>
      <c r="X34" s="207"/>
    </row>
    <row r="35" spans="1:24" x14ac:dyDescent="0.25">
      <c r="A35" s="298"/>
      <c r="B35" s="211"/>
      <c r="C35" s="210"/>
      <c r="D35" s="207"/>
      <c r="E35" s="211"/>
      <c r="F35" s="207"/>
      <c r="G35" s="207"/>
      <c r="H35" s="207"/>
      <c r="I35" s="207"/>
      <c r="J35" s="207"/>
      <c r="K35" s="207"/>
      <c r="L35" s="207"/>
      <c r="M35" s="207"/>
      <c r="N35" s="207"/>
      <c r="O35" s="207"/>
      <c r="P35" s="207"/>
      <c r="Q35" s="207"/>
      <c r="R35" s="207"/>
      <c r="S35" s="207"/>
      <c r="T35" s="207"/>
      <c r="U35" s="207"/>
      <c r="V35" s="207"/>
      <c r="W35" s="207"/>
      <c r="X35" s="207"/>
    </row>
    <row r="36" spans="1:24" x14ac:dyDescent="0.25">
      <c r="A36" s="298"/>
      <c r="B36" s="211"/>
      <c r="C36" s="210"/>
      <c r="D36" s="207"/>
      <c r="E36" s="211"/>
      <c r="F36" s="207"/>
      <c r="G36" s="207"/>
      <c r="H36" s="207"/>
      <c r="I36" s="207"/>
      <c r="J36" s="207"/>
      <c r="K36" s="207"/>
      <c r="L36" s="207"/>
      <c r="M36" s="207"/>
      <c r="N36" s="207"/>
      <c r="O36" s="207"/>
      <c r="P36" s="207"/>
      <c r="Q36" s="207"/>
      <c r="R36" s="207"/>
      <c r="S36" s="207"/>
      <c r="T36" s="207"/>
      <c r="U36" s="207"/>
      <c r="V36" s="207"/>
      <c r="W36" s="207"/>
      <c r="X36" s="207"/>
    </row>
    <row r="37" spans="1:24" x14ac:dyDescent="0.25">
      <c r="A37" s="298"/>
      <c r="B37" s="211"/>
      <c r="C37" s="210"/>
      <c r="D37" s="207"/>
      <c r="E37" s="211"/>
      <c r="F37" s="207"/>
      <c r="G37" s="207"/>
      <c r="H37" s="207"/>
      <c r="I37" s="207"/>
      <c r="J37" s="207"/>
      <c r="K37" s="207"/>
      <c r="L37" s="207"/>
      <c r="M37" s="207"/>
      <c r="N37" s="207"/>
      <c r="O37" s="207"/>
      <c r="P37" s="207"/>
      <c r="Q37" s="207"/>
      <c r="R37" s="207"/>
      <c r="S37" s="207"/>
      <c r="T37" s="207"/>
      <c r="U37" s="207"/>
      <c r="V37" s="207"/>
      <c r="W37" s="207"/>
      <c r="X37" s="207"/>
    </row>
    <row r="38" spans="1:24" x14ac:dyDescent="0.25">
      <c r="A38" s="298"/>
      <c r="B38" s="211"/>
      <c r="C38" s="210"/>
      <c r="D38" s="207"/>
      <c r="E38" s="211"/>
      <c r="F38" s="207"/>
      <c r="G38" s="207"/>
      <c r="H38" s="207"/>
      <c r="I38" s="207"/>
      <c r="J38" s="207"/>
      <c r="K38" s="207"/>
      <c r="L38" s="207"/>
      <c r="M38" s="207"/>
      <c r="N38" s="207"/>
      <c r="O38" s="207"/>
      <c r="P38" s="207"/>
      <c r="Q38" s="207"/>
      <c r="R38" s="207"/>
      <c r="S38" s="207"/>
      <c r="T38" s="207"/>
      <c r="U38" s="207"/>
      <c r="V38" s="207"/>
      <c r="W38" s="207"/>
      <c r="X38" s="207"/>
    </row>
    <row r="39" spans="1:24" x14ac:dyDescent="0.25">
      <c r="A39" s="298"/>
      <c r="B39" s="211"/>
      <c r="C39" s="210"/>
      <c r="D39" s="207"/>
      <c r="E39" s="211"/>
      <c r="F39" s="207"/>
      <c r="G39" s="207"/>
      <c r="H39" s="207"/>
      <c r="I39" s="207"/>
      <c r="J39" s="207"/>
      <c r="K39" s="207"/>
      <c r="L39" s="207"/>
      <c r="M39" s="207"/>
      <c r="N39" s="207"/>
      <c r="O39" s="207"/>
      <c r="P39" s="207"/>
      <c r="Q39" s="207"/>
      <c r="R39" s="207"/>
      <c r="S39" s="207"/>
      <c r="T39" s="207"/>
      <c r="U39" s="207"/>
      <c r="V39" s="207"/>
      <c r="W39" s="207"/>
      <c r="X39" s="207"/>
    </row>
    <row r="40" spans="1:24" x14ac:dyDescent="0.25">
      <c r="A40" s="298"/>
      <c r="B40" s="211"/>
      <c r="C40" s="210"/>
      <c r="D40" s="207"/>
      <c r="E40" s="211"/>
      <c r="F40" s="207"/>
      <c r="G40" s="207"/>
      <c r="H40" s="207"/>
      <c r="I40" s="207"/>
      <c r="J40" s="207"/>
      <c r="K40" s="207"/>
      <c r="L40" s="207"/>
      <c r="M40" s="207"/>
      <c r="N40" s="207"/>
      <c r="O40" s="207"/>
      <c r="P40" s="207"/>
      <c r="Q40" s="207"/>
      <c r="R40" s="207"/>
      <c r="S40" s="207"/>
      <c r="T40" s="207"/>
      <c r="U40" s="207"/>
      <c r="V40" s="207"/>
      <c r="W40" s="207"/>
      <c r="X40" s="207"/>
    </row>
    <row r="41" spans="1:24" x14ac:dyDescent="0.25">
      <c r="A41" s="298"/>
      <c r="B41" s="211"/>
      <c r="C41" s="210"/>
      <c r="D41" s="207"/>
      <c r="E41" s="211"/>
      <c r="F41" s="207"/>
      <c r="G41" s="207"/>
      <c r="H41" s="207"/>
      <c r="I41" s="207"/>
      <c r="J41" s="207"/>
      <c r="K41" s="207"/>
      <c r="L41" s="207"/>
      <c r="M41" s="207"/>
      <c r="N41" s="207"/>
      <c r="O41" s="207"/>
      <c r="P41" s="207"/>
      <c r="Q41" s="207"/>
      <c r="R41" s="207"/>
      <c r="S41" s="207"/>
      <c r="T41" s="207"/>
      <c r="U41" s="207"/>
      <c r="V41" s="207"/>
      <c r="W41" s="207"/>
      <c r="X41" s="207"/>
    </row>
    <row r="42" spans="1:24" x14ac:dyDescent="0.25">
      <c r="A42" s="298"/>
      <c r="B42" s="211"/>
      <c r="C42" s="210"/>
      <c r="D42" s="207"/>
      <c r="E42" s="211"/>
      <c r="F42" s="207"/>
      <c r="G42" s="207"/>
      <c r="H42" s="207"/>
      <c r="I42" s="207"/>
      <c r="J42" s="207"/>
      <c r="K42" s="207"/>
      <c r="L42" s="207"/>
      <c r="M42" s="207"/>
      <c r="N42" s="207"/>
      <c r="O42" s="207"/>
      <c r="P42" s="207"/>
      <c r="Q42" s="207"/>
      <c r="R42" s="207"/>
      <c r="S42" s="207"/>
      <c r="T42" s="207"/>
      <c r="U42" s="207"/>
      <c r="V42" s="207"/>
      <c r="W42" s="207"/>
      <c r="X42" s="207"/>
    </row>
    <row r="43" spans="1:24" x14ac:dyDescent="0.25">
      <c r="A43" s="298"/>
      <c r="B43" s="211"/>
      <c r="C43" s="210"/>
      <c r="D43" s="207"/>
      <c r="E43" s="211"/>
      <c r="F43" s="207"/>
      <c r="G43" s="207"/>
      <c r="H43" s="207"/>
      <c r="I43" s="207"/>
      <c r="J43" s="207"/>
      <c r="K43" s="207"/>
      <c r="L43" s="207"/>
      <c r="M43" s="207"/>
      <c r="N43" s="207"/>
      <c r="O43" s="207"/>
      <c r="P43" s="207"/>
      <c r="Q43" s="207"/>
      <c r="R43" s="207"/>
      <c r="S43" s="207"/>
      <c r="T43" s="207"/>
      <c r="U43" s="207"/>
      <c r="V43" s="207"/>
      <c r="W43" s="207"/>
      <c r="X43" s="207"/>
    </row>
    <row r="44" spans="1:24" x14ac:dyDescent="0.25">
      <c r="A44" s="298"/>
      <c r="B44" s="211"/>
      <c r="C44" s="210"/>
      <c r="D44" s="207"/>
      <c r="E44" s="211"/>
      <c r="F44" s="207"/>
      <c r="G44" s="207"/>
      <c r="H44" s="207"/>
      <c r="I44" s="207"/>
      <c r="J44" s="207"/>
      <c r="K44" s="207"/>
      <c r="L44" s="207"/>
      <c r="M44" s="207"/>
      <c r="N44" s="207"/>
      <c r="O44" s="207"/>
      <c r="P44" s="207"/>
      <c r="Q44" s="207"/>
      <c r="R44" s="207"/>
      <c r="S44" s="207"/>
      <c r="T44" s="207"/>
      <c r="U44" s="207"/>
      <c r="V44" s="207"/>
      <c r="W44" s="207"/>
      <c r="X44" s="207"/>
    </row>
    <row r="45" spans="1:24" x14ac:dyDescent="0.25">
      <c r="A45" s="298"/>
      <c r="B45" s="211"/>
      <c r="C45" s="210"/>
      <c r="D45" s="207"/>
      <c r="E45" s="211"/>
      <c r="F45" s="207"/>
      <c r="G45" s="207"/>
      <c r="H45" s="207"/>
      <c r="I45" s="207"/>
      <c r="J45" s="207"/>
      <c r="K45" s="207"/>
      <c r="L45" s="207"/>
      <c r="M45" s="207"/>
      <c r="N45" s="207"/>
      <c r="O45" s="207"/>
      <c r="P45" s="207"/>
      <c r="Q45" s="207"/>
      <c r="R45" s="207"/>
      <c r="S45" s="207"/>
      <c r="T45" s="207"/>
      <c r="U45" s="207"/>
      <c r="V45" s="207"/>
      <c r="W45" s="207"/>
      <c r="X45" s="207"/>
    </row>
    <row r="46" spans="1:24" x14ac:dyDescent="0.25">
      <c r="A46" s="298"/>
      <c r="B46" s="211"/>
      <c r="C46" s="210"/>
      <c r="D46" s="207"/>
      <c r="E46" s="211"/>
      <c r="F46" s="207"/>
      <c r="G46" s="207"/>
      <c r="H46" s="207"/>
      <c r="I46" s="207"/>
      <c r="J46" s="207"/>
      <c r="K46" s="207"/>
      <c r="L46" s="207"/>
      <c r="M46" s="207"/>
      <c r="N46" s="207"/>
      <c r="O46" s="207"/>
      <c r="P46" s="207"/>
      <c r="Q46" s="207"/>
      <c r="R46" s="207"/>
      <c r="S46" s="207"/>
      <c r="T46" s="207"/>
      <c r="U46" s="207"/>
      <c r="V46" s="207"/>
      <c r="W46" s="207"/>
      <c r="X46" s="207"/>
    </row>
    <row r="47" spans="1:24" x14ac:dyDescent="0.25">
      <c r="A47" s="298"/>
      <c r="B47" s="211"/>
      <c r="C47" s="210"/>
      <c r="D47" s="207"/>
      <c r="E47" s="211"/>
      <c r="F47" s="207"/>
      <c r="G47" s="207"/>
      <c r="H47" s="207"/>
      <c r="I47" s="207"/>
      <c r="J47" s="207"/>
      <c r="K47" s="207"/>
      <c r="L47" s="207"/>
      <c r="M47" s="207"/>
      <c r="N47" s="207"/>
      <c r="O47" s="207"/>
      <c r="P47" s="207"/>
      <c r="Q47" s="207"/>
      <c r="R47" s="207"/>
      <c r="S47" s="207"/>
      <c r="T47" s="207"/>
      <c r="U47" s="207"/>
      <c r="V47" s="207"/>
      <c r="W47" s="207"/>
      <c r="X47" s="207"/>
    </row>
    <row r="48" spans="1:24" x14ac:dyDescent="0.25">
      <c r="A48" s="298"/>
      <c r="B48" s="211"/>
      <c r="C48" s="210"/>
      <c r="D48" s="207"/>
      <c r="E48" s="211"/>
      <c r="F48" s="207"/>
      <c r="G48" s="207"/>
      <c r="H48" s="207"/>
      <c r="I48" s="207"/>
      <c r="J48" s="207"/>
      <c r="K48" s="207"/>
      <c r="L48" s="207"/>
      <c r="M48" s="207"/>
      <c r="N48" s="207"/>
      <c r="O48" s="207"/>
      <c r="P48" s="207"/>
      <c r="Q48" s="207"/>
      <c r="R48" s="207"/>
      <c r="S48" s="207"/>
      <c r="T48" s="207"/>
      <c r="U48" s="207"/>
      <c r="V48" s="207"/>
      <c r="W48" s="207"/>
      <c r="X48" s="207"/>
    </row>
    <row r="49" spans="1:24" x14ac:dyDescent="0.25">
      <c r="A49" s="298"/>
      <c r="B49" s="211"/>
      <c r="C49" s="210"/>
      <c r="D49" s="207"/>
      <c r="E49" s="211"/>
      <c r="F49" s="207"/>
      <c r="G49" s="207"/>
      <c r="H49" s="207"/>
      <c r="I49" s="207"/>
      <c r="J49" s="207"/>
      <c r="K49" s="207"/>
      <c r="L49" s="207"/>
      <c r="M49" s="207"/>
      <c r="N49" s="207"/>
      <c r="O49" s="207"/>
      <c r="P49" s="207"/>
      <c r="Q49" s="207"/>
      <c r="R49" s="207"/>
      <c r="S49" s="207"/>
      <c r="T49" s="207"/>
      <c r="U49" s="207"/>
      <c r="V49" s="207"/>
      <c r="W49" s="207"/>
      <c r="X49" s="207"/>
    </row>
    <row r="50" spans="1:24" x14ac:dyDescent="0.25">
      <c r="A50" s="298"/>
      <c r="B50" s="211"/>
      <c r="C50" s="210"/>
      <c r="D50" s="207"/>
      <c r="E50" s="211"/>
      <c r="F50" s="207"/>
      <c r="G50" s="207"/>
      <c r="H50" s="207"/>
      <c r="I50" s="207"/>
      <c r="J50" s="207"/>
      <c r="K50" s="207"/>
      <c r="L50" s="207"/>
      <c r="M50" s="207"/>
      <c r="N50" s="207"/>
      <c r="O50" s="207"/>
      <c r="P50" s="207"/>
      <c r="Q50" s="207"/>
      <c r="R50" s="207"/>
      <c r="S50" s="207"/>
      <c r="T50" s="207"/>
      <c r="U50" s="207"/>
      <c r="V50" s="207"/>
      <c r="W50" s="207"/>
      <c r="X50" s="207"/>
    </row>
    <row r="51" spans="1:24" x14ac:dyDescent="0.25">
      <c r="A51" s="298"/>
      <c r="B51" s="211"/>
      <c r="C51" s="210"/>
      <c r="D51" s="207"/>
      <c r="E51" s="211"/>
      <c r="F51" s="207"/>
      <c r="G51" s="207"/>
      <c r="H51" s="207"/>
      <c r="I51" s="207"/>
      <c r="J51" s="207"/>
      <c r="K51" s="207"/>
      <c r="L51" s="207"/>
      <c r="M51" s="207"/>
      <c r="N51" s="207"/>
      <c r="O51" s="207"/>
      <c r="P51" s="207"/>
      <c r="Q51" s="207"/>
      <c r="R51" s="207"/>
      <c r="S51" s="207"/>
      <c r="T51" s="207"/>
      <c r="U51" s="207"/>
      <c r="V51" s="207"/>
      <c r="W51" s="207"/>
      <c r="X51" s="207"/>
    </row>
    <row r="52" spans="1:24" x14ac:dyDescent="0.25">
      <c r="A52" s="298"/>
      <c r="B52" s="211"/>
      <c r="C52" s="210"/>
      <c r="D52" s="207"/>
      <c r="E52" s="211"/>
      <c r="F52" s="207"/>
      <c r="G52" s="207"/>
      <c r="H52" s="207"/>
      <c r="I52" s="207"/>
      <c r="J52" s="207"/>
      <c r="K52" s="207"/>
      <c r="L52" s="207"/>
      <c r="M52" s="207"/>
      <c r="N52" s="207"/>
      <c r="O52" s="207"/>
      <c r="P52" s="207"/>
      <c r="Q52" s="207"/>
      <c r="R52" s="207"/>
      <c r="S52" s="207"/>
      <c r="T52" s="207"/>
      <c r="U52" s="207"/>
      <c r="V52" s="207"/>
      <c r="W52" s="207"/>
      <c r="X52" s="207"/>
    </row>
    <row r="53" spans="1:24" x14ac:dyDescent="0.25">
      <c r="A53" s="298"/>
      <c r="B53" s="211"/>
      <c r="C53" s="210"/>
      <c r="D53" s="207"/>
      <c r="E53" s="211"/>
      <c r="F53" s="207"/>
      <c r="G53" s="207"/>
      <c r="H53" s="207"/>
      <c r="I53" s="207"/>
      <c r="J53" s="207"/>
      <c r="K53" s="207"/>
      <c r="L53" s="207"/>
      <c r="M53" s="207"/>
      <c r="N53" s="207"/>
      <c r="O53" s="207"/>
      <c r="P53" s="207"/>
      <c r="Q53" s="207"/>
      <c r="R53" s="207"/>
      <c r="S53" s="207"/>
      <c r="T53" s="207"/>
      <c r="U53" s="207"/>
      <c r="V53" s="207"/>
      <c r="W53" s="207"/>
      <c r="X53" s="207"/>
    </row>
    <row r="54" spans="1:24" x14ac:dyDescent="0.25">
      <c r="A54" s="298"/>
      <c r="B54" s="211"/>
      <c r="C54" s="210"/>
      <c r="D54" s="207"/>
      <c r="E54" s="211"/>
      <c r="F54" s="207"/>
      <c r="G54" s="207"/>
      <c r="H54" s="207"/>
      <c r="I54" s="207"/>
      <c r="J54" s="207"/>
      <c r="K54" s="207"/>
      <c r="L54" s="207"/>
      <c r="M54" s="207"/>
      <c r="N54" s="207"/>
      <c r="O54" s="207"/>
      <c r="P54" s="207"/>
      <c r="Q54" s="207"/>
      <c r="R54" s="207"/>
      <c r="S54" s="207"/>
      <c r="T54" s="207"/>
      <c r="U54" s="207"/>
      <c r="V54" s="207"/>
      <c r="W54" s="207"/>
      <c r="X54" s="207"/>
    </row>
    <row r="55" spans="1:24" x14ac:dyDescent="0.25">
      <c r="A55" s="298"/>
      <c r="B55" s="211"/>
      <c r="C55" s="210"/>
      <c r="D55" s="207"/>
      <c r="E55" s="211"/>
      <c r="F55" s="207"/>
      <c r="G55" s="207"/>
      <c r="H55" s="207"/>
      <c r="I55" s="207"/>
      <c r="J55" s="207"/>
      <c r="K55" s="207"/>
      <c r="L55" s="207"/>
      <c r="M55" s="207"/>
      <c r="N55" s="207"/>
      <c r="O55" s="207"/>
      <c r="P55" s="207"/>
      <c r="Q55" s="207"/>
      <c r="R55" s="207"/>
      <c r="S55" s="207"/>
      <c r="T55" s="207"/>
      <c r="U55" s="207"/>
      <c r="V55" s="207"/>
      <c r="W55" s="207"/>
      <c r="X55" s="207"/>
    </row>
    <row r="56" spans="1:24" x14ac:dyDescent="0.25">
      <c r="A56" s="298"/>
      <c r="B56" s="211"/>
      <c r="C56" s="210"/>
      <c r="D56" s="207"/>
      <c r="E56" s="211"/>
      <c r="F56" s="207"/>
      <c r="G56" s="207"/>
      <c r="H56" s="207"/>
      <c r="I56" s="207"/>
      <c r="J56" s="207"/>
      <c r="K56" s="207"/>
      <c r="L56" s="207"/>
      <c r="M56" s="207"/>
      <c r="N56" s="207"/>
      <c r="O56" s="207"/>
      <c r="P56" s="207"/>
      <c r="Q56" s="207"/>
      <c r="R56" s="207"/>
      <c r="S56" s="207"/>
      <c r="T56" s="207"/>
      <c r="U56" s="207"/>
      <c r="V56" s="207"/>
      <c r="W56" s="207"/>
      <c r="X56" s="207"/>
    </row>
    <row r="57" spans="1:24" x14ac:dyDescent="0.25">
      <c r="A57" s="298"/>
      <c r="B57" s="211"/>
      <c r="C57" s="210"/>
      <c r="D57" s="207"/>
      <c r="E57" s="211"/>
      <c r="F57" s="207"/>
      <c r="G57" s="207"/>
      <c r="H57" s="207"/>
      <c r="I57" s="207"/>
      <c r="J57" s="207"/>
      <c r="K57" s="207"/>
      <c r="L57" s="207"/>
      <c r="M57" s="207"/>
      <c r="N57" s="207"/>
      <c r="O57" s="207"/>
      <c r="P57" s="207"/>
      <c r="Q57" s="207"/>
      <c r="R57" s="207"/>
      <c r="S57" s="207"/>
      <c r="T57" s="207"/>
      <c r="U57" s="207"/>
      <c r="V57" s="207"/>
      <c r="W57" s="207"/>
      <c r="X57" s="207"/>
    </row>
    <row r="58" spans="1:24" x14ac:dyDescent="0.25">
      <c r="A58" s="298"/>
      <c r="B58" s="211"/>
      <c r="C58" s="210"/>
      <c r="D58" s="207"/>
      <c r="E58" s="211"/>
      <c r="F58" s="207"/>
      <c r="G58" s="207"/>
      <c r="H58" s="207"/>
      <c r="I58" s="207"/>
      <c r="J58" s="207"/>
      <c r="K58" s="207"/>
      <c r="L58" s="207"/>
      <c r="M58" s="207"/>
      <c r="N58" s="207"/>
      <c r="O58" s="207"/>
      <c r="P58" s="207"/>
      <c r="Q58" s="207"/>
      <c r="R58" s="207"/>
      <c r="S58" s="207"/>
      <c r="T58" s="207"/>
      <c r="U58" s="207"/>
      <c r="V58" s="207"/>
      <c r="W58" s="207"/>
      <c r="X58" s="207"/>
    </row>
    <row r="59" spans="1:24" x14ac:dyDescent="0.25">
      <c r="A59" s="298"/>
      <c r="B59" s="211"/>
      <c r="C59" s="210"/>
      <c r="D59" s="207"/>
      <c r="E59" s="211"/>
      <c r="F59" s="207"/>
      <c r="G59" s="207"/>
      <c r="H59" s="207"/>
      <c r="I59" s="207"/>
      <c r="J59" s="207"/>
      <c r="K59" s="207"/>
      <c r="L59" s="207"/>
      <c r="M59" s="207"/>
      <c r="N59" s="207"/>
      <c r="O59" s="207"/>
      <c r="P59" s="207"/>
      <c r="Q59" s="207"/>
      <c r="R59" s="207"/>
      <c r="S59" s="207"/>
      <c r="T59" s="207"/>
      <c r="U59" s="207"/>
      <c r="V59" s="207"/>
      <c r="W59" s="207"/>
      <c r="X59" s="207"/>
    </row>
    <row r="60" spans="1:24" x14ac:dyDescent="0.25">
      <c r="A60" s="298"/>
      <c r="B60" s="211"/>
      <c r="C60" s="210"/>
      <c r="D60" s="207"/>
      <c r="E60" s="211"/>
      <c r="F60" s="207"/>
      <c r="G60" s="207"/>
      <c r="H60" s="207"/>
      <c r="I60" s="207"/>
      <c r="J60" s="207"/>
      <c r="K60" s="207"/>
      <c r="L60" s="207"/>
      <c r="M60" s="207"/>
      <c r="N60" s="207"/>
      <c r="O60" s="207"/>
      <c r="P60" s="207"/>
      <c r="Q60" s="207"/>
      <c r="R60" s="207"/>
      <c r="S60" s="207"/>
      <c r="T60" s="207"/>
      <c r="U60" s="207"/>
      <c r="V60" s="207"/>
      <c r="W60" s="207"/>
      <c r="X60" s="207"/>
    </row>
    <row r="61" spans="1:24" x14ac:dyDescent="0.25">
      <c r="A61" s="298"/>
      <c r="B61" s="211"/>
      <c r="C61" s="210"/>
      <c r="D61" s="207"/>
      <c r="E61" s="211"/>
      <c r="F61" s="207"/>
      <c r="G61" s="207"/>
      <c r="H61" s="207"/>
      <c r="I61" s="207"/>
      <c r="J61" s="207"/>
      <c r="K61" s="207"/>
      <c r="L61" s="207"/>
      <c r="M61" s="207"/>
      <c r="N61" s="207"/>
      <c r="O61" s="207"/>
      <c r="P61" s="207"/>
      <c r="Q61" s="207"/>
      <c r="R61" s="207"/>
      <c r="S61" s="207"/>
      <c r="T61" s="207"/>
      <c r="U61" s="207"/>
      <c r="V61" s="207"/>
      <c r="W61" s="207"/>
      <c r="X61" s="207"/>
    </row>
    <row r="62" spans="1:24" x14ac:dyDescent="0.25">
      <c r="A62" s="298"/>
      <c r="B62" s="211"/>
      <c r="C62" s="210"/>
      <c r="D62" s="207"/>
      <c r="E62" s="211"/>
      <c r="F62" s="207"/>
      <c r="G62" s="207"/>
      <c r="H62" s="207"/>
      <c r="I62" s="207"/>
      <c r="J62" s="207"/>
      <c r="K62" s="207"/>
      <c r="L62" s="207"/>
      <c r="M62" s="207"/>
      <c r="N62" s="207"/>
      <c r="O62" s="207"/>
      <c r="P62" s="207"/>
      <c r="Q62" s="207"/>
      <c r="R62" s="207"/>
      <c r="S62" s="207"/>
      <c r="T62" s="207"/>
      <c r="U62" s="207"/>
      <c r="V62" s="207"/>
      <c r="W62" s="207"/>
      <c r="X62" s="207"/>
    </row>
    <row r="63" spans="1:24" x14ac:dyDescent="0.25">
      <c r="A63" s="298"/>
      <c r="B63" s="211"/>
      <c r="C63" s="210"/>
      <c r="D63" s="207"/>
      <c r="E63" s="211"/>
      <c r="F63" s="207"/>
      <c r="G63" s="207"/>
      <c r="H63" s="207"/>
      <c r="I63" s="207"/>
      <c r="J63" s="207"/>
      <c r="K63" s="207"/>
      <c r="L63" s="207"/>
      <c r="M63" s="207"/>
      <c r="N63" s="207"/>
      <c r="O63" s="207"/>
      <c r="P63" s="207"/>
      <c r="Q63" s="207"/>
      <c r="R63" s="207"/>
      <c r="S63" s="207"/>
      <c r="T63" s="207"/>
      <c r="U63" s="207"/>
      <c r="V63" s="207"/>
      <c r="W63" s="207"/>
      <c r="X63" s="207"/>
    </row>
    <row r="64" spans="1:24" x14ac:dyDescent="0.25">
      <c r="A64" s="298"/>
      <c r="B64" s="211"/>
      <c r="C64" s="210"/>
      <c r="D64" s="207"/>
      <c r="E64" s="211"/>
      <c r="F64" s="207"/>
      <c r="G64" s="207"/>
      <c r="H64" s="207"/>
      <c r="I64" s="207"/>
      <c r="J64" s="207"/>
      <c r="K64" s="207"/>
      <c r="L64" s="207"/>
      <c r="M64" s="207"/>
      <c r="N64" s="207"/>
      <c r="O64" s="207"/>
      <c r="P64" s="207"/>
      <c r="Q64" s="207"/>
      <c r="R64" s="207"/>
      <c r="S64" s="207"/>
      <c r="T64" s="207"/>
      <c r="U64" s="207"/>
      <c r="V64" s="207"/>
      <c r="W64" s="207"/>
      <c r="X64" s="207"/>
    </row>
    <row r="65" spans="1:24" x14ac:dyDescent="0.25">
      <c r="A65" s="298"/>
      <c r="B65" s="211"/>
      <c r="C65" s="210"/>
      <c r="D65" s="207"/>
      <c r="E65" s="211"/>
      <c r="F65" s="207"/>
      <c r="G65" s="207"/>
      <c r="H65" s="207"/>
      <c r="I65" s="207"/>
      <c r="J65" s="207"/>
      <c r="K65" s="207"/>
      <c r="L65" s="207"/>
      <c r="M65" s="207"/>
      <c r="N65" s="207"/>
      <c r="O65" s="207"/>
      <c r="P65" s="207"/>
      <c r="Q65" s="207"/>
      <c r="R65" s="207"/>
      <c r="S65" s="207"/>
      <c r="T65" s="207"/>
      <c r="U65" s="207"/>
      <c r="V65" s="207"/>
      <c r="W65" s="207"/>
      <c r="X65" s="207"/>
    </row>
    <row r="66" spans="1:24" x14ac:dyDescent="0.25">
      <c r="A66" s="298"/>
      <c r="B66" s="211"/>
      <c r="C66" s="210"/>
      <c r="D66" s="207"/>
      <c r="E66" s="211"/>
      <c r="F66" s="207"/>
      <c r="G66" s="207"/>
      <c r="H66" s="207"/>
      <c r="I66" s="207"/>
      <c r="J66" s="207"/>
      <c r="K66" s="207"/>
      <c r="L66" s="207"/>
      <c r="M66" s="207"/>
      <c r="N66" s="207"/>
      <c r="O66" s="207"/>
      <c r="P66" s="207"/>
      <c r="Q66" s="207"/>
      <c r="R66" s="207"/>
      <c r="S66" s="207"/>
      <c r="T66" s="207"/>
      <c r="U66" s="207"/>
      <c r="V66" s="207"/>
      <c r="W66" s="207"/>
      <c r="X66" s="207"/>
    </row>
    <row r="67" spans="1:24" x14ac:dyDescent="0.25">
      <c r="A67" s="298"/>
      <c r="B67" s="211"/>
      <c r="C67" s="210"/>
      <c r="D67" s="207"/>
      <c r="E67" s="211"/>
      <c r="F67" s="207"/>
      <c r="G67" s="207"/>
      <c r="H67" s="207"/>
      <c r="I67" s="207"/>
      <c r="J67" s="207"/>
      <c r="K67" s="207"/>
      <c r="L67" s="207"/>
      <c r="M67" s="207"/>
      <c r="N67" s="207"/>
      <c r="O67" s="207"/>
      <c r="P67" s="207"/>
      <c r="Q67" s="207"/>
      <c r="R67" s="207"/>
      <c r="S67" s="207"/>
      <c r="T67" s="207"/>
      <c r="U67" s="207"/>
      <c r="V67" s="207"/>
      <c r="W67" s="207"/>
      <c r="X67" s="207"/>
    </row>
    <row r="68" spans="1:24" x14ac:dyDescent="0.25">
      <c r="A68" s="298"/>
      <c r="B68" s="211"/>
      <c r="C68" s="210"/>
      <c r="D68" s="207"/>
      <c r="E68" s="211"/>
      <c r="F68" s="207"/>
      <c r="G68" s="207"/>
      <c r="H68" s="207"/>
      <c r="I68" s="207"/>
      <c r="J68" s="207"/>
      <c r="K68" s="207"/>
      <c r="L68" s="207"/>
      <c r="M68" s="207"/>
      <c r="N68" s="207"/>
      <c r="O68" s="207"/>
      <c r="P68" s="207"/>
      <c r="Q68" s="207"/>
      <c r="R68" s="207"/>
      <c r="S68" s="207"/>
      <c r="T68" s="207"/>
      <c r="U68" s="207"/>
      <c r="V68" s="207"/>
      <c r="W68" s="207"/>
      <c r="X68" s="207"/>
    </row>
    <row r="69" spans="1:24" x14ac:dyDescent="0.25">
      <c r="A69" s="298"/>
      <c r="B69" s="211"/>
      <c r="C69" s="210"/>
      <c r="D69" s="207"/>
      <c r="E69" s="211"/>
      <c r="F69" s="207"/>
      <c r="G69" s="207"/>
      <c r="H69" s="207"/>
      <c r="I69" s="207"/>
      <c r="J69" s="207"/>
      <c r="K69" s="207"/>
      <c r="L69" s="207"/>
      <c r="M69" s="207"/>
      <c r="N69" s="207"/>
      <c r="O69" s="207"/>
      <c r="P69" s="207"/>
      <c r="Q69" s="207"/>
      <c r="R69" s="207"/>
      <c r="S69" s="207"/>
      <c r="T69" s="207"/>
      <c r="U69" s="207"/>
      <c r="V69" s="207"/>
      <c r="W69" s="207"/>
      <c r="X69" s="207"/>
    </row>
    <row r="70" spans="1:24" x14ac:dyDescent="0.25">
      <c r="A70" s="298"/>
      <c r="B70" s="211"/>
      <c r="C70" s="210"/>
      <c r="D70" s="207"/>
      <c r="E70" s="211"/>
      <c r="F70" s="207"/>
      <c r="G70" s="207"/>
      <c r="H70" s="207"/>
      <c r="I70" s="207"/>
      <c r="J70" s="207"/>
      <c r="K70" s="207"/>
      <c r="L70" s="207"/>
      <c r="M70" s="207"/>
      <c r="N70" s="207"/>
      <c r="O70" s="207"/>
      <c r="P70" s="207"/>
      <c r="Q70" s="207"/>
      <c r="R70" s="207"/>
      <c r="S70" s="207"/>
      <c r="T70" s="207"/>
      <c r="U70" s="207"/>
      <c r="V70" s="207"/>
      <c r="W70" s="207"/>
      <c r="X70" s="207"/>
    </row>
    <row r="71" spans="1:24" x14ac:dyDescent="0.25">
      <c r="A71" s="298"/>
      <c r="B71" s="211"/>
      <c r="C71" s="210"/>
      <c r="D71" s="207"/>
      <c r="E71" s="211"/>
      <c r="F71" s="207"/>
      <c r="G71" s="207"/>
      <c r="H71" s="207"/>
      <c r="I71" s="207"/>
      <c r="J71" s="207"/>
      <c r="K71" s="207"/>
      <c r="L71" s="207"/>
      <c r="M71" s="207"/>
      <c r="N71" s="207"/>
      <c r="O71" s="207"/>
      <c r="P71" s="207"/>
      <c r="Q71" s="207"/>
      <c r="R71" s="207"/>
      <c r="S71" s="207"/>
      <c r="T71" s="207"/>
      <c r="U71" s="207"/>
      <c r="V71" s="207"/>
      <c r="W71" s="207"/>
      <c r="X71" s="207"/>
    </row>
    <row r="72" spans="1:24" x14ac:dyDescent="0.25">
      <c r="A72" s="298"/>
      <c r="B72" s="211"/>
      <c r="C72" s="210"/>
      <c r="D72" s="207"/>
      <c r="E72" s="211"/>
      <c r="F72" s="207"/>
      <c r="G72" s="207"/>
      <c r="H72" s="207"/>
      <c r="I72" s="207"/>
      <c r="J72" s="207"/>
      <c r="K72" s="207"/>
      <c r="L72" s="207"/>
      <c r="M72" s="207"/>
      <c r="N72" s="207"/>
      <c r="O72" s="207"/>
      <c r="P72" s="207"/>
      <c r="Q72" s="207"/>
      <c r="R72" s="207"/>
      <c r="S72" s="207"/>
      <c r="T72" s="207"/>
      <c r="U72" s="207"/>
      <c r="V72" s="207"/>
      <c r="W72" s="207"/>
      <c r="X72" s="207"/>
    </row>
    <row r="73" spans="1:24" x14ac:dyDescent="0.25">
      <c r="A73" s="298"/>
      <c r="B73" s="211"/>
      <c r="C73" s="210"/>
      <c r="D73" s="207"/>
      <c r="E73" s="211"/>
      <c r="F73" s="207"/>
      <c r="G73" s="207"/>
      <c r="H73" s="207"/>
      <c r="I73" s="207"/>
      <c r="J73" s="207"/>
      <c r="K73" s="207"/>
      <c r="L73" s="207"/>
      <c r="M73" s="207"/>
      <c r="N73" s="207"/>
      <c r="O73" s="207"/>
      <c r="P73" s="207"/>
      <c r="Q73" s="207"/>
      <c r="R73" s="207"/>
      <c r="S73" s="207"/>
      <c r="T73" s="207"/>
      <c r="U73" s="207"/>
      <c r="V73" s="207"/>
      <c r="W73" s="207"/>
      <c r="X73" s="207"/>
    </row>
    <row r="74" spans="1:24" x14ac:dyDescent="0.25">
      <c r="A74" s="298"/>
      <c r="B74" s="211"/>
      <c r="C74" s="210"/>
      <c r="D74" s="207"/>
      <c r="E74" s="211"/>
      <c r="F74" s="207"/>
      <c r="G74" s="207"/>
      <c r="H74" s="207"/>
      <c r="I74" s="207"/>
      <c r="J74" s="207"/>
      <c r="K74" s="207"/>
      <c r="L74" s="207"/>
      <c r="M74" s="207"/>
      <c r="N74" s="207"/>
      <c r="O74" s="207"/>
      <c r="P74" s="207"/>
      <c r="Q74" s="207"/>
      <c r="R74" s="207"/>
      <c r="S74" s="207"/>
      <c r="T74" s="207"/>
      <c r="U74" s="207"/>
      <c r="V74" s="207"/>
      <c r="W74" s="207"/>
      <c r="X74" s="207"/>
    </row>
    <row r="75" spans="1:24" x14ac:dyDescent="0.25">
      <c r="A75" s="298"/>
      <c r="B75" s="211"/>
      <c r="C75" s="210"/>
      <c r="D75" s="207"/>
      <c r="E75" s="211"/>
      <c r="F75" s="207"/>
      <c r="G75" s="207"/>
      <c r="H75" s="207"/>
      <c r="I75" s="207"/>
      <c r="J75" s="207"/>
      <c r="K75" s="207"/>
      <c r="L75" s="207"/>
      <c r="M75" s="207"/>
      <c r="N75" s="207"/>
      <c r="O75" s="207"/>
      <c r="P75" s="207"/>
      <c r="Q75" s="207"/>
      <c r="R75" s="207"/>
      <c r="S75" s="207"/>
      <c r="T75" s="207"/>
      <c r="U75" s="207"/>
      <c r="V75" s="207"/>
      <c r="W75" s="207"/>
      <c r="X75" s="207"/>
    </row>
    <row r="76" spans="1:24" x14ac:dyDescent="0.25">
      <c r="A76" s="298"/>
      <c r="B76" s="211"/>
      <c r="C76" s="210"/>
      <c r="D76" s="207"/>
      <c r="E76" s="211"/>
      <c r="F76" s="207"/>
      <c r="G76" s="207"/>
      <c r="H76" s="207"/>
      <c r="I76" s="207"/>
      <c r="J76" s="207"/>
      <c r="K76" s="207"/>
      <c r="L76" s="207"/>
      <c r="M76" s="207"/>
      <c r="N76" s="207"/>
      <c r="O76" s="207"/>
      <c r="P76" s="207"/>
      <c r="Q76" s="207"/>
      <c r="R76" s="207"/>
      <c r="S76" s="207"/>
      <c r="T76" s="207"/>
      <c r="U76" s="207"/>
      <c r="V76" s="207"/>
      <c r="W76" s="207"/>
      <c r="X76" s="207"/>
    </row>
    <row r="77" spans="1:24" x14ac:dyDescent="0.25">
      <c r="A77" s="298"/>
      <c r="B77" s="211"/>
      <c r="C77" s="210"/>
      <c r="D77" s="207"/>
      <c r="E77" s="211"/>
      <c r="F77" s="207"/>
      <c r="G77" s="207"/>
      <c r="H77" s="207"/>
      <c r="I77" s="207"/>
      <c r="J77" s="207"/>
      <c r="K77" s="207"/>
      <c r="L77" s="207"/>
      <c r="M77" s="207"/>
      <c r="N77" s="207"/>
      <c r="O77" s="207"/>
      <c r="P77" s="207"/>
      <c r="Q77" s="207"/>
      <c r="R77" s="207"/>
      <c r="S77" s="207"/>
      <c r="T77" s="207"/>
      <c r="U77" s="207"/>
      <c r="V77" s="207"/>
      <c r="W77" s="207"/>
      <c r="X77" s="207"/>
    </row>
    <row r="78" spans="1:24" x14ac:dyDescent="0.25">
      <c r="A78" s="298"/>
      <c r="B78" s="211"/>
      <c r="C78" s="210"/>
      <c r="D78" s="207"/>
      <c r="E78" s="211"/>
      <c r="F78" s="207"/>
      <c r="G78" s="207"/>
      <c r="H78" s="207"/>
      <c r="I78" s="207"/>
      <c r="J78" s="207"/>
      <c r="K78" s="207"/>
      <c r="L78" s="207"/>
      <c r="M78" s="207"/>
      <c r="N78" s="207"/>
      <c r="O78" s="207"/>
      <c r="P78" s="207"/>
      <c r="Q78" s="207"/>
      <c r="R78" s="207"/>
      <c r="S78" s="207"/>
      <c r="T78" s="207"/>
      <c r="U78" s="207"/>
      <c r="V78" s="207"/>
      <c r="W78" s="207"/>
      <c r="X78" s="207"/>
    </row>
    <row r="79" spans="1:24" x14ac:dyDescent="0.25">
      <c r="A79" s="298"/>
      <c r="B79" s="211"/>
      <c r="C79" s="210"/>
      <c r="D79" s="207"/>
      <c r="E79" s="211"/>
      <c r="F79" s="207"/>
      <c r="G79" s="207"/>
      <c r="H79" s="207"/>
      <c r="I79" s="207"/>
      <c r="J79" s="207"/>
      <c r="K79" s="207"/>
      <c r="L79" s="207"/>
      <c r="M79" s="207"/>
      <c r="N79" s="207"/>
      <c r="O79" s="207"/>
      <c r="P79" s="207"/>
      <c r="Q79" s="207"/>
      <c r="R79" s="207"/>
      <c r="S79" s="207"/>
      <c r="T79" s="207"/>
      <c r="U79" s="207"/>
      <c r="V79" s="207"/>
      <c r="W79" s="207"/>
      <c r="X79" s="207"/>
    </row>
    <row r="80" spans="1:24" x14ac:dyDescent="0.25">
      <c r="A80" s="298"/>
      <c r="B80" s="211"/>
      <c r="C80" s="210"/>
      <c r="D80" s="207"/>
      <c r="E80" s="211"/>
      <c r="F80" s="207"/>
      <c r="G80" s="207"/>
      <c r="H80" s="207"/>
      <c r="I80" s="207"/>
      <c r="J80" s="207"/>
      <c r="K80" s="207"/>
      <c r="L80" s="207"/>
      <c r="M80" s="207"/>
      <c r="N80" s="207"/>
      <c r="O80" s="207"/>
      <c r="P80" s="207"/>
      <c r="Q80" s="207"/>
      <c r="R80" s="207"/>
      <c r="S80" s="207"/>
      <c r="T80" s="207"/>
      <c r="U80" s="207"/>
      <c r="V80" s="207"/>
      <c r="W80" s="207"/>
      <c r="X80" s="207"/>
    </row>
    <row r="81" spans="1:24" x14ac:dyDescent="0.25">
      <c r="A81" s="298"/>
      <c r="B81" s="211"/>
      <c r="C81" s="210"/>
      <c r="D81" s="207"/>
      <c r="E81" s="211"/>
      <c r="F81" s="207"/>
      <c r="G81" s="207"/>
      <c r="H81" s="207"/>
      <c r="I81" s="207"/>
      <c r="J81" s="207"/>
      <c r="K81" s="207"/>
      <c r="L81" s="207"/>
      <c r="M81" s="207"/>
      <c r="N81" s="207"/>
      <c r="O81" s="207"/>
      <c r="P81" s="207"/>
      <c r="Q81" s="207"/>
      <c r="R81" s="207"/>
      <c r="S81" s="207"/>
      <c r="T81" s="207"/>
      <c r="U81" s="207"/>
      <c r="V81" s="207"/>
      <c r="W81" s="207"/>
      <c r="X81" s="207"/>
    </row>
    <row r="82" spans="1:24" x14ac:dyDescent="0.25">
      <c r="A82" s="298"/>
      <c r="B82" s="211"/>
      <c r="C82" s="210"/>
      <c r="D82" s="207"/>
      <c r="E82" s="211"/>
      <c r="F82" s="207"/>
      <c r="G82" s="207"/>
      <c r="H82" s="207"/>
      <c r="I82" s="207"/>
      <c r="J82" s="207"/>
      <c r="K82" s="207"/>
      <c r="L82" s="207"/>
      <c r="M82" s="207"/>
      <c r="N82" s="207"/>
      <c r="O82" s="207"/>
      <c r="P82" s="207"/>
      <c r="Q82" s="207"/>
      <c r="R82" s="207"/>
      <c r="S82" s="207"/>
      <c r="T82" s="207"/>
      <c r="U82" s="207"/>
      <c r="V82" s="207"/>
      <c r="W82" s="207"/>
      <c r="X82" s="207"/>
    </row>
    <row r="83" spans="1:24" x14ac:dyDescent="0.25">
      <c r="A83" s="298"/>
      <c r="B83" s="211"/>
      <c r="C83" s="210"/>
      <c r="D83" s="207"/>
      <c r="E83" s="211"/>
      <c r="F83" s="207"/>
      <c r="G83" s="207"/>
      <c r="H83" s="207"/>
      <c r="I83" s="207"/>
      <c r="J83" s="207"/>
      <c r="K83" s="207"/>
      <c r="L83" s="207"/>
      <c r="M83" s="207"/>
      <c r="N83" s="207"/>
      <c r="O83" s="207"/>
      <c r="P83" s="207"/>
      <c r="Q83" s="207"/>
      <c r="R83" s="207"/>
      <c r="S83" s="207"/>
      <c r="T83" s="207"/>
      <c r="U83" s="207"/>
      <c r="V83" s="207"/>
      <c r="W83" s="207"/>
      <c r="X83" s="207"/>
    </row>
    <row r="84" spans="1:24" x14ac:dyDescent="0.25">
      <c r="A84" s="298"/>
      <c r="B84" s="211"/>
      <c r="C84" s="210"/>
      <c r="D84" s="207"/>
      <c r="E84" s="211"/>
      <c r="F84" s="207"/>
      <c r="G84" s="207"/>
      <c r="H84" s="207"/>
      <c r="I84" s="207"/>
      <c r="J84" s="207"/>
      <c r="K84" s="207"/>
      <c r="L84" s="207"/>
      <c r="M84" s="207"/>
      <c r="N84" s="207"/>
      <c r="O84" s="207"/>
      <c r="P84" s="207"/>
      <c r="Q84" s="207"/>
      <c r="R84" s="207"/>
      <c r="S84" s="207"/>
      <c r="T84" s="207"/>
      <c r="U84" s="207"/>
      <c r="V84" s="207"/>
      <c r="W84" s="207"/>
      <c r="X84" s="207"/>
    </row>
    <row r="85" spans="1:24" x14ac:dyDescent="0.25">
      <c r="A85" s="298"/>
      <c r="B85" s="211"/>
      <c r="C85" s="210"/>
      <c r="D85" s="207"/>
      <c r="E85" s="211"/>
      <c r="F85" s="207"/>
      <c r="G85" s="207"/>
      <c r="H85" s="207"/>
      <c r="I85" s="207"/>
      <c r="J85" s="207"/>
      <c r="K85" s="207"/>
      <c r="L85" s="207"/>
      <c r="M85" s="207"/>
      <c r="N85" s="207"/>
      <c r="O85" s="207"/>
      <c r="P85" s="207"/>
      <c r="Q85" s="207"/>
      <c r="R85" s="207"/>
      <c r="S85" s="207"/>
      <c r="T85" s="207"/>
      <c r="U85" s="207"/>
      <c r="V85" s="207"/>
      <c r="W85" s="207"/>
      <c r="X85" s="207"/>
    </row>
    <row r="86" spans="1:24" x14ac:dyDescent="0.25">
      <c r="A86" s="298"/>
      <c r="B86" s="211"/>
      <c r="C86" s="210"/>
      <c r="D86" s="207"/>
      <c r="E86" s="211"/>
      <c r="F86" s="207"/>
      <c r="G86" s="207"/>
      <c r="H86" s="207"/>
      <c r="I86" s="207"/>
      <c r="J86" s="207"/>
      <c r="K86" s="207"/>
      <c r="L86" s="207"/>
      <c r="M86" s="207"/>
      <c r="N86" s="207"/>
      <c r="O86" s="207"/>
      <c r="P86" s="207"/>
      <c r="Q86" s="207"/>
      <c r="R86" s="207"/>
      <c r="S86" s="207"/>
      <c r="T86" s="207"/>
      <c r="U86" s="207"/>
      <c r="V86" s="207"/>
      <c r="W86" s="207"/>
      <c r="X86" s="207"/>
    </row>
    <row r="87" spans="1:24" x14ac:dyDescent="0.25">
      <c r="A87" s="298"/>
      <c r="B87" s="211"/>
      <c r="C87" s="210"/>
      <c r="D87" s="207"/>
      <c r="E87" s="211"/>
      <c r="F87" s="207"/>
      <c r="G87" s="207"/>
      <c r="H87" s="207"/>
      <c r="I87" s="207"/>
      <c r="J87" s="207"/>
      <c r="K87" s="207"/>
      <c r="L87" s="207"/>
      <c r="M87" s="207"/>
      <c r="N87" s="207"/>
      <c r="O87" s="207"/>
      <c r="P87" s="207"/>
      <c r="Q87" s="207"/>
      <c r="R87" s="207"/>
      <c r="S87" s="207"/>
      <c r="T87" s="207"/>
      <c r="U87" s="207"/>
      <c r="V87" s="207"/>
      <c r="W87" s="207"/>
      <c r="X87" s="207"/>
    </row>
    <row r="88" spans="1:24" x14ac:dyDescent="0.25">
      <c r="A88" s="298"/>
      <c r="B88" s="211"/>
      <c r="C88" s="210"/>
      <c r="D88" s="207"/>
      <c r="E88" s="211"/>
      <c r="F88" s="207"/>
      <c r="G88" s="207"/>
      <c r="H88" s="207"/>
      <c r="I88" s="207"/>
      <c r="J88" s="207"/>
      <c r="K88" s="207"/>
      <c r="L88" s="207"/>
      <c r="M88" s="207"/>
      <c r="N88" s="207"/>
      <c r="O88" s="207"/>
      <c r="P88" s="207"/>
      <c r="Q88" s="207"/>
      <c r="R88" s="207"/>
      <c r="S88" s="207"/>
      <c r="T88" s="207"/>
      <c r="U88" s="207"/>
      <c r="V88" s="207"/>
      <c r="W88" s="207"/>
      <c r="X88" s="207"/>
    </row>
    <row r="89" spans="1:24" x14ac:dyDescent="0.25">
      <c r="A89" s="298"/>
      <c r="B89" s="211"/>
      <c r="C89" s="210"/>
      <c r="D89" s="207"/>
      <c r="E89" s="211"/>
      <c r="F89" s="207"/>
      <c r="G89" s="207"/>
      <c r="H89" s="207"/>
      <c r="I89" s="207"/>
      <c r="J89" s="207"/>
      <c r="K89" s="207"/>
      <c r="L89" s="207"/>
      <c r="M89" s="207"/>
      <c r="N89" s="207"/>
      <c r="O89" s="207"/>
      <c r="P89" s="207"/>
      <c r="Q89" s="207"/>
      <c r="R89" s="207"/>
      <c r="S89" s="207"/>
      <c r="T89" s="207"/>
      <c r="U89" s="207"/>
      <c r="V89" s="207"/>
      <c r="W89" s="207"/>
      <c r="X89" s="207"/>
    </row>
    <row r="90" spans="1:24" x14ac:dyDescent="0.25">
      <c r="A90" s="298"/>
      <c r="B90" s="211"/>
      <c r="C90" s="210"/>
      <c r="D90" s="207"/>
      <c r="E90" s="211"/>
      <c r="F90" s="207"/>
      <c r="G90" s="207"/>
      <c r="H90" s="207"/>
      <c r="I90" s="207"/>
      <c r="J90" s="207"/>
      <c r="K90" s="207"/>
      <c r="L90" s="207"/>
      <c r="M90" s="207"/>
      <c r="N90" s="207"/>
      <c r="O90" s="207"/>
      <c r="P90" s="207"/>
      <c r="Q90" s="207"/>
      <c r="R90" s="207"/>
      <c r="S90" s="207"/>
      <c r="T90" s="207"/>
      <c r="U90" s="207"/>
      <c r="V90" s="207"/>
      <c r="W90" s="207"/>
      <c r="X90" s="207"/>
    </row>
    <row r="91" spans="1:24" x14ac:dyDescent="0.25">
      <c r="A91" s="298"/>
      <c r="B91" s="211"/>
      <c r="C91" s="210"/>
      <c r="D91" s="207"/>
      <c r="E91" s="211"/>
      <c r="F91" s="207"/>
      <c r="G91" s="207"/>
      <c r="H91" s="207"/>
      <c r="I91" s="207"/>
      <c r="J91" s="207"/>
      <c r="K91" s="207"/>
      <c r="L91" s="207"/>
      <c r="M91" s="207"/>
      <c r="N91" s="207"/>
      <c r="O91" s="207"/>
      <c r="P91" s="207"/>
      <c r="Q91" s="207"/>
      <c r="R91" s="207"/>
      <c r="S91" s="207"/>
      <c r="T91" s="207"/>
      <c r="U91" s="207"/>
      <c r="V91" s="207"/>
      <c r="W91" s="207"/>
      <c r="X91" s="207"/>
    </row>
    <row r="92" spans="1:24" x14ac:dyDescent="0.25">
      <c r="A92" s="298"/>
      <c r="B92" s="211"/>
      <c r="C92" s="210"/>
      <c r="D92" s="207"/>
      <c r="E92" s="211"/>
      <c r="F92" s="207"/>
      <c r="G92" s="207"/>
      <c r="H92" s="207"/>
      <c r="I92" s="207"/>
      <c r="J92" s="207"/>
      <c r="K92" s="207"/>
      <c r="L92" s="207"/>
      <c r="M92" s="207"/>
      <c r="N92" s="207"/>
      <c r="O92" s="207"/>
      <c r="P92" s="207"/>
      <c r="Q92" s="207"/>
      <c r="R92" s="207"/>
      <c r="S92" s="207"/>
      <c r="T92" s="207"/>
      <c r="U92" s="207"/>
      <c r="V92" s="207"/>
      <c r="W92" s="207"/>
      <c r="X92" s="207"/>
    </row>
    <row r="93" spans="1:24" x14ac:dyDescent="0.25">
      <c r="A93" s="298"/>
      <c r="B93" s="211"/>
      <c r="C93" s="210"/>
      <c r="D93" s="207"/>
      <c r="E93" s="211"/>
      <c r="F93" s="207"/>
      <c r="G93" s="207"/>
      <c r="H93" s="207"/>
      <c r="I93" s="207"/>
      <c r="J93" s="207"/>
      <c r="K93" s="207"/>
      <c r="L93" s="207"/>
      <c r="M93" s="207"/>
      <c r="N93" s="207"/>
      <c r="O93" s="207"/>
      <c r="P93" s="207"/>
      <c r="Q93" s="207"/>
      <c r="R93" s="207"/>
      <c r="S93" s="207"/>
      <c r="T93" s="207"/>
      <c r="U93" s="207"/>
      <c r="V93" s="207"/>
      <c r="W93" s="207"/>
      <c r="X93" s="207"/>
    </row>
  </sheetData>
  <sheetProtection algorithmName="SHA-512" hashValue="rOnNsU3Ui+p8SqRGa/AIVJGSuJO51IuIB/I8y0kHpiauQg/jz43EvgDYGEVlpniZIj4KyF6tY5KqhXaFZSc09Q==" saltValue="8vR3f2pLRvAUqOZZIIb5dw==" spinCount="100000" sheet="1" objects="1" scenarios="1"/>
  <dataConsolidate/>
  <mergeCells count="9">
    <mergeCell ref="A4:P5"/>
    <mergeCell ref="P7:P10"/>
    <mergeCell ref="B8:C9"/>
    <mergeCell ref="D8:O8"/>
    <mergeCell ref="D9:I9"/>
    <mergeCell ref="J9:O9"/>
    <mergeCell ref="A7:A10"/>
    <mergeCell ref="B7:O7"/>
    <mergeCell ref="A6:P6"/>
  </mergeCells>
  <pageMargins left="0.25" right="0.25" top="0.75" bottom="0.75" header="0.3" footer="0.3"/>
  <pageSetup scale="58" fitToHeight="0" orientation="landscape" r:id="rId1"/>
  <headerFooter>
    <oddFooter>&amp;C&amp;"Century Gothic,Regular"&amp;8Page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11AEC-7468-4147-B09B-A807A8D4F140}">
  <sheetPr codeName="Sheet19">
    <pageSetUpPr fitToPage="1"/>
  </sheetPr>
  <dimension ref="A1:Y105"/>
  <sheetViews>
    <sheetView zoomScale="130" zoomScaleNormal="130" zoomScaleSheetLayoutView="130" workbookViewId="0">
      <pane ySplit="4" topLeftCell="A5" activePane="bottomLeft" state="frozen"/>
      <selection activeCell="A5" sqref="A5"/>
      <selection pane="bottomLeft" activeCell="A5" sqref="A5"/>
    </sheetView>
  </sheetViews>
  <sheetFormatPr baseColWidth="10" defaultColWidth="9.28515625" defaultRowHeight="13.5" x14ac:dyDescent="0.3"/>
  <cols>
    <col min="1" max="1" width="38.140625" style="7" customWidth="1"/>
    <col min="2" max="6" width="13.7109375" style="7" customWidth="1"/>
    <col min="7" max="8" width="9.28515625" style="80"/>
    <col min="9" max="16384" width="9.28515625" style="7"/>
  </cols>
  <sheetData>
    <row r="1" spans="1:25" ht="20.65" customHeight="1" x14ac:dyDescent="0.3">
      <c r="A1" s="89" t="s">
        <v>791</v>
      </c>
      <c r="B1" s="2"/>
      <c r="C1" s="2"/>
      <c r="D1" s="2"/>
      <c r="E1" s="2"/>
      <c r="F1" s="3"/>
      <c r="G1" s="44"/>
      <c r="H1" s="44"/>
      <c r="I1" s="1"/>
      <c r="J1" s="1"/>
      <c r="K1" s="1"/>
      <c r="L1" s="1"/>
      <c r="M1" s="1"/>
      <c r="N1" s="1"/>
      <c r="O1" s="1"/>
      <c r="P1" s="1"/>
      <c r="Q1" s="1"/>
      <c r="R1" s="1"/>
      <c r="S1" s="1"/>
      <c r="T1" s="1"/>
      <c r="U1" s="1"/>
      <c r="V1" s="1"/>
      <c r="W1" s="1"/>
      <c r="X1" s="1"/>
      <c r="Y1" s="1"/>
    </row>
    <row r="2" spans="1:25" ht="13.5" customHeight="1" x14ac:dyDescent="0.3">
      <c r="A2" s="90" t="s">
        <v>133</v>
      </c>
      <c r="B2" s="121"/>
      <c r="C2" s="121"/>
      <c r="D2" s="121"/>
      <c r="E2" s="121"/>
      <c r="F2" s="11"/>
      <c r="G2" s="44"/>
      <c r="H2" s="44"/>
      <c r="I2" s="1"/>
      <c r="J2" s="1"/>
      <c r="K2" s="1"/>
      <c r="L2" s="1"/>
      <c r="M2" s="1"/>
      <c r="N2" s="1"/>
      <c r="O2" s="1"/>
      <c r="P2" s="1"/>
      <c r="Q2" s="1"/>
      <c r="R2" s="1"/>
      <c r="S2" s="1"/>
      <c r="T2" s="1"/>
      <c r="U2" s="1"/>
      <c r="V2" s="1"/>
      <c r="W2" s="1"/>
      <c r="X2" s="1"/>
      <c r="Y2" s="1"/>
    </row>
    <row r="3" spans="1:25" x14ac:dyDescent="0.3">
      <c r="A3" s="91"/>
      <c r="B3" s="584">
        <v>2018</v>
      </c>
      <c r="C3" s="584">
        <v>2019</v>
      </c>
      <c r="D3" s="584">
        <v>2020</v>
      </c>
      <c r="E3" s="584">
        <v>2021</v>
      </c>
      <c r="F3" s="585">
        <v>2022</v>
      </c>
      <c r="G3" s="44"/>
      <c r="H3" s="44"/>
      <c r="I3" s="1"/>
      <c r="J3" s="1"/>
      <c r="K3" s="1"/>
      <c r="L3" s="1"/>
      <c r="M3" s="1"/>
      <c r="N3" s="1"/>
      <c r="O3" s="1"/>
      <c r="P3" s="1"/>
      <c r="Q3" s="1"/>
      <c r="R3" s="1"/>
      <c r="S3" s="1"/>
      <c r="T3" s="1"/>
      <c r="U3" s="1"/>
      <c r="V3" s="1"/>
      <c r="W3" s="1"/>
      <c r="X3" s="1"/>
      <c r="Y3" s="1"/>
    </row>
    <row r="4" spans="1:25" ht="15" customHeight="1" x14ac:dyDescent="0.3">
      <c r="A4" s="92" t="s">
        <v>134</v>
      </c>
      <c r="B4" s="50"/>
      <c r="C4" s="50"/>
      <c r="D4" s="50"/>
      <c r="E4" s="14"/>
      <c r="F4" s="15"/>
      <c r="G4" s="44"/>
      <c r="H4" s="44"/>
      <c r="I4" s="1"/>
      <c r="J4" s="1"/>
      <c r="K4" s="1"/>
      <c r="L4" s="1"/>
      <c r="M4" s="1"/>
      <c r="N4" s="1"/>
      <c r="O4" s="1"/>
      <c r="P4" s="1"/>
      <c r="Q4" s="1"/>
      <c r="R4" s="1"/>
      <c r="S4" s="1"/>
      <c r="T4" s="1"/>
      <c r="U4" s="1"/>
      <c r="V4" s="1"/>
      <c r="W4" s="1"/>
      <c r="X4" s="1"/>
      <c r="Y4" s="1"/>
    </row>
    <row r="5" spans="1:25" ht="15" customHeight="1" x14ac:dyDescent="0.3">
      <c r="A5" s="126" t="s">
        <v>949</v>
      </c>
      <c r="B5" s="717">
        <v>155</v>
      </c>
      <c r="C5" s="717">
        <v>100</v>
      </c>
      <c r="D5" s="717">
        <v>108</v>
      </c>
      <c r="E5" s="718">
        <v>164</v>
      </c>
      <c r="F5" s="719">
        <v>177</v>
      </c>
      <c r="G5" s="206"/>
      <c r="H5" s="926"/>
      <c r="I5" s="1"/>
      <c r="J5" s="1"/>
      <c r="K5" s="1"/>
      <c r="L5" s="1"/>
      <c r="M5" s="1"/>
      <c r="N5" s="1"/>
      <c r="O5" s="1"/>
      <c r="P5" s="1"/>
      <c r="Q5" s="1"/>
      <c r="R5" s="1"/>
      <c r="S5" s="1"/>
      <c r="T5" s="1"/>
      <c r="U5" s="1"/>
      <c r="V5" s="1"/>
      <c r="W5" s="1"/>
      <c r="X5" s="1"/>
      <c r="Y5" s="1"/>
    </row>
    <row r="6" spans="1:25" ht="13.5" customHeight="1" x14ac:dyDescent="0.3">
      <c r="A6" s="107" t="s">
        <v>988</v>
      </c>
      <c r="B6" s="624">
        <v>0.4</v>
      </c>
      <c r="C6" s="624">
        <v>0.28999999999999998</v>
      </c>
      <c r="D6" s="624">
        <v>0.35</v>
      </c>
      <c r="E6" s="624">
        <v>0.47</v>
      </c>
      <c r="F6" s="953">
        <v>0.48</v>
      </c>
      <c r="G6" s="926"/>
      <c r="H6" s="44"/>
      <c r="I6" s="1"/>
      <c r="J6" s="1"/>
      <c r="K6" s="1"/>
      <c r="L6" s="1"/>
      <c r="M6" s="1"/>
      <c r="N6" s="1"/>
      <c r="O6" s="1"/>
      <c r="P6" s="1"/>
      <c r="Q6" s="1"/>
      <c r="R6" s="1"/>
      <c r="S6" s="1"/>
      <c r="T6" s="1"/>
      <c r="U6" s="1"/>
      <c r="V6" s="1"/>
      <c r="W6" s="1"/>
      <c r="X6" s="1"/>
      <c r="Y6" s="1"/>
    </row>
    <row r="7" spans="1:25" ht="13.5" customHeight="1" x14ac:dyDescent="0.3">
      <c r="A7" s="128" t="s">
        <v>989</v>
      </c>
      <c r="B7" s="619">
        <v>0.15</v>
      </c>
      <c r="C7" s="619">
        <v>0.21</v>
      </c>
      <c r="D7" s="619">
        <v>0.17</v>
      </c>
      <c r="E7" s="619">
        <v>0.16</v>
      </c>
      <c r="F7" s="620">
        <v>0.12</v>
      </c>
      <c r="G7" s="926"/>
      <c r="H7" s="926"/>
      <c r="I7" s="181"/>
      <c r="J7" s="1"/>
      <c r="K7" s="1"/>
      <c r="L7" s="1"/>
      <c r="M7" s="1"/>
      <c r="N7" s="1"/>
      <c r="O7" s="1"/>
      <c r="P7" s="1"/>
      <c r="Q7" s="1"/>
      <c r="R7" s="1"/>
      <c r="S7" s="1"/>
      <c r="T7" s="1"/>
      <c r="U7" s="1"/>
      <c r="V7" s="1"/>
      <c r="W7" s="1"/>
      <c r="X7" s="1"/>
      <c r="Y7" s="1"/>
    </row>
    <row r="8" spans="1:25" ht="13.5" customHeight="1" x14ac:dyDescent="0.3">
      <c r="A8" s="128" t="s">
        <v>990</v>
      </c>
      <c r="B8" s="619">
        <v>0.12</v>
      </c>
      <c r="C8" s="619">
        <v>0.18</v>
      </c>
      <c r="D8" s="619">
        <v>0.12</v>
      </c>
      <c r="E8" s="619">
        <v>7.0000000000000007E-2</v>
      </c>
      <c r="F8" s="620">
        <v>0.08</v>
      </c>
      <c r="G8" s="926"/>
      <c r="H8" s="926"/>
      <c r="I8" s="181"/>
      <c r="J8" s="1"/>
      <c r="K8" s="1"/>
      <c r="L8" s="1"/>
      <c r="M8" s="1"/>
      <c r="N8" s="1"/>
      <c r="O8" s="1"/>
      <c r="P8" s="1"/>
      <c r="Q8" s="1"/>
      <c r="R8" s="1"/>
      <c r="S8" s="1"/>
      <c r="T8" s="1"/>
      <c r="U8" s="1"/>
      <c r="V8" s="1"/>
      <c r="W8" s="1"/>
      <c r="X8" s="1"/>
      <c r="Y8" s="1"/>
    </row>
    <row r="9" spans="1:25" ht="13.5" customHeight="1" x14ac:dyDescent="0.3">
      <c r="A9" s="128" t="s">
        <v>991</v>
      </c>
      <c r="B9" s="619">
        <v>0.15</v>
      </c>
      <c r="C9" s="619">
        <v>0.17</v>
      </c>
      <c r="D9" s="619">
        <v>0.15</v>
      </c>
      <c r="E9" s="619">
        <v>0.13</v>
      </c>
      <c r="F9" s="620">
        <v>0.13</v>
      </c>
      <c r="G9" s="926"/>
      <c r="H9" s="926"/>
      <c r="I9" s="181"/>
      <c r="J9" s="1"/>
      <c r="K9" s="1"/>
      <c r="L9" s="1"/>
      <c r="M9" s="1"/>
      <c r="N9" s="1"/>
      <c r="O9" s="1"/>
      <c r="P9" s="1"/>
      <c r="Q9" s="1"/>
      <c r="R9" s="1"/>
      <c r="S9" s="1"/>
      <c r="T9" s="1"/>
      <c r="U9" s="1"/>
      <c r="V9" s="1"/>
      <c r="W9" s="1"/>
      <c r="X9" s="1"/>
      <c r="Y9" s="1"/>
    </row>
    <row r="10" spans="1:25" ht="13.5" customHeight="1" x14ac:dyDescent="0.3">
      <c r="A10" s="128" t="s">
        <v>992</v>
      </c>
      <c r="B10" s="619">
        <v>0.15</v>
      </c>
      <c r="C10" s="619">
        <v>0.14000000000000001</v>
      </c>
      <c r="D10" s="619">
        <v>0.17</v>
      </c>
      <c r="E10" s="619">
        <v>0.14000000000000001</v>
      </c>
      <c r="F10" s="620">
        <v>0.16</v>
      </c>
      <c r="G10" s="926"/>
      <c r="H10" s="926"/>
      <c r="I10" s="181"/>
      <c r="J10" s="1"/>
      <c r="K10" s="1"/>
      <c r="L10" s="1"/>
      <c r="M10" s="1"/>
      <c r="N10" s="1"/>
      <c r="O10" s="1"/>
      <c r="P10" s="1"/>
      <c r="Q10" s="1"/>
      <c r="R10" s="1"/>
      <c r="S10" s="1"/>
      <c r="T10" s="1"/>
      <c r="U10" s="1"/>
      <c r="V10" s="1"/>
      <c r="W10" s="1"/>
      <c r="X10" s="1"/>
      <c r="Y10" s="1"/>
    </row>
    <row r="11" spans="1:25" ht="13.5" customHeight="1" x14ac:dyDescent="0.3">
      <c r="A11" s="129" t="s">
        <v>993</v>
      </c>
      <c r="B11" s="720">
        <v>0.03</v>
      </c>
      <c r="C11" s="720">
        <v>0.01</v>
      </c>
      <c r="D11" s="720">
        <v>0.04</v>
      </c>
      <c r="E11" s="720">
        <v>0.03</v>
      </c>
      <c r="F11" s="721">
        <v>0.03</v>
      </c>
      <c r="G11" s="926"/>
      <c r="H11" s="926"/>
      <c r="I11" s="181"/>
      <c r="J11" s="1"/>
      <c r="K11" s="1"/>
      <c r="L11" s="1"/>
      <c r="M11" s="1"/>
      <c r="N11" s="1"/>
      <c r="O11" s="1"/>
      <c r="P11" s="1"/>
      <c r="Q11" s="1"/>
      <c r="R11" s="1"/>
      <c r="S11" s="1"/>
      <c r="T11" s="1"/>
      <c r="U11" s="1"/>
      <c r="V11" s="1"/>
      <c r="W11" s="1"/>
      <c r="X11" s="1"/>
      <c r="Y11" s="1"/>
    </row>
    <row r="12" spans="1:25" s="20" customFormat="1" x14ac:dyDescent="0.3">
      <c r="A12" s="124"/>
      <c r="B12" s="722"/>
      <c r="C12" s="722"/>
      <c r="D12" s="722"/>
      <c r="E12" s="722"/>
      <c r="F12" s="723"/>
      <c r="G12" s="26"/>
      <c r="H12" s="44"/>
      <c r="I12" s="6"/>
      <c r="J12" s="6"/>
      <c r="K12" s="6"/>
      <c r="L12" s="6"/>
      <c r="M12" s="6"/>
      <c r="N12" s="6"/>
      <c r="O12" s="6"/>
      <c r="P12" s="6"/>
      <c r="Q12" s="6"/>
      <c r="R12" s="6"/>
      <c r="S12" s="6"/>
      <c r="T12" s="6"/>
      <c r="U12" s="6"/>
      <c r="V12" s="6"/>
      <c r="W12" s="6"/>
      <c r="X12" s="6"/>
      <c r="Y12" s="6"/>
    </row>
    <row r="13" spans="1:25" ht="15" customHeight="1" x14ac:dyDescent="0.3">
      <c r="A13" s="127" t="s">
        <v>997</v>
      </c>
      <c r="B13" s="724"/>
      <c r="C13" s="724"/>
      <c r="D13" s="724"/>
      <c r="E13" s="724"/>
      <c r="F13" s="725"/>
      <c r="G13" s="44"/>
      <c r="H13" s="44"/>
      <c r="I13" s="1"/>
      <c r="J13" s="1"/>
      <c r="K13" s="1"/>
      <c r="L13" s="1"/>
      <c r="M13" s="1"/>
      <c r="N13" s="1"/>
      <c r="O13" s="1"/>
      <c r="P13" s="1"/>
      <c r="Q13" s="1"/>
      <c r="R13" s="1"/>
      <c r="S13" s="1"/>
      <c r="T13" s="1"/>
      <c r="U13" s="1"/>
      <c r="V13" s="1"/>
      <c r="W13" s="1"/>
      <c r="X13" s="1"/>
      <c r="Y13" s="1"/>
    </row>
    <row r="14" spans="1:25" ht="13.5" customHeight="1" x14ac:dyDescent="0.3">
      <c r="A14" s="30" t="s">
        <v>950</v>
      </c>
      <c r="B14" s="586"/>
      <c r="C14" s="586"/>
      <c r="D14" s="586"/>
      <c r="E14" s="586"/>
      <c r="F14" s="590"/>
      <c r="G14" s="269"/>
      <c r="H14" s="269"/>
      <c r="I14" s="270"/>
      <c r="J14" s="270"/>
      <c r="K14" s="270"/>
      <c r="L14" s="1"/>
      <c r="M14" s="1"/>
      <c r="N14" s="1"/>
      <c r="O14" s="1"/>
      <c r="P14" s="1"/>
      <c r="Q14" s="1"/>
      <c r="R14" s="1"/>
      <c r="S14" s="1"/>
      <c r="T14" s="1"/>
      <c r="U14" s="1"/>
      <c r="V14" s="1"/>
      <c r="W14" s="1"/>
      <c r="X14" s="1"/>
      <c r="Y14" s="1"/>
    </row>
    <row r="15" spans="1:25" ht="13.5" customHeight="1" x14ac:dyDescent="0.3">
      <c r="A15" s="128" t="s">
        <v>1000</v>
      </c>
      <c r="B15" s="705">
        <v>106</v>
      </c>
      <c r="C15" s="705">
        <v>87</v>
      </c>
      <c r="D15" s="705">
        <v>59</v>
      </c>
      <c r="E15" s="705">
        <v>94</v>
      </c>
      <c r="F15" s="706">
        <v>81</v>
      </c>
      <c r="G15" s="44"/>
      <c r="H15" s="44"/>
      <c r="I15" s="1"/>
      <c r="J15" s="1"/>
      <c r="K15" s="292"/>
      <c r="L15" s="291"/>
      <c r="M15" s="1"/>
      <c r="N15" s="1"/>
      <c r="O15" s="1"/>
      <c r="P15" s="1"/>
      <c r="Q15" s="1"/>
      <c r="R15" s="1"/>
      <c r="S15" s="1"/>
      <c r="T15" s="1"/>
      <c r="U15" s="1"/>
      <c r="V15" s="1"/>
      <c r="W15" s="1"/>
      <c r="X15" s="1"/>
      <c r="Y15" s="1"/>
    </row>
    <row r="16" spans="1:25" ht="13.5" customHeight="1" x14ac:dyDescent="0.3">
      <c r="A16" s="128" t="s">
        <v>112</v>
      </c>
      <c r="B16" s="705">
        <v>76</v>
      </c>
      <c r="C16" s="705">
        <v>60</v>
      </c>
      <c r="D16" s="705">
        <v>53</v>
      </c>
      <c r="E16" s="705">
        <v>60</v>
      </c>
      <c r="F16" s="706">
        <v>59</v>
      </c>
      <c r="G16" s="44"/>
      <c r="H16" s="44"/>
      <c r="I16" s="1"/>
      <c r="J16" s="1"/>
      <c r="K16" s="290"/>
      <c r="L16" s="291"/>
      <c r="M16" s="1"/>
      <c r="N16" s="1"/>
      <c r="O16" s="1"/>
      <c r="P16" s="1"/>
      <c r="Q16" s="1"/>
      <c r="R16" s="1"/>
      <c r="S16" s="1"/>
      <c r="T16" s="1"/>
      <c r="U16" s="1"/>
      <c r="V16" s="1"/>
      <c r="W16" s="1"/>
      <c r="X16" s="1"/>
      <c r="Y16" s="1"/>
    </row>
    <row r="17" spans="1:25" ht="13.5" customHeight="1" x14ac:dyDescent="0.3">
      <c r="A17" s="128" t="s">
        <v>141</v>
      </c>
      <c r="B17" s="705">
        <v>15</v>
      </c>
      <c r="C17" s="705">
        <v>9</v>
      </c>
      <c r="D17" s="705">
        <v>10</v>
      </c>
      <c r="E17" s="705">
        <v>4</v>
      </c>
      <c r="F17" s="706">
        <v>6</v>
      </c>
      <c r="G17" s="44"/>
      <c r="H17" s="44"/>
      <c r="I17" s="1"/>
      <c r="J17" s="1"/>
      <c r="K17" s="290"/>
      <c r="L17" s="291"/>
      <c r="M17" s="1"/>
      <c r="N17" s="1"/>
      <c r="O17" s="1"/>
      <c r="P17" s="1"/>
      <c r="Q17" s="1"/>
      <c r="R17" s="1"/>
      <c r="S17" s="1"/>
      <c r="T17" s="1"/>
      <c r="U17" s="1"/>
      <c r="V17" s="1"/>
      <c r="W17" s="1"/>
      <c r="X17" s="1"/>
      <c r="Y17" s="1"/>
    </row>
    <row r="18" spans="1:25" ht="13.5" customHeight="1" x14ac:dyDescent="0.3">
      <c r="A18" s="128" t="s">
        <v>135</v>
      </c>
      <c r="B18" s="705">
        <v>37</v>
      </c>
      <c r="C18" s="705">
        <v>29</v>
      </c>
      <c r="D18" s="705">
        <v>17</v>
      </c>
      <c r="E18" s="705">
        <v>10</v>
      </c>
      <c r="F18" s="706">
        <v>15</v>
      </c>
      <c r="G18" s="44"/>
      <c r="H18" s="44"/>
      <c r="I18" s="1"/>
      <c r="J18" s="1"/>
      <c r="K18" s="1"/>
      <c r="L18" s="1"/>
      <c r="M18" s="1"/>
      <c r="N18" s="1"/>
      <c r="O18" s="1"/>
      <c r="P18" s="1"/>
      <c r="Q18" s="1"/>
      <c r="R18" s="1"/>
      <c r="S18" s="1"/>
      <c r="T18" s="1"/>
      <c r="U18" s="1"/>
      <c r="V18" s="1"/>
      <c r="W18" s="1"/>
      <c r="X18" s="1"/>
      <c r="Y18" s="1"/>
    </row>
    <row r="19" spans="1:25" ht="13.5" customHeight="1" x14ac:dyDescent="0.3">
      <c r="A19" s="129" t="s">
        <v>998</v>
      </c>
      <c r="B19" s="726">
        <v>5</v>
      </c>
      <c r="C19" s="726">
        <v>5</v>
      </c>
      <c r="D19" s="726">
        <v>1</v>
      </c>
      <c r="E19" s="726">
        <v>1</v>
      </c>
      <c r="F19" s="727">
        <v>0</v>
      </c>
      <c r="G19" s="44"/>
      <c r="H19" s="44"/>
      <c r="I19" s="1"/>
      <c r="J19" s="1"/>
      <c r="K19" s="290"/>
      <c r="L19" s="291"/>
      <c r="M19" s="1"/>
      <c r="N19" s="1"/>
      <c r="O19" s="1"/>
      <c r="P19" s="1"/>
      <c r="Q19" s="1"/>
      <c r="R19" s="1"/>
      <c r="S19" s="1"/>
      <c r="T19" s="1"/>
      <c r="U19" s="1"/>
      <c r="V19" s="1"/>
      <c r="W19" s="1"/>
      <c r="X19" s="1"/>
      <c r="Y19" s="1"/>
    </row>
    <row r="20" spans="1:25" s="140" customFormat="1" ht="13.5" customHeight="1" x14ac:dyDescent="0.3">
      <c r="A20" s="791" t="s">
        <v>951</v>
      </c>
      <c r="B20" s="724">
        <v>239</v>
      </c>
      <c r="C20" s="724">
        <v>190</v>
      </c>
      <c r="D20" s="724">
        <v>140</v>
      </c>
      <c r="E20" s="724">
        <v>169</v>
      </c>
      <c r="F20" s="725">
        <v>161</v>
      </c>
      <c r="G20" s="333"/>
      <c r="H20" s="5"/>
      <c r="I20" s="137"/>
      <c r="J20" s="137"/>
      <c r="K20" s="137"/>
      <c r="L20" s="137"/>
      <c r="M20" s="137"/>
      <c r="N20" s="137"/>
      <c r="O20" s="137"/>
      <c r="P20" s="137"/>
      <c r="Q20" s="137"/>
    </row>
    <row r="21" spans="1:25" s="152" customFormat="1" ht="5.0999999999999996" customHeight="1" x14ac:dyDescent="0.3">
      <c r="A21" s="151"/>
      <c r="B21" s="626"/>
      <c r="C21" s="626"/>
      <c r="D21" s="626"/>
      <c r="E21" s="626"/>
      <c r="F21" s="627"/>
      <c r="G21" s="333"/>
      <c r="H21" s="333"/>
      <c r="I21" s="150"/>
      <c r="J21" s="150"/>
      <c r="K21" s="150"/>
      <c r="L21" s="150"/>
      <c r="M21" s="150"/>
      <c r="N21" s="150"/>
      <c r="O21" s="150"/>
      <c r="P21" s="150"/>
      <c r="Q21" s="150"/>
    </row>
    <row r="22" spans="1:25" ht="13.5" customHeight="1" x14ac:dyDescent="0.3">
      <c r="A22" s="30" t="s">
        <v>136</v>
      </c>
      <c r="B22" s="586"/>
      <c r="C22" s="586"/>
      <c r="D22" s="586"/>
      <c r="E22" s="586"/>
      <c r="F22" s="590"/>
      <c r="G22" s="269"/>
      <c r="H22" s="269"/>
      <c r="I22" s="270"/>
      <c r="J22" s="270"/>
      <c r="K22" s="270"/>
      <c r="L22" s="1"/>
      <c r="M22" s="1"/>
      <c r="N22" s="1"/>
      <c r="O22" s="1"/>
      <c r="P22" s="1"/>
      <c r="Q22" s="1"/>
      <c r="R22" s="1"/>
      <c r="S22" s="1"/>
      <c r="T22" s="1"/>
      <c r="U22" s="1"/>
      <c r="V22" s="1"/>
      <c r="W22" s="1"/>
      <c r="X22" s="1"/>
      <c r="Y22" s="1"/>
    </row>
    <row r="23" spans="1:25" ht="13.5" customHeight="1" x14ac:dyDescent="0.3">
      <c r="A23" s="128" t="s">
        <v>707</v>
      </c>
      <c r="B23" s="619">
        <v>0.08</v>
      </c>
      <c r="C23" s="619">
        <v>7.0000000000000007E-2</v>
      </c>
      <c r="D23" s="619">
        <v>0.11</v>
      </c>
      <c r="E23" s="619">
        <v>0.01</v>
      </c>
      <c r="F23" s="620">
        <v>0.01</v>
      </c>
      <c r="G23" s="7"/>
      <c r="H23" s="414"/>
      <c r="I23" s="413"/>
      <c r="J23" s="270"/>
      <c r="K23" s="270"/>
      <c r="L23" s="1"/>
      <c r="M23" s="1"/>
      <c r="N23" s="1"/>
      <c r="O23" s="1"/>
      <c r="P23" s="1"/>
      <c r="Q23" s="1"/>
      <c r="R23" s="1"/>
      <c r="S23" s="1"/>
      <c r="T23" s="1"/>
      <c r="U23" s="1"/>
      <c r="V23" s="1"/>
      <c r="W23" s="1"/>
      <c r="X23" s="1"/>
      <c r="Y23" s="1"/>
    </row>
    <row r="24" spans="1:25" ht="13.5" customHeight="1" x14ac:dyDescent="0.3">
      <c r="A24" s="128" t="s">
        <v>245</v>
      </c>
      <c r="B24" s="619">
        <v>0.04</v>
      </c>
      <c r="C24" s="619">
        <v>0.12</v>
      </c>
      <c r="D24" s="619">
        <v>0.15</v>
      </c>
      <c r="E24" s="619">
        <v>0.12</v>
      </c>
      <c r="F24" s="620">
        <v>0.12</v>
      </c>
      <c r="G24" s="892"/>
      <c r="H24" s="269"/>
      <c r="I24" s="270"/>
      <c r="J24" s="270"/>
      <c r="K24" s="270"/>
      <c r="L24" s="1"/>
      <c r="M24" s="1"/>
      <c r="N24" s="1"/>
      <c r="O24" s="1"/>
      <c r="P24" s="1"/>
      <c r="Q24" s="1"/>
      <c r="R24" s="1"/>
      <c r="S24" s="1"/>
      <c r="T24" s="1"/>
      <c r="U24" s="1"/>
      <c r="V24" s="1"/>
      <c r="W24" s="1"/>
      <c r="X24" s="1"/>
      <c r="Y24" s="1"/>
    </row>
    <row r="25" spans="1:25" ht="13.5" customHeight="1" x14ac:dyDescent="0.3">
      <c r="A25" s="128" t="s">
        <v>139</v>
      </c>
      <c r="B25" s="619">
        <v>0.03</v>
      </c>
      <c r="C25" s="619">
        <v>0.05</v>
      </c>
      <c r="D25" s="619">
        <v>0.01</v>
      </c>
      <c r="E25" s="619">
        <v>0.02</v>
      </c>
      <c r="F25" s="620">
        <v>0.03</v>
      </c>
      <c r="G25" s="892"/>
      <c r="H25" s="269"/>
      <c r="I25" s="270"/>
      <c r="J25" s="270"/>
      <c r="K25" s="270"/>
      <c r="L25" s="1"/>
      <c r="M25" s="1"/>
      <c r="N25" s="1"/>
      <c r="O25" s="1"/>
      <c r="P25" s="1"/>
      <c r="Q25" s="1"/>
      <c r="R25" s="1"/>
      <c r="S25" s="1"/>
      <c r="T25" s="1"/>
      <c r="U25" s="1"/>
      <c r="V25" s="1"/>
      <c r="W25" s="1"/>
      <c r="X25" s="1"/>
      <c r="Y25" s="1"/>
    </row>
    <row r="26" spans="1:25" ht="13.5" customHeight="1" x14ac:dyDescent="0.3">
      <c r="A26" s="128" t="s">
        <v>708</v>
      </c>
      <c r="B26" s="619">
        <v>0.02</v>
      </c>
      <c r="C26" s="619">
        <v>0.03</v>
      </c>
      <c r="D26" s="619">
        <v>0.04</v>
      </c>
      <c r="E26" s="619">
        <v>0.03</v>
      </c>
      <c r="F26" s="620">
        <v>0.08</v>
      </c>
      <c r="G26" s="892"/>
      <c r="H26" s="269"/>
      <c r="I26" s="270"/>
      <c r="J26" s="270"/>
      <c r="K26" s="270"/>
      <c r="L26" s="1"/>
      <c r="M26" s="1"/>
      <c r="N26" s="1"/>
      <c r="O26" s="1"/>
      <c r="P26" s="1"/>
      <c r="Q26" s="1"/>
      <c r="R26" s="1"/>
      <c r="S26" s="1"/>
      <c r="T26" s="1"/>
      <c r="U26" s="1"/>
      <c r="V26" s="1"/>
      <c r="W26" s="1"/>
      <c r="X26" s="1"/>
      <c r="Y26" s="1"/>
    </row>
    <row r="27" spans="1:25" ht="13.5" customHeight="1" x14ac:dyDescent="0.3">
      <c r="A27" s="128" t="s">
        <v>137</v>
      </c>
      <c r="B27" s="619">
        <v>0.21</v>
      </c>
      <c r="C27" s="619">
        <v>0.17</v>
      </c>
      <c r="D27" s="619">
        <v>0.16</v>
      </c>
      <c r="E27" s="619">
        <v>0.15</v>
      </c>
      <c r="F27" s="620">
        <v>0.15</v>
      </c>
      <c r="G27" s="892"/>
      <c r="H27" s="269"/>
      <c r="I27" s="270"/>
      <c r="J27" s="270"/>
      <c r="K27" s="270"/>
      <c r="L27" s="1"/>
      <c r="M27" s="1"/>
      <c r="N27" s="1"/>
      <c r="O27" s="1"/>
      <c r="P27" s="1"/>
      <c r="Q27" s="1"/>
      <c r="R27" s="1"/>
      <c r="S27" s="1"/>
      <c r="T27" s="1"/>
      <c r="U27" s="1"/>
      <c r="V27" s="1"/>
      <c r="W27" s="1"/>
      <c r="X27" s="1"/>
      <c r="Y27" s="1"/>
    </row>
    <row r="28" spans="1:25" ht="13.5" customHeight="1" x14ac:dyDescent="0.3">
      <c r="A28" s="128" t="s">
        <v>138</v>
      </c>
      <c r="B28" s="619">
        <v>0.12</v>
      </c>
      <c r="C28" s="619">
        <v>0.12</v>
      </c>
      <c r="D28" s="619">
        <v>0.15</v>
      </c>
      <c r="E28" s="619">
        <v>0.14000000000000001</v>
      </c>
      <c r="F28" s="620">
        <v>0.19</v>
      </c>
      <c r="G28" s="892"/>
      <c r="H28" s="269"/>
      <c r="I28" s="270"/>
      <c r="J28" s="270"/>
      <c r="K28" s="270"/>
      <c r="L28" s="1"/>
      <c r="M28" s="1"/>
      <c r="N28" s="1"/>
      <c r="O28" s="1"/>
      <c r="P28" s="1"/>
      <c r="Q28" s="1"/>
      <c r="R28" s="1"/>
      <c r="S28" s="1"/>
      <c r="T28" s="1"/>
      <c r="U28" s="1"/>
      <c r="V28" s="1"/>
      <c r="W28" s="1"/>
      <c r="X28" s="1"/>
      <c r="Y28" s="1"/>
    </row>
    <row r="29" spans="1:25" ht="13.5" customHeight="1" x14ac:dyDescent="0.3">
      <c r="A29" s="128" t="s">
        <v>709</v>
      </c>
      <c r="B29" s="619">
        <v>0.01</v>
      </c>
      <c r="C29" s="619">
        <v>0.02</v>
      </c>
      <c r="D29" s="619">
        <v>0</v>
      </c>
      <c r="E29" s="619">
        <v>0.01</v>
      </c>
      <c r="F29" s="620">
        <v>0</v>
      </c>
      <c r="G29" s="892"/>
      <c r="H29" s="269"/>
      <c r="I29" s="270"/>
      <c r="J29" s="270"/>
      <c r="K29" s="270"/>
      <c r="L29" s="1"/>
      <c r="M29" s="1"/>
      <c r="N29" s="1"/>
      <c r="O29" s="1"/>
      <c r="P29" s="1"/>
      <c r="Q29" s="1"/>
      <c r="R29" s="1"/>
      <c r="S29" s="1"/>
      <c r="T29" s="1"/>
      <c r="U29" s="1"/>
      <c r="V29" s="1"/>
      <c r="W29" s="1"/>
      <c r="X29" s="1"/>
      <c r="Y29" s="1"/>
    </row>
    <row r="30" spans="1:25" ht="13.5" customHeight="1" x14ac:dyDescent="0.3">
      <c r="A30" s="128" t="s">
        <v>140</v>
      </c>
      <c r="B30" s="619">
        <v>0.09</v>
      </c>
      <c r="C30" s="619">
        <v>0.08</v>
      </c>
      <c r="D30" s="619">
        <v>0.1</v>
      </c>
      <c r="E30" s="619">
        <v>0.05</v>
      </c>
      <c r="F30" s="620">
        <v>0.03</v>
      </c>
      <c r="G30" s="892"/>
      <c r="H30" s="269"/>
      <c r="I30" s="270"/>
      <c r="J30" s="270"/>
      <c r="K30" s="270"/>
      <c r="L30" s="1"/>
      <c r="M30" s="1"/>
      <c r="N30" s="1"/>
      <c r="O30" s="1"/>
      <c r="P30" s="1"/>
      <c r="Q30" s="1"/>
      <c r="R30" s="1"/>
      <c r="S30" s="1"/>
      <c r="T30" s="1"/>
      <c r="U30" s="1"/>
      <c r="V30" s="1"/>
      <c r="W30" s="1"/>
      <c r="X30" s="1"/>
      <c r="Y30" s="1"/>
    </row>
    <row r="31" spans="1:25" ht="13.5" customHeight="1" x14ac:dyDescent="0.3">
      <c r="A31" s="128" t="s">
        <v>710</v>
      </c>
      <c r="B31" s="619">
        <v>0.01</v>
      </c>
      <c r="C31" s="619">
        <v>0.02</v>
      </c>
      <c r="D31" s="619">
        <v>0.01</v>
      </c>
      <c r="E31" s="619">
        <v>0.01</v>
      </c>
      <c r="F31" s="620">
        <v>0.02</v>
      </c>
      <c r="G31" s="892"/>
      <c r="H31" s="269"/>
      <c r="I31" s="270"/>
      <c r="J31" s="270"/>
      <c r="K31" s="270"/>
      <c r="L31" s="1"/>
      <c r="M31" s="1"/>
      <c r="N31" s="1"/>
      <c r="O31" s="1"/>
      <c r="P31" s="1"/>
      <c r="Q31" s="1"/>
      <c r="R31" s="1"/>
      <c r="S31" s="1"/>
      <c r="T31" s="1"/>
      <c r="U31" s="1"/>
      <c r="V31" s="1"/>
      <c r="W31" s="1"/>
      <c r="X31" s="1"/>
      <c r="Y31" s="1"/>
    </row>
    <row r="32" spans="1:25" ht="13.5" customHeight="1" x14ac:dyDescent="0.3">
      <c r="A32" s="128" t="s">
        <v>711</v>
      </c>
      <c r="B32" s="619">
        <v>0.14000000000000001</v>
      </c>
      <c r="C32" s="619">
        <v>0.06</v>
      </c>
      <c r="D32" s="619">
        <v>0.08</v>
      </c>
      <c r="E32" s="619">
        <v>0.08</v>
      </c>
      <c r="F32" s="620">
        <v>0.12</v>
      </c>
      <c r="G32" s="892"/>
      <c r="H32" s="269"/>
      <c r="I32" s="270"/>
      <c r="J32" s="270"/>
      <c r="K32" s="270"/>
      <c r="L32" s="1"/>
      <c r="M32" s="1"/>
      <c r="N32" s="1"/>
      <c r="O32" s="1"/>
      <c r="P32" s="1"/>
      <c r="Q32" s="1"/>
      <c r="R32" s="1"/>
      <c r="S32" s="1"/>
      <c r="T32" s="1"/>
      <c r="U32" s="1"/>
      <c r="V32" s="1"/>
      <c r="W32" s="1"/>
      <c r="X32" s="1"/>
      <c r="Y32" s="1"/>
    </row>
    <row r="33" spans="1:25" ht="13.5" customHeight="1" x14ac:dyDescent="0.3">
      <c r="A33" s="128" t="s">
        <v>712</v>
      </c>
      <c r="B33" s="619">
        <v>0.09</v>
      </c>
      <c r="C33" s="619">
        <v>0.04</v>
      </c>
      <c r="D33" s="619">
        <v>0.03</v>
      </c>
      <c r="E33" s="619">
        <v>0.08</v>
      </c>
      <c r="F33" s="620">
        <v>0.08</v>
      </c>
      <c r="G33" s="892"/>
      <c r="H33" s="269"/>
      <c r="I33" s="270"/>
      <c r="J33" s="270"/>
      <c r="K33" s="270"/>
      <c r="L33" s="1"/>
      <c r="M33" s="1"/>
      <c r="N33" s="1"/>
      <c r="O33" s="1"/>
      <c r="P33" s="1"/>
      <c r="Q33" s="1"/>
      <c r="R33" s="1"/>
      <c r="S33" s="1"/>
      <c r="T33" s="1"/>
      <c r="U33" s="1"/>
      <c r="V33" s="1"/>
      <c r="W33" s="1"/>
      <c r="X33" s="1"/>
      <c r="Y33" s="1"/>
    </row>
    <row r="34" spans="1:25" ht="13.5" customHeight="1" x14ac:dyDescent="0.3">
      <c r="A34" s="128" t="s">
        <v>1002</v>
      </c>
      <c r="B34" s="619">
        <v>0.11</v>
      </c>
      <c r="C34" s="619">
        <v>0.11</v>
      </c>
      <c r="D34" s="619">
        <v>0.11</v>
      </c>
      <c r="E34" s="619">
        <v>0.13</v>
      </c>
      <c r="F34" s="620">
        <v>0.1</v>
      </c>
      <c r="G34" s="892"/>
      <c r="H34" s="269"/>
      <c r="I34" s="270"/>
      <c r="J34" s="270"/>
      <c r="K34" s="270"/>
      <c r="L34" s="1"/>
      <c r="M34" s="1"/>
      <c r="N34" s="1"/>
      <c r="O34" s="1"/>
      <c r="P34" s="1"/>
      <c r="Q34" s="1"/>
      <c r="R34" s="1"/>
      <c r="S34" s="1"/>
      <c r="T34" s="1"/>
      <c r="U34" s="1"/>
      <c r="V34" s="1"/>
      <c r="W34" s="1"/>
      <c r="X34" s="1"/>
      <c r="Y34" s="1"/>
    </row>
    <row r="35" spans="1:25" ht="13.5" customHeight="1" x14ac:dyDescent="0.3">
      <c r="A35" s="128" t="s">
        <v>713</v>
      </c>
      <c r="B35" s="619">
        <v>0.04</v>
      </c>
      <c r="C35" s="619">
        <v>0.09</v>
      </c>
      <c r="D35" s="619">
        <v>0.04</v>
      </c>
      <c r="E35" s="619">
        <v>0.16</v>
      </c>
      <c r="F35" s="620">
        <v>0.06</v>
      </c>
      <c r="G35" s="892"/>
      <c r="H35" s="269"/>
      <c r="I35" s="270"/>
      <c r="J35" s="270"/>
      <c r="K35" s="270"/>
      <c r="L35" s="1"/>
      <c r="M35" s="1"/>
      <c r="N35" s="1"/>
      <c r="O35" s="1"/>
      <c r="P35" s="1"/>
      <c r="Q35" s="1"/>
      <c r="R35" s="1"/>
      <c r="S35" s="1"/>
      <c r="T35" s="1"/>
      <c r="U35" s="1"/>
      <c r="V35" s="1"/>
      <c r="W35" s="1"/>
      <c r="X35" s="1"/>
      <c r="Y35" s="1"/>
    </row>
    <row r="36" spans="1:25" ht="13.5" customHeight="1" x14ac:dyDescent="0.3">
      <c r="A36" s="128" t="s">
        <v>714</v>
      </c>
      <c r="B36" s="619">
        <v>0</v>
      </c>
      <c r="C36" s="619">
        <v>0</v>
      </c>
      <c r="D36" s="619">
        <v>0.01</v>
      </c>
      <c r="E36" s="619">
        <v>0</v>
      </c>
      <c r="F36" s="620">
        <v>0</v>
      </c>
      <c r="G36" s="892"/>
      <c r="H36" s="269"/>
      <c r="I36" s="270"/>
      <c r="J36" s="270"/>
      <c r="K36" s="270"/>
      <c r="L36" s="1"/>
      <c r="M36" s="1"/>
      <c r="N36" s="1"/>
      <c r="O36" s="1"/>
      <c r="P36" s="1"/>
      <c r="Q36" s="1"/>
      <c r="R36" s="1"/>
      <c r="S36" s="1"/>
      <c r="T36" s="1"/>
      <c r="U36" s="1"/>
      <c r="V36" s="1"/>
      <c r="W36" s="1"/>
      <c r="X36" s="1"/>
      <c r="Y36" s="1"/>
    </row>
    <row r="37" spans="1:25" ht="13.5" customHeight="1" x14ac:dyDescent="0.3">
      <c r="A37" s="128" t="s">
        <v>715</v>
      </c>
      <c r="B37" s="619">
        <v>0.01</v>
      </c>
      <c r="C37" s="619">
        <v>0</v>
      </c>
      <c r="D37" s="619">
        <v>0</v>
      </c>
      <c r="E37" s="619">
        <v>0.01</v>
      </c>
      <c r="F37" s="620">
        <v>0</v>
      </c>
      <c r="G37" s="892"/>
      <c r="H37" s="269"/>
      <c r="I37" s="270"/>
      <c r="J37" s="270"/>
      <c r="K37" s="270"/>
      <c r="L37" s="1"/>
      <c r="M37" s="1"/>
      <c r="N37" s="1"/>
      <c r="O37" s="1"/>
      <c r="P37" s="1"/>
      <c r="Q37" s="1"/>
      <c r="R37" s="1"/>
      <c r="S37" s="1"/>
      <c r="T37" s="1"/>
      <c r="U37" s="1"/>
      <c r="V37" s="1"/>
      <c r="W37" s="1"/>
      <c r="X37" s="1"/>
      <c r="Y37" s="1"/>
    </row>
    <row r="38" spans="1:25" ht="13.5" customHeight="1" x14ac:dyDescent="0.3">
      <c r="A38" s="129" t="s">
        <v>716</v>
      </c>
      <c r="B38" s="720">
        <v>0</v>
      </c>
      <c r="C38" s="720">
        <v>0.02</v>
      </c>
      <c r="D38" s="720">
        <v>0</v>
      </c>
      <c r="E38" s="720">
        <v>0</v>
      </c>
      <c r="F38" s="721">
        <v>0.01</v>
      </c>
      <c r="G38" s="892"/>
      <c r="H38" s="269"/>
      <c r="I38" s="270"/>
      <c r="J38" s="270"/>
      <c r="K38" s="270"/>
      <c r="L38" s="1"/>
      <c r="M38" s="1"/>
      <c r="N38" s="1"/>
      <c r="O38" s="1"/>
      <c r="P38" s="1"/>
      <c r="Q38" s="1"/>
      <c r="R38" s="1"/>
      <c r="S38" s="1"/>
      <c r="T38" s="1"/>
      <c r="U38" s="1"/>
      <c r="V38" s="1"/>
      <c r="W38" s="1"/>
      <c r="X38" s="1"/>
      <c r="Y38" s="1"/>
    </row>
    <row r="39" spans="1:25" ht="8.1" customHeight="1" x14ac:dyDescent="0.3">
      <c r="A39" s="125"/>
      <c r="B39" s="588"/>
      <c r="C39" s="588"/>
      <c r="D39" s="722"/>
      <c r="E39" s="722"/>
      <c r="F39" s="723"/>
      <c r="G39" s="44"/>
      <c r="H39" s="44"/>
      <c r="I39" s="1"/>
      <c r="J39" s="1"/>
      <c r="K39" s="1"/>
      <c r="L39" s="1"/>
      <c r="M39" s="1"/>
      <c r="N39" s="1"/>
      <c r="O39" s="1"/>
      <c r="P39" s="1"/>
      <c r="Q39" s="1"/>
      <c r="R39" s="1"/>
      <c r="S39" s="1"/>
      <c r="T39" s="1"/>
      <c r="U39" s="1"/>
      <c r="V39" s="1"/>
      <c r="W39" s="1"/>
      <c r="X39" s="1"/>
      <c r="Y39" s="1"/>
    </row>
    <row r="40" spans="1:25" ht="8.1" customHeight="1" x14ac:dyDescent="0.3">
      <c r="A40" s="77"/>
      <c r="B40" s="728"/>
      <c r="C40" s="728"/>
      <c r="D40" s="728"/>
      <c r="E40" s="728"/>
      <c r="F40" s="728"/>
      <c r="G40" s="44"/>
      <c r="H40" s="44"/>
      <c r="I40" s="1"/>
      <c r="J40" s="1"/>
      <c r="K40" s="1"/>
      <c r="L40" s="1"/>
      <c r="M40" s="1"/>
      <c r="N40" s="1"/>
      <c r="O40" s="1"/>
      <c r="P40" s="1"/>
      <c r="Q40" s="1"/>
      <c r="R40" s="1"/>
      <c r="S40" s="1"/>
      <c r="T40" s="1"/>
      <c r="U40" s="1"/>
      <c r="V40" s="1"/>
      <c r="W40" s="1"/>
      <c r="X40" s="1"/>
      <c r="Y40" s="1"/>
    </row>
    <row r="41" spans="1:25" x14ac:dyDescent="0.3">
      <c r="A41" s="1001" t="s">
        <v>994</v>
      </c>
      <c r="B41" s="1001"/>
      <c r="C41" s="1001"/>
      <c r="D41" s="1001"/>
      <c r="E41" s="1001"/>
      <c r="F41" s="1001"/>
      <c r="G41" s="79"/>
      <c r="H41" s="44"/>
      <c r="I41" s="1"/>
      <c r="J41" s="1"/>
      <c r="K41" s="1"/>
      <c r="L41" s="1"/>
      <c r="M41" s="1"/>
      <c r="N41" s="1"/>
      <c r="O41" s="1"/>
      <c r="P41" s="1"/>
      <c r="Q41" s="1"/>
      <c r="R41" s="1"/>
      <c r="S41" s="1"/>
      <c r="T41" s="1"/>
      <c r="U41" s="1"/>
      <c r="V41" s="1"/>
      <c r="W41" s="1"/>
      <c r="X41" s="1"/>
      <c r="Y41" s="1"/>
    </row>
    <row r="42" spans="1:25" ht="11.45" customHeight="1" x14ac:dyDescent="0.3">
      <c r="A42" s="999" t="s">
        <v>995</v>
      </c>
      <c r="B42" s="999"/>
      <c r="C42" s="999"/>
      <c r="D42" s="999"/>
      <c r="E42" s="999"/>
      <c r="F42" s="999"/>
      <c r="G42" s="79"/>
      <c r="H42" s="44"/>
      <c r="I42" s="1"/>
      <c r="J42" s="1"/>
      <c r="K42" s="1"/>
      <c r="L42" s="1"/>
      <c r="M42" s="1"/>
      <c r="N42" s="1"/>
      <c r="O42" s="1"/>
      <c r="P42" s="1"/>
      <c r="Q42" s="1"/>
      <c r="R42" s="1"/>
      <c r="S42" s="1"/>
      <c r="T42" s="1"/>
      <c r="U42" s="1"/>
      <c r="V42" s="1"/>
      <c r="W42" s="1"/>
      <c r="X42" s="1"/>
      <c r="Y42" s="1"/>
    </row>
    <row r="43" spans="1:25" ht="14.25" x14ac:dyDescent="0.3">
      <c r="A43" s="999"/>
      <c r="B43" s="999"/>
      <c r="C43" s="999"/>
      <c r="D43" s="999"/>
      <c r="E43" s="999"/>
      <c r="F43" s="999"/>
      <c r="G43" s="934"/>
      <c r="H43" s="44"/>
      <c r="I43" s="1"/>
      <c r="J43" s="1"/>
      <c r="K43" s="1"/>
      <c r="L43" s="1"/>
      <c r="M43" s="1"/>
      <c r="N43" s="1"/>
      <c r="O43" s="1"/>
      <c r="P43" s="1"/>
      <c r="Q43" s="1"/>
      <c r="R43" s="1"/>
      <c r="S43" s="1"/>
      <c r="T43" s="1"/>
      <c r="U43" s="1"/>
      <c r="V43" s="1"/>
      <c r="W43" s="1"/>
      <c r="X43" s="1"/>
      <c r="Y43" s="1"/>
    </row>
    <row r="44" spans="1:25" ht="14.25" x14ac:dyDescent="0.3">
      <c r="A44" s="999"/>
      <c r="B44" s="999"/>
      <c r="C44" s="999"/>
      <c r="D44" s="999"/>
      <c r="E44" s="999"/>
      <c r="F44" s="999"/>
      <c r="G44" s="934"/>
      <c r="H44" s="44"/>
      <c r="I44" s="1"/>
      <c r="J44" s="1"/>
      <c r="K44" s="1"/>
      <c r="L44" s="1"/>
      <c r="M44" s="1"/>
      <c r="N44" s="1"/>
      <c r="O44" s="1"/>
      <c r="P44" s="1"/>
      <c r="Q44" s="1"/>
      <c r="R44" s="1"/>
      <c r="S44" s="1"/>
      <c r="T44" s="1"/>
      <c r="U44" s="1"/>
      <c r="V44" s="1"/>
      <c r="W44" s="1"/>
      <c r="X44" s="1"/>
      <c r="Y44" s="1"/>
    </row>
    <row r="45" spans="1:25" ht="14.25" x14ac:dyDescent="0.3">
      <c r="A45" s="999"/>
      <c r="B45" s="999"/>
      <c r="C45" s="999"/>
      <c r="D45" s="999"/>
      <c r="E45" s="999"/>
      <c r="F45" s="999"/>
      <c r="G45" s="934"/>
      <c r="H45" s="44"/>
      <c r="I45" s="1"/>
      <c r="J45" s="1"/>
      <c r="K45" s="1"/>
      <c r="L45" s="1"/>
      <c r="M45" s="1"/>
      <c r="N45" s="1"/>
      <c r="O45" s="1"/>
      <c r="P45" s="1"/>
      <c r="Q45" s="1"/>
      <c r="R45" s="1"/>
      <c r="S45" s="1"/>
      <c r="T45" s="1"/>
      <c r="U45" s="1"/>
      <c r="V45" s="1"/>
      <c r="W45" s="1"/>
      <c r="X45" s="1"/>
      <c r="Y45" s="1"/>
    </row>
    <row r="46" spans="1:25" ht="14.25" x14ac:dyDescent="0.3">
      <c r="A46" s="999"/>
      <c r="B46" s="999"/>
      <c r="C46" s="999"/>
      <c r="D46" s="999"/>
      <c r="E46" s="999"/>
      <c r="F46" s="999"/>
      <c r="G46" s="934"/>
      <c r="H46" s="44"/>
      <c r="I46" s="1"/>
      <c r="J46" s="1"/>
      <c r="K46" s="1"/>
      <c r="L46" s="1"/>
      <c r="M46" s="1"/>
      <c r="N46" s="1"/>
      <c r="O46" s="1"/>
      <c r="P46" s="1"/>
      <c r="Q46" s="1"/>
      <c r="R46" s="1"/>
      <c r="S46" s="1"/>
      <c r="T46" s="1"/>
      <c r="U46" s="1"/>
      <c r="V46" s="1"/>
      <c r="W46" s="1"/>
      <c r="X46" s="1"/>
      <c r="Y46" s="1"/>
    </row>
    <row r="47" spans="1:25" s="264" customFormat="1" x14ac:dyDescent="0.3">
      <c r="A47" s="337" t="s">
        <v>996</v>
      </c>
      <c r="B47" s="337"/>
      <c r="C47" s="337"/>
      <c r="D47" s="336"/>
      <c r="E47" s="336"/>
      <c r="F47" s="336"/>
      <c r="G47" s="332"/>
      <c r="H47" s="334"/>
      <c r="I47" s="263"/>
      <c r="J47" s="263"/>
      <c r="K47" s="263"/>
      <c r="L47" s="263"/>
      <c r="M47" s="263"/>
      <c r="N47" s="263"/>
      <c r="O47" s="263"/>
      <c r="P47" s="263"/>
      <c r="Q47" s="263"/>
      <c r="R47" s="263"/>
      <c r="S47" s="263"/>
      <c r="T47" s="263"/>
      <c r="U47" s="263"/>
      <c r="V47" s="263"/>
      <c r="W47" s="263"/>
      <c r="X47" s="263"/>
      <c r="Y47" s="263"/>
    </row>
    <row r="48" spans="1:25" s="264" customFormat="1" x14ac:dyDescent="0.3">
      <c r="A48" s="999" t="s">
        <v>999</v>
      </c>
      <c r="B48" s="999"/>
      <c r="C48" s="999"/>
      <c r="D48" s="999"/>
      <c r="E48" s="999"/>
      <c r="F48" s="999"/>
      <c r="G48" s="332"/>
      <c r="H48" s="334"/>
      <c r="I48" s="263"/>
      <c r="J48" s="263"/>
      <c r="K48" s="263"/>
      <c r="L48" s="263"/>
      <c r="M48" s="263"/>
      <c r="N48" s="263"/>
      <c r="O48" s="263"/>
      <c r="P48" s="263"/>
      <c r="Q48" s="263"/>
      <c r="R48" s="263"/>
      <c r="S48" s="263"/>
      <c r="T48" s="263"/>
      <c r="U48" s="263"/>
      <c r="V48" s="263"/>
      <c r="W48" s="263"/>
      <c r="X48" s="263"/>
      <c r="Y48" s="263"/>
    </row>
    <row r="49" spans="1:25" s="264" customFormat="1" x14ac:dyDescent="0.3">
      <c r="A49" s="999"/>
      <c r="B49" s="999"/>
      <c r="C49" s="999"/>
      <c r="D49" s="999"/>
      <c r="E49" s="999"/>
      <c r="F49" s="999"/>
      <c r="G49" s="332"/>
      <c r="H49" s="334"/>
      <c r="I49" s="263"/>
      <c r="J49" s="263"/>
      <c r="K49" s="263"/>
      <c r="L49" s="263"/>
      <c r="M49" s="263"/>
      <c r="N49" s="263"/>
      <c r="O49" s="263"/>
      <c r="P49" s="263"/>
      <c r="Q49" s="263"/>
      <c r="R49" s="263"/>
      <c r="S49" s="263"/>
      <c r="T49" s="263"/>
      <c r="U49" s="263"/>
      <c r="V49" s="263"/>
      <c r="W49" s="263"/>
      <c r="X49" s="263"/>
      <c r="Y49" s="263"/>
    </row>
    <row r="50" spans="1:25" ht="11.65" customHeight="1" x14ac:dyDescent="0.3">
      <c r="A50" s="1002" t="s">
        <v>1001</v>
      </c>
      <c r="B50" s="1002"/>
      <c r="C50" s="1002"/>
      <c r="D50" s="1002"/>
      <c r="E50" s="1002"/>
      <c r="F50" s="1002"/>
      <c r="G50" s="79"/>
      <c r="H50" s="44"/>
      <c r="I50" s="1"/>
      <c r="J50" s="1"/>
      <c r="K50" s="1"/>
      <c r="L50" s="1"/>
      <c r="M50" s="1"/>
      <c r="N50" s="1"/>
      <c r="O50" s="1"/>
      <c r="P50" s="1"/>
      <c r="Q50" s="1"/>
      <c r="R50" s="1"/>
      <c r="S50" s="1"/>
      <c r="T50" s="1"/>
      <c r="U50" s="1"/>
      <c r="V50" s="1"/>
      <c r="W50" s="1"/>
      <c r="X50" s="1"/>
      <c r="Y50" s="1"/>
    </row>
    <row r="51" spans="1:25" x14ac:dyDescent="0.3">
      <c r="A51" s="1000"/>
      <c r="B51" s="1000"/>
      <c r="C51" s="1000"/>
      <c r="D51" s="1000"/>
      <c r="E51" s="1000"/>
      <c r="F51" s="1000"/>
      <c r="G51" s="79"/>
      <c r="H51" s="44"/>
      <c r="I51" s="1"/>
      <c r="J51" s="1"/>
      <c r="K51" s="1"/>
      <c r="L51" s="1"/>
      <c r="M51" s="1"/>
    </row>
    <row r="52" spans="1:25" x14ac:dyDescent="0.3">
      <c r="A52" s="84"/>
      <c r="B52" s="84"/>
      <c r="C52" s="84"/>
      <c r="D52" s="84"/>
      <c r="E52" s="1"/>
      <c r="F52" s="1"/>
      <c r="G52" s="44"/>
      <c r="H52" s="44"/>
      <c r="I52" s="1"/>
      <c r="J52" s="1"/>
      <c r="K52" s="1"/>
      <c r="L52" s="1"/>
      <c r="M52" s="1"/>
      <c r="N52" s="1"/>
      <c r="O52" s="1"/>
      <c r="P52" s="1"/>
      <c r="Q52" s="1"/>
      <c r="R52" s="1"/>
      <c r="S52" s="1"/>
      <c r="T52" s="1"/>
      <c r="U52" s="1"/>
      <c r="V52" s="1"/>
      <c r="W52" s="1"/>
      <c r="X52" s="1"/>
      <c r="Y52" s="1"/>
    </row>
    <row r="53" spans="1:25" x14ac:dyDescent="0.3">
      <c r="A53" s="1"/>
      <c r="B53" s="1"/>
      <c r="C53" s="1"/>
      <c r="D53" s="1"/>
      <c r="E53" s="1"/>
      <c r="F53" s="1"/>
      <c r="G53" s="44"/>
      <c r="H53" s="44"/>
      <c r="I53" s="1"/>
      <c r="J53" s="1"/>
      <c r="K53" s="1"/>
      <c r="L53" s="1"/>
      <c r="M53" s="1"/>
      <c r="N53" s="1"/>
      <c r="O53" s="1"/>
      <c r="P53" s="1"/>
      <c r="Q53" s="1"/>
      <c r="R53" s="1"/>
      <c r="S53" s="1"/>
      <c r="T53" s="1"/>
      <c r="U53" s="1"/>
      <c r="V53" s="1"/>
      <c r="W53" s="1"/>
      <c r="X53" s="1"/>
      <c r="Y53" s="1"/>
    </row>
    <row r="54" spans="1:25" x14ac:dyDescent="0.3">
      <c r="A54" s="1"/>
      <c r="B54" s="1"/>
      <c r="C54" s="1"/>
      <c r="D54" s="1"/>
      <c r="E54" s="1"/>
      <c r="F54" s="1"/>
      <c r="G54" s="44"/>
      <c r="H54" s="44"/>
      <c r="I54" s="1"/>
      <c r="J54" s="1"/>
      <c r="K54" s="1"/>
      <c r="L54" s="1"/>
      <c r="M54" s="1"/>
      <c r="N54" s="1"/>
      <c r="O54" s="1"/>
      <c r="P54" s="1"/>
      <c r="Q54" s="1"/>
      <c r="R54" s="1"/>
      <c r="S54" s="1"/>
      <c r="T54" s="1"/>
      <c r="U54" s="1"/>
      <c r="V54" s="1"/>
      <c r="W54" s="1"/>
      <c r="X54" s="1"/>
      <c r="Y54" s="1"/>
    </row>
    <row r="55" spans="1:25" x14ac:dyDescent="0.3">
      <c r="A55" s="1"/>
      <c r="B55" s="1"/>
      <c r="C55" s="1"/>
      <c r="D55" s="1"/>
      <c r="E55" s="1"/>
      <c r="F55" s="1"/>
      <c r="G55" s="44"/>
      <c r="H55" s="44"/>
      <c r="I55" s="1"/>
      <c r="J55" s="1"/>
      <c r="K55" s="1"/>
      <c r="L55" s="1"/>
      <c r="M55" s="1"/>
      <c r="N55" s="1"/>
      <c r="O55" s="1"/>
      <c r="P55" s="1"/>
      <c r="Q55" s="1"/>
      <c r="R55" s="1"/>
      <c r="S55" s="1"/>
      <c r="T55" s="1"/>
      <c r="U55" s="1"/>
      <c r="V55" s="1"/>
      <c r="W55" s="1"/>
      <c r="X55" s="1"/>
      <c r="Y55" s="1"/>
    </row>
    <row r="56" spans="1:25" x14ac:dyDescent="0.3">
      <c r="A56" s="1"/>
      <c r="B56" s="1"/>
      <c r="C56" s="1"/>
      <c r="D56" s="1"/>
      <c r="E56" s="1"/>
      <c r="F56" s="1"/>
      <c r="G56" s="44"/>
      <c r="H56" s="44"/>
      <c r="I56" s="1"/>
      <c r="J56" s="1"/>
      <c r="K56" s="1"/>
      <c r="L56" s="1"/>
      <c r="M56" s="1"/>
      <c r="N56" s="1"/>
      <c r="O56" s="1"/>
      <c r="P56" s="1"/>
      <c r="Q56" s="1"/>
      <c r="R56" s="1"/>
      <c r="S56" s="1"/>
      <c r="T56" s="1"/>
      <c r="U56" s="1"/>
      <c r="V56" s="1"/>
      <c r="W56" s="1"/>
      <c r="X56" s="1"/>
      <c r="Y56" s="1"/>
    </row>
    <row r="57" spans="1:25" x14ac:dyDescent="0.3">
      <c r="A57" s="1"/>
      <c r="B57" s="1"/>
      <c r="C57" s="1"/>
      <c r="D57" s="1"/>
      <c r="E57" s="1"/>
      <c r="F57" s="1"/>
      <c r="G57" s="44"/>
      <c r="H57" s="44"/>
      <c r="I57" s="1"/>
      <c r="J57" s="1"/>
      <c r="K57" s="1"/>
      <c r="L57" s="1"/>
      <c r="M57" s="1"/>
      <c r="N57" s="1"/>
      <c r="O57" s="1"/>
      <c r="P57" s="1"/>
      <c r="Q57" s="1"/>
      <c r="R57" s="1"/>
      <c r="S57" s="1"/>
      <c r="T57" s="1"/>
      <c r="U57" s="1"/>
      <c r="V57" s="1"/>
      <c r="W57" s="1"/>
      <c r="X57" s="1"/>
      <c r="Y57" s="1"/>
    </row>
    <row r="58" spans="1:25" x14ac:dyDescent="0.3">
      <c r="A58" s="1"/>
      <c r="B58" s="1"/>
      <c r="C58" s="1"/>
      <c r="D58" s="1"/>
      <c r="E58" s="1"/>
      <c r="F58" s="1"/>
      <c r="G58" s="44"/>
      <c r="H58" s="44"/>
      <c r="I58" s="1"/>
      <c r="J58" s="1"/>
      <c r="K58" s="1"/>
      <c r="L58" s="1"/>
      <c r="M58" s="1"/>
      <c r="N58" s="1"/>
      <c r="O58" s="1"/>
      <c r="P58" s="1"/>
      <c r="Q58" s="1"/>
      <c r="R58" s="1"/>
      <c r="S58" s="1"/>
      <c r="T58" s="1"/>
      <c r="U58" s="1"/>
      <c r="V58" s="1"/>
      <c r="W58" s="1"/>
      <c r="X58" s="1"/>
      <c r="Y58" s="1"/>
    </row>
    <row r="59" spans="1:25" x14ac:dyDescent="0.3">
      <c r="A59" s="1"/>
      <c r="B59" s="1"/>
      <c r="C59" s="1"/>
      <c r="D59" s="1"/>
      <c r="E59" s="1"/>
      <c r="F59" s="1"/>
      <c r="G59" s="44"/>
      <c r="H59" s="44"/>
      <c r="I59" s="1"/>
      <c r="J59" s="1"/>
      <c r="K59" s="1"/>
      <c r="L59" s="1"/>
      <c r="M59" s="1"/>
      <c r="N59" s="1"/>
      <c r="O59" s="1"/>
      <c r="P59" s="1"/>
      <c r="Q59" s="1"/>
      <c r="R59" s="1"/>
      <c r="S59" s="1"/>
      <c r="T59" s="1"/>
      <c r="U59" s="1"/>
      <c r="V59" s="1"/>
      <c r="W59" s="1"/>
      <c r="X59" s="1"/>
      <c r="Y59" s="1"/>
    </row>
    <row r="60" spans="1:25" x14ac:dyDescent="0.3">
      <c r="A60" s="1"/>
      <c r="B60" s="1"/>
      <c r="C60" s="1"/>
      <c r="D60" s="1"/>
      <c r="E60" s="1"/>
      <c r="F60" s="1"/>
      <c r="G60" s="44"/>
      <c r="H60" s="44"/>
      <c r="I60" s="1"/>
      <c r="J60" s="1"/>
      <c r="K60" s="1"/>
      <c r="L60" s="1"/>
      <c r="M60" s="1"/>
      <c r="N60" s="1"/>
      <c r="O60" s="1"/>
      <c r="P60" s="1"/>
      <c r="Q60" s="1"/>
      <c r="R60" s="1"/>
      <c r="S60" s="1"/>
      <c r="T60" s="1"/>
      <c r="U60" s="1"/>
      <c r="V60" s="1"/>
      <c r="W60" s="1"/>
      <c r="X60" s="1"/>
      <c r="Y60" s="1"/>
    </row>
    <row r="61" spans="1:25" x14ac:dyDescent="0.3">
      <c r="A61" s="1"/>
      <c r="B61" s="1"/>
      <c r="C61" s="1"/>
      <c r="D61" s="1"/>
      <c r="E61" s="1"/>
      <c r="F61" s="1"/>
      <c r="G61" s="44"/>
      <c r="H61" s="44"/>
      <c r="I61" s="1"/>
      <c r="J61" s="1"/>
      <c r="K61" s="1"/>
      <c r="L61" s="1"/>
      <c r="M61" s="1"/>
      <c r="N61" s="1"/>
      <c r="O61" s="1"/>
      <c r="P61" s="1"/>
      <c r="Q61" s="1"/>
      <c r="R61" s="1"/>
      <c r="S61" s="1"/>
      <c r="T61" s="1"/>
      <c r="U61" s="1"/>
      <c r="V61" s="1"/>
      <c r="W61" s="1"/>
      <c r="X61" s="1"/>
      <c r="Y61" s="1"/>
    </row>
    <row r="62" spans="1:25" x14ac:dyDescent="0.3">
      <c r="A62" s="1"/>
      <c r="B62" s="1"/>
      <c r="C62" s="1"/>
      <c r="D62" s="1"/>
      <c r="E62" s="1"/>
      <c r="F62" s="1"/>
      <c r="G62" s="44"/>
      <c r="H62" s="44"/>
      <c r="I62" s="1"/>
      <c r="J62" s="1"/>
      <c r="K62" s="1"/>
      <c r="L62" s="1"/>
      <c r="M62" s="1"/>
      <c r="N62" s="1"/>
      <c r="O62" s="1"/>
      <c r="P62" s="1"/>
      <c r="Q62" s="1"/>
      <c r="R62" s="1"/>
      <c r="S62" s="1"/>
      <c r="T62" s="1"/>
      <c r="U62" s="1"/>
      <c r="V62" s="1"/>
      <c r="W62" s="1"/>
      <c r="X62" s="1"/>
      <c r="Y62" s="1"/>
    </row>
    <row r="63" spans="1:25" x14ac:dyDescent="0.3">
      <c r="A63" s="1"/>
      <c r="B63" s="1"/>
      <c r="C63" s="1"/>
      <c r="D63" s="1"/>
      <c r="E63" s="1"/>
      <c r="F63" s="1"/>
      <c r="G63" s="44"/>
      <c r="H63" s="44"/>
      <c r="I63" s="1"/>
      <c r="J63" s="1"/>
      <c r="K63" s="1"/>
      <c r="L63" s="1"/>
      <c r="M63" s="1"/>
      <c r="N63" s="1"/>
      <c r="O63" s="1"/>
      <c r="P63" s="1"/>
      <c r="Q63" s="1"/>
      <c r="R63" s="1"/>
      <c r="S63" s="1"/>
      <c r="T63" s="1"/>
      <c r="U63" s="1"/>
      <c r="V63" s="1"/>
      <c r="W63" s="1"/>
      <c r="X63" s="1"/>
      <c r="Y63" s="1"/>
    </row>
    <row r="64" spans="1:25" x14ac:dyDescent="0.3">
      <c r="A64" s="1"/>
      <c r="B64" s="1"/>
      <c r="C64" s="1"/>
      <c r="D64" s="1"/>
      <c r="E64" s="1"/>
      <c r="F64" s="1"/>
      <c r="G64" s="44"/>
      <c r="H64" s="44"/>
      <c r="I64" s="1"/>
      <c r="J64" s="1"/>
      <c r="K64" s="1"/>
      <c r="L64" s="1"/>
      <c r="M64" s="1"/>
      <c r="N64" s="1"/>
      <c r="O64" s="1"/>
      <c r="P64" s="1"/>
      <c r="Q64" s="1"/>
      <c r="R64" s="1"/>
      <c r="S64" s="1"/>
      <c r="T64" s="1"/>
      <c r="U64" s="1"/>
      <c r="V64" s="1"/>
      <c r="W64" s="1"/>
      <c r="X64" s="1"/>
      <c r="Y64" s="1"/>
    </row>
    <row r="65" spans="1:25" x14ac:dyDescent="0.3">
      <c r="A65" s="1"/>
      <c r="B65" s="1"/>
      <c r="C65" s="1"/>
      <c r="D65" s="1"/>
      <c r="E65" s="1"/>
      <c r="F65" s="1"/>
      <c r="G65" s="44"/>
      <c r="H65" s="44"/>
      <c r="I65" s="1"/>
      <c r="J65" s="1"/>
      <c r="K65" s="1"/>
      <c r="L65" s="1"/>
      <c r="M65" s="1"/>
      <c r="N65" s="1"/>
      <c r="O65" s="1"/>
      <c r="P65" s="1"/>
      <c r="Q65" s="1"/>
      <c r="R65" s="1"/>
      <c r="S65" s="1"/>
      <c r="T65" s="1"/>
      <c r="U65" s="1"/>
      <c r="V65" s="1"/>
      <c r="W65" s="1"/>
      <c r="X65" s="1"/>
      <c r="Y65" s="1"/>
    </row>
    <row r="66" spans="1:25" x14ac:dyDescent="0.3">
      <c r="A66" s="1"/>
      <c r="B66" s="1"/>
      <c r="C66" s="1"/>
      <c r="D66" s="1"/>
      <c r="E66" s="1"/>
      <c r="F66" s="1"/>
      <c r="G66" s="44"/>
      <c r="H66" s="44"/>
      <c r="I66" s="1"/>
      <c r="J66" s="1"/>
      <c r="K66" s="1"/>
      <c r="L66" s="1"/>
      <c r="M66" s="1"/>
      <c r="N66" s="1"/>
      <c r="O66" s="1"/>
      <c r="P66" s="1"/>
      <c r="Q66" s="1"/>
      <c r="R66" s="1"/>
      <c r="S66" s="1"/>
      <c r="T66" s="1"/>
      <c r="U66" s="1"/>
      <c r="V66" s="1"/>
      <c r="W66" s="1"/>
      <c r="X66" s="1"/>
      <c r="Y66" s="1"/>
    </row>
    <row r="67" spans="1:25" x14ac:dyDescent="0.3">
      <c r="A67" s="1"/>
      <c r="B67" s="1"/>
      <c r="C67" s="1"/>
      <c r="D67" s="1"/>
      <c r="E67" s="1"/>
      <c r="F67" s="1"/>
      <c r="G67" s="44"/>
      <c r="H67" s="44"/>
      <c r="I67" s="1"/>
      <c r="J67" s="1"/>
      <c r="K67" s="1"/>
      <c r="L67" s="1"/>
      <c r="M67" s="1"/>
      <c r="N67" s="1"/>
      <c r="O67" s="1"/>
      <c r="P67" s="1"/>
      <c r="Q67" s="1"/>
      <c r="R67" s="1"/>
      <c r="S67" s="1"/>
      <c r="T67" s="1"/>
      <c r="U67" s="1"/>
      <c r="V67" s="1"/>
      <c r="W67" s="1"/>
      <c r="X67" s="1"/>
      <c r="Y67" s="1"/>
    </row>
    <row r="68" spans="1:25" x14ac:dyDescent="0.3">
      <c r="A68" s="1"/>
      <c r="B68" s="1"/>
      <c r="C68" s="1"/>
      <c r="D68" s="1"/>
      <c r="E68" s="1"/>
      <c r="F68" s="1"/>
      <c r="G68" s="44"/>
      <c r="H68" s="44"/>
      <c r="I68" s="1"/>
      <c r="J68" s="1"/>
      <c r="K68" s="1"/>
      <c r="L68" s="1"/>
      <c r="M68" s="1"/>
      <c r="N68" s="1"/>
      <c r="O68" s="1"/>
      <c r="P68" s="1"/>
      <c r="Q68" s="1"/>
      <c r="R68" s="1"/>
      <c r="S68" s="1"/>
      <c r="T68" s="1"/>
      <c r="U68" s="1"/>
      <c r="V68" s="1"/>
      <c r="W68" s="1"/>
      <c r="X68" s="1"/>
      <c r="Y68" s="1"/>
    </row>
    <row r="69" spans="1:25" x14ac:dyDescent="0.3">
      <c r="A69" s="1"/>
      <c r="B69" s="1"/>
      <c r="C69" s="1"/>
      <c r="D69" s="1"/>
      <c r="E69" s="1"/>
      <c r="F69" s="1"/>
      <c r="G69" s="44"/>
      <c r="H69" s="44"/>
      <c r="I69" s="1"/>
      <c r="J69" s="1"/>
      <c r="K69" s="1"/>
      <c r="L69" s="1"/>
      <c r="M69" s="1"/>
      <c r="N69" s="1"/>
      <c r="O69" s="1"/>
      <c r="P69" s="1"/>
      <c r="Q69" s="1"/>
      <c r="R69" s="1"/>
      <c r="S69" s="1"/>
      <c r="T69" s="1"/>
      <c r="U69" s="1"/>
      <c r="V69" s="1"/>
      <c r="W69" s="1"/>
      <c r="X69" s="1"/>
      <c r="Y69" s="1"/>
    </row>
    <row r="70" spans="1:25" x14ac:dyDescent="0.3">
      <c r="A70" s="1"/>
      <c r="B70" s="1"/>
      <c r="C70" s="1"/>
      <c r="D70" s="1"/>
      <c r="E70" s="1"/>
      <c r="F70" s="1"/>
      <c r="G70" s="44"/>
      <c r="H70" s="44"/>
      <c r="I70" s="1"/>
      <c r="J70" s="1"/>
      <c r="K70" s="1"/>
      <c r="L70" s="1"/>
      <c r="M70" s="1"/>
      <c r="N70" s="1"/>
      <c r="O70" s="1"/>
      <c r="P70" s="1"/>
      <c r="Q70" s="1"/>
      <c r="R70" s="1"/>
      <c r="S70" s="1"/>
      <c r="T70" s="1"/>
      <c r="U70" s="1"/>
      <c r="V70" s="1"/>
      <c r="W70" s="1"/>
      <c r="X70" s="1"/>
      <c r="Y70" s="1"/>
    </row>
    <row r="71" spans="1:25" x14ac:dyDescent="0.3">
      <c r="A71" s="1"/>
      <c r="B71" s="1"/>
      <c r="C71" s="1"/>
      <c r="D71" s="1"/>
      <c r="E71" s="1"/>
      <c r="F71" s="1"/>
      <c r="G71" s="44"/>
      <c r="H71" s="44"/>
      <c r="I71" s="1"/>
      <c r="J71" s="1"/>
      <c r="K71" s="1"/>
      <c r="L71" s="1"/>
      <c r="M71" s="1"/>
      <c r="N71" s="1"/>
      <c r="O71" s="1"/>
      <c r="P71" s="1"/>
      <c r="Q71" s="1"/>
      <c r="R71" s="1"/>
      <c r="S71" s="1"/>
      <c r="T71" s="1"/>
      <c r="U71" s="1"/>
      <c r="V71" s="1"/>
      <c r="W71" s="1"/>
      <c r="X71" s="1"/>
      <c r="Y71" s="1"/>
    </row>
    <row r="72" spans="1:25" x14ac:dyDescent="0.3">
      <c r="A72" s="1"/>
      <c r="B72" s="1"/>
      <c r="C72" s="1"/>
      <c r="D72" s="1"/>
      <c r="E72" s="1"/>
      <c r="F72" s="1"/>
      <c r="G72" s="44"/>
      <c r="H72" s="44"/>
      <c r="I72" s="1"/>
      <c r="J72" s="1"/>
      <c r="K72" s="1"/>
      <c r="L72" s="1"/>
      <c r="M72" s="1"/>
      <c r="N72" s="1"/>
      <c r="O72" s="1"/>
      <c r="P72" s="1"/>
      <c r="Q72" s="1"/>
      <c r="R72" s="1"/>
      <c r="S72" s="1"/>
      <c r="T72" s="1"/>
      <c r="U72" s="1"/>
      <c r="V72" s="1"/>
      <c r="W72" s="1"/>
      <c r="X72" s="1"/>
      <c r="Y72" s="1"/>
    </row>
    <row r="73" spans="1:25" x14ac:dyDescent="0.3">
      <c r="A73" s="1"/>
      <c r="B73" s="1"/>
      <c r="C73" s="1"/>
      <c r="D73" s="1"/>
      <c r="E73" s="1"/>
      <c r="F73" s="1"/>
      <c r="G73" s="44"/>
      <c r="H73" s="44"/>
      <c r="I73" s="1"/>
      <c r="J73" s="1"/>
      <c r="K73" s="1"/>
      <c r="L73" s="1"/>
      <c r="M73" s="1"/>
      <c r="N73" s="1"/>
      <c r="O73" s="1"/>
      <c r="P73" s="1"/>
      <c r="Q73" s="1"/>
      <c r="R73" s="1"/>
      <c r="S73" s="1"/>
      <c r="T73" s="1"/>
      <c r="U73" s="1"/>
      <c r="V73" s="1"/>
      <c r="W73" s="1"/>
      <c r="X73" s="1"/>
      <c r="Y73" s="1"/>
    </row>
    <row r="74" spans="1:25" x14ac:dyDescent="0.3">
      <c r="A74" s="1"/>
      <c r="B74" s="1"/>
      <c r="C74" s="1"/>
      <c r="D74" s="1"/>
      <c r="E74" s="1"/>
      <c r="F74" s="1"/>
      <c r="G74" s="44"/>
      <c r="H74" s="44"/>
      <c r="I74" s="1"/>
      <c r="J74" s="1"/>
      <c r="K74" s="1"/>
      <c r="L74" s="1"/>
      <c r="M74" s="1"/>
      <c r="N74" s="1"/>
      <c r="O74" s="1"/>
      <c r="P74" s="1"/>
      <c r="Q74" s="1"/>
      <c r="R74" s="1"/>
      <c r="S74" s="1"/>
      <c r="T74" s="1"/>
      <c r="U74" s="1"/>
      <c r="V74" s="1"/>
      <c r="W74" s="1"/>
      <c r="X74" s="1"/>
      <c r="Y74" s="1"/>
    </row>
    <row r="75" spans="1:25" x14ac:dyDescent="0.3">
      <c r="A75" s="1"/>
      <c r="B75" s="1"/>
      <c r="C75" s="1"/>
      <c r="D75" s="1"/>
      <c r="E75" s="1"/>
      <c r="F75" s="1"/>
      <c r="G75" s="44"/>
      <c r="H75" s="44"/>
      <c r="I75" s="1"/>
      <c r="J75" s="1"/>
      <c r="K75" s="1"/>
      <c r="L75" s="1"/>
      <c r="M75" s="1"/>
      <c r="N75" s="1"/>
      <c r="O75" s="1"/>
      <c r="P75" s="1"/>
      <c r="Q75" s="1"/>
      <c r="R75" s="1"/>
      <c r="S75" s="1"/>
      <c r="T75" s="1"/>
      <c r="U75" s="1"/>
      <c r="V75" s="1"/>
      <c r="W75" s="1"/>
      <c r="X75" s="1"/>
      <c r="Y75" s="1"/>
    </row>
    <row r="76" spans="1:25" x14ac:dyDescent="0.3">
      <c r="A76" s="1"/>
      <c r="B76" s="1"/>
      <c r="C76" s="1"/>
      <c r="D76" s="1"/>
      <c r="E76" s="1"/>
      <c r="F76" s="1"/>
      <c r="G76" s="44"/>
      <c r="H76" s="44"/>
      <c r="I76" s="1"/>
      <c r="J76" s="1"/>
      <c r="K76" s="1"/>
      <c r="L76" s="1"/>
      <c r="M76" s="1"/>
      <c r="N76" s="1"/>
      <c r="O76" s="1"/>
      <c r="P76" s="1"/>
      <c r="Q76" s="1"/>
      <c r="R76" s="1"/>
      <c r="S76" s="1"/>
      <c r="T76" s="1"/>
      <c r="U76" s="1"/>
      <c r="V76" s="1"/>
      <c r="W76" s="1"/>
      <c r="X76" s="1"/>
      <c r="Y76" s="1"/>
    </row>
    <row r="77" spans="1:25" x14ac:dyDescent="0.3">
      <c r="A77" s="1"/>
      <c r="B77" s="1"/>
      <c r="C77" s="1"/>
      <c r="D77" s="1"/>
      <c r="E77" s="1"/>
      <c r="F77" s="1"/>
      <c r="G77" s="44"/>
      <c r="H77" s="44"/>
      <c r="I77" s="1"/>
      <c r="J77" s="1"/>
      <c r="K77" s="1"/>
      <c r="L77" s="1"/>
      <c r="M77" s="1"/>
      <c r="N77" s="1"/>
      <c r="O77" s="1"/>
      <c r="P77" s="1"/>
      <c r="Q77" s="1"/>
      <c r="R77" s="1"/>
      <c r="S77" s="1"/>
      <c r="T77" s="1"/>
      <c r="U77" s="1"/>
      <c r="V77" s="1"/>
      <c r="W77" s="1"/>
      <c r="X77" s="1"/>
      <c r="Y77" s="1"/>
    </row>
    <row r="78" spans="1:25" x14ac:dyDescent="0.3">
      <c r="A78" s="1"/>
      <c r="B78" s="1"/>
      <c r="C78" s="1"/>
      <c r="D78" s="1"/>
      <c r="E78" s="1"/>
      <c r="F78" s="1"/>
      <c r="G78" s="44"/>
      <c r="H78" s="44"/>
      <c r="I78" s="1"/>
      <c r="J78" s="1"/>
      <c r="K78" s="1"/>
      <c r="L78" s="1"/>
      <c r="M78" s="1"/>
      <c r="N78" s="1"/>
      <c r="O78" s="1"/>
      <c r="P78" s="1"/>
      <c r="Q78" s="1"/>
      <c r="R78" s="1"/>
      <c r="S78" s="1"/>
      <c r="T78" s="1"/>
      <c r="U78" s="1"/>
      <c r="V78" s="1"/>
      <c r="W78" s="1"/>
      <c r="X78" s="1"/>
      <c r="Y78" s="1"/>
    </row>
    <row r="79" spans="1:25" x14ac:dyDescent="0.3">
      <c r="A79" s="1"/>
      <c r="B79" s="1"/>
      <c r="C79" s="1"/>
      <c r="D79" s="1"/>
      <c r="E79" s="1"/>
      <c r="F79" s="1"/>
      <c r="G79" s="44"/>
      <c r="H79" s="44"/>
      <c r="I79" s="1"/>
      <c r="J79" s="1"/>
      <c r="K79" s="1"/>
      <c r="L79" s="1"/>
      <c r="M79" s="1"/>
      <c r="N79" s="1"/>
      <c r="O79" s="1"/>
      <c r="P79" s="1"/>
      <c r="Q79" s="1"/>
      <c r="R79" s="1"/>
      <c r="S79" s="1"/>
      <c r="T79" s="1"/>
      <c r="U79" s="1"/>
      <c r="V79" s="1"/>
      <c r="W79" s="1"/>
      <c r="X79" s="1"/>
      <c r="Y79" s="1"/>
    </row>
    <row r="80" spans="1:25" x14ac:dyDescent="0.3">
      <c r="A80" s="1"/>
      <c r="B80" s="1"/>
      <c r="C80" s="1"/>
      <c r="D80" s="1"/>
      <c r="E80" s="1"/>
      <c r="F80" s="1"/>
      <c r="G80" s="44"/>
      <c r="H80" s="44"/>
      <c r="I80" s="1"/>
      <c r="J80" s="1"/>
      <c r="K80" s="1"/>
      <c r="L80" s="1"/>
      <c r="M80" s="1"/>
      <c r="N80" s="1"/>
      <c r="O80" s="1"/>
      <c r="P80" s="1"/>
      <c r="Q80" s="1"/>
      <c r="R80" s="1"/>
      <c r="S80" s="1"/>
      <c r="T80" s="1"/>
      <c r="U80" s="1"/>
      <c r="V80" s="1"/>
      <c r="W80" s="1"/>
      <c r="X80" s="1"/>
      <c r="Y80" s="1"/>
    </row>
    <row r="81" spans="1:25" x14ac:dyDescent="0.3">
      <c r="A81" s="1"/>
      <c r="B81" s="1"/>
      <c r="C81" s="1"/>
      <c r="D81" s="1"/>
      <c r="E81" s="1"/>
      <c r="F81" s="1"/>
      <c r="G81" s="44"/>
      <c r="H81" s="44"/>
      <c r="I81" s="1"/>
      <c r="J81" s="1"/>
      <c r="K81" s="1"/>
      <c r="L81" s="1"/>
      <c r="M81" s="1"/>
      <c r="N81" s="1"/>
      <c r="O81" s="1"/>
      <c r="P81" s="1"/>
      <c r="Q81" s="1"/>
      <c r="R81" s="1"/>
      <c r="S81" s="1"/>
      <c r="T81" s="1"/>
      <c r="U81" s="1"/>
      <c r="V81" s="1"/>
      <c r="W81" s="1"/>
      <c r="X81" s="1"/>
      <c r="Y81" s="1"/>
    </row>
    <row r="82" spans="1:25" x14ac:dyDescent="0.3">
      <c r="A82" s="1"/>
      <c r="B82" s="1"/>
      <c r="C82" s="1"/>
      <c r="D82" s="1"/>
      <c r="E82" s="1"/>
      <c r="F82" s="1"/>
      <c r="G82" s="44"/>
      <c r="H82" s="44"/>
      <c r="I82" s="1"/>
      <c r="J82" s="1"/>
      <c r="K82" s="1"/>
      <c r="L82" s="1"/>
      <c r="M82" s="1"/>
      <c r="N82" s="1"/>
      <c r="O82" s="1"/>
      <c r="P82" s="1"/>
      <c r="Q82" s="1"/>
      <c r="R82" s="1"/>
      <c r="S82" s="1"/>
      <c r="T82" s="1"/>
      <c r="U82" s="1"/>
      <c r="V82" s="1"/>
      <c r="W82" s="1"/>
      <c r="X82" s="1"/>
      <c r="Y82" s="1"/>
    </row>
    <row r="83" spans="1:25" x14ac:dyDescent="0.3">
      <c r="A83" s="1"/>
      <c r="B83" s="1"/>
      <c r="C83" s="1"/>
      <c r="D83" s="1"/>
      <c r="E83" s="1"/>
      <c r="F83" s="1"/>
      <c r="G83" s="44"/>
      <c r="H83" s="44"/>
      <c r="I83" s="1"/>
      <c r="J83" s="1"/>
      <c r="K83" s="1"/>
      <c r="L83" s="1"/>
      <c r="M83" s="1"/>
      <c r="N83" s="1"/>
      <c r="O83" s="1"/>
      <c r="P83" s="1"/>
      <c r="Q83" s="1"/>
      <c r="R83" s="1"/>
      <c r="S83" s="1"/>
      <c r="T83" s="1"/>
      <c r="U83" s="1"/>
      <c r="V83" s="1"/>
      <c r="W83" s="1"/>
      <c r="X83" s="1"/>
      <c r="Y83" s="1"/>
    </row>
    <row r="84" spans="1:25" x14ac:dyDescent="0.3">
      <c r="A84" s="1"/>
      <c r="B84" s="1"/>
      <c r="C84" s="1"/>
      <c r="D84" s="1"/>
      <c r="E84" s="1"/>
      <c r="F84" s="1"/>
      <c r="G84" s="44"/>
      <c r="H84" s="44"/>
      <c r="I84" s="1"/>
      <c r="J84" s="1"/>
      <c r="K84" s="1"/>
      <c r="L84" s="1"/>
      <c r="M84" s="1"/>
      <c r="N84" s="1"/>
      <c r="O84" s="1"/>
      <c r="P84" s="1"/>
      <c r="Q84" s="1"/>
      <c r="R84" s="1"/>
      <c r="S84" s="1"/>
      <c r="T84" s="1"/>
      <c r="U84" s="1"/>
      <c r="V84" s="1"/>
      <c r="W84" s="1"/>
      <c r="X84" s="1"/>
      <c r="Y84" s="1"/>
    </row>
    <row r="85" spans="1:25" x14ac:dyDescent="0.3">
      <c r="A85" s="1"/>
      <c r="B85" s="1"/>
      <c r="C85" s="1"/>
      <c r="D85" s="1"/>
      <c r="E85" s="1"/>
      <c r="F85" s="1"/>
      <c r="G85" s="44"/>
      <c r="H85" s="44"/>
      <c r="I85" s="1"/>
      <c r="J85" s="1"/>
      <c r="K85" s="1"/>
      <c r="L85" s="1"/>
      <c r="M85" s="1"/>
      <c r="N85" s="1"/>
      <c r="O85" s="1"/>
      <c r="P85" s="1"/>
      <c r="Q85" s="1"/>
      <c r="R85" s="1"/>
      <c r="S85" s="1"/>
      <c r="T85" s="1"/>
      <c r="U85" s="1"/>
      <c r="V85" s="1"/>
      <c r="W85" s="1"/>
      <c r="X85" s="1"/>
      <c r="Y85" s="1"/>
    </row>
    <row r="86" spans="1:25" x14ac:dyDescent="0.3">
      <c r="A86" s="1"/>
      <c r="B86" s="1"/>
      <c r="C86" s="1"/>
      <c r="D86" s="1"/>
      <c r="E86" s="1"/>
      <c r="F86" s="1"/>
      <c r="G86" s="44"/>
      <c r="H86" s="44"/>
      <c r="I86" s="1"/>
      <c r="J86" s="1"/>
      <c r="K86" s="1"/>
      <c r="L86" s="1"/>
      <c r="M86" s="1"/>
      <c r="N86" s="1"/>
      <c r="O86" s="1"/>
      <c r="P86" s="1"/>
      <c r="Q86" s="1"/>
      <c r="R86" s="1"/>
      <c r="S86" s="1"/>
      <c r="T86" s="1"/>
      <c r="U86" s="1"/>
      <c r="V86" s="1"/>
      <c r="W86" s="1"/>
      <c r="X86" s="1"/>
      <c r="Y86" s="1"/>
    </row>
    <row r="87" spans="1:25" x14ac:dyDescent="0.3">
      <c r="A87" s="1"/>
      <c r="B87" s="1"/>
      <c r="C87" s="1"/>
      <c r="D87" s="1"/>
      <c r="E87" s="1"/>
      <c r="F87" s="1"/>
      <c r="G87" s="44"/>
      <c r="H87" s="44"/>
      <c r="I87" s="1"/>
      <c r="J87" s="1"/>
      <c r="K87" s="1"/>
      <c r="L87" s="1"/>
      <c r="M87" s="1"/>
      <c r="N87" s="1"/>
      <c r="O87" s="1"/>
      <c r="P87" s="1"/>
      <c r="Q87" s="1"/>
      <c r="R87" s="1"/>
      <c r="S87" s="1"/>
      <c r="T87" s="1"/>
      <c r="U87" s="1"/>
      <c r="V87" s="1"/>
      <c r="W87" s="1"/>
      <c r="X87" s="1"/>
      <c r="Y87" s="1"/>
    </row>
    <row r="88" spans="1:25" x14ac:dyDescent="0.3">
      <c r="A88" s="1"/>
      <c r="B88" s="1"/>
      <c r="C88" s="1"/>
      <c r="D88" s="1"/>
      <c r="E88" s="1"/>
      <c r="F88" s="1"/>
      <c r="G88" s="44"/>
      <c r="H88" s="44"/>
      <c r="I88" s="1"/>
      <c r="J88" s="1"/>
      <c r="K88" s="1"/>
      <c r="L88" s="1"/>
      <c r="M88" s="1"/>
      <c r="N88" s="1"/>
      <c r="O88" s="1"/>
      <c r="P88" s="1"/>
      <c r="Q88" s="1"/>
      <c r="R88" s="1"/>
      <c r="S88" s="1"/>
      <c r="T88" s="1"/>
      <c r="U88" s="1"/>
      <c r="V88" s="1"/>
      <c r="W88" s="1"/>
      <c r="X88" s="1"/>
      <c r="Y88" s="1"/>
    </row>
    <row r="89" spans="1:25" x14ac:dyDescent="0.3">
      <c r="A89" s="1"/>
      <c r="B89" s="1"/>
      <c r="C89" s="1"/>
      <c r="D89" s="1"/>
      <c r="E89" s="1"/>
      <c r="F89" s="1"/>
      <c r="G89" s="44"/>
      <c r="H89" s="44"/>
      <c r="I89" s="1"/>
      <c r="J89" s="1"/>
      <c r="K89" s="1"/>
      <c r="L89" s="1"/>
      <c r="M89" s="1"/>
      <c r="N89" s="1"/>
      <c r="O89" s="1"/>
      <c r="P89" s="1"/>
      <c r="Q89" s="1"/>
      <c r="R89" s="1"/>
      <c r="S89" s="1"/>
      <c r="T89" s="1"/>
      <c r="U89" s="1"/>
      <c r="V89" s="1"/>
      <c r="W89" s="1"/>
      <c r="X89" s="1"/>
      <c r="Y89" s="1"/>
    </row>
    <row r="90" spans="1:25" x14ac:dyDescent="0.3">
      <c r="A90" s="1"/>
      <c r="B90" s="1"/>
      <c r="C90" s="1"/>
      <c r="D90" s="1"/>
      <c r="E90" s="1"/>
      <c r="F90" s="1"/>
      <c r="G90" s="44"/>
      <c r="H90" s="44"/>
      <c r="I90" s="1"/>
      <c r="J90" s="1"/>
      <c r="K90" s="1"/>
      <c r="L90" s="1"/>
      <c r="M90" s="1"/>
      <c r="N90" s="1"/>
      <c r="O90" s="1"/>
      <c r="P90" s="1"/>
      <c r="Q90" s="1"/>
      <c r="R90" s="1"/>
      <c r="S90" s="1"/>
      <c r="T90" s="1"/>
      <c r="U90" s="1"/>
      <c r="V90" s="1"/>
      <c r="W90" s="1"/>
      <c r="X90" s="1"/>
      <c r="Y90" s="1"/>
    </row>
    <row r="91" spans="1:25" x14ac:dyDescent="0.3">
      <c r="A91" s="1"/>
      <c r="B91" s="1"/>
      <c r="C91" s="1"/>
      <c r="D91" s="1"/>
      <c r="E91" s="1"/>
      <c r="F91" s="1"/>
      <c r="G91" s="44"/>
      <c r="H91" s="44"/>
      <c r="I91" s="1"/>
      <c r="J91" s="1"/>
      <c r="K91" s="1"/>
      <c r="L91" s="1"/>
      <c r="M91" s="1"/>
      <c r="N91" s="1"/>
      <c r="O91" s="1"/>
      <c r="P91" s="1"/>
      <c r="Q91" s="1"/>
      <c r="R91" s="1"/>
      <c r="S91" s="1"/>
      <c r="T91" s="1"/>
      <c r="U91" s="1"/>
      <c r="V91" s="1"/>
      <c r="W91" s="1"/>
      <c r="X91" s="1"/>
      <c r="Y91" s="1"/>
    </row>
    <row r="92" spans="1:25" x14ac:dyDescent="0.3">
      <c r="A92" s="1"/>
      <c r="B92" s="1"/>
      <c r="C92" s="1"/>
      <c r="D92" s="1"/>
      <c r="E92" s="1"/>
      <c r="F92" s="1"/>
      <c r="G92" s="44"/>
      <c r="H92" s="44"/>
      <c r="I92" s="1"/>
      <c r="J92" s="1"/>
      <c r="K92" s="1"/>
      <c r="L92" s="1"/>
      <c r="M92" s="1"/>
      <c r="N92" s="1"/>
      <c r="O92" s="1"/>
      <c r="P92" s="1"/>
      <c r="Q92" s="1"/>
      <c r="R92" s="1"/>
      <c r="S92" s="1"/>
      <c r="T92" s="1"/>
      <c r="U92" s="1"/>
      <c r="V92" s="1"/>
      <c r="W92" s="1"/>
      <c r="X92" s="1"/>
      <c r="Y92" s="1"/>
    </row>
    <row r="93" spans="1:25" x14ac:dyDescent="0.3">
      <c r="A93" s="1"/>
      <c r="B93" s="1"/>
      <c r="C93" s="1"/>
      <c r="D93" s="1"/>
      <c r="E93" s="1"/>
      <c r="F93" s="1"/>
      <c r="G93" s="44"/>
      <c r="H93" s="44"/>
      <c r="I93" s="1"/>
      <c r="J93" s="1"/>
      <c r="K93" s="1"/>
      <c r="L93" s="1"/>
      <c r="M93" s="1"/>
      <c r="N93" s="1"/>
      <c r="O93" s="1"/>
      <c r="P93" s="1"/>
      <c r="Q93" s="1"/>
      <c r="R93" s="1"/>
      <c r="S93" s="1"/>
      <c r="T93" s="1"/>
      <c r="U93" s="1"/>
      <c r="V93" s="1"/>
      <c r="W93" s="1"/>
      <c r="X93" s="1"/>
      <c r="Y93" s="1"/>
    </row>
    <row r="94" spans="1:25" x14ac:dyDescent="0.3">
      <c r="A94" s="1"/>
      <c r="B94" s="1"/>
      <c r="C94" s="1"/>
      <c r="D94" s="1"/>
      <c r="E94" s="1"/>
      <c r="F94" s="1"/>
      <c r="G94" s="44"/>
      <c r="H94" s="44"/>
      <c r="I94" s="1"/>
      <c r="J94" s="1"/>
      <c r="K94" s="1"/>
      <c r="L94" s="1"/>
      <c r="M94" s="1"/>
      <c r="N94" s="1"/>
      <c r="O94" s="1"/>
      <c r="P94" s="1"/>
      <c r="Q94" s="1"/>
      <c r="R94" s="1"/>
      <c r="S94" s="1"/>
      <c r="T94" s="1"/>
      <c r="U94" s="1"/>
      <c r="V94" s="1"/>
      <c r="W94" s="1"/>
      <c r="X94" s="1"/>
      <c r="Y94" s="1"/>
    </row>
    <row r="95" spans="1:25" x14ac:dyDescent="0.3">
      <c r="A95" s="1"/>
      <c r="B95" s="1"/>
      <c r="C95" s="1"/>
      <c r="D95" s="1"/>
      <c r="E95" s="1"/>
      <c r="F95" s="1"/>
      <c r="G95" s="44"/>
      <c r="H95" s="44"/>
      <c r="I95" s="1"/>
      <c r="J95" s="1"/>
      <c r="K95" s="1"/>
      <c r="L95" s="1"/>
      <c r="M95" s="1"/>
      <c r="N95" s="1"/>
      <c r="O95" s="1"/>
      <c r="P95" s="1"/>
      <c r="Q95" s="1"/>
      <c r="R95" s="1"/>
      <c r="S95" s="1"/>
      <c r="T95" s="1"/>
      <c r="U95" s="1"/>
      <c r="V95" s="1"/>
      <c r="W95" s="1"/>
      <c r="X95" s="1"/>
      <c r="Y95" s="1"/>
    </row>
    <row r="96" spans="1:25" x14ac:dyDescent="0.3">
      <c r="A96" s="1"/>
      <c r="B96" s="1"/>
      <c r="C96" s="1"/>
      <c r="D96" s="1"/>
      <c r="E96" s="1"/>
      <c r="F96" s="1"/>
      <c r="G96" s="44"/>
      <c r="H96" s="44"/>
      <c r="I96" s="1"/>
      <c r="J96" s="1"/>
      <c r="K96" s="1"/>
      <c r="L96" s="1"/>
      <c r="M96" s="1"/>
      <c r="N96" s="1"/>
      <c r="O96" s="1"/>
      <c r="P96" s="1"/>
      <c r="Q96" s="1"/>
      <c r="R96" s="1"/>
      <c r="S96" s="1"/>
      <c r="T96" s="1"/>
      <c r="U96" s="1"/>
      <c r="V96" s="1"/>
      <c r="W96" s="1"/>
      <c r="X96" s="1"/>
      <c r="Y96" s="1"/>
    </row>
    <row r="97" spans="1:25" x14ac:dyDescent="0.3">
      <c r="A97" s="1"/>
      <c r="B97" s="1"/>
      <c r="C97" s="1"/>
      <c r="D97" s="1"/>
      <c r="E97" s="1"/>
      <c r="F97" s="1"/>
      <c r="G97" s="44"/>
      <c r="H97" s="44"/>
      <c r="I97" s="1"/>
      <c r="J97" s="1"/>
      <c r="K97" s="1"/>
      <c r="L97" s="1"/>
      <c r="M97" s="1"/>
      <c r="N97" s="1"/>
      <c r="O97" s="1"/>
      <c r="P97" s="1"/>
      <c r="Q97" s="1"/>
      <c r="R97" s="1"/>
      <c r="S97" s="1"/>
      <c r="T97" s="1"/>
      <c r="U97" s="1"/>
      <c r="V97" s="1"/>
      <c r="W97" s="1"/>
      <c r="X97" s="1"/>
      <c r="Y97" s="1"/>
    </row>
    <row r="98" spans="1:25" x14ac:dyDescent="0.3">
      <c r="A98" s="1"/>
      <c r="B98" s="1"/>
      <c r="C98" s="1"/>
      <c r="D98" s="1"/>
      <c r="E98" s="1"/>
      <c r="F98" s="1"/>
      <c r="G98" s="44"/>
      <c r="H98" s="44"/>
      <c r="I98" s="1"/>
      <c r="J98" s="1"/>
      <c r="K98" s="1"/>
      <c r="L98" s="1"/>
      <c r="M98" s="1"/>
      <c r="N98" s="1"/>
      <c r="O98" s="1"/>
      <c r="P98" s="1"/>
      <c r="Q98" s="1"/>
      <c r="R98" s="1"/>
      <c r="S98" s="1"/>
      <c r="T98" s="1"/>
      <c r="U98" s="1"/>
      <c r="V98" s="1"/>
      <c r="W98" s="1"/>
      <c r="X98" s="1"/>
      <c r="Y98" s="1"/>
    </row>
    <row r="99" spans="1:25" x14ac:dyDescent="0.3">
      <c r="A99" s="1"/>
      <c r="B99" s="1"/>
      <c r="C99" s="1"/>
      <c r="D99" s="1"/>
      <c r="E99" s="1"/>
      <c r="F99" s="1"/>
      <c r="G99" s="44"/>
      <c r="H99" s="44"/>
      <c r="I99" s="1"/>
      <c r="J99" s="1"/>
      <c r="K99" s="1"/>
      <c r="L99" s="1"/>
      <c r="M99" s="1"/>
      <c r="N99" s="1"/>
      <c r="O99" s="1"/>
      <c r="P99" s="1"/>
      <c r="Q99" s="1"/>
      <c r="R99" s="1"/>
      <c r="S99" s="1"/>
      <c r="T99" s="1"/>
      <c r="U99" s="1"/>
      <c r="V99" s="1"/>
      <c r="W99" s="1"/>
      <c r="X99" s="1"/>
      <c r="Y99" s="1"/>
    </row>
    <row r="100" spans="1:25" x14ac:dyDescent="0.3">
      <c r="A100" s="1"/>
      <c r="B100" s="1"/>
      <c r="C100" s="1"/>
      <c r="D100" s="1"/>
      <c r="E100" s="1"/>
      <c r="F100" s="1"/>
      <c r="G100" s="44"/>
      <c r="H100" s="44"/>
      <c r="I100" s="1"/>
      <c r="J100" s="1"/>
      <c r="K100" s="1"/>
      <c r="L100" s="1"/>
      <c r="M100" s="1"/>
      <c r="N100" s="1"/>
      <c r="O100" s="1"/>
      <c r="P100" s="1"/>
      <c r="Q100" s="1"/>
      <c r="R100" s="1"/>
      <c r="S100" s="1"/>
      <c r="T100" s="1"/>
      <c r="U100" s="1"/>
      <c r="V100" s="1"/>
      <c r="W100" s="1"/>
      <c r="X100" s="1"/>
      <c r="Y100" s="1"/>
    </row>
    <row r="101" spans="1:25" x14ac:dyDescent="0.3">
      <c r="A101" s="1"/>
      <c r="B101" s="1"/>
      <c r="C101" s="1"/>
      <c r="D101" s="1"/>
      <c r="E101" s="1"/>
      <c r="F101" s="1"/>
      <c r="G101" s="44"/>
      <c r="H101" s="44"/>
      <c r="I101" s="1"/>
      <c r="J101" s="1"/>
      <c r="K101" s="1"/>
      <c r="L101" s="1"/>
      <c r="M101" s="1"/>
      <c r="N101" s="1"/>
      <c r="O101" s="1"/>
      <c r="P101" s="1"/>
      <c r="Q101" s="1"/>
      <c r="R101" s="1"/>
      <c r="S101" s="1"/>
      <c r="T101" s="1"/>
      <c r="U101" s="1"/>
      <c r="V101" s="1"/>
      <c r="W101" s="1"/>
      <c r="X101" s="1"/>
      <c r="Y101" s="1"/>
    </row>
    <row r="102" spans="1:25" x14ac:dyDescent="0.3">
      <c r="A102" s="1"/>
      <c r="B102" s="1"/>
      <c r="C102" s="1"/>
      <c r="D102" s="1"/>
      <c r="E102" s="1"/>
      <c r="F102" s="1"/>
      <c r="G102" s="44"/>
      <c r="H102" s="44"/>
      <c r="I102" s="1"/>
      <c r="J102" s="1"/>
      <c r="K102" s="1"/>
      <c r="L102" s="1"/>
      <c r="M102" s="1"/>
      <c r="N102" s="1"/>
      <c r="O102" s="1"/>
      <c r="P102" s="1"/>
      <c r="Q102" s="1"/>
      <c r="R102" s="1"/>
      <c r="S102" s="1"/>
      <c r="T102" s="1"/>
      <c r="U102" s="1"/>
      <c r="V102" s="1"/>
      <c r="W102" s="1"/>
      <c r="X102" s="1"/>
      <c r="Y102" s="1"/>
    </row>
    <row r="103" spans="1:25" x14ac:dyDescent="0.3">
      <c r="A103" s="1"/>
      <c r="B103" s="1"/>
      <c r="C103" s="1"/>
      <c r="D103" s="1"/>
      <c r="E103" s="1"/>
      <c r="F103" s="1"/>
      <c r="G103" s="44"/>
      <c r="H103" s="44"/>
      <c r="I103" s="1"/>
      <c r="J103" s="1"/>
      <c r="K103" s="1"/>
      <c r="L103" s="1"/>
      <c r="M103" s="1"/>
      <c r="N103" s="1"/>
      <c r="O103" s="1"/>
      <c r="P103" s="1"/>
      <c r="Q103" s="1"/>
      <c r="R103" s="1"/>
      <c r="S103" s="1"/>
      <c r="T103" s="1"/>
      <c r="U103" s="1"/>
      <c r="V103" s="1"/>
      <c r="W103" s="1"/>
      <c r="X103" s="1"/>
      <c r="Y103" s="1"/>
    </row>
    <row r="104" spans="1:25" x14ac:dyDescent="0.3">
      <c r="A104" s="1"/>
      <c r="B104" s="1"/>
      <c r="C104" s="1"/>
      <c r="D104" s="1"/>
      <c r="E104" s="1"/>
      <c r="F104" s="1"/>
      <c r="G104" s="44"/>
      <c r="H104" s="44"/>
      <c r="I104" s="1"/>
      <c r="J104" s="1"/>
      <c r="K104" s="1"/>
      <c r="L104" s="1"/>
      <c r="M104" s="1"/>
      <c r="N104" s="1"/>
      <c r="O104" s="1"/>
      <c r="P104" s="1"/>
      <c r="Q104" s="1"/>
      <c r="R104" s="1"/>
      <c r="S104" s="1"/>
      <c r="T104" s="1"/>
      <c r="U104" s="1"/>
      <c r="V104" s="1"/>
      <c r="W104" s="1"/>
      <c r="X104" s="1"/>
      <c r="Y104" s="1"/>
    </row>
    <row r="105" spans="1:25" x14ac:dyDescent="0.3">
      <c r="A105" s="1"/>
      <c r="B105" s="1"/>
      <c r="C105" s="1"/>
      <c r="D105" s="1"/>
      <c r="E105" s="1"/>
      <c r="F105" s="1"/>
      <c r="G105" s="44"/>
      <c r="H105" s="44"/>
      <c r="I105" s="1"/>
      <c r="J105" s="1"/>
      <c r="K105" s="1"/>
      <c r="L105" s="1"/>
      <c r="M105" s="1"/>
      <c r="N105" s="1"/>
      <c r="O105" s="1"/>
      <c r="P105" s="1"/>
      <c r="Q105" s="1"/>
      <c r="R105" s="1"/>
      <c r="S105" s="1"/>
      <c r="T105" s="1"/>
      <c r="U105" s="1"/>
      <c r="V105" s="1"/>
      <c r="W105" s="1"/>
      <c r="X105" s="1"/>
      <c r="Y105" s="1"/>
    </row>
  </sheetData>
  <sheetProtection algorithmName="SHA-512" hashValue="H+DTpz7+/cTixkTYDQFU3/u5Jp7c+Y+69dk7CcVd1kWjzsLAGGFED+8pbg+6z77ac/MItBEBj2fzJ9xe4mBa8Q==" saltValue="TZd58e0E4dWoc5WJ/+dMZw==" spinCount="100000" sheet="1" objects="1" scenarios="1"/>
  <mergeCells count="5">
    <mergeCell ref="A41:F41"/>
    <mergeCell ref="A50:F50"/>
    <mergeCell ref="A51:F51"/>
    <mergeCell ref="A48:F49"/>
    <mergeCell ref="A42:F46"/>
  </mergeCells>
  <printOptions horizontalCentered="1"/>
  <pageMargins left="0.25" right="0.25" top="0.75" bottom="0.75" header="0.3" footer="0.3"/>
  <pageSetup scale="83" orientation="landscape" r:id="rId1"/>
  <headerFooter>
    <oddFooter>&amp;C&amp;"Century Gothic,Regular"&amp;9Page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34D02-D53D-46D0-B68E-0A9443B5C883}">
  <sheetPr codeName="Sheet20"/>
  <dimension ref="A1:Y33"/>
  <sheetViews>
    <sheetView zoomScale="130" zoomScaleNormal="130" zoomScaleSheetLayoutView="130" workbookViewId="0">
      <pane xSplit="1" topLeftCell="B1" activePane="topRight" state="frozen"/>
      <selection activeCell="A5" sqref="A5"/>
      <selection pane="topRight" activeCell="B1" sqref="B1"/>
    </sheetView>
  </sheetViews>
  <sheetFormatPr baseColWidth="10" defaultColWidth="8.85546875" defaultRowHeight="9" x14ac:dyDescent="0.15"/>
  <cols>
    <col min="1" max="1" width="47.85546875" style="183" bestFit="1" customWidth="1"/>
    <col min="2" max="7" width="16.7109375" style="651" customWidth="1"/>
    <col min="8" max="8" width="16.7109375" style="183" customWidth="1"/>
    <col min="9" max="16384" width="8.85546875" style="183"/>
  </cols>
  <sheetData>
    <row r="1" spans="1:25" s="7" customFormat="1" ht="20.45" customHeight="1" x14ac:dyDescent="0.3">
      <c r="A1" s="89" t="s">
        <v>791</v>
      </c>
      <c r="B1" s="632"/>
      <c r="C1" s="632"/>
      <c r="D1" s="632"/>
      <c r="E1" s="632"/>
      <c r="F1" s="632"/>
      <c r="G1" s="633"/>
      <c r="H1" s="1"/>
      <c r="I1" s="1"/>
      <c r="J1" s="1"/>
      <c r="K1" s="1"/>
      <c r="L1" s="1"/>
      <c r="M1" s="1"/>
      <c r="N1" s="1"/>
      <c r="O1" s="1"/>
      <c r="P1" s="1"/>
      <c r="Q1" s="1"/>
      <c r="R1" s="1"/>
      <c r="S1" s="1"/>
      <c r="T1" s="1"/>
      <c r="U1" s="1"/>
      <c r="V1" s="1"/>
      <c r="W1" s="1"/>
      <c r="X1" s="1"/>
      <c r="Y1" s="1"/>
    </row>
    <row r="2" spans="1:25" s="7" customFormat="1" ht="13.5" customHeight="1" x14ac:dyDescent="0.3">
      <c r="A2" s="100" t="s">
        <v>133</v>
      </c>
      <c r="B2" s="640"/>
      <c r="C2" s="640"/>
      <c r="D2" s="640"/>
      <c r="E2" s="640"/>
      <c r="F2" s="640"/>
      <c r="G2" s="635"/>
      <c r="H2" s="1"/>
      <c r="I2" s="1"/>
      <c r="J2" s="1"/>
      <c r="K2" s="1"/>
      <c r="L2" s="1"/>
      <c r="M2" s="1"/>
      <c r="N2" s="1"/>
      <c r="O2" s="1"/>
      <c r="P2" s="1"/>
      <c r="Q2" s="1"/>
      <c r="R2" s="1"/>
      <c r="S2" s="1"/>
      <c r="T2" s="1"/>
      <c r="U2" s="1"/>
      <c r="V2" s="1"/>
      <c r="W2" s="1"/>
      <c r="X2" s="1"/>
      <c r="Y2" s="1"/>
    </row>
    <row r="3" spans="1:25" s="7" customFormat="1" ht="13.5" x14ac:dyDescent="0.3">
      <c r="A3" s="91"/>
      <c r="B3" s="562"/>
      <c r="C3" s="562"/>
      <c r="D3" s="562"/>
      <c r="E3" s="562"/>
      <c r="F3" s="562"/>
      <c r="G3" s="563"/>
      <c r="H3" s="1"/>
      <c r="I3" s="1"/>
      <c r="J3" s="1"/>
      <c r="K3" s="1"/>
      <c r="L3" s="1"/>
      <c r="M3" s="1"/>
      <c r="N3" s="1"/>
      <c r="O3" s="1"/>
      <c r="P3" s="1"/>
      <c r="Q3" s="1"/>
      <c r="R3" s="1"/>
      <c r="S3" s="1"/>
      <c r="T3" s="1"/>
      <c r="U3" s="1"/>
      <c r="V3" s="1"/>
      <c r="W3" s="1"/>
      <c r="X3" s="1"/>
      <c r="Y3" s="1"/>
    </row>
    <row r="4" spans="1:25" ht="16.149999999999999" customHeight="1" x14ac:dyDescent="0.15">
      <c r="A4" s="101" t="s">
        <v>683</v>
      </c>
      <c r="B4" s="581"/>
      <c r="C4" s="581"/>
      <c r="D4" s="581"/>
      <c r="E4" s="581"/>
      <c r="F4" s="581"/>
      <c r="G4" s="623"/>
      <c r="H4" s="18"/>
      <c r="I4" s="18"/>
      <c r="J4" s="18"/>
    </row>
    <row r="5" spans="1:25" s="47" customFormat="1" ht="15" customHeight="1" x14ac:dyDescent="0.25">
      <c r="A5" s="850" t="s">
        <v>32</v>
      </c>
      <c r="B5" s="851" t="s">
        <v>829</v>
      </c>
      <c r="C5" s="851" t="s">
        <v>112</v>
      </c>
      <c r="D5" s="851" t="s">
        <v>141</v>
      </c>
      <c r="E5" s="851" t="s">
        <v>135</v>
      </c>
      <c r="F5" s="851" t="s">
        <v>788</v>
      </c>
      <c r="G5" s="553" t="s">
        <v>114</v>
      </c>
      <c r="H5" s="46"/>
      <c r="I5" s="46"/>
      <c r="J5" s="46"/>
    </row>
    <row r="6" spans="1:25" s="47" customFormat="1" ht="15" customHeight="1" x14ac:dyDescent="0.25">
      <c r="A6" s="800" t="s">
        <v>241</v>
      </c>
      <c r="B6" s="652">
        <v>4437</v>
      </c>
      <c r="C6" s="652">
        <v>1809</v>
      </c>
      <c r="D6" s="652">
        <v>1466</v>
      </c>
      <c r="E6" s="652">
        <v>588</v>
      </c>
      <c r="F6" s="652">
        <v>2473</v>
      </c>
      <c r="G6" s="192">
        <v>10773</v>
      </c>
      <c r="H6" s="46"/>
      <c r="I6" s="46"/>
      <c r="J6" s="46"/>
    </row>
    <row r="7" spans="1:25" s="47" customFormat="1" ht="15" customHeight="1" x14ac:dyDescent="0.25">
      <c r="A7" s="801" t="s">
        <v>242</v>
      </c>
      <c r="B7" s="765">
        <v>1594</v>
      </c>
      <c r="C7" s="765">
        <v>431</v>
      </c>
      <c r="D7" s="765">
        <v>402</v>
      </c>
      <c r="E7" s="765">
        <v>110</v>
      </c>
      <c r="F7" s="765">
        <v>89</v>
      </c>
      <c r="G7" s="766">
        <v>2626</v>
      </c>
      <c r="H7" s="46"/>
      <c r="I7" s="46"/>
      <c r="J7" s="46"/>
    </row>
    <row r="8" spans="1:25" s="47" customFormat="1" ht="15" customHeight="1" x14ac:dyDescent="0.25">
      <c r="A8" s="802" t="s">
        <v>243</v>
      </c>
      <c r="B8" s="767"/>
      <c r="C8" s="767"/>
      <c r="D8" s="767"/>
      <c r="E8" s="767"/>
      <c r="F8" s="767"/>
      <c r="G8" s="768"/>
      <c r="H8" s="46"/>
      <c r="I8" s="46"/>
      <c r="J8" s="46"/>
    </row>
    <row r="9" spans="1:25" s="47" customFormat="1" ht="15" customHeight="1" x14ac:dyDescent="0.25">
      <c r="A9" s="800" t="s">
        <v>244</v>
      </c>
      <c r="B9" s="769">
        <v>866</v>
      </c>
      <c r="C9" s="769">
        <v>576</v>
      </c>
      <c r="D9" s="769">
        <v>186</v>
      </c>
      <c r="E9" s="769">
        <v>25</v>
      </c>
      <c r="F9" s="769">
        <v>53</v>
      </c>
      <c r="G9" s="766">
        <v>1706</v>
      </c>
      <c r="H9" s="46"/>
      <c r="I9" s="46"/>
      <c r="J9" s="46"/>
    </row>
    <row r="10" spans="1:25" s="47" customFormat="1" ht="15" customHeight="1" x14ac:dyDescent="0.25">
      <c r="A10" s="801" t="s">
        <v>115</v>
      </c>
      <c r="B10" s="765">
        <v>436</v>
      </c>
      <c r="C10" s="765">
        <v>106</v>
      </c>
      <c r="D10" s="765">
        <v>9</v>
      </c>
      <c r="E10" s="765">
        <v>0</v>
      </c>
      <c r="F10" s="765">
        <v>16</v>
      </c>
      <c r="G10" s="766">
        <v>567</v>
      </c>
      <c r="H10" s="46"/>
      <c r="I10" s="46"/>
      <c r="J10" s="46"/>
    </row>
    <row r="11" spans="1:25" s="47" customFormat="1" ht="15" customHeight="1" x14ac:dyDescent="0.25">
      <c r="A11" s="801" t="s">
        <v>830</v>
      </c>
      <c r="B11" s="765">
        <v>47</v>
      </c>
      <c r="C11" s="765">
        <v>2108</v>
      </c>
      <c r="D11" s="765">
        <v>927</v>
      </c>
      <c r="E11" s="765">
        <v>114</v>
      </c>
      <c r="F11" s="765">
        <v>1</v>
      </c>
      <c r="G11" s="766">
        <v>3197</v>
      </c>
      <c r="H11" s="46"/>
      <c r="I11" s="46"/>
      <c r="J11" s="46"/>
    </row>
    <row r="12" spans="1:25" s="47" customFormat="1" ht="15" customHeight="1" x14ac:dyDescent="0.25">
      <c r="A12" s="803" t="s">
        <v>245</v>
      </c>
      <c r="B12" s="767">
        <v>43</v>
      </c>
      <c r="C12" s="767">
        <v>122</v>
      </c>
      <c r="D12" s="767">
        <v>7</v>
      </c>
      <c r="E12" s="767">
        <v>4</v>
      </c>
      <c r="F12" s="767">
        <v>1</v>
      </c>
      <c r="G12" s="770">
        <v>177</v>
      </c>
      <c r="H12" s="46"/>
      <c r="I12" s="46"/>
      <c r="J12" s="46"/>
    </row>
    <row r="13" spans="1:25" s="47" customFormat="1" ht="15" customHeight="1" x14ac:dyDescent="0.25">
      <c r="A13" s="561" t="s">
        <v>793</v>
      </c>
      <c r="B13" s="650">
        <v>7423</v>
      </c>
      <c r="C13" s="650">
        <v>5152</v>
      </c>
      <c r="D13" s="650">
        <v>2997</v>
      </c>
      <c r="E13" s="650">
        <v>841</v>
      </c>
      <c r="F13" s="650">
        <v>2633</v>
      </c>
      <c r="G13" s="194">
        <v>19046</v>
      </c>
      <c r="H13" s="46"/>
      <c r="I13" s="46"/>
      <c r="J13" s="46"/>
    </row>
    <row r="14" spans="1:25" s="47" customFormat="1" ht="15" customHeight="1" x14ac:dyDescent="0.25">
      <c r="A14" s="803"/>
      <c r="B14" s="653"/>
      <c r="C14" s="653"/>
      <c r="D14" s="653"/>
      <c r="E14" s="653"/>
      <c r="F14" s="653"/>
      <c r="G14" s="193"/>
      <c r="H14" s="556"/>
      <c r="I14" s="46"/>
      <c r="J14" s="46"/>
    </row>
    <row r="15" spans="1:25" s="47" customFormat="1" ht="15" customHeight="1" x14ac:dyDescent="0.25">
      <c r="A15" s="561" t="s">
        <v>831</v>
      </c>
      <c r="B15" s="650">
        <v>701</v>
      </c>
      <c r="C15" s="650">
        <v>2381</v>
      </c>
      <c r="D15" s="650">
        <v>164</v>
      </c>
      <c r="E15" s="650">
        <v>140</v>
      </c>
      <c r="F15" s="650">
        <v>83</v>
      </c>
      <c r="G15" s="194">
        <v>3469</v>
      </c>
      <c r="H15" s="46"/>
      <c r="I15" s="46"/>
      <c r="J15" s="46"/>
    </row>
    <row r="16" spans="1:25" s="188" customFormat="1" ht="5.0999999999999996" customHeight="1" x14ac:dyDescent="0.15">
      <c r="A16" s="557"/>
      <c r="B16" s="654"/>
      <c r="C16" s="654"/>
      <c r="D16" s="655"/>
      <c r="E16" s="655"/>
      <c r="F16" s="656"/>
      <c r="G16" s="657"/>
      <c r="H16" s="187"/>
      <c r="I16" s="18"/>
      <c r="J16" s="18"/>
      <c r="K16" s="18"/>
      <c r="L16" s="183"/>
      <c r="M16" s="183"/>
    </row>
    <row r="17" spans="1:11" x14ac:dyDescent="0.15">
      <c r="A17" s="169" t="s">
        <v>116</v>
      </c>
      <c r="B17" s="648"/>
      <c r="C17" s="648"/>
      <c r="D17" s="648"/>
      <c r="E17" s="648"/>
      <c r="F17" s="648"/>
      <c r="G17" s="648"/>
      <c r="H17" s="169"/>
      <c r="I17" s="18"/>
      <c r="J17" s="18"/>
      <c r="K17" s="18"/>
    </row>
    <row r="18" spans="1:11" x14ac:dyDescent="0.15">
      <c r="A18" s="169" t="s">
        <v>832</v>
      </c>
      <c r="B18" s="648"/>
      <c r="C18" s="648"/>
      <c r="D18" s="648"/>
      <c r="E18" s="648"/>
      <c r="F18" s="648"/>
      <c r="G18" s="648"/>
      <c r="H18" s="169"/>
      <c r="I18" s="18"/>
      <c r="J18" s="18"/>
      <c r="K18" s="18"/>
    </row>
    <row r="19" spans="1:11" ht="11.45" customHeight="1" x14ac:dyDescent="0.15">
      <c r="A19" s="1022" t="s">
        <v>833</v>
      </c>
      <c r="B19" s="1022"/>
      <c r="C19" s="1022"/>
      <c r="D19" s="1022"/>
      <c r="E19" s="1022"/>
      <c r="F19" s="1022"/>
      <c r="G19" s="1022"/>
      <c r="H19" s="304"/>
      <c r="I19" s="18"/>
      <c r="J19" s="18"/>
      <c r="K19" s="18"/>
    </row>
    <row r="20" spans="1:11" ht="11.45" customHeight="1" x14ac:dyDescent="0.15">
      <c r="A20" s="1022"/>
      <c r="B20" s="1022"/>
      <c r="C20" s="1022"/>
      <c r="D20" s="1022"/>
      <c r="E20" s="1022"/>
      <c r="F20" s="1022"/>
      <c r="G20" s="1022"/>
      <c r="H20" s="304"/>
      <c r="I20" s="18"/>
      <c r="J20" s="18"/>
      <c r="K20" s="18"/>
    </row>
    <row r="21" spans="1:11" ht="11.45" customHeight="1" x14ac:dyDescent="0.15">
      <c r="A21" s="1022" t="s">
        <v>834</v>
      </c>
      <c r="B21" s="1022"/>
      <c r="C21" s="1022"/>
      <c r="D21" s="1022"/>
      <c r="E21" s="1022"/>
      <c r="F21" s="1022"/>
      <c r="G21" s="1022"/>
      <c r="H21" s="304"/>
      <c r="I21" s="18"/>
      <c r="J21" s="18"/>
      <c r="K21" s="18"/>
    </row>
    <row r="22" spans="1:11" ht="11.45" customHeight="1" x14ac:dyDescent="0.15">
      <c r="A22" s="1023" t="s">
        <v>1016</v>
      </c>
      <c r="B22" s="1023"/>
      <c r="C22" s="1023"/>
      <c r="D22" s="1023"/>
      <c r="E22" s="1023"/>
      <c r="F22" s="1023"/>
      <c r="G22" s="1023"/>
      <c r="H22" s="397"/>
      <c r="I22" s="18"/>
      <c r="J22" s="18"/>
      <c r="K22" s="18"/>
    </row>
    <row r="23" spans="1:11" x14ac:dyDescent="0.15">
      <c r="A23" s="1023"/>
      <c r="B23" s="1023"/>
      <c r="C23" s="1023"/>
      <c r="D23" s="1023"/>
      <c r="E23" s="1023"/>
      <c r="F23" s="1023"/>
      <c r="G23" s="1023"/>
      <c r="H23" s="397"/>
      <c r="I23" s="18"/>
      <c r="J23" s="18"/>
      <c r="K23" s="18"/>
    </row>
    <row r="24" spans="1:11" x14ac:dyDescent="0.15">
      <c r="A24" s="18"/>
      <c r="B24" s="648"/>
      <c r="C24" s="648"/>
      <c r="D24" s="648"/>
      <c r="E24" s="648"/>
      <c r="F24" s="648"/>
      <c r="G24" s="648"/>
      <c r="H24" s="18"/>
      <c r="I24" s="18"/>
      <c r="J24" s="18"/>
      <c r="K24" s="18"/>
    </row>
    <row r="25" spans="1:11" x14ac:dyDescent="0.15">
      <c r="A25" s="18"/>
      <c r="B25" s="648"/>
      <c r="C25" s="648"/>
      <c r="D25" s="648"/>
      <c r="E25" s="648"/>
      <c r="F25" s="648"/>
      <c r="G25" s="648"/>
      <c r="H25" s="18"/>
      <c r="I25" s="18"/>
      <c r="J25" s="18"/>
      <c r="K25" s="18"/>
    </row>
    <row r="26" spans="1:11" x14ac:dyDescent="0.15">
      <c r="A26" s="18"/>
      <c r="B26" s="648"/>
      <c r="C26" s="648"/>
      <c r="D26" s="648"/>
      <c r="E26" s="648"/>
      <c r="F26" s="648"/>
      <c r="G26" s="648"/>
      <c r="H26" s="18"/>
      <c r="I26" s="18"/>
      <c r="J26" s="18"/>
      <c r="K26" s="18"/>
    </row>
    <row r="27" spans="1:11" x14ac:dyDescent="0.15">
      <c r="A27" s="18"/>
      <c r="B27" s="648"/>
      <c r="C27" s="648"/>
      <c r="D27" s="648"/>
      <c r="E27" s="648"/>
      <c r="F27" s="648"/>
      <c r="G27" s="648"/>
      <c r="H27" s="18"/>
      <c r="I27" s="18"/>
      <c r="J27" s="18"/>
      <c r="K27" s="18"/>
    </row>
    <row r="28" spans="1:11" x14ac:dyDescent="0.15">
      <c r="A28" s="18"/>
      <c r="B28" s="648"/>
      <c r="C28" s="648"/>
      <c r="D28" s="648"/>
      <c r="E28" s="648"/>
      <c r="F28" s="648"/>
      <c r="G28" s="648"/>
      <c r="H28" s="18"/>
      <c r="I28" s="18"/>
      <c r="J28" s="18"/>
      <c r="K28" s="18"/>
    </row>
    <row r="29" spans="1:11" x14ac:dyDescent="0.15">
      <c r="A29" s="18"/>
      <c r="B29" s="648"/>
      <c r="C29" s="648"/>
      <c r="D29" s="648"/>
      <c r="E29" s="648"/>
      <c r="F29" s="648"/>
      <c r="G29" s="648"/>
      <c r="H29" s="18"/>
      <c r="I29" s="18"/>
      <c r="J29" s="18"/>
      <c r="K29" s="18"/>
    </row>
    <row r="30" spans="1:11" x14ac:dyDescent="0.15">
      <c r="A30" s="18"/>
      <c r="B30" s="648"/>
      <c r="C30" s="648"/>
      <c r="D30" s="648"/>
      <c r="E30" s="648"/>
      <c r="F30" s="648"/>
      <c r="G30" s="648"/>
      <c r="H30" s="18"/>
      <c r="I30" s="18"/>
      <c r="J30" s="18"/>
      <c r="K30" s="18"/>
    </row>
    <row r="31" spans="1:11" x14ac:dyDescent="0.15">
      <c r="A31" s="18"/>
      <c r="B31" s="648"/>
      <c r="C31" s="648"/>
      <c r="D31" s="648"/>
      <c r="E31" s="648"/>
      <c r="F31" s="648"/>
      <c r="G31" s="648"/>
      <c r="H31" s="18"/>
      <c r="I31" s="18"/>
      <c r="J31" s="18"/>
      <c r="K31" s="18"/>
    </row>
    <row r="32" spans="1:11" x14ac:dyDescent="0.15">
      <c r="A32" s="18"/>
      <c r="B32" s="648"/>
      <c r="C32" s="648"/>
      <c r="D32" s="648"/>
      <c r="E32" s="648"/>
      <c r="F32" s="648"/>
      <c r="G32" s="648"/>
      <c r="H32" s="18"/>
      <c r="I32" s="18"/>
      <c r="J32" s="18"/>
      <c r="K32" s="18"/>
    </row>
    <row r="33" spans="1:11" x14ac:dyDescent="0.15">
      <c r="A33" s="18"/>
      <c r="B33" s="648"/>
      <c r="C33" s="648"/>
      <c r="D33" s="648"/>
      <c r="E33" s="648"/>
      <c r="F33" s="648"/>
      <c r="G33" s="648"/>
      <c r="H33" s="18"/>
      <c r="I33" s="18"/>
      <c r="J33" s="18"/>
      <c r="K33" s="18"/>
    </row>
  </sheetData>
  <sheetProtection algorithmName="SHA-512" hashValue="+jKm01OSMkCZGTG3NfaG6HXkqN7KpJkvnwiAoYUQrubn/YcvSn+Lk8Hliyfea0DewRuEoibNHDpP3aJCpd9e/A==" saltValue="xdgHJ+5HQCe1tdmoYNVaFw==" spinCount="100000" sheet="1" objects="1" scenarios="1"/>
  <mergeCells count="3">
    <mergeCell ref="A19:G20"/>
    <mergeCell ref="A21:G21"/>
    <mergeCell ref="A22:G23"/>
  </mergeCells>
  <pageMargins left="0.7" right="0.7" top="0.75" bottom="0.75" header="0.3" footer="0.3"/>
  <pageSetup scale="74"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B396-9F9D-46C8-B309-83F4D6112D76}">
  <sheetPr codeName="Sheet22">
    <pageSetUpPr fitToPage="1"/>
  </sheetPr>
  <dimension ref="A1:Y37"/>
  <sheetViews>
    <sheetView zoomScale="130" zoomScaleNormal="130" zoomScaleSheetLayoutView="130" workbookViewId="0">
      <pane xSplit="1" topLeftCell="B1" activePane="topRight" state="frozen"/>
      <selection activeCell="A5" sqref="A5"/>
      <selection pane="topRight" activeCell="C1" sqref="C1"/>
    </sheetView>
  </sheetViews>
  <sheetFormatPr baseColWidth="10" defaultColWidth="8.85546875" defaultRowHeight="9" x14ac:dyDescent="0.15"/>
  <cols>
    <col min="1" max="1" width="38.28515625" style="183" customWidth="1"/>
    <col min="2" max="7" width="18.42578125" style="651" customWidth="1"/>
    <col min="8" max="16384" width="8.85546875" style="183"/>
  </cols>
  <sheetData>
    <row r="1" spans="1:25" s="7" customFormat="1" ht="20.45" customHeight="1" x14ac:dyDescent="0.3">
      <c r="A1" s="89" t="s">
        <v>791</v>
      </c>
      <c r="B1" s="632"/>
      <c r="C1" s="632"/>
      <c r="D1" s="632"/>
      <c r="E1" s="632"/>
      <c r="F1" s="632"/>
      <c r="G1" s="633"/>
      <c r="H1" s="1"/>
      <c r="I1" s="1"/>
      <c r="J1" s="1"/>
      <c r="K1" s="1"/>
      <c r="L1" s="1"/>
      <c r="M1" s="1"/>
      <c r="N1" s="1"/>
      <c r="O1" s="1"/>
      <c r="P1" s="1"/>
      <c r="Q1" s="1"/>
      <c r="R1" s="1"/>
      <c r="S1" s="1"/>
      <c r="T1" s="1"/>
      <c r="U1" s="1"/>
      <c r="V1" s="1"/>
      <c r="W1" s="1"/>
      <c r="X1" s="1"/>
      <c r="Y1" s="1"/>
    </row>
    <row r="2" spans="1:25" s="7" customFormat="1" ht="13.5" customHeight="1" x14ac:dyDescent="0.3">
      <c r="A2" s="100" t="s">
        <v>133</v>
      </c>
      <c r="B2" s="640"/>
      <c r="C2" s="640"/>
      <c r="D2" s="640"/>
      <c r="E2" s="640"/>
      <c r="F2" s="634"/>
      <c r="G2" s="635"/>
      <c r="H2" s="1"/>
      <c r="I2" s="1"/>
      <c r="J2" s="1"/>
      <c r="K2" s="1"/>
      <c r="L2" s="1"/>
      <c r="M2" s="1"/>
      <c r="N2" s="1"/>
      <c r="O2" s="1"/>
      <c r="P2" s="1"/>
      <c r="Q2" s="1"/>
      <c r="R2" s="1"/>
      <c r="S2" s="1"/>
      <c r="T2" s="1"/>
      <c r="U2" s="1"/>
      <c r="V2" s="1"/>
      <c r="W2" s="1"/>
      <c r="X2" s="1"/>
      <c r="Y2" s="1"/>
    </row>
    <row r="3" spans="1:25" s="7" customFormat="1" ht="13.5" x14ac:dyDescent="0.3">
      <c r="A3" s="91"/>
      <c r="B3" s="562"/>
      <c r="C3" s="562"/>
      <c r="D3" s="562"/>
      <c r="E3" s="562"/>
      <c r="F3" s="562"/>
      <c r="G3" s="563"/>
      <c r="H3" s="1"/>
      <c r="I3" s="1"/>
      <c r="J3" s="1"/>
      <c r="K3" s="1"/>
      <c r="L3" s="1"/>
      <c r="M3" s="1"/>
      <c r="N3" s="1"/>
      <c r="O3" s="1"/>
      <c r="P3" s="1"/>
      <c r="Q3" s="1"/>
      <c r="R3" s="1"/>
      <c r="S3" s="1"/>
      <c r="T3" s="1"/>
      <c r="U3" s="1"/>
      <c r="V3" s="1"/>
      <c r="W3" s="1"/>
      <c r="X3" s="1"/>
      <c r="Y3" s="1"/>
    </row>
    <row r="4" spans="1:25" ht="15" customHeight="1" x14ac:dyDescent="0.15">
      <c r="A4" s="101" t="s">
        <v>684</v>
      </c>
      <c r="B4" s="581"/>
      <c r="C4" s="581"/>
      <c r="D4" s="581"/>
      <c r="E4" s="581"/>
      <c r="F4" s="581"/>
      <c r="G4" s="623"/>
      <c r="H4" s="18"/>
      <c r="I4" s="18"/>
      <c r="J4" s="18"/>
    </row>
    <row r="5" spans="1:25" ht="15" customHeight="1" x14ac:dyDescent="0.15">
      <c r="A5" s="850" t="s">
        <v>32</v>
      </c>
      <c r="B5" s="851" t="s">
        <v>782</v>
      </c>
      <c r="C5" s="851" t="s">
        <v>112</v>
      </c>
      <c r="D5" s="851" t="s">
        <v>141</v>
      </c>
      <c r="E5" s="851" t="s">
        <v>135</v>
      </c>
      <c r="F5" s="851" t="s">
        <v>788</v>
      </c>
      <c r="G5" s="553" t="s">
        <v>114</v>
      </c>
      <c r="H5" s="18"/>
      <c r="I5" s="18"/>
      <c r="J5" s="18"/>
    </row>
    <row r="6" spans="1:25" ht="15" customHeight="1" x14ac:dyDescent="0.3">
      <c r="A6" s="852" t="s">
        <v>117</v>
      </c>
      <c r="B6" s="847">
        <v>9</v>
      </c>
      <c r="C6" s="847">
        <v>1475</v>
      </c>
      <c r="D6" s="847">
        <v>835</v>
      </c>
      <c r="E6" s="847">
        <v>92</v>
      </c>
      <c r="F6" s="847">
        <v>1</v>
      </c>
      <c r="G6" s="888">
        <v>2412</v>
      </c>
      <c r="H6" s="558"/>
      <c r="I6" s="18"/>
      <c r="J6" s="18"/>
    </row>
    <row r="7" spans="1:25" ht="15" customHeight="1" x14ac:dyDescent="0.3">
      <c r="A7" s="852" t="s">
        <v>118</v>
      </c>
      <c r="B7" s="771">
        <v>0</v>
      </c>
      <c r="C7" s="771">
        <v>250</v>
      </c>
      <c r="D7" s="771">
        <v>29</v>
      </c>
      <c r="E7" s="771">
        <v>4</v>
      </c>
      <c r="F7" s="771">
        <v>0</v>
      </c>
      <c r="G7" s="889">
        <v>283</v>
      </c>
      <c r="H7" s="558"/>
      <c r="I7" s="18"/>
      <c r="J7" s="18"/>
    </row>
    <row r="8" spans="1:25" ht="15" customHeight="1" x14ac:dyDescent="0.3">
      <c r="A8" s="852" t="s">
        <v>231</v>
      </c>
      <c r="B8" s="771">
        <v>466</v>
      </c>
      <c r="C8" s="771">
        <v>93</v>
      </c>
      <c r="D8" s="771">
        <v>84</v>
      </c>
      <c r="E8" s="771">
        <v>12</v>
      </c>
      <c r="F8" s="771">
        <v>30</v>
      </c>
      <c r="G8" s="889">
        <v>685</v>
      </c>
      <c r="H8" s="558"/>
      <c r="I8" s="18"/>
      <c r="J8" s="18"/>
    </row>
    <row r="9" spans="1:25" ht="15" customHeight="1" x14ac:dyDescent="0.3">
      <c r="A9" s="852" t="s">
        <v>119</v>
      </c>
      <c r="B9" s="771">
        <v>0</v>
      </c>
      <c r="C9" s="771">
        <v>576</v>
      </c>
      <c r="D9" s="771">
        <v>0</v>
      </c>
      <c r="E9" s="771">
        <v>0</v>
      </c>
      <c r="F9" s="771">
        <v>0</v>
      </c>
      <c r="G9" s="889">
        <v>576</v>
      </c>
      <c r="H9" s="558"/>
      <c r="I9" s="18"/>
      <c r="J9" s="18"/>
    </row>
    <row r="10" spans="1:25" ht="15" customHeight="1" x14ac:dyDescent="0.3">
      <c r="A10" s="852" t="s">
        <v>120</v>
      </c>
      <c r="B10" s="771">
        <v>38</v>
      </c>
      <c r="C10" s="771">
        <v>383</v>
      </c>
      <c r="D10" s="771">
        <v>63</v>
      </c>
      <c r="E10" s="771">
        <v>18</v>
      </c>
      <c r="F10" s="771">
        <v>0</v>
      </c>
      <c r="G10" s="889">
        <v>502</v>
      </c>
      <c r="H10" s="558"/>
      <c r="I10" s="18"/>
      <c r="J10" s="18"/>
    </row>
    <row r="11" spans="1:25" ht="15" customHeight="1" x14ac:dyDescent="0.3">
      <c r="A11" s="852" t="s">
        <v>121</v>
      </c>
      <c r="B11" s="771">
        <v>70.290000000000006</v>
      </c>
      <c r="C11" s="771">
        <v>68</v>
      </c>
      <c r="D11" s="771">
        <v>0</v>
      </c>
      <c r="E11" s="771">
        <v>0</v>
      </c>
      <c r="F11" s="771">
        <v>2</v>
      </c>
      <c r="G11" s="889">
        <v>140</v>
      </c>
      <c r="H11" s="558"/>
      <c r="I11" s="18"/>
      <c r="J11" s="18"/>
    </row>
    <row r="12" spans="1:25" ht="15" customHeight="1" x14ac:dyDescent="0.3">
      <c r="A12" s="853" t="s">
        <v>232</v>
      </c>
      <c r="B12" s="771">
        <v>48</v>
      </c>
      <c r="C12" s="771">
        <v>793</v>
      </c>
      <c r="D12" s="771">
        <v>80</v>
      </c>
      <c r="E12" s="771">
        <v>20</v>
      </c>
      <c r="F12" s="771">
        <v>12</v>
      </c>
      <c r="G12" s="890">
        <v>953</v>
      </c>
      <c r="H12" s="558"/>
      <c r="I12" s="18"/>
      <c r="J12" s="18"/>
    </row>
    <row r="13" spans="1:25" ht="15" customHeight="1" x14ac:dyDescent="0.3">
      <c r="A13" s="560" t="s">
        <v>792</v>
      </c>
      <c r="B13" s="644">
        <v>631.29</v>
      </c>
      <c r="C13" s="644">
        <v>3638</v>
      </c>
      <c r="D13" s="644">
        <v>1091</v>
      </c>
      <c r="E13" s="644">
        <v>146</v>
      </c>
      <c r="F13" s="644">
        <v>45</v>
      </c>
      <c r="G13" s="891">
        <v>5551</v>
      </c>
      <c r="H13" s="558"/>
      <c r="I13" s="18"/>
      <c r="J13" s="18"/>
    </row>
    <row r="14" spans="1:25" s="188" customFormat="1" ht="5.0999999999999996" customHeight="1" x14ac:dyDescent="0.15">
      <c r="A14" s="191"/>
      <c r="B14" s="645"/>
      <c r="C14" s="645"/>
      <c r="D14" s="646"/>
      <c r="E14" s="646"/>
      <c r="F14" s="647"/>
      <c r="G14" s="646"/>
      <c r="H14" s="187"/>
      <c r="I14" s="187"/>
      <c r="J14" s="187"/>
      <c r="K14" s="187"/>
      <c r="L14" s="187"/>
    </row>
    <row r="15" spans="1:25" ht="11.45" customHeight="1" x14ac:dyDescent="0.15">
      <c r="A15" s="1022" t="s">
        <v>828</v>
      </c>
      <c r="B15" s="1022"/>
      <c r="C15" s="1022"/>
      <c r="D15" s="1022"/>
      <c r="E15" s="1022"/>
      <c r="F15" s="1022"/>
      <c r="G15" s="1022"/>
      <c r="H15" s="18"/>
      <c r="I15" s="18"/>
      <c r="J15" s="18"/>
    </row>
    <row r="16" spans="1:25" x14ac:dyDescent="0.15">
      <c r="A16" s="1022"/>
      <c r="B16" s="1022"/>
      <c r="C16" s="1022"/>
      <c r="D16" s="1022"/>
      <c r="E16" s="1022"/>
      <c r="F16" s="1022"/>
      <c r="G16" s="1022"/>
      <c r="H16" s="18"/>
      <c r="I16" s="18"/>
      <c r="J16" s="18"/>
    </row>
    <row r="17" spans="1:12" x14ac:dyDescent="0.15">
      <c r="A17" s="169" t="s">
        <v>122</v>
      </c>
      <c r="B17" s="648"/>
      <c r="C17" s="648"/>
      <c r="D17" s="648"/>
      <c r="E17" s="648"/>
      <c r="F17" s="648"/>
      <c r="G17" s="648"/>
      <c r="H17" s="18"/>
      <c r="I17" s="18"/>
      <c r="J17" s="18"/>
    </row>
    <row r="18" spans="1:12" x14ac:dyDescent="0.15">
      <c r="A18" s="169" t="s">
        <v>123</v>
      </c>
      <c r="B18" s="648"/>
      <c r="C18" s="648"/>
      <c r="D18" s="648"/>
      <c r="E18" s="648"/>
      <c r="F18" s="648"/>
      <c r="G18" s="648"/>
      <c r="H18" s="18"/>
      <c r="I18" s="18"/>
      <c r="J18" s="18"/>
    </row>
    <row r="19" spans="1:12" x14ac:dyDescent="0.15">
      <c r="A19" s="169" t="s">
        <v>174</v>
      </c>
      <c r="B19" s="648"/>
      <c r="C19" s="648"/>
      <c r="D19" s="648"/>
      <c r="E19" s="648"/>
      <c r="F19" s="648"/>
      <c r="G19" s="648"/>
      <c r="H19" s="18"/>
      <c r="I19" s="18"/>
      <c r="J19" s="18"/>
    </row>
    <row r="20" spans="1:12" x14ac:dyDescent="0.15">
      <c r="A20" s="18"/>
      <c r="B20" s="648"/>
      <c r="C20" s="648"/>
      <c r="D20" s="648"/>
      <c r="E20" s="648"/>
      <c r="F20" s="648"/>
      <c r="G20" s="648"/>
      <c r="H20" s="18"/>
      <c r="I20" s="18"/>
      <c r="J20" s="18"/>
    </row>
    <row r="21" spans="1:12" x14ac:dyDescent="0.15">
      <c r="A21" s="18"/>
      <c r="B21" s="648"/>
      <c r="C21" s="648"/>
      <c r="D21" s="648"/>
      <c r="E21" s="648"/>
      <c r="F21" s="648"/>
      <c r="G21" s="648"/>
      <c r="H21" s="18"/>
      <c r="I21" s="18"/>
      <c r="J21" s="18"/>
    </row>
    <row r="22" spans="1:12" x14ac:dyDescent="0.15">
      <c r="A22" s="18"/>
      <c r="B22" s="648"/>
      <c r="C22" s="648"/>
      <c r="D22" s="648"/>
      <c r="E22" s="648"/>
      <c r="F22" s="648"/>
      <c r="G22" s="648"/>
      <c r="H22" s="18"/>
      <c r="I22" s="18"/>
      <c r="J22" s="18"/>
    </row>
    <row r="23" spans="1:12" ht="16.149999999999999" customHeight="1" x14ac:dyDescent="0.15">
      <c r="A23" s="101" t="s">
        <v>694</v>
      </c>
      <c r="B23" s="581"/>
      <c r="C23" s="581"/>
      <c r="D23" s="581"/>
      <c r="E23" s="581"/>
      <c r="F23" s="581"/>
      <c r="G23" s="623"/>
      <c r="H23" s="648"/>
      <c r="I23" s="18"/>
      <c r="J23" s="18"/>
    </row>
    <row r="24" spans="1:12" ht="15" customHeight="1" x14ac:dyDescent="0.3">
      <c r="A24" s="854" t="s">
        <v>32</v>
      </c>
      <c r="B24" s="855" t="s">
        <v>782</v>
      </c>
      <c r="C24" s="855" t="s">
        <v>112</v>
      </c>
      <c r="D24" s="851" t="s">
        <v>141</v>
      </c>
      <c r="E24" s="851" t="s">
        <v>135</v>
      </c>
      <c r="F24" s="855" t="s">
        <v>147</v>
      </c>
      <c r="G24" s="195" t="s">
        <v>114</v>
      </c>
      <c r="H24" s="648"/>
      <c r="I24" s="18"/>
      <c r="J24" s="18"/>
    </row>
    <row r="25" spans="1:12" s="47" customFormat="1" ht="15" customHeight="1" x14ac:dyDescent="0.25">
      <c r="A25" s="801" t="s">
        <v>246</v>
      </c>
      <c r="B25" s="849">
        <v>631.29</v>
      </c>
      <c r="C25" s="849">
        <v>3638</v>
      </c>
      <c r="D25" s="849">
        <v>1091</v>
      </c>
      <c r="E25" s="849">
        <v>146</v>
      </c>
      <c r="F25" s="849">
        <v>45</v>
      </c>
      <c r="G25" s="192">
        <v>5551</v>
      </c>
      <c r="H25" s="649"/>
      <c r="I25" s="46"/>
      <c r="J25" s="46"/>
    </row>
    <row r="26" spans="1:12" s="47" customFormat="1" ht="15" customHeight="1" x14ac:dyDescent="0.25">
      <c r="A26" s="802" t="s">
        <v>125</v>
      </c>
      <c r="B26" s="856"/>
      <c r="C26" s="856"/>
      <c r="D26" s="856"/>
      <c r="E26" s="856"/>
      <c r="F26" s="856"/>
      <c r="G26" s="192"/>
      <c r="H26" s="649"/>
      <c r="I26" s="46"/>
      <c r="J26" s="46"/>
    </row>
    <row r="27" spans="1:12" s="47" customFormat="1" ht="15" customHeight="1" x14ac:dyDescent="0.25">
      <c r="A27" s="800" t="s">
        <v>247</v>
      </c>
      <c r="B27" s="856">
        <v>466</v>
      </c>
      <c r="C27" s="856">
        <v>93</v>
      </c>
      <c r="D27" s="856">
        <v>84</v>
      </c>
      <c r="E27" s="856">
        <v>12</v>
      </c>
      <c r="F27" s="856">
        <v>30</v>
      </c>
      <c r="G27" s="192">
        <v>685</v>
      </c>
      <c r="H27" s="649"/>
      <c r="I27" s="46"/>
      <c r="J27" s="46"/>
    </row>
    <row r="28" spans="1:12" s="47" customFormat="1" ht="15" customHeight="1" x14ac:dyDescent="0.25">
      <c r="A28" s="800" t="s">
        <v>248</v>
      </c>
      <c r="B28" s="848">
        <v>70.290000000000006</v>
      </c>
      <c r="C28" s="848">
        <v>68</v>
      </c>
      <c r="D28" s="848" t="s">
        <v>1004</v>
      </c>
      <c r="E28" s="848" t="s">
        <v>1004</v>
      </c>
      <c r="F28" s="848">
        <v>2</v>
      </c>
      <c r="G28" s="766">
        <v>140</v>
      </c>
      <c r="H28" s="649"/>
      <c r="I28" s="46"/>
      <c r="J28" s="46"/>
    </row>
    <row r="29" spans="1:12" s="47" customFormat="1" ht="15" customHeight="1" x14ac:dyDescent="0.25">
      <c r="A29" s="800" t="s">
        <v>126</v>
      </c>
      <c r="B29" s="848">
        <v>0</v>
      </c>
      <c r="C29" s="848">
        <v>576</v>
      </c>
      <c r="D29" s="848" t="s">
        <v>1004</v>
      </c>
      <c r="E29" s="848" t="s">
        <v>1004</v>
      </c>
      <c r="F29" s="848">
        <v>0</v>
      </c>
      <c r="G29" s="766">
        <v>576</v>
      </c>
      <c r="H29" s="649"/>
      <c r="I29" s="46"/>
      <c r="J29" s="46"/>
    </row>
    <row r="30" spans="1:12" s="47" customFormat="1" ht="15" customHeight="1" x14ac:dyDescent="0.25">
      <c r="A30" s="800" t="s">
        <v>249</v>
      </c>
      <c r="B30" s="848">
        <v>48</v>
      </c>
      <c r="C30" s="848">
        <v>793</v>
      </c>
      <c r="D30" s="848">
        <v>80</v>
      </c>
      <c r="E30" s="848">
        <v>20</v>
      </c>
      <c r="F30" s="848">
        <v>12</v>
      </c>
      <c r="G30" s="993">
        <v>953</v>
      </c>
      <c r="H30" s="649"/>
      <c r="I30" s="46"/>
      <c r="J30" s="46"/>
    </row>
    <row r="31" spans="1:12" s="47" customFormat="1" ht="15" customHeight="1" x14ac:dyDescent="0.25">
      <c r="A31" s="561" t="s">
        <v>250</v>
      </c>
      <c r="B31" s="650">
        <v>47</v>
      </c>
      <c r="C31" s="650">
        <v>2108</v>
      </c>
      <c r="D31" s="650">
        <v>927</v>
      </c>
      <c r="E31" s="650">
        <v>114</v>
      </c>
      <c r="F31" s="650">
        <v>1</v>
      </c>
      <c r="G31" s="194">
        <v>3197</v>
      </c>
      <c r="H31" s="649"/>
      <c r="I31" s="46"/>
      <c r="J31" s="46"/>
    </row>
    <row r="32" spans="1:12" s="188" customFormat="1" ht="5.0999999999999996" customHeight="1" x14ac:dyDescent="0.15">
      <c r="A32" s="186"/>
      <c r="B32" s="645"/>
      <c r="C32" s="645"/>
      <c r="D32" s="646"/>
      <c r="E32" s="646"/>
      <c r="F32" s="647"/>
      <c r="G32" s="646"/>
      <c r="H32" s="187"/>
      <c r="I32" s="187"/>
      <c r="J32" s="187"/>
      <c r="K32" s="187"/>
      <c r="L32" s="187"/>
    </row>
    <row r="33" spans="1:10" ht="11.45" customHeight="1" x14ac:dyDescent="0.15">
      <c r="A33" s="1024" t="s">
        <v>233</v>
      </c>
      <c r="B33" s="1024"/>
      <c r="C33" s="1024"/>
      <c r="D33" s="1024"/>
      <c r="E33" s="1024"/>
      <c r="F33" s="1024"/>
      <c r="G33" s="397"/>
      <c r="H33" s="189"/>
      <c r="I33" s="18"/>
      <c r="J33" s="18"/>
    </row>
    <row r="34" spans="1:10" x14ac:dyDescent="0.15">
      <c r="A34" s="1024"/>
      <c r="B34" s="1024"/>
      <c r="C34" s="1024"/>
      <c r="D34" s="1024"/>
      <c r="E34" s="1024"/>
      <c r="F34" s="1024"/>
      <c r="G34" s="397"/>
      <c r="H34" s="189"/>
      <c r="I34" s="18"/>
      <c r="J34" s="18"/>
    </row>
    <row r="35" spans="1:10" x14ac:dyDescent="0.15">
      <c r="A35" s="1024"/>
      <c r="B35" s="1024"/>
      <c r="C35" s="1024"/>
      <c r="D35" s="1024"/>
      <c r="E35" s="1024"/>
      <c r="F35" s="1024"/>
      <c r="G35" s="397"/>
      <c r="H35" s="189"/>
      <c r="I35" s="18"/>
      <c r="J35" s="18"/>
    </row>
    <row r="36" spans="1:10" x14ac:dyDescent="0.15">
      <c r="A36" s="1024"/>
      <c r="B36" s="1024"/>
      <c r="C36" s="1024"/>
      <c r="D36" s="1024"/>
      <c r="E36" s="1024"/>
      <c r="F36" s="1024"/>
      <c r="G36" s="648"/>
      <c r="H36" s="18"/>
      <c r="I36" s="18"/>
      <c r="J36" s="18"/>
    </row>
    <row r="37" spans="1:10" x14ac:dyDescent="0.15">
      <c r="A37" s="18"/>
      <c r="B37" s="648"/>
      <c r="C37" s="648"/>
      <c r="D37" s="648"/>
      <c r="E37" s="648"/>
      <c r="F37" s="648"/>
      <c r="G37" s="648"/>
      <c r="H37" s="18"/>
      <c r="I37" s="18"/>
      <c r="J37" s="18"/>
    </row>
  </sheetData>
  <sheetProtection algorithmName="SHA-512" hashValue="aKCXmFeINUdgHipeQsZ1KK3N7cf6bpOz73BEivVBz2g8PdsQdjsGHIzNXLmsxhxWnBZJSOlsX+4Y386gpUvXfg==" saltValue="5ftBotDqIYLD5DHodSe4Yw==" spinCount="100000" sheet="1" objects="1" scenarios="1"/>
  <mergeCells count="2">
    <mergeCell ref="A15:G16"/>
    <mergeCell ref="A33:F36"/>
  </mergeCells>
  <pageMargins left="0.7" right="0.7" top="0.75" bottom="0.75" header="0.3" footer="0.3"/>
  <pageSetup scale="8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0349C-3923-41B1-B38C-33DBBBA0DC09}">
  <sheetPr codeName="Sheet23">
    <pageSetUpPr fitToPage="1"/>
  </sheetPr>
  <dimension ref="A1:Y88"/>
  <sheetViews>
    <sheetView zoomScale="130" zoomScaleNormal="130" zoomScaleSheetLayoutView="130" workbookViewId="0">
      <pane ySplit="3" topLeftCell="A4" activePane="bottomLeft" state="frozen"/>
      <selection activeCell="A5" sqref="A5"/>
      <selection pane="bottomLeft" activeCell="A4" sqref="A4"/>
    </sheetView>
  </sheetViews>
  <sheetFormatPr baseColWidth="10" defaultColWidth="9.140625" defaultRowHeight="13.5" x14ac:dyDescent="0.3"/>
  <cols>
    <col min="1" max="1" width="36.28515625" style="99" customWidth="1"/>
    <col min="2" max="6" width="13.7109375" style="7" customWidth="1"/>
    <col min="7" max="16384" width="9.140625" style="7"/>
  </cols>
  <sheetData>
    <row r="1" spans="1:25" ht="20.45" customHeight="1" x14ac:dyDescent="0.3">
      <c r="A1" s="89" t="s">
        <v>791</v>
      </c>
      <c r="B1" s="2"/>
      <c r="C1" s="2"/>
      <c r="D1" s="2"/>
      <c r="E1" s="2"/>
      <c r="F1" s="3"/>
      <c r="G1" s="1"/>
      <c r="H1" s="1"/>
      <c r="I1" s="1"/>
      <c r="J1" s="1"/>
      <c r="K1" s="1"/>
      <c r="L1" s="1"/>
      <c r="M1" s="1"/>
      <c r="N1" s="1"/>
      <c r="O1" s="1"/>
      <c r="P1" s="1"/>
      <c r="Q1" s="1"/>
      <c r="R1" s="1"/>
      <c r="S1" s="1"/>
      <c r="T1" s="1"/>
      <c r="U1" s="1"/>
      <c r="V1" s="1"/>
      <c r="W1" s="1"/>
      <c r="X1" s="1"/>
      <c r="Y1" s="1"/>
    </row>
    <row r="2" spans="1:25" ht="13.5" customHeight="1" x14ac:dyDescent="0.3">
      <c r="A2" s="100" t="s">
        <v>133</v>
      </c>
      <c r="B2" s="10"/>
      <c r="C2" s="10"/>
      <c r="D2" s="10"/>
      <c r="E2" s="121"/>
      <c r="F2" s="11"/>
      <c r="G2" s="1"/>
      <c r="H2" s="1"/>
      <c r="I2" s="1"/>
      <c r="J2" s="1"/>
      <c r="K2" s="1"/>
      <c r="L2" s="1"/>
      <c r="M2" s="1"/>
      <c r="N2" s="1"/>
      <c r="O2" s="1"/>
      <c r="P2" s="1"/>
      <c r="Q2" s="1"/>
      <c r="R2" s="1"/>
      <c r="S2" s="1"/>
      <c r="T2" s="1"/>
      <c r="U2" s="1"/>
      <c r="V2" s="1"/>
      <c r="W2" s="1"/>
      <c r="X2" s="1"/>
      <c r="Y2" s="1"/>
    </row>
    <row r="3" spans="1:25" x14ac:dyDescent="0.3">
      <c r="A3" s="91"/>
      <c r="B3" s="584">
        <v>2018</v>
      </c>
      <c r="C3" s="584">
        <v>2019</v>
      </c>
      <c r="D3" s="584">
        <v>2020</v>
      </c>
      <c r="E3" s="584">
        <v>2021</v>
      </c>
      <c r="F3" s="585">
        <v>2022</v>
      </c>
      <c r="G3" s="1"/>
      <c r="H3" s="1"/>
      <c r="I3" s="1"/>
      <c r="J3" s="1"/>
      <c r="K3" s="1"/>
      <c r="L3" s="1"/>
      <c r="M3" s="1"/>
      <c r="N3" s="1"/>
      <c r="O3" s="1"/>
      <c r="P3" s="1"/>
      <c r="Q3" s="1"/>
      <c r="R3" s="1"/>
      <c r="S3" s="1"/>
      <c r="T3" s="1"/>
      <c r="U3" s="1"/>
      <c r="V3" s="1"/>
      <c r="W3" s="1"/>
      <c r="X3" s="1"/>
      <c r="Y3" s="1"/>
    </row>
    <row r="4" spans="1:25" ht="15" customHeight="1" x14ac:dyDescent="0.3">
      <c r="A4" s="101" t="s">
        <v>5</v>
      </c>
      <c r="B4" s="14"/>
      <c r="C4" s="14"/>
      <c r="D4" s="14"/>
      <c r="E4" s="14"/>
      <c r="F4" s="15"/>
      <c r="G4" s="1"/>
      <c r="H4" s="1"/>
      <c r="I4" s="1"/>
      <c r="J4" s="1"/>
      <c r="K4" s="1"/>
      <c r="L4" s="1"/>
      <c r="M4" s="1"/>
      <c r="N4" s="1"/>
      <c r="O4" s="1"/>
      <c r="P4" s="1"/>
      <c r="Q4" s="1"/>
      <c r="R4" s="1"/>
      <c r="S4" s="1"/>
      <c r="T4" s="1"/>
      <c r="U4" s="1"/>
      <c r="V4" s="1"/>
      <c r="W4" s="1"/>
      <c r="X4" s="1"/>
      <c r="Y4" s="1"/>
    </row>
    <row r="5" spans="1:25" s="20" customFormat="1" ht="15" customHeight="1" x14ac:dyDescent="0.3">
      <c r="A5" s="105" t="s">
        <v>6</v>
      </c>
      <c r="B5" s="886">
        <v>14917</v>
      </c>
      <c r="C5" s="886">
        <v>13697</v>
      </c>
      <c r="D5" s="886">
        <v>11423</v>
      </c>
      <c r="E5" s="886">
        <v>15564</v>
      </c>
      <c r="F5" s="887">
        <v>19046</v>
      </c>
      <c r="G5" s="19"/>
      <c r="H5" s="6"/>
      <c r="I5" s="6"/>
      <c r="J5" s="6"/>
      <c r="K5" s="6"/>
      <c r="L5" s="6"/>
      <c r="M5" s="6"/>
      <c r="N5" s="6"/>
      <c r="O5" s="6"/>
      <c r="P5" s="6"/>
      <c r="Q5" s="6"/>
      <c r="R5" s="6"/>
      <c r="S5" s="6"/>
      <c r="T5" s="6"/>
      <c r="U5" s="6"/>
      <c r="V5" s="6"/>
      <c r="W5" s="6"/>
      <c r="X5" s="6"/>
      <c r="Y5" s="6"/>
    </row>
    <row r="6" spans="1:25" s="20" customFormat="1" ht="15" customHeight="1" x14ac:dyDescent="0.3">
      <c r="A6" s="29" t="s">
        <v>1018</v>
      </c>
      <c r="B6" s="886">
        <v>2666</v>
      </c>
      <c r="C6" s="886">
        <v>1572</v>
      </c>
      <c r="D6" s="886">
        <v>1108</v>
      </c>
      <c r="E6" s="886">
        <v>3150</v>
      </c>
      <c r="F6" s="887">
        <v>5551</v>
      </c>
      <c r="G6" s="6"/>
      <c r="H6" s="6"/>
      <c r="I6" s="6"/>
      <c r="J6" s="6"/>
      <c r="K6" s="6"/>
      <c r="L6" s="6"/>
      <c r="M6" s="6"/>
      <c r="N6" s="6"/>
      <c r="O6" s="6"/>
      <c r="P6" s="6"/>
      <c r="Q6" s="6"/>
      <c r="R6" s="6"/>
      <c r="S6" s="6"/>
      <c r="T6" s="6"/>
      <c r="U6" s="6"/>
      <c r="V6" s="6"/>
      <c r="W6" s="6"/>
      <c r="X6" s="6"/>
      <c r="Y6" s="6"/>
    </row>
    <row r="7" spans="1:25" s="20" customFormat="1" ht="15" customHeight="1" x14ac:dyDescent="0.3">
      <c r="A7" s="106" t="s">
        <v>1019</v>
      </c>
      <c r="B7" s="641">
        <v>155</v>
      </c>
      <c r="C7" s="641">
        <v>100</v>
      </c>
      <c r="D7" s="641">
        <v>108</v>
      </c>
      <c r="E7" s="641">
        <v>164</v>
      </c>
      <c r="F7" s="642">
        <v>177</v>
      </c>
      <c r="G7" s="6"/>
      <c r="H7" s="6"/>
      <c r="I7" s="6"/>
      <c r="J7" s="6"/>
      <c r="K7" s="6"/>
      <c r="L7" s="6"/>
      <c r="M7" s="6"/>
      <c r="N7" s="6"/>
      <c r="O7" s="6"/>
      <c r="P7" s="6"/>
      <c r="Q7" s="6"/>
      <c r="R7" s="6"/>
      <c r="S7" s="6"/>
      <c r="T7" s="6"/>
      <c r="U7" s="6"/>
      <c r="V7" s="6"/>
      <c r="W7" s="6"/>
      <c r="X7" s="6"/>
      <c r="Y7" s="6"/>
    </row>
    <row r="8" spans="1:25" ht="8.1" customHeight="1" x14ac:dyDescent="0.3">
      <c r="A8" s="97"/>
      <c r="B8" s="643"/>
      <c r="C8" s="643"/>
      <c r="D8" s="643"/>
      <c r="E8" s="643"/>
      <c r="F8" s="643"/>
      <c r="G8" s="1"/>
      <c r="H8" s="1"/>
      <c r="I8" s="1"/>
      <c r="J8" s="1"/>
      <c r="K8" s="1"/>
      <c r="L8" s="1"/>
      <c r="M8" s="1"/>
      <c r="N8" s="1"/>
      <c r="O8" s="1"/>
      <c r="P8" s="1"/>
      <c r="Q8" s="1"/>
      <c r="R8" s="1"/>
      <c r="S8" s="1"/>
      <c r="T8" s="1"/>
      <c r="U8" s="1"/>
      <c r="V8" s="1"/>
      <c r="W8" s="1"/>
      <c r="X8" s="1"/>
      <c r="Y8" s="1"/>
    </row>
    <row r="9" spans="1:25" ht="12" customHeight="1" x14ac:dyDescent="0.3">
      <c r="A9" s="1001" t="s">
        <v>806</v>
      </c>
      <c r="B9" s="1001"/>
      <c r="C9" s="1001"/>
      <c r="D9" s="1001"/>
      <c r="E9" s="1001"/>
      <c r="F9" s="1001"/>
      <c r="G9" s="17"/>
      <c r="H9" s="18"/>
      <c r="I9" s="1"/>
      <c r="J9" s="1"/>
      <c r="K9" s="1"/>
      <c r="L9" s="1"/>
      <c r="M9" s="1"/>
      <c r="N9" s="1"/>
      <c r="O9" s="1"/>
      <c r="P9" s="1"/>
      <c r="Q9" s="1"/>
      <c r="R9" s="1"/>
      <c r="S9" s="1"/>
      <c r="T9" s="1"/>
      <c r="U9" s="1"/>
      <c r="V9" s="1"/>
      <c r="W9" s="1"/>
      <c r="X9" s="1"/>
      <c r="Y9" s="1"/>
    </row>
    <row r="10" spans="1:25" x14ac:dyDescent="0.3">
      <c r="A10" s="999" t="s">
        <v>827</v>
      </c>
      <c r="B10" s="999"/>
      <c r="C10" s="999"/>
      <c r="D10" s="999"/>
      <c r="E10" s="999"/>
      <c r="F10" s="999"/>
      <c r="G10" s="25"/>
      <c r="H10" s="18"/>
      <c r="I10" s="1"/>
      <c r="J10" s="1"/>
      <c r="K10" s="1"/>
      <c r="L10" s="1"/>
      <c r="M10" s="1"/>
      <c r="N10" s="1"/>
      <c r="O10" s="1"/>
      <c r="P10" s="1"/>
      <c r="Q10" s="1"/>
      <c r="R10" s="1"/>
      <c r="S10" s="1"/>
      <c r="T10" s="1"/>
      <c r="U10" s="1"/>
      <c r="V10" s="1"/>
      <c r="W10" s="1"/>
      <c r="X10" s="1"/>
      <c r="Y10" s="1"/>
    </row>
    <row r="11" spans="1:25" x14ac:dyDescent="0.3">
      <c r="A11" s="999"/>
      <c r="B11" s="999"/>
      <c r="C11" s="999"/>
      <c r="D11" s="999"/>
      <c r="E11" s="999"/>
      <c r="F11" s="999"/>
      <c r="G11" s="18"/>
      <c r="H11" s="1"/>
      <c r="I11" s="1"/>
      <c r="J11" s="1"/>
      <c r="K11" s="1"/>
      <c r="L11" s="1"/>
      <c r="M11" s="1"/>
      <c r="N11" s="1"/>
      <c r="O11" s="1"/>
      <c r="P11" s="1"/>
      <c r="Q11" s="1"/>
      <c r="R11" s="1"/>
      <c r="S11" s="1"/>
      <c r="T11" s="1"/>
      <c r="U11" s="1"/>
      <c r="V11" s="1"/>
      <c r="W11" s="1"/>
      <c r="X11" s="1"/>
      <c r="Y11" s="1"/>
    </row>
    <row r="12" spans="1:25" x14ac:dyDescent="0.3">
      <c r="A12" s="954" t="s">
        <v>1020</v>
      </c>
      <c r="B12" s="1"/>
      <c r="C12" s="1"/>
      <c r="D12" s="1"/>
      <c r="E12" s="1"/>
      <c r="F12" s="1"/>
      <c r="G12" s="1"/>
      <c r="H12" s="1"/>
      <c r="I12" s="1"/>
      <c r="J12" s="1"/>
      <c r="K12" s="1"/>
      <c r="L12" s="1"/>
      <c r="M12" s="1"/>
      <c r="N12" s="1"/>
      <c r="O12" s="1"/>
      <c r="P12" s="1"/>
      <c r="Q12" s="1"/>
      <c r="R12" s="1"/>
      <c r="S12" s="1"/>
      <c r="T12" s="1"/>
      <c r="U12" s="1"/>
      <c r="V12" s="1"/>
      <c r="W12" s="1"/>
      <c r="X12" s="1"/>
      <c r="Y12" s="1"/>
    </row>
    <row r="13" spans="1:25" x14ac:dyDescent="0.3">
      <c r="A13" s="98"/>
      <c r="B13" s="1"/>
      <c r="C13" s="1"/>
      <c r="D13" s="1"/>
      <c r="E13" s="1"/>
      <c r="F13" s="1"/>
      <c r="G13" s="1"/>
      <c r="H13" s="1"/>
      <c r="I13" s="1"/>
      <c r="J13" s="1"/>
      <c r="K13" s="1"/>
      <c r="L13" s="1"/>
      <c r="M13" s="1"/>
      <c r="N13" s="1"/>
      <c r="O13" s="1"/>
      <c r="P13" s="1"/>
      <c r="Q13" s="1"/>
      <c r="R13" s="1"/>
      <c r="S13" s="1"/>
      <c r="T13" s="1"/>
      <c r="U13" s="1"/>
      <c r="V13" s="1"/>
      <c r="W13" s="1"/>
      <c r="X13" s="1"/>
      <c r="Y13" s="1"/>
    </row>
    <row r="14" spans="1:25" x14ac:dyDescent="0.3">
      <c r="A14" s="98"/>
      <c r="B14" s="1"/>
      <c r="C14" s="1"/>
      <c r="D14" s="1"/>
      <c r="E14" s="1"/>
      <c r="F14" s="1"/>
      <c r="G14" s="1"/>
      <c r="H14" s="1"/>
      <c r="I14" s="1"/>
      <c r="J14" s="1"/>
      <c r="K14" s="1"/>
      <c r="L14" s="1"/>
      <c r="M14" s="1"/>
      <c r="N14" s="1"/>
      <c r="O14" s="1"/>
      <c r="P14" s="1"/>
      <c r="Q14" s="1"/>
      <c r="R14" s="1"/>
      <c r="S14" s="1"/>
      <c r="T14" s="1"/>
      <c r="U14" s="1"/>
      <c r="V14" s="1"/>
      <c r="W14" s="1"/>
      <c r="X14" s="1"/>
      <c r="Y14" s="1"/>
    </row>
    <row r="15" spans="1:25" x14ac:dyDescent="0.3">
      <c r="A15" s="98"/>
      <c r="B15" s="1"/>
      <c r="C15" s="1"/>
      <c r="D15" s="1"/>
      <c r="E15" s="1"/>
      <c r="F15" s="1"/>
      <c r="G15" s="1"/>
      <c r="H15" s="1"/>
      <c r="I15" s="1"/>
      <c r="J15" s="1"/>
      <c r="K15" s="1"/>
      <c r="L15" s="1"/>
      <c r="M15" s="1"/>
      <c r="N15" s="1"/>
      <c r="O15" s="1"/>
      <c r="P15" s="1"/>
      <c r="Q15" s="1"/>
      <c r="R15" s="1"/>
      <c r="S15" s="1"/>
      <c r="T15" s="1"/>
      <c r="U15" s="1"/>
      <c r="V15" s="1"/>
      <c r="W15" s="1"/>
      <c r="X15" s="1"/>
      <c r="Y15" s="1"/>
    </row>
    <row r="16" spans="1:25" x14ac:dyDescent="0.3">
      <c r="A16" s="98"/>
      <c r="B16" s="1"/>
      <c r="C16" s="1"/>
      <c r="D16" s="1"/>
      <c r="E16" s="1"/>
      <c r="F16" s="1"/>
      <c r="G16" s="1"/>
      <c r="H16" s="1"/>
      <c r="I16" s="1"/>
      <c r="J16" s="1"/>
      <c r="K16" s="1"/>
      <c r="L16" s="1"/>
      <c r="M16" s="1"/>
      <c r="N16" s="1"/>
      <c r="O16" s="1"/>
      <c r="P16" s="1"/>
      <c r="Q16" s="1"/>
      <c r="R16" s="1"/>
      <c r="S16" s="1"/>
      <c r="T16" s="1"/>
      <c r="U16" s="1"/>
      <c r="V16" s="1"/>
      <c r="W16" s="1"/>
      <c r="X16" s="1"/>
      <c r="Y16" s="1"/>
    </row>
    <row r="17" spans="1:25" x14ac:dyDescent="0.3">
      <c r="A17" s="98"/>
      <c r="B17" s="1"/>
      <c r="C17" s="1"/>
      <c r="D17" s="1"/>
      <c r="E17" s="1"/>
      <c r="F17" s="1"/>
      <c r="G17" s="1"/>
      <c r="H17" s="1"/>
      <c r="I17" s="1"/>
      <c r="J17" s="1"/>
      <c r="K17" s="1"/>
      <c r="L17" s="1"/>
      <c r="M17" s="1"/>
      <c r="N17" s="1"/>
      <c r="O17" s="1"/>
      <c r="P17" s="1"/>
      <c r="Q17" s="1"/>
      <c r="R17" s="1"/>
      <c r="S17" s="1"/>
      <c r="T17" s="1"/>
      <c r="U17" s="1"/>
      <c r="V17" s="1"/>
      <c r="W17" s="1"/>
      <c r="X17" s="1"/>
      <c r="Y17" s="1"/>
    </row>
    <row r="18" spans="1:25" x14ac:dyDescent="0.3">
      <c r="A18" s="98"/>
      <c r="B18" s="1"/>
      <c r="C18" s="1"/>
      <c r="D18" s="1"/>
      <c r="E18" s="1"/>
      <c r="F18" s="1"/>
      <c r="G18" s="1"/>
      <c r="H18" s="1"/>
      <c r="I18" s="1"/>
      <c r="J18" s="1"/>
      <c r="K18" s="1"/>
      <c r="L18" s="1"/>
      <c r="M18" s="1"/>
      <c r="N18" s="1"/>
      <c r="O18" s="1"/>
      <c r="P18" s="1"/>
      <c r="Q18" s="1"/>
      <c r="R18" s="1"/>
      <c r="S18" s="1"/>
      <c r="T18" s="1"/>
      <c r="U18" s="1"/>
      <c r="V18" s="1"/>
      <c r="W18" s="1"/>
      <c r="X18" s="1"/>
      <c r="Y18" s="1"/>
    </row>
    <row r="19" spans="1:25" x14ac:dyDescent="0.3">
      <c r="A19" s="98"/>
      <c r="B19" s="1"/>
      <c r="C19" s="1"/>
      <c r="D19" s="1"/>
      <c r="E19" s="1"/>
      <c r="F19" s="1"/>
      <c r="G19" s="1"/>
      <c r="H19" s="1"/>
      <c r="I19" s="1"/>
      <c r="J19" s="1"/>
      <c r="K19" s="1"/>
      <c r="L19" s="1"/>
      <c r="M19" s="1"/>
      <c r="N19" s="1"/>
      <c r="O19" s="1"/>
      <c r="P19" s="1"/>
      <c r="Q19" s="1"/>
      <c r="R19" s="1"/>
      <c r="S19" s="1"/>
      <c r="T19" s="1"/>
      <c r="U19" s="1"/>
      <c r="V19" s="1"/>
      <c r="W19" s="1"/>
      <c r="X19" s="1"/>
      <c r="Y19" s="1"/>
    </row>
    <row r="20" spans="1:25" x14ac:dyDescent="0.3">
      <c r="A20" s="98"/>
      <c r="B20" s="1"/>
      <c r="C20" s="1"/>
      <c r="D20" s="1"/>
      <c r="E20" s="1"/>
      <c r="F20" s="1"/>
      <c r="G20" s="1"/>
      <c r="H20" s="1"/>
      <c r="I20" s="1"/>
      <c r="J20" s="1"/>
      <c r="K20" s="1"/>
      <c r="L20" s="1"/>
      <c r="M20" s="1"/>
      <c r="N20" s="1"/>
      <c r="O20" s="1"/>
      <c r="P20" s="1"/>
      <c r="Q20" s="1"/>
      <c r="R20" s="1"/>
      <c r="S20" s="1"/>
      <c r="T20" s="1"/>
      <c r="U20" s="1"/>
      <c r="V20" s="1"/>
      <c r="W20" s="1"/>
      <c r="X20" s="1"/>
      <c r="Y20" s="1"/>
    </row>
    <row r="21" spans="1:25" x14ac:dyDescent="0.3">
      <c r="A21" s="98"/>
      <c r="B21" s="1"/>
      <c r="C21" s="1"/>
      <c r="D21" s="1"/>
      <c r="E21" s="1"/>
      <c r="F21" s="1"/>
      <c r="G21" s="1"/>
      <c r="H21" s="1"/>
      <c r="I21" s="1"/>
      <c r="J21" s="1"/>
      <c r="K21" s="1"/>
      <c r="L21" s="1"/>
      <c r="M21" s="1"/>
      <c r="N21" s="1"/>
      <c r="O21" s="1"/>
      <c r="P21" s="1"/>
      <c r="Q21" s="1"/>
      <c r="R21" s="1"/>
      <c r="S21" s="1"/>
      <c r="T21" s="1"/>
      <c r="U21" s="1"/>
      <c r="V21" s="1"/>
      <c r="W21" s="1"/>
      <c r="X21" s="1"/>
      <c r="Y21" s="1"/>
    </row>
    <row r="22" spans="1:25" x14ac:dyDescent="0.3">
      <c r="A22" s="98"/>
      <c r="B22" s="1"/>
      <c r="C22" s="1"/>
      <c r="D22" s="1"/>
      <c r="E22" s="1"/>
      <c r="F22" s="1"/>
      <c r="G22" s="1"/>
      <c r="H22" s="1"/>
      <c r="I22" s="1"/>
      <c r="J22" s="1"/>
      <c r="K22" s="1"/>
      <c r="L22" s="1"/>
      <c r="M22" s="1"/>
      <c r="N22" s="1"/>
      <c r="O22" s="1"/>
      <c r="P22" s="1"/>
      <c r="Q22" s="1"/>
      <c r="R22" s="1"/>
      <c r="S22" s="1"/>
      <c r="T22" s="1"/>
      <c r="U22" s="1"/>
      <c r="V22" s="1"/>
      <c r="W22" s="1"/>
      <c r="X22" s="1"/>
      <c r="Y22" s="1"/>
    </row>
    <row r="23" spans="1:25" x14ac:dyDescent="0.3">
      <c r="A23" s="98"/>
      <c r="B23" s="1"/>
      <c r="C23" s="1"/>
      <c r="D23" s="1"/>
      <c r="E23" s="1"/>
      <c r="F23" s="1"/>
      <c r="G23" s="1"/>
      <c r="H23" s="1"/>
      <c r="I23" s="1"/>
      <c r="J23" s="1"/>
      <c r="K23" s="1"/>
      <c r="L23" s="1"/>
      <c r="M23" s="1"/>
      <c r="N23" s="1"/>
      <c r="O23" s="1"/>
      <c r="P23" s="1"/>
      <c r="Q23" s="1"/>
      <c r="R23" s="1"/>
      <c r="S23" s="1"/>
      <c r="T23" s="1"/>
      <c r="U23" s="1"/>
      <c r="V23" s="1"/>
      <c r="W23" s="1"/>
      <c r="X23" s="1"/>
      <c r="Y23" s="1"/>
    </row>
    <row r="24" spans="1:25" x14ac:dyDescent="0.3">
      <c r="A24" s="98"/>
      <c r="B24" s="1"/>
      <c r="C24" s="1"/>
      <c r="D24" s="1"/>
      <c r="E24" s="1"/>
      <c r="F24" s="1"/>
      <c r="G24" s="1"/>
      <c r="H24" s="1"/>
      <c r="I24" s="1"/>
      <c r="J24" s="1"/>
      <c r="K24" s="1"/>
      <c r="L24" s="1"/>
      <c r="M24" s="1"/>
      <c r="N24" s="1"/>
      <c r="O24" s="1"/>
      <c r="P24" s="1"/>
      <c r="Q24" s="1"/>
      <c r="R24" s="1"/>
      <c r="S24" s="1"/>
      <c r="T24" s="1"/>
      <c r="U24" s="1"/>
      <c r="V24" s="1"/>
      <c r="W24" s="1"/>
      <c r="X24" s="1"/>
      <c r="Y24" s="1"/>
    </row>
    <row r="25" spans="1:25" x14ac:dyDescent="0.3">
      <c r="A25" s="98"/>
      <c r="B25" s="1"/>
      <c r="C25" s="1"/>
      <c r="D25" s="1"/>
      <c r="E25" s="1"/>
      <c r="F25" s="1"/>
      <c r="G25" s="1"/>
      <c r="H25" s="1"/>
      <c r="I25" s="1"/>
      <c r="J25" s="1"/>
      <c r="K25" s="1"/>
      <c r="L25" s="1"/>
      <c r="M25" s="1"/>
      <c r="N25" s="1"/>
      <c r="O25" s="1"/>
      <c r="P25" s="1"/>
      <c r="Q25" s="1"/>
      <c r="R25" s="1"/>
      <c r="S25" s="1"/>
      <c r="T25" s="1"/>
      <c r="U25" s="1"/>
      <c r="V25" s="1"/>
      <c r="W25" s="1"/>
      <c r="X25" s="1"/>
      <c r="Y25" s="1"/>
    </row>
    <row r="26" spans="1:25" x14ac:dyDescent="0.3">
      <c r="A26" s="98"/>
      <c r="B26" s="1"/>
      <c r="C26" s="1"/>
      <c r="D26" s="1"/>
      <c r="E26" s="1"/>
      <c r="F26" s="1"/>
      <c r="G26" s="1"/>
      <c r="H26" s="1"/>
      <c r="I26" s="1"/>
      <c r="J26" s="1"/>
      <c r="K26" s="1"/>
      <c r="L26" s="1"/>
      <c r="M26" s="1"/>
      <c r="N26" s="1"/>
      <c r="O26" s="1"/>
      <c r="P26" s="1"/>
      <c r="Q26" s="1"/>
      <c r="R26" s="1"/>
      <c r="S26" s="1"/>
      <c r="T26" s="1"/>
      <c r="U26" s="1"/>
      <c r="V26" s="1"/>
      <c r="W26" s="1"/>
      <c r="X26" s="1"/>
      <c r="Y26" s="1"/>
    </row>
    <row r="27" spans="1:25" x14ac:dyDescent="0.3">
      <c r="A27" s="98"/>
      <c r="B27" s="1"/>
      <c r="C27" s="1"/>
      <c r="D27" s="1"/>
      <c r="E27" s="1"/>
      <c r="F27" s="1"/>
      <c r="G27" s="1"/>
      <c r="H27" s="1"/>
      <c r="I27" s="1"/>
      <c r="J27" s="1"/>
      <c r="K27" s="1"/>
      <c r="L27" s="1"/>
      <c r="M27" s="1"/>
      <c r="N27" s="1"/>
      <c r="O27" s="1"/>
      <c r="P27" s="1"/>
      <c r="Q27" s="1"/>
      <c r="R27" s="1"/>
      <c r="S27" s="1"/>
      <c r="T27" s="1"/>
      <c r="U27" s="1"/>
      <c r="V27" s="1"/>
      <c r="W27" s="1"/>
      <c r="X27" s="1"/>
      <c r="Y27" s="1"/>
    </row>
    <row r="28" spans="1:25" x14ac:dyDescent="0.3">
      <c r="A28" s="98"/>
      <c r="B28" s="1"/>
      <c r="C28" s="1"/>
      <c r="D28" s="1"/>
      <c r="E28" s="1"/>
      <c r="F28" s="1"/>
      <c r="G28" s="1"/>
      <c r="H28" s="1"/>
      <c r="I28" s="1"/>
      <c r="J28" s="1"/>
      <c r="K28" s="1"/>
      <c r="L28" s="1"/>
      <c r="M28" s="1"/>
      <c r="N28" s="1"/>
      <c r="O28" s="1"/>
      <c r="P28" s="1"/>
      <c r="Q28" s="1"/>
      <c r="R28" s="1"/>
      <c r="S28" s="1"/>
      <c r="T28" s="1"/>
      <c r="U28" s="1"/>
      <c r="V28" s="1"/>
      <c r="W28" s="1"/>
      <c r="X28" s="1"/>
      <c r="Y28" s="1"/>
    </row>
    <row r="29" spans="1:25" x14ac:dyDescent="0.3">
      <c r="A29" s="98"/>
      <c r="B29" s="1"/>
      <c r="C29" s="1"/>
      <c r="D29" s="1"/>
      <c r="E29" s="1"/>
      <c r="F29" s="1"/>
      <c r="G29" s="1"/>
      <c r="H29" s="1"/>
      <c r="I29" s="1"/>
      <c r="J29" s="1"/>
      <c r="K29" s="1"/>
      <c r="L29" s="1"/>
      <c r="M29" s="1"/>
      <c r="N29" s="1"/>
      <c r="O29" s="1"/>
      <c r="P29" s="1"/>
      <c r="Q29" s="1"/>
      <c r="R29" s="1"/>
      <c r="S29" s="1"/>
      <c r="T29" s="1"/>
      <c r="U29" s="1"/>
      <c r="V29" s="1"/>
      <c r="W29" s="1"/>
      <c r="X29" s="1"/>
      <c r="Y29" s="1"/>
    </row>
    <row r="30" spans="1:25" x14ac:dyDescent="0.3">
      <c r="A30" s="98"/>
      <c r="B30" s="1"/>
      <c r="C30" s="1"/>
      <c r="D30" s="1"/>
      <c r="E30" s="1"/>
      <c r="F30" s="1"/>
      <c r="G30" s="1"/>
      <c r="H30" s="1"/>
      <c r="I30" s="1"/>
      <c r="J30" s="1"/>
      <c r="K30" s="1"/>
      <c r="L30" s="1"/>
      <c r="M30" s="1"/>
      <c r="N30" s="1"/>
      <c r="O30" s="1"/>
      <c r="P30" s="1"/>
      <c r="Q30" s="1"/>
      <c r="R30" s="1"/>
      <c r="S30" s="1"/>
      <c r="T30" s="1"/>
      <c r="U30" s="1"/>
      <c r="V30" s="1"/>
      <c r="W30" s="1"/>
      <c r="X30" s="1"/>
      <c r="Y30" s="1"/>
    </row>
    <row r="31" spans="1:25" x14ac:dyDescent="0.3">
      <c r="A31" s="98"/>
      <c r="B31" s="1"/>
      <c r="C31" s="1"/>
      <c r="D31" s="1"/>
      <c r="E31" s="1"/>
      <c r="F31" s="1"/>
      <c r="G31" s="1"/>
      <c r="H31" s="1"/>
      <c r="I31" s="1"/>
      <c r="J31" s="1"/>
      <c r="K31" s="1"/>
      <c r="L31" s="1"/>
      <c r="M31" s="1"/>
      <c r="N31" s="1"/>
      <c r="O31" s="1"/>
      <c r="P31" s="1"/>
      <c r="Q31" s="1"/>
      <c r="R31" s="1"/>
      <c r="S31" s="1"/>
      <c r="T31" s="1"/>
      <c r="U31" s="1"/>
      <c r="V31" s="1"/>
      <c r="W31" s="1"/>
      <c r="X31" s="1"/>
      <c r="Y31" s="1"/>
    </row>
    <row r="32" spans="1:25" x14ac:dyDescent="0.3">
      <c r="A32" s="98"/>
      <c r="B32" s="1"/>
      <c r="C32" s="1"/>
      <c r="D32" s="1"/>
      <c r="E32" s="1"/>
      <c r="F32" s="1"/>
      <c r="G32" s="1"/>
      <c r="H32" s="1"/>
      <c r="I32" s="1"/>
      <c r="J32" s="1"/>
      <c r="K32" s="1"/>
      <c r="L32" s="1"/>
      <c r="M32" s="1"/>
      <c r="N32" s="1"/>
      <c r="O32" s="1"/>
      <c r="P32" s="1"/>
      <c r="Q32" s="1"/>
      <c r="R32" s="1"/>
      <c r="S32" s="1"/>
      <c r="T32" s="1"/>
      <c r="U32" s="1"/>
      <c r="V32" s="1"/>
      <c r="W32" s="1"/>
      <c r="X32" s="1"/>
      <c r="Y32" s="1"/>
    </row>
    <row r="33" spans="1:25" x14ac:dyDescent="0.3">
      <c r="A33" s="98"/>
      <c r="B33" s="1"/>
      <c r="C33" s="1"/>
      <c r="D33" s="1"/>
      <c r="E33" s="1"/>
      <c r="F33" s="1"/>
      <c r="G33" s="1"/>
      <c r="H33" s="1"/>
      <c r="I33" s="1"/>
      <c r="J33" s="1"/>
      <c r="K33" s="1"/>
      <c r="L33" s="1"/>
      <c r="M33" s="1"/>
      <c r="N33" s="1"/>
      <c r="O33" s="1"/>
      <c r="P33" s="1"/>
      <c r="Q33" s="1"/>
      <c r="R33" s="1"/>
      <c r="S33" s="1"/>
      <c r="T33" s="1"/>
      <c r="U33" s="1"/>
      <c r="V33" s="1"/>
      <c r="W33" s="1"/>
      <c r="X33" s="1"/>
      <c r="Y33" s="1"/>
    </row>
    <row r="34" spans="1:25" x14ac:dyDescent="0.3">
      <c r="A34" s="98"/>
      <c r="B34" s="1"/>
      <c r="C34" s="1"/>
      <c r="D34" s="1"/>
      <c r="E34" s="1"/>
      <c r="F34" s="1"/>
      <c r="G34" s="1"/>
      <c r="H34" s="1"/>
      <c r="I34" s="1"/>
      <c r="J34" s="1"/>
      <c r="K34" s="1"/>
      <c r="L34" s="1"/>
      <c r="M34" s="1"/>
      <c r="N34" s="1"/>
      <c r="O34" s="1"/>
      <c r="P34" s="1"/>
      <c r="Q34" s="1"/>
      <c r="R34" s="1"/>
      <c r="S34" s="1"/>
      <c r="T34" s="1"/>
      <c r="U34" s="1"/>
      <c r="V34" s="1"/>
      <c r="W34" s="1"/>
      <c r="X34" s="1"/>
      <c r="Y34" s="1"/>
    </row>
    <row r="35" spans="1:25" x14ac:dyDescent="0.3">
      <c r="A35" s="98"/>
      <c r="B35" s="1"/>
      <c r="C35" s="1"/>
      <c r="D35" s="1"/>
      <c r="E35" s="1"/>
      <c r="F35" s="1"/>
      <c r="G35" s="1"/>
      <c r="H35" s="1"/>
      <c r="I35" s="1"/>
      <c r="J35" s="1"/>
      <c r="K35" s="1"/>
      <c r="L35" s="1"/>
      <c r="M35" s="1"/>
      <c r="N35" s="1"/>
      <c r="O35" s="1"/>
      <c r="P35" s="1"/>
      <c r="Q35" s="1"/>
      <c r="R35" s="1"/>
      <c r="S35" s="1"/>
      <c r="T35" s="1"/>
      <c r="U35" s="1"/>
      <c r="V35" s="1"/>
      <c r="W35" s="1"/>
      <c r="X35" s="1"/>
      <c r="Y35" s="1"/>
    </row>
    <row r="36" spans="1:25" x14ac:dyDescent="0.3">
      <c r="A36" s="98"/>
      <c r="B36" s="1"/>
      <c r="C36" s="1"/>
      <c r="D36" s="1"/>
      <c r="E36" s="1"/>
      <c r="F36" s="1"/>
      <c r="G36" s="1"/>
      <c r="H36" s="1"/>
      <c r="I36" s="1"/>
      <c r="J36" s="1"/>
      <c r="K36" s="1"/>
      <c r="L36" s="1"/>
      <c r="M36" s="1"/>
      <c r="N36" s="1"/>
      <c r="O36" s="1"/>
      <c r="P36" s="1"/>
      <c r="Q36" s="1"/>
      <c r="R36" s="1"/>
      <c r="S36" s="1"/>
      <c r="T36" s="1"/>
      <c r="U36" s="1"/>
      <c r="V36" s="1"/>
      <c r="W36" s="1"/>
      <c r="X36" s="1"/>
      <c r="Y36" s="1"/>
    </row>
    <row r="37" spans="1:25" x14ac:dyDescent="0.3">
      <c r="A37" s="98"/>
      <c r="B37" s="1"/>
      <c r="C37" s="1"/>
      <c r="D37" s="1"/>
      <c r="E37" s="1"/>
      <c r="F37" s="1"/>
      <c r="G37" s="1"/>
      <c r="H37" s="1"/>
      <c r="I37" s="1"/>
      <c r="J37" s="1"/>
      <c r="K37" s="1"/>
      <c r="L37" s="1"/>
      <c r="M37" s="1"/>
      <c r="N37" s="1"/>
      <c r="O37" s="1"/>
      <c r="P37" s="1"/>
      <c r="Q37" s="1"/>
      <c r="R37" s="1"/>
      <c r="S37" s="1"/>
      <c r="T37" s="1"/>
      <c r="U37" s="1"/>
      <c r="V37" s="1"/>
      <c r="W37" s="1"/>
      <c r="X37" s="1"/>
      <c r="Y37" s="1"/>
    </row>
    <row r="38" spans="1:25" x14ac:dyDescent="0.3">
      <c r="A38" s="98"/>
      <c r="B38" s="1"/>
      <c r="C38" s="1"/>
      <c r="D38" s="1"/>
      <c r="E38" s="1"/>
      <c r="F38" s="1"/>
      <c r="G38" s="1"/>
      <c r="H38" s="1"/>
      <c r="I38" s="1"/>
      <c r="J38" s="1"/>
      <c r="K38" s="1"/>
      <c r="L38" s="1"/>
      <c r="M38" s="1"/>
      <c r="N38" s="1"/>
      <c r="O38" s="1"/>
      <c r="P38" s="1"/>
      <c r="Q38" s="1"/>
      <c r="R38" s="1"/>
      <c r="S38" s="1"/>
      <c r="T38" s="1"/>
      <c r="U38" s="1"/>
      <c r="V38" s="1"/>
      <c r="W38" s="1"/>
      <c r="X38" s="1"/>
      <c r="Y38" s="1"/>
    </row>
    <row r="39" spans="1:25" x14ac:dyDescent="0.3">
      <c r="A39" s="98"/>
      <c r="B39" s="1"/>
      <c r="C39" s="1"/>
      <c r="D39" s="1"/>
      <c r="E39" s="1"/>
      <c r="F39" s="1"/>
      <c r="G39" s="1"/>
      <c r="H39" s="1"/>
      <c r="I39" s="1"/>
      <c r="J39" s="1"/>
      <c r="K39" s="1"/>
      <c r="L39" s="1"/>
      <c r="M39" s="1"/>
      <c r="N39" s="1"/>
      <c r="O39" s="1"/>
      <c r="P39" s="1"/>
      <c r="Q39" s="1"/>
      <c r="R39" s="1"/>
      <c r="S39" s="1"/>
      <c r="T39" s="1"/>
      <c r="U39" s="1"/>
      <c r="V39" s="1"/>
      <c r="W39" s="1"/>
      <c r="X39" s="1"/>
      <c r="Y39" s="1"/>
    </row>
    <row r="40" spans="1:25" x14ac:dyDescent="0.3">
      <c r="A40" s="98"/>
      <c r="B40" s="1"/>
      <c r="C40" s="1"/>
      <c r="D40" s="1"/>
      <c r="E40" s="1"/>
      <c r="F40" s="1"/>
      <c r="G40" s="1"/>
      <c r="H40" s="1"/>
      <c r="I40" s="1"/>
      <c r="J40" s="1"/>
      <c r="K40" s="1"/>
      <c r="L40" s="1"/>
      <c r="M40" s="1"/>
      <c r="N40" s="1"/>
      <c r="O40" s="1"/>
      <c r="P40" s="1"/>
      <c r="Q40" s="1"/>
      <c r="R40" s="1"/>
      <c r="S40" s="1"/>
      <c r="T40" s="1"/>
      <c r="U40" s="1"/>
      <c r="V40" s="1"/>
      <c r="W40" s="1"/>
      <c r="X40" s="1"/>
      <c r="Y40" s="1"/>
    </row>
    <row r="41" spans="1:25" x14ac:dyDescent="0.3">
      <c r="A41" s="98"/>
      <c r="B41" s="1"/>
      <c r="C41" s="1"/>
      <c r="D41" s="1"/>
      <c r="E41" s="1"/>
      <c r="F41" s="1"/>
      <c r="G41" s="1"/>
      <c r="H41" s="1"/>
      <c r="I41" s="1"/>
      <c r="J41" s="1"/>
      <c r="K41" s="1"/>
      <c r="L41" s="1"/>
      <c r="M41" s="1"/>
      <c r="N41" s="1"/>
      <c r="O41" s="1"/>
      <c r="P41" s="1"/>
      <c r="Q41" s="1"/>
      <c r="R41" s="1"/>
      <c r="S41" s="1"/>
      <c r="T41" s="1"/>
      <c r="U41" s="1"/>
      <c r="V41" s="1"/>
      <c r="W41" s="1"/>
      <c r="X41" s="1"/>
      <c r="Y41" s="1"/>
    </row>
    <row r="42" spans="1:25" x14ac:dyDescent="0.3">
      <c r="A42" s="98"/>
      <c r="B42" s="1"/>
      <c r="C42" s="1"/>
      <c r="D42" s="1"/>
      <c r="E42" s="1"/>
      <c r="F42" s="1"/>
      <c r="G42" s="1"/>
      <c r="H42" s="1"/>
      <c r="I42" s="1"/>
      <c r="J42" s="1"/>
      <c r="K42" s="1"/>
      <c r="L42" s="1"/>
      <c r="M42" s="1"/>
      <c r="N42" s="1"/>
      <c r="O42" s="1"/>
      <c r="P42" s="1"/>
      <c r="Q42" s="1"/>
      <c r="R42" s="1"/>
      <c r="S42" s="1"/>
      <c r="T42" s="1"/>
      <c r="U42" s="1"/>
      <c r="V42" s="1"/>
      <c r="W42" s="1"/>
      <c r="X42" s="1"/>
      <c r="Y42" s="1"/>
    </row>
    <row r="43" spans="1:25" x14ac:dyDescent="0.3">
      <c r="A43" s="98"/>
      <c r="B43" s="1"/>
      <c r="C43" s="1"/>
      <c r="D43" s="1"/>
      <c r="E43" s="1"/>
      <c r="F43" s="1"/>
      <c r="G43" s="1"/>
      <c r="H43" s="1"/>
      <c r="I43" s="1"/>
      <c r="J43" s="1"/>
      <c r="K43" s="1"/>
      <c r="L43" s="1"/>
      <c r="M43" s="1"/>
      <c r="N43" s="1"/>
      <c r="O43" s="1"/>
      <c r="P43" s="1"/>
      <c r="Q43" s="1"/>
      <c r="R43" s="1"/>
      <c r="S43" s="1"/>
      <c r="T43" s="1"/>
      <c r="U43" s="1"/>
      <c r="V43" s="1"/>
      <c r="W43" s="1"/>
      <c r="X43" s="1"/>
      <c r="Y43" s="1"/>
    </row>
    <row r="44" spans="1:25" x14ac:dyDescent="0.3">
      <c r="A44" s="98"/>
      <c r="B44" s="1"/>
      <c r="C44" s="1"/>
      <c r="D44" s="1"/>
      <c r="E44" s="1"/>
      <c r="F44" s="1"/>
      <c r="G44" s="1"/>
      <c r="H44" s="1"/>
      <c r="I44" s="1"/>
      <c r="J44" s="1"/>
      <c r="K44" s="1"/>
      <c r="L44" s="1"/>
      <c r="M44" s="1"/>
      <c r="N44" s="1"/>
      <c r="O44" s="1"/>
      <c r="P44" s="1"/>
      <c r="Q44" s="1"/>
      <c r="R44" s="1"/>
      <c r="S44" s="1"/>
      <c r="T44" s="1"/>
      <c r="U44" s="1"/>
      <c r="V44" s="1"/>
      <c r="W44" s="1"/>
      <c r="X44" s="1"/>
      <c r="Y44" s="1"/>
    </row>
    <row r="45" spans="1:25" x14ac:dyDescent="0.3">
      <c r="A45" s="98"/>
      <c r="B45" s="1"/>
      <c r="C45" s="1"/>
      <c r="D45" s="1"/>
      <c r="E45" s="1"/>
      <c r="F45" s="1"/>
      <c r="G45" s="1"/>
      <c r="H45" s="1"/>
      <c r="I45" s="1"/>
      <c r="J45" s="1"/>
      <c r="K45" s="1"/>
      <c r="L45" s="1"/>
      <c r="M45" s="1"/>
      <c r="N45" s="1"/>
      <c r="O45" s="1"/>
      <c r="P45" s="1"/>
      <c r="Q45" s="1"/>
      <c r="R45" s="1"/>
      <c r="S45" s="1"/>
      <c r="T45" s="1"/>
      <c r="U45" s="1"/>
      <c r="V45" s="1"/>
      <c r="W45" s="1"/>
      <c r="X45" s="1"/>
      <c r="Y45" s="1"/>
    </row>
    <row r="46" spans="1:25" x14ac:dyDescent="0.3">
      <c r="A46" s="98"/>
      <c r="B46" s="1"/>
      <c r="C46" s="1"/>
      <c r="D46" s="1"/>
      <c r="E46" s="1"/>
      <c r="F46" s="1"/>
      <c r="G46" s="1"/>
      <c r="H46" s="1"/>
      <c r="I46" s="1"/>
      <c r="J46" s="1"/>
      <c r="K46" s="1"/>
      <c r="L46" s="1"/>
      <c r="M46" s="1"/>
      <c r="N46" s="1"/>
      <c r="O46" s="1"/>
      <c r="P46" s="1"/>
      <c r="Q46" s="1"/>
      <c r="R46" s="1"/>
      <c r="S46" s="1"/>
      <c r="T46" s="1"/>
      <c r="U46" s="1"/>
      <c r="V46" s="1"/>
      <c r="W46" s="1"/>
      <c r="X46" s="1"/>
      <c r="Y46" s="1"/>
    </row>
    <row r="47" spans="1:25" x14ac:dyDescent="0.3">
      <c r="A47" s="98"/>
      <c r="B47" s="1"/>
      <c r="C47" s="1"/>
      <c r="D47" s="1"/>
      <c r="E47" s="1"/>
      <c r="F47" s="1"/>
      <c r="G47" s="1"/>
      <c r="H47" s="1"/>
      <c r="I47" s="1"/>
      <c r="J47" s="1"/>
      <c r="K47" s="1"/>
      <c r="L47" s="1"/>
      <c r="M47" s="1"/>
      <c r="N47" s="1"/>
      <c r="O47" s="1"/>
      <c r="P47" s="1"/>
      <c r="Q47" s="1"/>
      <c r="R47" s="1"/>
      <c r="S47" s="1"/>
      <c r="T47" s="1"/>
      <c r="U47" s="1"/>
      <c r="V47" s="1"/>
      <c r="W47" s="1"/>
      <c r="X47" s="1"/>
      <c r="Y47" s="1"/>
    </row>
    <row r="48" spans="1:25" x14ac:dyDescent="0.3">
      <c r="A48" s="98"/>
      <c r="B48" s="1"/>
      <c r="C48" s="1"/>
      <c r="D48" s="1"/>
      <c r="E48" s="1"/>
      <c r="F48" s="1"/>
      <c r="G48" s="1"/>
      <c r="H48" s="1"/>
      <c r="I48" s="1"/>
      <c r="J48" s="1"/>
      <c r="K48" s="1"/>
      <c r="L48" s="1"/>
      <c r="M48" s="1"/>
      <c r="N48" s="1"/>
      <c r="O48" s="1"/>
      <c r="P48" s="1"/>
      <c r="Q48" s="1"/>
      <c r="R48" s="1"/>
      <c r="S48" s="1"/>
      <c r="T48" s="1"/>
      <c r="U48" s="1"/>
      <c r="V48" s="1"/>
      <c r="W48" s="1"/>
      <c r="X48" s="1"/>
      <c r="Y48" s="1"/>
    </row>
    <row r="49" spans="1:25" x14ac:dyDescent="0.3">
      <c r="A49" s="98"/>
      <c r="B49" s="1"/>
      <c r="C49" s="1"/>
      <c r="D49" s="1"/>
      <c r="E49" s="1"/>
      <c r="F49" s="1"/>
      <c r="G49" s="1"/>
      <c r="H49" s="1"/>
      <c r="I49" s="1"/>
      <c r="J49" s="1"/>
      <c r="K49" s="1"/>
      <c r="L49" s="1"/>
      <c r="M49" s="1"/>
      <c r="N49" s="1"/>
      <c r="O49" s="1"/>
      <c r="P49" s="1"/>
      <c r="Q49" s="1"/>
      <c r="R49" s="1"/>
      <c r="S49" s="1"/>
      <c r="T49" s="1"/>
      <c r="U49" s="1"/>
      <c r="V49" s="1"/>
      <c r="W49" s="1"/>
      <c r="X49" s="1"/>
      <c r="Y49" s="1"/>
    </row>
    <row r="50" spans="1:25" x14ac:dyDescent="0.3">
      <c r="A50" s="98"/>
      <c r="B50" s="1"/>
      <c r="C50" s="1"/>
      <c r="D50" s="1"/>
      <c r="E50" s="1"/>
      <c r="F50" s="1"/>
      <c r="G50" s="1"/>
      <c r="H50" s="1"/>
      <c r="I50" s="1"/>
      <c r="J50" s="1"/>
      <c r="K50" s="1"/>
      <c r="L50" s="1"/>
      <c r="M50" s="1"/>
      <c r="N50" s="1"/>
      <c r="O50" s="1"/>
      <c r="P50" s="1"/>
      <c r="Q50" s="1"/>
      <c r="R50" s="1"/>
      <c r="S50" s="1"/>
      <c r="T50" s="1"/>
      <c r="U50" s="1"/>
      <c r="V50" s="1"/>
      <c r="W50" s="1"/>
      <c r="X50" s="1"/>
      <c r="Y50" s="1"/>
    </row>
    <row r="51" spans="1:25" x14ac:dyDescent="0.3">
      <c r="A51" s="98"/>
      <c r="B51" s="1"/>
      <c r="C51" s="1"/>
      <c r="D51" s="1"/>
      <c r="E51" s="1"/>
      <c r="F51" s="1"/>
      <c r="G51" s="1"/>
      <c r="H51" s="1"/>
      <c r="I51" s="1"/>
      <c r="J51" s="1"/>
      <c r="K51" s="1"/>
      <c r="L51" s="1"/>
      <c r="M51" s="1"/>
      <c r="N51" s="1"/>
      <c r="O51" s="1"/>
      <c r="P51" s="1"/>
      <c r="Q51" s="1"/>
      <c r="R51" s="1"/>
      <c r="S51" s="1"/>
      <c r="T51" s="1"/>
      <c r="U51" s="1"/>
      <c r="V51" s="1"/>
      <c r="W51" s="1"/>
      <c r="X51" s="1"/>
      <c r="Y51" s="1"/>
    </row>
    <row r="52" spans="1:25" x14ac:dyDescent="0.3">
      <c r="A52" s="98"/>
      <c r="B52" s="1"/>
      <c r="C52" s="1"/>
      <c r="D52" s="1"/>
      <c r="E52" s="1"/>
      <c r="F52" s="1"/>
      <c r="G52" s="1"/>
      <c r="H52" s="1"/>
      <c r="I52" s="1"/>
      <c r="J52" s="1"/>
      <c r="K52" s="1"/>
      <c r="L52" s="1"/>
      <c r="M52" s="1"/>
      <c r="N52" s="1"/>
      <c r="O52" s="1"/>
      <c r="P52" s="1"/>
      <c r="Q52" s="1"/>
      <c r="R52" s="1"/>
      <c r="S52" s="1"/>
      <c r="T52" s="1"/>
      <c r="U52" s="1"/>
      <c r="V52" s="1"/>
      <c r="W52" s="1"/>
      <c r="X52" s="1"/>
      <c r="Y52" s="1"/>
    </row>
    <row r="53" spans="1:25" x14ac:dyDescent="0.3">
      <c r="A53" s="98"/>
      <c r="B53" s="1"/>
      <c r="C53" s="1"/>
      <c r="D53" s="1"/>
      <c r="E53" s="1"/>
      <c r="F53" s="1"/>
      <c r="G53" s="1"/>
      <c r="H53" s="1"/>
      <c r="I53" s="1"/>
      <c r="J53" s="1"/>
      <c r="K53" s="1"/>
      <c r="L53" s="1"/>
      <c r="M53" s="1"/>
      <c r="N53" s="1"/>
      <c r="O53" s="1"/>
      <c r="P53" s="1"/>
      <c r="Q53" s="1"/>
      <c r="R53" s="1"/>
      <c r="S53" s="1"/>
      <c r="T53" s="1"/>
      <c r="U53" s="1"/>
      <c r="V53" s="1"/>
      <c r="W53" s="1"/>
      <c r="X53" s="1"/>
      <c r="Y53" s="1"/>
    </row>
    <row r="54" spans="1:25" x14ac:dyDescent="0.3">
      <c r="A54" s="98"/>
      <c r="B54" s="1"/>
      <c r="C54" s="1"/>
      <c r="D54" s="1"/>
      <c r="E54" s="1"/>
      <c r="F54" s="1"/>
      <c r="G54" s="1"/>
      <c r="H54" s="1"/>
      <c r="I54" s="1"/>
      <c r="J54" s="1"/>
      <c r="K54" s="1"/>
      <c r="L54" s="1"/>
      <c r="M54" s="1"/>
      <c r="N54" s="1"/>
      <c r="O54" s="1"/>
      <c r="P54" s="1"/>
      <c r="Q54" s="1"/>
      <c r="R54" s="1"/>
      <c r="S54" s="1"/>
      <c r="T54" s="1"/>
      <c r="U54" s="1"/>
      <c r="V54" s="1"/>
      <c r="W54" s="1"/>
      <c r="X54" s="1"/>
      <c r="Y54" s="1"/>
    </row>
    <row r="55" spans="1:25" x14ac:dyDescent="0.3">
      <c r="A55" s="98"/>
      <c r="B55" s="1"/>
      <c r="C55" s="1"/>
      <c r="D55" s="1"/>
      <c r="E55" s="1"/>
      <c r="F55" s="1"/>
      <c r="G55" s="1"/>
      <c r="H55" s="1"/>
      <c r="I55" s="1"/>
      <c r="J55" s="1"/>
      <c r="K55" s="1"/>
      <c r="L55" s="1"/>
      <c r="M55" s="1"/>
      <c r="N55" s="1"/>
      <c r="O55" s="1"/>
      <c r="P55" s="1"/>
      <c r="Q55" s="1"/>
      <c r="R55" s="1"/>
      <c r="S55" s="1"/>
      <c r="T55" s="1"/>
      <c r="U55" s="1"/>
      <c r="V55" s="1"/>
      <c r="W55" s="1"/>
      <c r="X55" s="1"/>
      <c r="Y55" s="1"/>
    </row>
    <row r="56" spans="1:25" x14ac:dyDescent="0.3">
      <c r="A56" s="98"/>
      <c r="B56" s="1"/>
      <c r="C56" s="1"/>
      <c r="D56" s="1"/>
      <c r="E56" s="1"/>
      <c r="F56" s="1"/>
      <c r="G56" s="1"/>
      <c r="H56" s="1"/>
      <c r="I56" s="1"/>
      <c r="J56" s="1"/>
      <c r="K56" s="1"/>
      <c r="L56" s="1"/>
      <c r="M56" s="1"/>
      <c r="N56" s="1"/>
      <c r="O56" s="1"/>
      <c r="P56" s="1"/>
      <c r="Q56" s="1"/>
      <c r="R56" s="1"/>
      <c r="S56" s="1"/>
      <c r="T56" s="1"/>
      <c r="U56" s="1"/>
      <c r="V56" s="1"/>
      <c r="W56" s="1"/>
      <c r="X56" s="1"/>
      <c r="Y56" s="1"/>
    </row>
    <row r="57" spans="1:25" x14ac:dyDescent="0.3">
      <c r="A57" s="98"/>
      <c r="B57" s="1"/>
      <c r="C57" s="1"/>
      <c r="D57" s="1"/>
      <c r="E57" s="1"/>
      <c r="F57" s="1"/>
      <c r="G57" s="1"/>
      <c r="H57" s="1"/>
      <c r="I57" s="1"/>
      <c r="J57" s="1"/>
      <c r="K57" s="1"/>
      <c r="L57" s="1"/>
      <c r="M57" s="1"/>
      <c r="N57" s="1"/>
      <c r="O57" s="1"/>
      <c r="P57" s="1"/>
      <c r="Q57" s="1"/>
      <c r="R57" s="1"/>
      <c r="S57" s="1"/>
      <c r="T57" s="1"/>
      <c r="U57" s="1"/>
      <c r="V57" s="1"/>
      <c r="W57" s="1"/>
      <c r="X57" s="1"/>
      <c r="Y57" s="1"/>
    </row>
    <row r="58" spans="1:25" x14ac:dyDescent="0.3">
      <c r="A58" s="98"/>
      <c r="B58" s="1"/>
      <c r="C58" s="1"/>
      <c r="D58" s="1"/>
      <c r="E58" s="1"/>
      <c r="F58" s="1"/>
      <c r="G58" s="1"/>
      <c r="H58" s="1"/>
      <c r="I58" s="1"/>
      <c r="J58" s="1"/>
      <c r="K58" s="1"/>
      <c r="L58" s="1"/>
      <c r="M58" s="1"/>
      <c r="N58" s="1"/>
      <c r="O58" s="1"/>
      <c r="P58" s="1"/>
      <c r="Q58" s="1"/>
      <c r="R58" s="1"/>
      <c r="S58" s="1"/>
      <c r="T58" s="1"/>
      <c r="U58" s="1"/>
      <c r="V58" s="1"/>
      <c r="W58" s="1"/>
      <c r="X58" s="1"/>
      <c r="Y58" s="1"/>
    </row>
    <row r="59" spans="1:25" x14ac:dyDescent="0.3">
      <c r="A59" s="98"/>
      <c r="B59" s="1"/>
      <c r="C59" s="1"/>
      <c r="D59" s="1"/>
      <c r="E59" s="1"/>
      <c r="F59" s="1"/>
      <c r="G59" s="1"/>
      <c r="H59" s="1"/>
      <c r="I59" s="1"/>
      <c r="J59" s="1"/>
      <c r="K59" s="1"/>
      <c r="L59" s="1"/>
      <c r="M59" s="1"/>
      <c r="N59" s="1"/>
      <c r="O59" s="1"/>
      <c r="P59" s="1"/>
      <c r="Q59" s="1"/>
      <c r="R59" s="1"/>
      <c r="S59" s="1"/>
      <c r="T59" s="1"/>
      <c r="U59" s="1"/>
      <c r="V59" s="1"/>
      <c r="W59" s="1"/>
      <c r="X59" s="1"/>
      <c r="Y59" s="1"/>
    </row>
    <row r="60" spans="1:25" x14ac:dyDescent="0.3">
      <c r="A60" s="98"/>
      <c r="B60" s="1"/>
      <c r="C60" s="1"/>
      <c r="D60" s="1"/>
      <c r="E60" s="1"/>
      <c r="F60" s="1"/>
      <c r="G60" s="1"/>
      <c r="H60" s="1"/>
      <c r="I60" s="1"/>
      <c r="J60" s="1"/>
      <c r="K60" s="1"/>
      <c r="L60" s="1"/>
      <c r="M60" s="1"/>
      <c r="N60" s="1"/>
      <c r="O60" s="1"/>
      <c r="P60" s="1"/>
      <c r="Q60" s="1"/>
      <c r="R60" s="1"/>
      <c r="S60" s="1"/>
      <c r="T60" s="1"/>
      <c r="U60" s="1"/>
      <c r="V60" s="1"/>
      <c r="W60" s="1"/>
      <c r="X60" s="1"/>
      <c r="Y60" s="1"/>
    </row>
    <row r="61" spans="1:25" x14ac:dyDescent="0.3">
      <c r="A61" s="98"/>
      <c r="B61" s="1"/>
      <c r="C61" s="1"/>
      <c r="D61" s="1"/>
      <c r="E61" s="1"/>
      <c r="F61" s="1"/>
      <c r="G61" s="1"/>
      <c r="H61" s="1"/>
      <c r="I61" s="1"/>
      <c r="J61" s="1"/>
      <c r="K61" s="1"/>
      <c r="L61" s="1"/>
      <c r="M61" s="1"/>
      <c r="N61" s="1"/>
      <c r="O61" s="1"/>
      <c r="P61" s="1"/>
      <c r="Q61" s="1"/>
      <c r="R61" s="1"/>
      <c r="S61" s="1"/>
      <c r="T61" s="1"/>
      <c r="U61" s="1"/>
      <c r="V61" s="1"/>
      <c r="W61" s="1"/>
      <c r="X61" s="1"/>
      <c r="Y61" s="1"/>
    </row>
    <row r="62" spans="1:25" x14ac:dyDescent="0.3">
      <c r="A62" s="98"/>
      <c r="B62" s="1"/>
      <c r="C62" s="1"/>
      <c r="D62" s="1"/>
      <c r="E62" s="1"/>
      <c r="F62" s="1"/>
      <c r="G62" s="1"/>
      <c r="H62" s="1"/>
      <c r="I62" s="1"/>
      <c r="J62" s="1"/>
      <c r="K62" s="1"/>
      <c r="L62" s="1"/>
      <c r="M62" s="1"/>
      <c r="N62" s="1"/>
      <c r="O62" s="1"/>
      <c r="P62" s="1"/>
      <c r="Q62" s="1"/>
      <c r="R62" s="1"/>
      <c r="S62" s="1"/>
      <c r="T62" s="1"/>
      <c r="U62" s="1"/>
      <c r="V62" s="1"/>
      <c r="W62" s="1"/>
      <c r="X62" s="1"/>
      <c r="Y62" s="1"/>
    </row>
    <row r="63" spans="1:25" x14ac:dyDescent="0.3">
      <c r="A63" s="98"/>
      <c r="B63" s="1"/>
      <c r="C63" s="1"/>
      <c r="D63" s="1"/>
      <c r="E63" s="1"/>
      <c r="F63" s="1"/>
      <c r="G63" s="1"/>
      <c r="H63" s="1"/>
      <c r="I63" s="1"/>
      <c r="J63" s="1"/>
      <c r="K63" s="1"/>
      <c r="L63" s="1"/>
      <c r="M63" s="1"/>
      <c r="N63" s="1"/>
      <c r="O63" s="1"/>
      <c r="P63" s="1"/>
      <c r="Q63" s="1"/>
      <c r="R63" s="1"/>
      <c r="S63" s="1"/>
      <c r="T63" s="1"/>
      <c r="U63" s="1"/>
      <c r="V63" s="1"/>
      <c r="W63" s="1"/>
      <c r="X63" s="1"/>
      <c r="Y63" s="1"/>
    </row>
    <row r="64" spans="1:25" x14ac:dyDescent="0.3">
      <c r="A64" s="98"/>
      <c r="B64" s="1"/>
      <c r="C64" s="1"/>
      <c r="D64" s="1"/>
      <c r="E64" s="1"/>
      <c r="F64" s="1"/>
      <c r="G64" s="1"/>
      <c r="H64" s="1"/>
      <c r="I64" s="1"/>
      <c r="J64" s="1"/>
      <c r="K64" s="1"/>
      <c r="L64" s="1"/>
      <c r="M64" s="1"/>
      <c r="N64" s="1"/>
      <c r="O64" s="1"/>
      <c r="P64" s="1"/>
      <c r="Q64" s="1"/>
      <c r="R64" s="1"/>
      <c r="S64" s="1"/>
      <c r="T64" s="1"/>
      <c r="U64" s="1"/>
      <c r="V64" s="1"/>
      <c r="W64" s="1"/>
      <c r="X64" s="1"/>
      <c r="Y64" s="1"/>
    </row>
    <row r="65" spans="1:25" x14ac:dyDescent="0.3">
      <c r="A65" s="98"/>
      <c r="B65" s="1"/>
      <c r="C65" s="1"/>
      <c r="D65" s="1"/>
      <c r="E65" s="1"/>
      <c r="F65" s="1"/>
      <c r="G65" s="1"/>
      <c r="H65" s="1"/>
      <c r="I65" s="1"/>
      <c r="J65" s="1"/>
      <c r="K65" s="1"/>
      <c r="L65" s="1"/>
      <c r="M65" s="1"/>
      <c r="N65" s="1"/>
      <c r="O65" s="1"/>
      <c r="P65" s="1"/>
      <c r="Q65" s="1"/>
      <c r="R65" s="1"/>
      <c r="S65" s="1"/>
      <c r="T65" s="1"/>
      <c r="U65" s="1"/>
      <c r="V65" s="1"/>
      <c r="W65" s="1"/>
      <c r="X65" s="1"/>
      <c r="Y65" s="1"/>
    </row>
    <row r="66" spans="1:25" x14ac:dyDescent="0.3">
      <c r="A66" s="98"/>
      <c r="B66" s="1"/>
      <c r="C66" s="1"/>
      <c r="D66" s="1"/>
      <c r="E66" s="1"/>
      <c r="F66" s="1"/>
      <c r="G66" s="1"/>
      <c r="H66" s="1"/>
      <c r="I66" s="1"/>
      <c r="J66" s="1"/>
      <c r="K66" s="1"/>
      <c r="L66" s="1"/>
      <c r="M66" s="1"/>
      <c r="N66" s="1"/>
      <c r="O66" s="1"/>
      <c r="P66" s="1"/>
      <c r="Q66" s="1"/>
      <c r="R66" s="1"/>
      <c r="S66" s="1"/>
      <c r="T66" s="1"/>
      <c r="U66" s="1"/>
      <c r="V66" s="1"/>
      <c r="W66" s="1"/>
      <c r="X66" s="1"/>
      <c r="Y66" s="1"/>
    </row>
    <row r="67" spans="1:25" x14ac:dyDescent="0.3">
      <c r="A67" s="98"/>
      <c r="B67" s="1"/>
      <c r="C67" s="1"/>
      <c r="D67" s="1"/>
      <c r="E67" s="1"/>
      <c r="F67" s="1"/>
      <c r="G67" s="1"/>
      <c r="H67" s="1"/>
      <c r="I67" s="1"/>
      <c r="J67" s="1"/>
      <c r="K67" s="1"/>
      <c r="L67" s="1"/>
      <c r="M67" s="1"/>
      <c r="N67" s="1"/>
      <c r="O67" s="1"/>
      <c r="P67" s="1"/>
      <c r="Q67" s="1"/>
      <c r="R67" s="1"/>
      <c r="S67" s="1"/>
      <c r="T67" s="1"/>
      <c r="U67" s="1"/>
      <c r="V67" s="1"/>
      <c r="W67" s="1"/>
      <c r="X67" s="1"/>
      <c r="Y67" s="1"/>
    </row>
    <row r="68" spans="1:25" x14ac:dyDescent="0.3">
      <c r="A68" s="98"/>
      <c r="B68" s="1"/>
      <c r="C68" s="1"/>
      <c r="D68" s="1"/>
      <c r="E68" s="1"/>
      <c r="F68" s="1"/>
      <c r="G68" s="1"/>
      <c r="H68" s="1"/>
      <c r="I68" s="1"/>
      <c r="J68" s="1"/>
      <c r="K68" s="1"/>
      <c r="L68" s="1"/>
      <c r="M68" s="1"/>
      <c r="N68" s="1"/>
      <c r="O68" s="1"/>
      <c r="P68" s="1"/>
      <c r="Q68" s="1"/>
      <c r="R68" s="1"/>
      <c r="S68" s="1"/>
      <c r="T68" s="1"/>
      <c r="U68" s="1"/>
      <c r="V68" s="1"/>
      <c r="W68" s="1"/>
      <c r="X68" s="1"/>
      <c r="Y68" s="1"/>
    </row>
    <row r="69" spans="1:25" x14ac:dyDescent="0.3">
      <c r="A69" s="98"/>
      <c r="B69" s="1"/>
      <c r="C69" s="1"/>
      <c r="D69" s="1"/>
      <c r="E69" s="1"/>
      <c r="F69" s="1"/>
      <c r="G69" s="1"/>
      <c r="H69" s="1"/>
      <c r="I69" s="1"/>
      <c r="J69" s="1"/>
      <c r="K69" s="1"/>
      <c r="L69" s="1"/>
      <c r="M69" s="1"/>
      <c r="N69" s="1"/>
      <c r="O69" s="1"/>
      <c r="P69" s="1"/>
      <c r="Q69" s="1"/>
      <c r="R69" s="1"/>
      <c r="S69" s="1"/>
      <c r="T69" s="1"/>
      <c r="U69" s="1"/>
      <c r="V69" s="1"/>
      <c r="W69" s="1"/>
      <c r="X69" s="1"/>
      <c r="Y69" s="1"/>
    </row>
    <row r="70" spans="1:25" x14ac:dyDescent="0.3">
      <c r="A70" s="98"/>
      <c r="B70" s="1"/>
      <c r="C70" s="1"/>
      <c r="D70" s="1"/>
      <c r="E70" s="1"/>
      <c r="F70" s="1"/>
      <c r="G70" s="1"/>
      <c r="H70" s="1"/>
      <c r="I70" s="1"/>
      <c r="J70" s="1"/>
      <c r="K70" s="1"/>
      <c r="L70" s="1"/>
      <c r="M70" s="1"/>
      <c r="N70" s="1"/>
      <c r="O70" s="1"/>
      <c r="P70" s="1"/>
      <c r="Q70" s="1"/>
      <c r="R70" s="1"/>
      <c r="S70" s="1"/>
      <c r="T70" s="1"/>
      <c r="U70" s="1"/>
      <c r="V70" s="1"/>
      <c r="W70" s="1"/>
      <c r="X70" s="1"/>
      <c r="Y70" s="1"/>
    </row>
    <row r="71" spans="1:25" x14ac:dyDescent="0.3">
      <c r="A71" s="98"/>
      <c r="B71" s="1"/>
      <c r="C71" s="1"/>
      <c r="D71" s="1"/>
      <c r="E71" s="1"/>
      <c r="F71" s="1"/>
      <c r="G71" s="1"/>
      <c r="H71" s="1"/>
      <c r="I71" s="1"/>
      <c r="J71" s="1"/>
      <c r="K71" s="1"/>
      <c r="L71" s="1"/>
      <c r="M71" s="1"/>
      <c r="N71" s="1"/>
      <c r="O71" s="1"/>
      <c r="P71" s="1"/>
      <c r="Q71" s="1"/>
      <c r="R71" s="1"/>
      <c r="S71" s="1"/>
      <c r="T71" s="1"/>
      <c r="U71" s="1"/>
      <c r="V71" s="1"/>
      <c r="W71" s="1"/>
      <c r="X71" s="1"/>
      <c r="Y71" s="1"/>
    </row>
    <row r="72" spans="1:25" x14ac:dyDescent="0.3">
      <c r="A72" s="98"/>
      <c r="B72" s="1"/>
      <c r="C72" s="1"/>
      <c r="D72" s="1"/>
      <c r="E72" s="1"/>
      <c r="F72" s="1"/>
      <c r="G72" s="1"/>
      <c r="H72" s="1"/>
      <c r="I72" s="1"/>
      <c r="J72" s="1"/>
      <c r="K72" s="1"/>
      <c r="L72" s="1"/>
      <c r="M72" s="1"/>
      <c r="N72" s="1"/>
      <c r="O72" s="1"/>
      <c r="P72" s="1"/>
      <c r="Q72" s="1"/>
      <c r="R72" s="1"/>
      <c r="S72" s="1"/>
      <c r="T72" s="1"/>
      <c r="U72" s="1"/>
      <c r="V72" s="1"/>
      <c r="W72" s="1"/>
      <c r="X72" s="1"/>
      <c r="Y72" s="1"/>
    </row>
    <row r="73" spans="1:25" x14ac:dyDescent="0.3">
      <c r="A73" s="98"/>
      <c r="B73" s="1"/>
      <c r="C73" s="1"/>
      <c r="D73" s="1"/>
      <c r="E73" s="1"/>
      <c r="F73" s="1"/>
      <c r="G73" s="1"/>
      <c r="H73" s="1"/>
      <c r="I73" s="1"/>
      <c r="J73" s="1"/>
      <c r="K73" s="1"/>
      <c r="L73" s="1"/>
      <c r="M73" s="1"/>
      <c r="N73" s="1"/>
      <c r="O73" s="1"/>
      <c r="P73" s="1"/>
      <c r="Q73" s="1"/>
      <c r="R73" s="1"/>
      <c r="S73" s="1"/>
      <c r="T73" s="1"/>
      <c r="U73" s="1"/>
      <c r="V73" s="1"/>
      <c r="W73" s="1"/>
      <c r="X73" s="1"/>
      <c r="Y73" s="1"/>
    </row>
    <row r="74" spans="1:25" x14ac:dyDescent="0.3">
      <c r="A74" s="98"/>
      <c r="B74" s="1"/>
      <c r="C74" s="1"/>
      <c r="D74" s="1"/>
      <c r="E74" s="1"/>
      <c r="F74" s="1"/>
      <c r="G74" s="1"/>
      <c r="H74" s="1"/>
      <c r="I74" s="1"/>
      <c r="J74" s="1"/>
      <c r="K74" s="1"/>
      <c r="L74" s="1"/>
      <c r="M74" s="1"/>
      <c r="N74" s="1"/>
      <c r="O74" s="1"/>
      <c r="P74" s="1"/>
      <c r="Q74" s="1"/>
      <c r="R74" s="1"/>
      <c r="S74" s="1"/>
      <c r="T74" s="1"/>
      <c r="U74" s="1"/>
      <c r="V74" s="1"/>
      <c r="W74" s="1"/>
      <c r="X74" s="1"/>
      <c r="Y74" s="1"/>
    </row>
    <row r="75" spans="1:25" x14ac:dyDescent="0.3">
      <c r="A75" s="98"/>
      <c r="B75" s="1"/>
      <c r="C75" s="1"/>
      <c r="D75" s="1"/>
      <c r="E75" s="1"/>
      <c r="F75" s="1"/>
      <c r="G75" s="1"/>
      <c r="H75" s="1"/>
      <c r="I75" s="1"/>
      <c r="J75" s="1"/>
      <c r="K75" s="1"/>
      <c r="L75" s="1"/>
      <c r="M75" s="1"/>
      <c r="N75" s="1"/>
      <c r="O75" s="1"/>
      <c r="P75" s="1"/>
      <c r="Q75" s="1"/>
      <c r="R75" s="1"/>
      <c r="S75" s="1"/>
      <c r="T75" s="1"/>
      <c r="U75" s="1"/>
      <c r="V75" s="1"/>
      <c r="W75" s="1"/>
      <c r="X75" s="1"/>
      <c r="Y75" s="1"/>
    </row>
    <row r="76" spans="1:25" x14ac:dyDescent="0.3">
      <c r="A76" s="98"/>
      <c r="B76" s="1"/>
      <c r="C76" s="1"/>
      <c r="D76" s="1"/>
      <c r="E76" s="1"/>
      <c r="F76" s="1"/>
      <c r="G76" s="1"/>
      <c r="H76" s="1"/>
      <c r="I76" s="1"/>
      <c r="J76" s="1"/>
      <c r="K76" s="1"/>
      <c r="L76" s="1"/>
      <c r="M76" s="1"/>
      <c r="N76" s="1"/>
      <c r="O76" s="1"/>
      <c r="P76" s="1"/>
      <c r="Q76" s="1"/>
      <c r="R76" s="1"/>
      <c r="S76" s="1"/>
      <c r="T76" s="1"/>
      <c r="U76" s="1"/>
      <c r="V76" s="1"/>
      <c r="W76" s="1"/>
      <c r="X76" s="1"/>
      <c r="Y76" s="1"/>
    </row>
    <row r="77" spans="1:25" x14ac:dyDescent="0.3">
      <c r="A77" s="98"/>
      <c r="B77" s="1"/>
      <c r="C77" s="1"/>
      <c r="D77" s="1"/>
      <c r="E77" s="1"/>
      <c r="F77" s="1"/>
      <c r="G77" s="1"/>
      <c r="H77" s="1"/>
      <c r="I77" s="1"/>
      <c r="J77" s="1"/>
      <c r="K77" s="1"/>
      <c r="L77" s="1"/>
      <c r="M77" s="1"/>
      <c r="N77" s="1"/>
      <c r="O77" s="1"/>
      <c r="P77" s="1"/>
      <c r="Q77" s="1"/>
      <c r="R77" s="1"/>
      <c r="S77" s="1"/>
      <c r="T77" s="1"/>
      <c r="U77" s="1"/>
      <c r="V77" s="1"/>
      <c r="W77" s="1"/>
      <c r="X77" s="1"/>
      <c r="Y77" s="1"/>
    </row>
    <row r="78" spans="1:25" x14ac:dyDescent="0.3">
      <c r="A78" s="98"/>
      <c r="B78" s="1"/>
      <c r="C78" s="1"/>
      <c r="D78" s="1"/>
      <c r="E78" s="1"/>
      <c r="F78" s="1"/>
      <c r="G78" s="1"/>
      <c r="H78" s="1"/>
      <c r="I78" s="1"/>
      <c r="J78" s="1"/>
      <c r="K78" s="1"/>
      <c r="L78" s="1"/>
      <c r="M78" s="1"/>
      <c r="N78" s="1"/>
      <c r="O78" s="1"/>
      <c r="P78" s="1"/>
      <c r="Q78" s="1"/>
      <c r="R78" s="1"/>
      <c r="S78" s="1"/>
      <c r="T78" s="1"/>
      <c r="U78" s="1"/>
      <c r="V78" s="1"/>
      <c r="W78" s="1"/>
      <c r="X78" s="1"/>
      <c r="Y78" s="1"/>
    </row>
    <row r="79" spans="1:25" x14ac:dyDescent="0.3">
      <c r="A79" s="98"/>
      <c r="B79" s="1"/>
      <c r="C79" s="1"/>
      <c r="D79" s="1"/>
      <c r="E79" s="1"/>
      <c r="F79" s="1"/>
      <c r="G79" s="1"/>
      <c r="H79" s="1"/>
      <c r="I79" s="1"/>
      <c r="J79" s="1"/>
      <c r="K79" s="1"/>
      <c r="L79" s="1"/>
      <c r="M79" s="1"/>
      <c r="N79" s="1"/>
      <c r="O79" s="1"/>
      <c r="P79" s="1"/>
      <c r="Q79" s="1"/>
      <c r="R79" s="1"/>
      <c r="S79" s="1"/>
      <c r="T79" s="1"/>
      <c r="U79" s="1"/>
      <c r="V79" s="1"/>
      <c r="W79" s="1"/>
      <c r="X79" s="1"/>
      <c r="Y79" s="1"/>
    </row>
    <row r="80" spans="1:25" x14ac:dyDescent="0.3">
      <c r="A80" s="98"/>
      <c r="B80" s="1"/>
      <c r="C80" s="1"/>
      <c r="D80" s="1"/>
      <c r="E80" s="1"/>
      <c r="F80" s="1"/>
      <c r="G80" s="1"/>
      <c r="H80" s="1"/>
      <c r="I80" s="1"/>
      <c r="J80" s="1"/>
      <c r="K80" s="1"/>
      <c r="L80" s="1"/>
      <c r="M80" s="1"/>
      <c r="N80" s="1"/>
      <c r="O80" s="1"/>
      <c r="P80" s="1"/>
      <c r="Q80" s="1"/>
      <c r="R80" s="1"/>
      <c r="S80" s="1"/>
      <c r="T80" s="1"/>
      <c r="U80" s="1"/>
      <c r="V80" s="1"/>
      <c r="W80" s="1"/>
      <c r="X80" s="1"/>
      <c r="Y80" s="1"/>
    </row>
    <row r="81" spans="1:25" x14ac:dyDescent="0.3">
      <c r="A81" s="98"/>
      <c r="B81" s="1"/>
      <c r="C81" s="1"/>
      <c r="D81" s="1"/>
      <c r="E81" s="1"/>
      <c r="F81" s="1"/>
      <c r="G81" s="1"/>
      <c r="H81" s="1"/>
      <c r="I81" s="1"/>
      <c r="J81" s="1"/>
      <c r="K81" s="1"/>
      <c r="L81" s="1"/>
      <c r="M81" s="1"/>
      <c r="N81" s="1"/>
      <c r="O81" s="1"/>
      <c r="P81" s="1"/>
      <c r="Q81" s="1"/>
      <c r="R81" s="1"/>
      <c r="S81" s="1"/>
      <c r="T81" s="1"/>
      <c r="U81" s="1"/>
      <c r="V81" s="1"/>
      <c r="W81" s="1"/>
      <c r="X81" s="1"/>
      <c r="Y81" s="1"/>
    </row>
    <row r="82" spans="1:25" x14ac:dyDescent="0.3">
      <c r="A82" s="98"/>
      <c r="B82" s="1"/>
      <c r="C82" s="1"/>
      <c r="D82" s="1"/>
      <c r="E82" s="1"/>
      <c r="F82" s="1"/>
      <c r="G82" s="1"/>
      <c r="H82" s="1"/>
      <c r="I82" s="1"/>
      <c r="J82" s="1"/>
      <c r="K82" s="1"/>
      <c r="L82" s="1"/>
      <c r="M82" s="1"/>
      <c r="N82" s="1"/>
      <c r="O82" s="1"/>
      <c r="P82" s="1"/>
      <c r="Q82" s="1"/>
      <c r="R82" s="1"/>
      <c r="S82" s="1"/>
      <c r="T82" s="1"/>
      <c r="U82" s="1"/>
      <c r="V82" s="1"/>
      <c r="W82" s="1"/>
      <c r="X82" s="1"/>
      <c r="Y82" s="1"/>
    </row>
    <row r="83" spans="1:25" x14ac:dyDescent="0.3">
      <c r="A83" s="98"/>
      <c r="B83" s="1"/>
      <c r="C83" s="1"/>
      <c r="D83" s="1"/>
      <c r="E83" s="1"/>
      <c r="F83" s="1"/>
      <c r="G83" s="1"/>
      <c r="H83" s="1"/>
      <c r="I83" s="1"/>
      <c r="J83" s="1"/>
      <c r="K83" s="1"/>
      <c r="L83" s="1"/>
      <c r="M83" s="1"/>
      <c r="N83" s="1"/>
      <c r="O83" s="1"/>
      <c r="P83" s="1"/>
      <c r="Q83" s="1"/>
      <c r="R83" s="1"/>
      <c r="S83" s="1"/>
      <c r="T83" s="1"/>
      <c r="U83" s="1"/>
      <c r="V83" s="1"/>
      <c r="W83" s="1"/>
      <c r="X83" s="1"/>
      <c r="Y83" s="1"/>
    </row>
    <row r="84" spans="1:25" x14ac:dyDescent="0.3">
      <c r="A84" s="98"/>
      <c r="B84" s="1"/>
      <c r="C84" s="1"/>
      <c r="D84" s="1"/>
      <c r="E84" s="1"/>
      <c r="F84" s="1"/>
      <c r="G84" s="1"/>
      <c r="H84" s="1"/>
      <c r="I84" s="1"/>
      <c r="J84" s="1"/>
      <c r="K84" s="1"/>
      <c r="L84" s="1"/>
      <c r="M84" s="1"/>
      <c r="N84" s="1"/>
      <c r="O84" s="1"/>
      <c r="P84" s="1"/>
      <c r="Q84" s="1"/>
      <c r="R84" s="1"/>
      <c r="S84" s="1"/>
      <c r="T84" s="1"/>
      <c r="U84" s="1"/>
      <c r="V84" s="1"/>
      <c r="W84" s="1"/>
      <c r="X84" s="1"/>
      <c r="Y84" s="1"/>
    </row>
    <row r="85" spans="1:25" x14ac:dyDescent="0.3">
      <c r="A85" s="98"/>
      <c r="B85" s="1"/>
      <c r="C85" s="1"/>
      <c r="D85" s="1"/>
      <c r="E85" s="1"/>
      <c r="F85" s="1"/>
      <c r="G85" s="1"/>
      <c r="H85" s="1"/>
      <c r="I85" s="1"/>
      <c r="J85" s="1"/>
      <c r="K85" s="1"/>
      <c r="L85" s="1"/>
      <c r="M85" s="1"/>
      <c r="N85" s="1"/>
      <c r="O85" s="1"/>
      <c r="P85" s="1"/>
      <c r="Q85" s="1"/>
      <c r="R85" s="1"/>
      <c r="S85" s="1"/>
      <c r="T85" s="1"/>
      <c r="U85" s="1"/>
      <c r="V85" s="1"/>
      <c r="W85" s="1"/>
      <c r="X85" s="1"/>
      <c r="Y85" s="1"/>
    </row>
    <row r="86" spans="1:25" x14ac:dyDescent="0.3">
      <c r="A86" s="98"/>
      <c r="B86" s="1"/>
      <c r="C86" s="1"/>
      <c r="D86" s="1"/>
      <c r="E86" s="1"/>
      <c r="F86" s="1"/>
      <c r="G86" s="1"/>
      <c r="H86" s="1"/>
      <c r="I86" s="1"/>
      <c r="J86" s="1"/>
      <c r="K86" s="1"/>
      <c r="L86" s="1"/>
      <c r="M86" s="1"/>
      <c r="N86" s="1"/>
      <c r="O86" s="1"/>
      <c r="P86" s="1"/>
      <c r="Q86" s="1"/>
      <c r="R86" s="1"/>
      <c r="S86" s="1"/>
      <c r="T86" s="1"/>
      <c r="U86" s="1"/>
      <c r="V86" s="1"/>
      <c r="W86" s="1"/>
      <c r="X86" s="1"/>
      <c r="Y86" s="1"/>
    </row>
    <row r="87" spans="1:25" x14ac:dyDescent="0.3">
      <c r="A87" s="98"/>
      <c r="B87" s="1"/>
      <c r="C87" s="1"/>
      <c r="D87" s="1"/>
      <c r="E87" s="1"/>
      <c r="F87" s="1"/>
      <c r="G87" s="1"/>
      <c r="H87" s="1"/>
      <c r="I87" s="1"/>
      <c r="J87" s="1"/>
      <c r="K87" s="1"/>
      <c r="L87" s="1"/>
      <c r="M87" s="1"/>
      <c r="N87" s="1"/>
      <c r="O87" s="1"/>
      <c r="P87" s="1"/>
      <c r="Q87" s="1"/>
      <c r="R87" s="1"/>
      <c r="S87" s="1"/>
      <c r="T87" s="1"/>
      <c r="U87" s="1"/>
      <c r="V87" s="1"/>
      <c r="W87" s="1"/>
      <c r="X87" s="1"/>
      <c r="Y87" s="1"/>
    </row>
    <row r="88" spans="1:25" x14ac:dyDescent="0.3">
      <c r="A88" s="98"/>
      <c r="B88" s="1"/>
      <c r="C88" s="1"/>
      <c r="D88" s="1"/>
      <c r="E88" s="1"/>
      <c r="F88" s="1"/>
      <c r="G88" s="1"/>
      <c r="H88" s="1"/>
      <c r="I88" s="1"/>
      <c r="J88" s="1"/>
      <c r="K88" s="1"/>
      <c r="L88" s="1"/>
      <c r="M88" s="1"/>
      <c r="N88" s="1"/>
      <c r="O88" s="1"/>
      <c r="P88" s="1"/>
      <c r="Q88" s="1"/>
      <c r="R88" s="1"/>
      <c r="S88" s="1"/>
      <c r="T88" s="1"/>
      <c r="U88" s="1"/>
      <c r="V88" s="1"/>
      <c r="W88" s="1"/>
      <c r="X88" s="1"/>
      <c r="Y88" s="1"/>
    </row>
  </sheetData>
  <sheetProtection algorithmName="SHA-512" hashValue="kkaYORmY7Iiv8McRqcFiUjp4QxgHDPPoBqqhKi7YqSkGvo8DyO2GgdV25zbot9u+Z9tckLHnrjG0ta5JkLwhrw==" saltValue="PzBnns7n60IesT38VDTWjQ==" spinCount="100000" sheet="1" objects="1" scenarios="1"/>
  <mergeCells count="2">
    <mergeCell ref="A9:F9"/>
    <mergeCell ref="A10:F11"/>
  </mergeCells>
  <printOptions horizontalCentered="1"/>
  <pageMargins left="0.25" right="0.25" top="0.75" bottom="0.75" header="0.3" footer="0.3"/>
  <pageSetup orientation="landscape" r:id="rId1"/>
  <headerFooter>
    <oddFooter>&amp;C&amp;"Century Gothic,Regular"&amp;9Page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0BDDE-88D0-4787-8AA1-2E9E968CE436}">
  <sheetPr codeName="Sheet26">
    <pageSetUpPr fitToPage="1"/>
  </sheetPr>
  <dimension ref="A1:U99"/>
  <sheetViews>
    <sheetView zoomScale="130" zoomScaleNormal="130" zoomScaleSheetLayoutView="130" workbookViewId="0">
      <pane ySplit="4" topLeftCell="A5" activePane="bottomLeft" state="frozen"/>
      <selection activeCell="A7" sqref="A7"/>
      <selection pane="bottomLeft" activeCell="A5" sqref="A5"/>
    </sheetView>
  </sheetViews>
  <sheetFormatPr baseColWidth="10" defaultColWidth="9.28515625" defaultRowHeight="13.5" x14ac:dyDescent="0.3"/>
  <cols>
    <col min="1" max="1" width="33.42578125" style="7" customWidth="1"/>
    <col min="2" max="6" width="13.7109375" style="639" customWidth="1"/>
    <col min="7" max="16384" width="9.28515625" style="7"/>
  </cols>
  <sheetData>
    <row r="1" spans="1:21" ht="20.65" customHeight="1" x14ac:dyDescent="0.3">
      <c r="A1" s="89" t="s">
        <v>791</v>
      </c>
      <c r="B1" s="632"/>
      <c r="C1" s="632"/>
      <c r="D1" s="632"/>
      <c r="E1" s="632"/>
      <c r="F1" s="633"/>
      <c r="G1" s="1"/>
      <c r="H1" s="1"/>
      <c r="I1" s="1"/>
      <c r="J1" s="1"/>
      <c r="K1" s="1"/>
      <c r="L1" s="1"/>
      <c r="M1" s="1"/>
      <c r="N1" s="1"/>
      <c r="O1" s="1"/>
      <c r="P1" s="1"/>
      <c r="Q1" s="1"/>
      <c r="R1" s="1"/>
      <c r="S1" s="1"/>
      <c r="T1" s="1"/>
      <c r="U1" s="1"/>
    </row>
    <row r="2" spans="1:21" ht="13.5" customHeight="1" x14ac:dyDescent="0.3">
      <c r="A2" s="90" t="s">
        <v>0</v>
      </c>
      <c r="B2" s="634"/>
      <c r="C2" s="634"/>
      <c r="D2" s="634"/>
      <c r="E2" s="634"/>
      <c r="F2" s="635"/>
      <c r="G2" s="1"/>
      <c r="H2" s="1"/>
      <c r="I2" s="1"/>
      <c r="J2" s="1"/>
      <c r="K2" s="1"/>
      <c r="L2" s="1"/>
      <c r="M2" s="1"/>
      <c r="N2" s="1"/>
      <c r="O2" s="1"/>
      <c r="P2" s="1"/>
      <c r="Q2" s="1"/>
      <c r="R2" s="1"/>
      <c r="S2" s="1"/>
      <c r="T2" s="1"/>
      <c r="U2" s="1"/>
    </row>
    <row r="3" spans="1:21" x14ac:dyDescent="0.3">
      <c r="A3" s="91"/>
      <c r="B3" s="562">
        <v>2018</v>
      </c>
      <c r="C3" s="562">
        <v>2019</v>
      </c>
      <c r="D3" s="562">
        <v>2020</v>
      </c>
      <c r="E3" s="562">
        <v>2021</v>
      </c>
      <c r="F3" s="563">
        <v>2022</v>
      </c>
      <c r="G3" s="1"/>
      <c r="H3" s="1"/>
      <c r="I3" s="1"/>
      <c r="J3" s="1"/>
      <c r="K3" s="1"/>
      <c r="L3" s="1"/>
      <c r="M3" s="1"/>
      <c r="N3" s="1"/>
      <c r="O3" s="1"/>
      <c r="P3" s="1"/>
      <c r="Q3" s="1"/>
      <c r="R3" s="1"/>
      <c r="S3" s="1"/>
      <c r="T3" s="1"/>
      <c r="U3" s="1"/>
    </row>
    <row r="4" spans="1:21" ht="15.75" customHeight="1" x14ac:dyDescent="0.3">
      <c r="A4" s="92" t="s">
        <v>173</v>
      </c>
      <c r="B4" s="565"/>
      <c r="C4" s="565"/>
      <c r="D4" s="565"/>
      <c r="E4" s="581"/>
      <c r="F4" s="623"/>
      <c r="G4" s="1"/>
      <c r="H4" s="1"/>
      <c r="I4" s="1"/>
      <c r="J4" s="1"/>
      <c r="K4" s="1"/>
      <c r="L4" s="1"/>
      <c r="M4" s="1"/>
      <c r="N4" s="1"/>
      <c r="O4" s="1"/>
      <c r="P4" s="1"/>
      <c r="Q4" s="1"/>
      <c r="R4" s="1"/>
      <c r="S4" s="1"/>
      <c r="T4" s="1"/>
      <c r="U4" s="1"/>
    </row>
    <row r="5" spans="1:21" ht="13.5" customHeight="1" x14ac:dyDescent="0.3">
      <c r="A5" s="165" t="s">
        <v>705</v>
      </c>
      <c r="B5" s="636">
        <v>0</v>
      </c>
      <c r="C5" s="636">
        <v>0</v>
      </c>
      <c r="D5" s="636">
        <v>0</v>
      </c>
      <c r="E5" s="637">
        <v>0</v>
      </c>
      <c r="F5" s="638">
        <v>2</v>
      </c>
      <c r="G5" s="19"/>
      <c r="H5" s="1"/>
      <c r="I5" s="1"/>
      <c r="J5" s="1"/>
      <c r="K5" s="1"/>
      <c r="L5" s="1"/>
      <c r="M5" s="1"/>
      <c r="N5" s="1"/>
      <c r="O5" s="1"/>
      <c r="P5" s="1"/>
      <c r="Q5" s="1"/>
      <c r="R5" s="1"/>
      <c r="S5" s="1"/>
      <c r="T5" s="1"/>
      <c r="U5" s="1"/>
    </row>
    <row r="6" spans="1:21" ht="8.1" customHeight="1" x14ac:dyDescent="0.3">
      <c r="A6" s="8"/>
      <c r="B6" s="9"/>
      <c r="C6" s="9"/>
      <c r="D6" s="9"/>
      <c r="E6" s="9"/>
      <c r="F6" s="9"/>
      <c r="G6" s="45"/>
      <c r="H6" s="1"/>
      <c r="I6" s="1"/>
      <c r="J6" s="1"/>
      <c r="K6" s="1"/>
      <c r="L6" s="1"/>
      <c r="M6" s="1"/>
      <c r="N6" s="1"/>
      <c r="O6" s="1"/>
      <c r="P6" s="1"/>
      <c r="Q6" s="1"/>
      <c r="R6" s="1"/>
      <c r="S6" s="1"/>
      <c r="T6" s="1"/>
      <c r="U6" s="1"/>
    </row>
    <row r="7" spans="1:21" ht="11.45" customHeight="1" x14ac:dyDescent="0.3">
      <c r="A7" s="999" t="s">
        <v>1024</v>
      </c>
      <c r="B7" s="999"/>
      <c r="C7" s="999"/>
      <c r="D7" s="999"/>
      <c r="E7" s="999"/>
      <c r="F7" s="999"/>
      <c r="G7" s="18"/>
      <c r="H7" s="1"/>
      <c r="I7" s="1"/>
      <c r="J7" s="1"/>
      <c r="K7" s="1"/>
      <c r="L7" s="1"/>
      <c r="M7" s="1"/>
      <c r="N7" s="1"/>
      <c r="O7" s="1"/>
      <c r="P7" s="1"/>
      <c r="Q7" s="1"/>
      <c r="R7" s="1"/>
      <c r="S7" s="1"/>
      <c r="T7" s="1"/>
      <c r="U7" s="1"/>
    </row>
    <row r="8" spans="1:21" x14ac:dyDescent="0.3">
      <c r="A8" s="999"/>
      <c r="B8" s="999"/>
      <c r="C8" s="999"/>
      <c r="D8" s="999"/>
      <c r="E8" s="999"/>
      <c r="F8" s="999"/>
      <c r="G8" s="18"/>
      <c r="H8" s="1"/>
      <c r="I8" s="1"/>
      <c r="J8" s="1"/>
      <c r="K8" s="1"/>
      <c r="L8" s="1"/>
      <c r="M8" s="1"/>
      <c r="N8" s="1"/>
      <c r="O8" s="1"/>
      <c r="P8" s="1"/>
      <c r="Q8" s="1"/>
      <c r="R8" s="1"/>
      <c r="S8" s="1"/>
      <c r="T8" s="1"/>
      <c r="U8" s="1"/>
    </row>
    <row r="9" spans="1:21" x14ac:dyDescent="0.3">
      <c r="A9" s="999"/>
      <c r="B9" s="999"/>
      <c r="C9" s="999"/>
      <c r="D9" s="999"/>
      <c r="E9" s="999"/>
      <c r="F9" s="999"/>
      <c r="G9" s="18"/>
      <c r="H9" s="1"/>
      <c r="I9" s="1"/>
      <c r="J9" s="1"/>
      <c r="K9" s="1"/>
      <c r="L9" s="1"/>
      <c r="M9" s="1"/>
      <c r="N9" s="1"/>
      <c r="O9" s="1"/>
      <c r="P9" s="1"/>
      <c r="Q9" s="1"/>
      <c r="R9" s="1"/>
      <c r="S9" s="1"/>
      <c r="T9" s="1"/>
      <c r="U9" s="1"/>
    </row>
    <row r="10" spans="1:21" x14ac:dyDescent="0.3">
      <c r="A10" s="999" t="s">
        <v>1003</v>
      </c>
      <c r="B10" s="999"/>
      <c r="C10" s="999"/>
      <c r="D10" s="999"/>
      <c r="E10" s="999"/>
      <c r="F10" s="999"/>
      <c r="G10" s="18"/>
      <c r="H10" s="1"/>
      <c r="I10" s="1"/>
      <c r="J10" s="1"/>
      <c r="K10" s="1"/>
      <c r="L10" s="1"/>
      <c r="M10" s="1"/>
      <c r="N10" s="1"/>
      <c r="O10" s="1"/>
      <c r="P10" s="1"/>
      <c r="Q10" s="1"/>
      <c r="R10" s="1"/>
      <c r="S10" s="1"/>
      <c r="T10" s="1"/>
      <c r="U10" s="1"/>
    </row>
    <row r="11" spans="1:21" x14ac:dyDescent="0.3">
      <c r="A11" s="999"/>
      <c r="B11" s="999"/>
      <c r="C11" s="999"/>
      <c r="D11" s="999"/>
      <c r="E11" s="999"/>
      <c r="F11" s="999"/>
      <c r="G11" s="1"/>
      <c r="H11" s="1"/>
      <c r="I11" s="1"/>
      <c r="J11" s="1"/>
      <c r="K11" s="1"/>
      <c r="L11" s="1"/>
      <c r="M11" s="1"/>
      <c r="N11" s="1"/>
      <c r="O11" s="1"/>
      <c r="P11" s="1"/>
      <c r="Q11" s="1"/>
      <c r="R11" s="1"/>
      <c r="S11" s="1"/>
      <c r="T11" s="1"/>
      <c r="U11" s="1"/>
    </row>
    <row r="12" spans="1:21" x14ac:dyDescent="0.3">
      <c r="A12" s="1"/>
      <c r="B12" s="319"/>
      <c r="C12" s="319"/>
      <c r="D12" s="319"/>
      <c r="E12" s="319"/>
      <c r="F12" s="319"/>
      <c r="G12" s="1"/>
      <c r="H12" s="1"/>
      <c r="I12" s="1"/>
      <c r="J12" s="1"/>
      <c r="K12" s="1"/>
      <c r="L12" s="1"/>
      <c r="M12" s="1"/>
      <c r="N12" s="1"/>
      <c r="O12" s="1"/>
      <c r="P12" s="1"/>
      <c r="Q12" s="1"/>
      <c r="R12" s="1"/>
      <c r="S12" s="1"/>
      <c r="T12" s="1"/>
      <c r="U12" s="1"/>
    </row>
    <row r="13" spans="1:21" x14ac:dyDescent="0.3">
      <c r="A13" s="1"/>
      <c r="B13" s="319"/>
      <c r="C13" s="319"/>
      <c r="D13" s="319"/>
      <c r="E13" s="319"/>
      <c r="F13" s="319"/>
      <c r="G13" s="1"/>
      <c r="H13" s="1"/>
      <c r="I13" s="1"/>
      <c r="J13" s="1"/>
      <c r="K13" s="1"/>
      <c r="L13" s="1"/>
      <c r="M13" s="1"/>
      <c r="N13" s="1"/>
      <c r="O13" s="1"/>
      <c r="P13" s="1"/>
      <c r="Q13" s="1"/>
      <c r="R13" s="1"/>
      <c r="S13" s="1"/>
      <c r="T13" s="1"/>
      <c r="U13" s="1"/>
    </row>
    <row r="14" spans="1:21" x14ac:dyDescent="0.3">
      <c r="A14" s="1"/>
      <c r="B14" s="319"/>
      <c r="C14" s="319"/>
      <c r="D14" s="319"/>
      <c r="E14" s="319"/>
      <c r="F14" s="319"/>
      <c r="G14" s="1"/>
      <c r="H14" s="1"/>
      <c r="I14" s="1"/>
      <c r="J14" s="1"/>
      <c r="K14" s="1"/>
      <c r="L14" s="1"/>
      <c r="M14" s="1"/>
      <c r="N14" s="1"/>
      <c r="O14" s="1"/>
      <c r="P14" s="1"/>
      <c r="Q14" s="1"/>
      <c r="R14" s="1"/>
      <c r="S14" s="1"/>
      <c r="T14" s="1"/>
      <c r="U14" s="1"/>
    </row>
    <row r="15" spans="1:21" x14ac:dyDescent="0.3">
      <c r="A15" s="1"/>
      <c r="B15" s="319"/>
      <c r="C15" s="319"/>
      <c r="D15" s="319"/>
      <c r="E15" s="319"/>
      <c r="F15" s="319"/>
      <c r="G15" s="1"/>
      <c r="H15" s="1"/>
      <c r="I15" s="1"/>
      <c r="J15" s="1"/>
      <c r="K15" s="1"/>
      <c r="L15" s="1"/>
      <c r="M15" s="1"/>
      <c r="N15" s="1"/>
      <c r="O15" s="1"/>
      <c r="P15" s="1"/>
      <c r="Q15" s="1"/>
      <c r="R15" s="1"/>
      <c r="S15" s="1"/>
      <c r="T15" s="1"/>
      <c r="U15" s="1"/>
    </row>
    <row r="16" spans="1:21" x14ac:dyDescent="0.3">
      <c r="A16" s="1"/>
      <c r="B16" s="319"/>
      <c r="C16" s="319"/>
      <c r="D16" s="319"/>
      <c r="E16" s="319"/>
      <c r="F16" s="319"/>
      <c r="G16" s="1"/>
      <c r="H16" s="1"/>
      <c r="I16" s="1"/>
      <c r="J16" s="1"/>
      <c r="K16" s="1"/>
      <c r="L16" s="1"/>
      <c r="M16" s="1"/>
      <c r="N16" s="1"/>
      <c r="O16" s="1"/>
      <c r="P16" s="1"/>
      <c r="Q16" s="1"/>
      <c r="R16" s="1"/>
      <c r="S16" s="1"/>
      <c r="T16" s="1"/>
      <c r="U16" s="1"/>
    </row>
    <row r="17" spans="1:21" x14ac:dyDescent="0.3">
      <c r="A17" s="1"/>
      <c r="B17" s="319"/>
      <c r="C17" s="319"/>
      <c r="D17" s="319"/>
      <c r="E17" s="319"/>
      <c r="F17" s="319"/>
      <c r="G17" s="1"/>
      <c r="H17" s="1"/>
      <c r="I17" s="1"/>
      <c r="J17" s="1"/>
      <c r="K17" s="1"/>
      <c r="L17" s="1"/>
      <c r="M17" s="1"/>
      <c r="N17" s="1"/>
      <c r="O17" s="1"/>
      <c r="P17" s="1"/>
      <c r="Q17" s="1"/>
      <c r="R17" s="1"/>
      <c r="S17" s="1"/>
      <c r="T17" s="1"/>
      <c r="U17" s="1"/>
    </row>
    <row r="18" spans="1:21" x14ac:dyDescent="0.3">
      <c r="A18" s="1"/>
      <c r="B18" s="319"/>
      <c r="C18" s="319"/>
      <c r="D18" s="319"/>
      <c r="E18" s="319"/>
      <c r="F18" s="319"/>
      <c r="G18" s="1"/>
      <c r="H18" s="1"/>
      <c r="I18" s="1"/>
      <c r="J18" s="1"/>
      <c r="K18" s="1"/>
      <c r="L18" s="1"/>
      <c r="M18" s="1"/>
      <c r="N18" s="1"/>
      <c r="O18" s="1"/>
      <c r="P18" s="1"/>
      <c r="Q18" s="1"/>
      <c r="R18" s="1"/>
      <c r="S18" s="1"/>
      <c r="T18" s="1"/>
      <c r="U18" s="1"/>
    </row>
    <row r="19" spans="1:21" x14ac:dyDescent="0.3">
      <c r="A19" s="1"/>
      <c r="B19" s="319"/>
      <c r="C19" s="319"/>
      <c r="D19" s="319"/>
      <c r="E19" s="319"/>
      <c r="F19" s="319"/>
      <c r="G19" s="1"/>
      <c r="H19" s="1"/>
      <c r="I19" s="1"/>
      <c r="J19" s="1"/>
      <c r="K19" s="1"/>
      <c r="L19" s="1"/>
      <c r="M19" s="1"/>
      <c r="N19" s="1"/>
      <c r="O19" s="1"/>
      <c r="P19" s="1"/>
      <c r="Q19" s="1"/>
      <c r="R19" s="1"/>
      <c r="S19" s="1"/>
      <c r="T19" s="1"/>
      <c r="U19" s="1"/>
    </row>
    <row r="20" spans="1:21" x14ac:dyDescent="0.3">
      <c r="A20" s="1"/>
      <c r="B20" s="319"/>
      <c r="C20" s="319"/>
      <c r="D20" s="319"/>
      <c r="E20" s="319"/>
      <c r="F20" s="319"/>
      <c r="G20" s="1"/>
      <c r="H20" s="1"/>
      <c r="I20" s="1"/>
      <c r="J20" s="1"/>
      <c r="K20" s="1"/>
      <c r="L20" s="1"/>
      <c r="M20" s="1"/>
      <c r="N20" s="1"/>
      <c r="O20" s="1"/>
      <c r="P20" s="1"/>
      <c r="Q20" s="1"/>
      <c r="R20" s="1"/>
      <c r="S20" s="1"/>
      <c r="T20" s="1"/>
      <c r="U20" s="1"/>
    </row>
    <row r="21" spans="1:21" x14ac:dyDescent="0.3">
      <c r="A21" s="1"/>
      <c r="B21" s="319"/>
      <c r="C21" s="319"/>
      <c r="D21" s="319"/>
      <c r="E21" s="319"/>
      <c r="F21" s="319"/>
      <c r="G21" s="1"/>
      <c r="H21" s="1"/>
      <c r="I21" s="1"/>
      <c r="J21" s="1"/>
      <c r="K21" s="1"/>
      <c r="L21" s="1"/>
      <c r="M21" s="1"/>
      <c r="N21" s="1"/>
      <c r="O21" s="1"/>
      <c r="P21" s="1"/>
      <c r="Q21" s="1"/>
      <c r="R21" s="1"/>
      <c r="S21" s="1"/>
      <c r="T21" s="1"/>
      <c r="U21" s="1"/>
    </row>
    <row r="22" spans="1:21" x14ac:dyDescent="0.3">
      <c r="A22" s="1"/>
      <c r="B22" s="319"/>
      <c r="C22" s="319"/>
      <c r="D22" s="319"/>
      <c r="E22" s="319"/>
      <c r="F22" s="319"/>
      <c r="G22" s="1"/>
      <c r="H22" s="1"/>
      <c r="I22" s="1"/>
      <c r="J22" s="1"/>
      <c r="K22" s="1"/>
      <c r="L22" s="1"/>
      <c r="M22" s="1"/>
      <c r="N22" s="1"/>
      <c r="O22" s="1"/>
      <c r="P22" s="1"/>
      <c r="Q22" s="1"/>
      <c r="R22" s="1"/>
      <c r="S22" s="1"/>
      <c r="T22" s="1"/>
      <c r="U22" s="1"/>
    </row>
    <row r="23" spans="1:21" x14ac:dyDescent="0.3">
      <c r="A23" s="1"/>
      <c r="B23" s="319"/>
      <c r="C23" s="319"/>
      <c r="D23" s="319"/>
      <c r="E23" s="319"/>
      <c r="F23" s="319"/>
      <c r="G23" s="1"/>
      <c r="H23" s="1"/>
      <c r="I23" s="1"/>
      <c r="J23" s="1"/>
      <c r="K23" s="1"/>
      <c r="L23" s="1"/>
      <c r="M23" s="1"/>
      <c r="N23" s="1"/>
      <c r="O23" s="1"/>
      <c r="P23" s="1"/>
      <c r="Q23" s="1"/>
      <c r="R23" s="1"/>
      <c r="S23" s="1"/>
      <c r="T23" s="1"/>
      <c r="U23" s="1"/>
    </row>
    <row r="24" spans="1:21" x14ac:dyDescent="0.3">
      <c r="A24" s="1"/>
      <c r="B24" s="319"/>
      <c r="C24" s="319"/>
      <c r="D24" s="319"/>
      <c r="E24" s="319"/>
      <c r="F24" s="319"/>
      <c r="G24" s="1"/>
      <c r="H24" s="1"/>
      <c r="I24" s="1"/>
      <c r="J24" s="1"/>
      <c r="K24" s="1"/>
      <c r="L24" s="1"/>
      <c r="M24" s="1"/>
      <c r="N24" s="1"/>
      <c r="O24" s="1"/>
      <c r="P24" s="1"/>
      <c r="Q24" s="1"/>
      <c r="R24" s="1"/>
      <c r="S24" s="1"/>
      <c r="T24" s="1"/>
      <c r="U24" s="1"/>
    </row>
    <row r="25" spans="1:21" x14ac:dyDescent="0.3">
      <c r="A25" s="1"/>
      <c r="B25" s="319"/>
      <c r="C25" s="319"/>
      <c r="D25" s="319"/>
      <c r="E25" s="319"/>
      <c r="F25" s="319"/>
      <c r="G25" s="1"/>
      <c r="H25" s="1"/>
      <c r="I25" s="1"/>
      <c r="J25" s="1"/>
      <c r="K25" s="1"/>
      <c r="L25" s="1"/>
      <c r="M25" s="1"/>
      <c r="N25" s="1"/>
      <c r="O25" s="1"/>
      <c r="P25" s="1"/>
      <c r="Q25" s="1"/>
      <c r="R25" s="1"/>
      <c r="S25" s="1"/>
      <c r="T25" s="1"/>
      <c r="U25" s="1"/>
    </row>
    <row r="26" spans="1:21" x14ac:dyDescent="0.3">
      <c r="A26" s="1"/>
      <c r="B26" s="319"/>
      <c r="C26" s="319"/>
      <c r="D26" s="319"/>
      <c r="E26" s="319"/>
      <c r="F26" s="319"/>
      <c r="G26" s="1"/>
      <c r="H26" s="1"/>
      <c r="I26" s="1"/>
      <c r="J26" s="1"/>
      <c r="K26" s="1"/>
      <c r="L26" s="1"/>
      <c r="M26" s="1"/>
      <c r="N26" s="1"/>
      <c r="O26" s="1"/>
      <c r="P26" s="1"/>
      <c r="Q26" s="1"/>
      <c r="R26" s="1"/>
      <c r="S26" s="1"/>
      <c r="T26" s="1"/>
      <c r="U26" s="1"/>
    </row>
    <row r="27" spans="1:21" x14ac:dyDescent="0.3">
      <c r="A27" s="1"/>
      <c r="B27" s="319"/>
      <c r="C27" s="319"/>
      <c r="D27" s="319"/>
      <c r="E27" s="319"/>
      <c r="F27" s="319"/>
      <c r="G27" s="1"/>
      <c r="H27" s="1"/>
      <c r="I27" s="1"/>
      <c r="J27" s="1"/>
      <c r="K27" s="1"/>
      <c r="L27" s="1"/>
      <c r="M27" s="1"/>
      <c r="N27" s="1"/>
      <c r="O27" s="1"/>
      <c r="P27" s="1"/>
      <c r="Q27" s="1"/>
      <c r="R27" s="1"/>
      <c r="S27" s="1"/>
      <c r="T27" s="1"/>
      <c r="U27" s="1"/>
    </row>
    <row r="28" spans="1:21" x14ac:dyDescent="0.3">
      <c r="A28" s="1"/>
      <c r="B28" s="319"/>
      <c r="C28" s="319"/>
      <c r="D28" s="319"/>
      <c r="E28" s="319"/>
      <c r="F28" s="319"/>
      <c r="G28" s="1"/>
      <c r="H28" s="1"/>
      <c r="I28" s="1"/>
      <c r="J28" s="1"/>
      <c r="K28" s="1"/>
      <c r="L28" s="1"/>
      <c r="M28" s="1"/>
      <c r="N28" s="1"/>
      <c r="O28" s="1"/>
      <c r="P28" s="1"/>
      <c r="Q28" s="1"/>
      <c r="R28" s="1"/>
      <c r="S28" s="1"/>
      <c r="T28" s="1"/>
      <c r="U28" s="1"/>
    </row>
    <row r="29" spans="1:21" x14ac:dyDescent="0.3">
      <c r="A29" s="1"/>
      <c r="B29" s="319"/>
      <c r="C29" s="319"/>
      <c r="D29" s="319"/>
      <c r="E29" s="319"/>
      <c r="F29" s="319"/>
      <c r="G29" s="1"/>
      <c r="H29" s="1"/>
      <c r="I29" s="1"/>
      <c r="J29" s="1"/>
      <c r="K29" s="1"/>
      <c r="L29" s="1"/>
      <c r="M29" s="1"/>
      <c r="N29" s="1"/>
      <c r="O29" s="1"/>
      <c r="P29" s="1"/>
      <c r="Q29" s="1"/>
      <c r="R29" s="1"/>
      <c r="S29" s="1"/>
      <c r="T29" s="1"/>
      <c r="U29" s="1"/>
    </row>
    <row r="30" spans="1:21" x14ac:dyDescent="0.3">
      <c r="A30" s="1"/>
      <c r="B30" s="319"/>
      <c r="C30" s="319"/>
      <c r="D30" s="319"/>
      <c r="E30" s="319"/>
      <c r="F30" s="319"/>
      <c r="G30" s="1"/>
      <c r="H30" s="1"/>
      <c r="I30" s="1"/>
      <c r="J30" s="1"/>
      <c r="K30" s="1"/>
      <c r="L30" s="1"/>
      <c r="M30" s="1"/>
      <c r="N30" s="1"/>
      <c r="O30" s="1"/>
      <c r="P30" s="1"/>
      <c r="Q30" s="1"/>
      <c r="R30" s="1"/>
      <c r="S30" s="1"/>
      <c r="T30" s="1"/>
      <c r="U30" s="1"/>
    </row>
    <row r="31" spans="1:21" x14ac:dyDescent="0.3">
      <c r="A31" s="1"/>
      <c r="B31" s="319"/>
      <c r="C31" s="319"/>
      <c r="D31" s="319"/>
      <c r="E31" s="319"/>
      <c r="F31" s="319"/>
      <c r="G31" s="1"/>
      <c r="H31" s="1"/>
      <c r="I31" s="1"/>
      <c r="J31" s="1"/>
      <c r="K31" s="1"/>
      <c r="L31" s="1"/>
      <c r="M31" s="1"/>
      <c r="N31" s="1"/>
      <c r="O31" s="1"/>
      <c r="P31" s="1"/>
      <c r="Q31" s="1"/>
      <c r="R31" s="1"/>
      <c r="S31" s="1"/>
      <c r="T31" s="1"/>
      <c r="U31" s="1"/>
    </row>
    <row r="32" spans="1:21" x14ac:dyDescent="0.3">
      <c r="A32" s="1"/>
      <c r="B32" s="319"/>
      <c r="C32" s="319"/>
      <c r="D32" s="319"/>
      <c r="E32" s="319"/>
      <c r="F32" s="319"/>
      <c r="G32" s="1"/>
      <c r="H32" s="1"/>
      <c r="I32" s="1"/>
      <c r="J32" s="1"/>
      <c r="K32" s="1"/>
      <c r="L32" s="1"/>
      <c r="M32" s="1"/>
      <c r="N32" s="1"/>
      <c r="O32" s="1"/>
      <c r="P32" s="1"/>
      <c r="Q32" s="1"/>
      <c r="R32" s="1"/>
      <c r="S32" s="1"/>
      <c r="T32" s="1"/>
      <c r="U32" s="1"/>
    </row>
    <row r="33" spans="1:21" x14ac:dyDescent="0.3">
      <c r="A33" s="1"/>
      <c r="B33" s="319"/>
      <c r="C33" s="319"/>
      <c r="D33" s="319"/>
      <c r="E33" s="319"/>
      <c r="F33" s="319"/>
      <c r="G33" s="1"/>
      <c r="H33" s="1"/>
      <c r="I33" s="1"/>
      <c r="J33" s="1"/>
      <c r="K33" s="1"/>
      <c r="L33" s="1"/>
      <c r="M33" s="1"/>
      <c r="N33" s="1"/>
      <c r="O33" s="1"/>
      <c r="P33" s="1"/>
      <c r="Q33" s="1"/>
      <c r="R33" s="1"/>
      <c r="S33" s="1"/>
      <c r="T33" s="1"/>
      <c r="U33" s="1"/>
    </row>
    <row r="34" spans="1:21" x14ac:dyDescent="0.3">
      <c r="A34" s="1"/>
      <c r="B34" s="319"/>
      <c r="C34" s="319"/>
      <c r="D34" s="319"/>
      <c r="E34" s="319"/>
      <c r="F34" s="319"/>
      <c r="G34" s="1"/>
      <c r="H34" s="1"/>
      <c r="I34" s="1"/>
      <c r="J34" s="1"/>
      <c r="K34" s="1"/>
      <c r="L34" s="1"/>
      <c r="M34" s="1"/>
      <c r="N34" s="1"/>
      <c r="O34" s="1"/>
      <c r="P34" s="1"/>
      <c r="Q34" s="1"/>
      <c r="R34" s="1"/>
      <c r="S34" s="1"/>
      <c r="T34" s="1"/>
      <c r="U34" s="1"/>
    </row>
    <row r="35" spans="1:21" x14ac:dyDescent="0.3">
      <c r="A35" s="1"/>
      <c r="B35" s="319"/>
      <c r="C35" s="319"/>
      <c r="D35" s="319"/>
      <c r="E35" s="319"/>
      <c r="F35" s="319"/>
      <c r="G35" s="1"/>
      <c r="H35" s="1"/>
      <c r="I35" s="1"/>
      <c r="J35" s="1"/>
      <c r="K35" s="1"/>
      <c r="L35" s="1"/>
      <c r="M35" s="1"/>
      <c r="N35" s="1"/>
      <c r="O35" s="1"/>
      <c r="P35" s="1"/>
      <c r="Q35" s="1"/>
      <c r="R35" s="1"/>
      <c r="S35" s="1"/>
      <c r="T35" s="1"/>
      <c r="U35" s="1"/>
    </row>
    <row r="36" spans="1:21" x14ac:dyDescent="0.3">
      <c r="A36" s="1"/>
      <c r="B36" s="319"/>
      <c r="C36" s="319"/>
      <c r="D36" s="319"/>
      <c r="E36" s="319"/>
      <c r="F36" s="319"/>
      <c r="G36" s="1"/>
      <c r="H36" s="1"/>
      <c r="I36" s="1"/>
      <c r="J36" s="1"/>
      <c r="K36" s="1"/>
      <c r="L36" s="1"/>
      <c r="M36" s="1"/>
      <c r="N36" s="1"/>
      <c r="O36" s="1"/>
      <c r="P36" s="1"/>
      <c r="Q36" s="1"/>
      <c r="R36" s="1"/>
      <c r="S36" s="1"/>
      <c r="T36" s="1"/>
      <c r="U36" s="1"/>
    </row>
    <row r="37" spans="1:21" x14ac:dyDescent="0.3">
      <c r="A37" s="1"/>
      <c r="B37" s="319"/>
      <c r="C37" s="319"/>
      <c r="D37" s="319"/>
      <c r="E37" s="319"/>
      <c r="F37" s="319"/>
      <c r="G37" s="1"/>
      <c r="H37" s="1"/>
      <c r="I37" s="1"/>
      <c r="J37" s="1"/>
      <c r="K37" s="1"/>
      <c r="L37" s="1"/>
      <c r="M37" s="1"/>
      <c r="N37" s="1"/>
      <c r="O37" s="1"/>
      <c r="P37" s="1"/>
      <c r="Q37" s="1"/>
      <c r="R37" s="1"/>
      <c r="S37" s="1"/>
      <c r="T37" s="1"/>
      <c r="U37" s="1"/>
    </row>
    <row r="38" spans="1:21" x14ac:dyDescent="0.3">
      <c r="A38" s="1"/>
      <c r="B38" s="319"/>
      <c r="C38" s="319"/>
      <c r="D38" s="319"/>
      <c r="E38" s="319"/>
      <c r="F38" s="319"/>
      <c r="G38" s="1"/>
      <c r="H38" s="1"/>
      <c r="I38" s="1"/>
      <c r="J38" s="1"/>
      <c r="K38" s="1"/>
      <c r="L38" s="1"/>
      <c r="M38" s="1"/>
      <c r="N38" s="1"/>
      <c r="O38" s="1"/>
      <c r="P38" s="1"/>
      <c r="Q38" s="1"/>
      <c r="R38" s="1"/>
      <c r="S38" s="1"/>
      <c r="T38" s="1"/>
      <c r="U38" s="1"/>
    </row>
    <row r="39" spans="1:21" x14ac:dyDescent="0.3">
      <c r="A39" s="1"/>
      <c r="B39" s="319"/>
      <c r="C39" s="319"/>
      <c r="D39" s="319"/>
      <c r="E39" s="319"/>
      <c r="F39" s="319"/>
      <c r="G39" s="1"/>
      <c r="H39" s="1"/>
      <c r="I39" s="1"/>
      <c r="J39" s="1"/>
      <c r="K39" s="1"/>
      <c r="L39" s="1"/>
      <c r="M39" s="1"/>
      <c r="N39" s="1"/>
      <c r="O39" s="1"/>
      <c r="P39" s="1"/>
      <c r="Q39" s="1"/>
      <c r="R39" s="1"/>
      <c r="S39" s="1"/>
      <c r="T39" s="1"/>
      <c r="U39" s="1"/>
    </row>
    <row r="40" spans="1:21" x14ac:dyDescent="0.3">
      <c r="A40" s="1"/>
      <c r="B40" s="319"/>
      <c r="C40" s="319"/>
      <c r="D40" s="319"/>
      <c r="E40" s="319"/>
      <c r="F40" s="319"/>
      <c r="G40" s="1"/>
      <c r="H40" s="1"/>
      <c r="I40" s="1"/>
      <c r="J40" s="1"/>
      <c r="K40" s="1"/>
      <c r="L40" s="1"/>
      <c r="M40" s="1"/>
      <c r="N40" s="1"/>
      <c r="O40" s="1"/>
      <c r="P40" s="1"/>
      <c r="Q40" s="1"/>
      <c r="R40" s="1"/>
      <c r="S40" s="1"/>
      <c r="T40" s="1"/>
      <c r="U40" s="1"/>
    </row>
    <row r="41" spans="1:21" x14ac:dyDescent="0.3">
      <c r="A41" s="1"/>
      <c r="B41" s="319"/>
      <c r="C41" s="319"/>
      <c r="D41" s="319"/>
      <c r="E41" s="319"/>
      <c r="F41" s="319"/>
      <c r="G41" s="1"/>
      <c r="H41" s="1"/>
      <c r="I41" s="1"/>
      <c r="J41" s="1"/>
      <c r="K41" s="1"/>
      <c r="L41" s="1"/>
      <c r="M41" s="1"/>
      <c r="N41" s="1"/>
      <c r="O41" s="1"/>
      <c r="P41" s="1"/>
      <c r="Q41" s="1"/>
      <c r="R41" s="1"/>
      <c r="S41" s="1"/>
      <c r="T41" s="1"/>
      <c r="U41" s="1"/>
    </row>
    <row r="42" spans="1:21" x14ac:dyDescent="0.3">
      <c r="A42" s="1"/>
      <c r="B42" s="319"/>
      <c r="C42" s="319"/>
      <c r="D42" s="319"/>
      <c r="E42" s="319"/>
      <c r="F42" s="319"/>
      <c r="G42" s="1"/>
      <c r="H42" s="1"/>
      <c r="I42" s="1"/>
      <c r="J42" s="1"/>
      <c r="K42" s="1"/>
      <c r="L42" s="1"/>
      <c r="M42" s="1"/>
      <c r="N42" s="1"/>
      <c r="O42" s="1"/>
      <c r="P42" s="1"/>
      <c r="Q42" s="1"/>
      <c r="R42" s="1"/>
      <c r="S42" s="1"/>
      <c r="T42" s="1"/>
      <c r="U42" s="1"/>
    </row>
    <row r="43" spans="1:21" x14ac:dyDescent="0.3">
      <c r="A43" s="1"/>
      <c r="B43" s="319"/>
      <c r="C43" s="319"/>
      <c r="D43" s="319"/>
      <c r="E43" s="319"/>
      <c r="F43" s="319"/>
      <c r="G43" s="1"/>
      <c r="H43" s="1"/>
      <c r="I43" s="1"/>
      <c r="J43" s="1"/>
      <c r="K43" s="1"/>
      <c r="L43" s="1"/>
      <c r="M43" s="1"/>
      <c r="N43" s="1"/>
      <c r="O43" s="1"/>
      <c r="P43" s="1"/>
      <c r="Q43" s="1"/>
      <c r="R43" s="1"/>
      <c r="S43" s="1"/>
      <c r="T43" s="1"/>
      <c r="U43" s="1"/>
    </row>
    <row r="44" spans="1:21" x14ac:dyDescent="0.3">
      <c r="A44" s="1"/>
      <c r="B44" s="319"/>
      <c r="C44" s="319"/>
      <c r="D44" s="319"/>
      <c r="E44" s="319"/>
      <c r="F44" s="319"/>
      <c r="G44" s="1"/>
      <c r="H44" s="1"/>
      <c r="I44" s="1"/>
      <c r="J44" s="1"/>
      <c r="K44" s="1"/>
      <c r="L44" s="1"/>
      <c r="M44" s="1"/>
      <c r="N44" s="1"/>
      <c r="O44" s="1"/>
      <c r="P44" s="1"/>
      <c r="Q44" s="1"/>
      <c r="R44" s="1"/>
      <c r="S44" s="1"/>
      <c r="T44" s="1"/>
      <c r="U44" s="1"/>
    </row>
    <row r="45" spans="1:21" x14ac:dyDescent="0.3">
      <c r="A45" s="1"/>
      <c r="B45" s="319"/>
      <c r="C45" s="319"/>
      <c r="D45" s="319"/>
      <c r="E45" s="319"/>
      <c r="F45" s="319"/>
      <c r="G45" s="1"/>
      <c r="H45" s="1"/>
      <c r="I45" s="1"/>
      <c r="J45" s="1"/>
      <c r="K45" s="1"/>
      <c r="L45" s="1"/>
      <c r="M45" s="1"/>
      <c r="N45" s="1"/>
      <c r="O45" s="1"/>
      <c r="P45" s="1"/>
      <c r="Q45" s="1"/>
      <c r="R45" s="1"/>
      <c r="S45" s="1"/>
      <c r="T45" s="1"/>
      <c r="U45" s="1"/>
    </row>
    <row r="46" spans="1:21" x14ac:dyDescent="0.3">
      <c r="A46" s="1"/>
      <c r="B46" s="319"/>
      <c r="C46" s="319"/>
      <c r="D46" s="319"/>
      <c r="E46" s="319"/>
      <c r="F46" s="319"/>
      <c r="G46" s="1"/>
      <c r="H46" s="1"/>
      <c r="I46" s="1"/>
      <c r="J46" s="1"/>
      <c r="K46" s="1"/>
      <c r="L46" s="1"/>
      <c r="M46" s="1"/>
      <c r="N46" s="1"/>
      <c r="O46" s="1"/>
      <c r="P46" s="1"/>
      <c r="Q46" s="1"/>
      <c r="R46" s="1"/>
      <c r="S46" s="1"/>
      <c r="T46" s="1"/>
      <c r="U46" s="1"/>
    </row>
    <row r="47" spans="1:21" x14ac:dyDescent="0.3">
      <c r="A47" s="1"/>
      <c r="B47" s="319"/>
      <c r="C47" s="319"/>
      <c r="D47" s="319"/>
      <c r="E47" s="319"/>
      <c r="F47" s="319"/>
      <c r="G47" s="1"/>
      <c r="H47" s="1"/>
      <c r="I47" s="1"/>
      <c r="J47" s="1"/>
      <c r="K47" s="1"/>
      <c r="L47" s="1"/>
      <c r="M47" s="1"/>
      <c r="N47" s="1"/>
      <c r="O47" s="1"/>
      <c r="P47" s="1"/>
      <c r="Q47" s="1"/>
      <c r="R47" s="1"/>
      <c r="S47" s="1"/>
      <c r="T47" s="1"/>
      <c r="U47" s="1"/>
    </row>
    <row r="48" spans="1:21" x14ac:dyDescent="0.3">
      <c r="A48" s="1"/>
      <c r="B48" s="319"/>
      <c r="C48" s="319"/>
      <c r="D48" s="319"/>
      <c r="E48" s="319"/>
      <c r="F48" s="319"/>
      <c r="G48" s="1"/>
      <c r="H48" s="1"/>
      <c r="I48" s="1"/>
      <c r="J48" s="1"/>
      <c r="K48" s="1"/>
      <c r="L48" s="1"/>
      <c r="M48" s="1"/>
      <c r="N48" s="1"/>
      <c r="O48" s="1"/>
      <c r="P48" s="1"/>
      <c r="Q48" s="1"/>
      <c r="R48" s="1"/>
      <c r="S48" s="1"/>
      <c r="T48" s="1"/>
      <c r="U48" s="1"/>
    </row>
    <row r="49" spans="1:21" x14ac:dyDescent="0.3">
      <c r="A49" s="1"/>
      <c r="B49" s="319"/>
      <c r="C49" s="319"/>
      <c r="D49" s="319"/>
      <c r="E49" s="319"/>
      <c r="F49" s="319"/>
      <c r="G49" s="1"/>
      <c r="H49" s="1"/>
      <c r="I49" s="1"/>
      <c r="J49" s="1"/>
      <c r="K49" s="1"/>
      <c r="L49" s="1"/>
      <c r="M49" s="1"/>
      <c r="N49" s="1"/>
      <c r="O49" s="1"/>
      <c r="P49" s="1"/>
      <c r="Q49" s="1"/>
      <c r="R49" s="1"/>
      <c r="S49" s="1"/>
      <c r="T49" s="1"/>
      <c r="U49" s="1"/>
    </row>
    <row r="50" spans="1:21" x14ac:dyDescent="0.3">
      <c r="A50" s="1"/>
      <c r="B50" s="319"/>
      <c r="C50" s="319"/>
      <c r="D50" s="319"/>
      <c r="E50" s="319"/>
      <c r="F50" s="319"/>
      <c r="G50" s="1"/>
      <c r="H50" s="1"/>
      <c r="I50" s="1"/>
      <c r="J50" s="1"/>
      <c r="K50" s="1"/>
      <c r="L50" s="1"/>
      <c r="M50" s="1"/>
      <c r="N50" s="1"/>
      <c r="O50" s="1"/>
      <c r="P50" s="1"/>
      <c r="Q50" s="1"/>
      <c r="R50" s="1"/>
      <c r="S50" s="1"/>
      <c r="T50" s="1"/>
      <c r="U50" s="1"/>
    </row>
    <row r="51" spans="1:21" x14ac:dyDescent="0.3">
      <c r="A51" s="1"/>
      <c r="B51" s="319"/>
      <c r="C51" s="319"/>
      <c r="D51" s="319"/>
      <c r="E51" s="319"/>
      <c r="F51" s="319"/>
      <c r="G51" s="1"/>
      <c r="H51" s="1"/>
      <c r="I51" s="1"/>
      <c r="J51" s="1"/>
      <c r="K51" s="1"/>
      <c r="L51" s="1"/>
      <c r="M51" s="1"/>
      <c r="N51" s="1"/>
      <c r="O51" s="1"/>
      <c r="P51" s="1"/>
      <c r="Q51" s="1"/>
      <c r="R51" s="1"/>
      <c r="S51" s="1"/>
      <c r="T51" s="1"/>
      <c r="U51" s="1"/>
    </row>
    <row r="52" spans="1:21" x14ac:dyDescent="0.3">
      <c r="A52" s="1"/>
      <c r="B52" s="319"/>
      <c r="C52" s="319"/>
      <c r="D52" s="319"/>
      <c r="E52" s="319"/>
      <c r="F52" s="319"/>
      <c r="G52" s="1"/>
      <c r="H52" s="1"/>
      <c r="I52" s="1"/>
      <c r="J52" s="1"/>
      <c r="K52" s="1"/>
      <c r="L52" s="1"/>
      <c r="M52" s="1"/>
      <c r="N52" s="1"/>
      <c r="O52" s="1"/>
      <c r="P52" s="1"/>
      <c r="Q52" s="1"/>
      <c r="R52" s="1"/>
      <c r="S52" s="1"/>
      <c r="T52" s="1"/>
      <c r="U52" s="1"/>
    </row>
    <row r="53" spans="1:21" x14ac:dyDescent="0.3">
      <c r="A53" s="1"/>
      <c r="B53" s="319"/>
      <c r="C53" s="319"/>
      <c r="D53" s="319"/>
      <c r="E53" s="319"/>
      <c r="F53" s="319"/>
      <c r="G53" s="1"/>
      <c r="H53" s="1"/>
      <c r="I53" s="1"/>
      <c r="J53" s="1"/>
      <c r="K53" s="1"/>
      <c r="L53" s="1"/>
      <c r="M53" s="1"/>
      <c r="N53" s="1"/>
      <c r="O53" s="1"/>
      <c r="P53" s="1"/>
      <c r="Q53" s="1"/>
      <c r="R53" s="1"/>
      <c r="S53" s="1"/>
      <c r="T53" s="1"/>
      <c r="U53" s="1"/>
    </row>
    <row r="54" spans="1:21" x14ac:dyDescent="0.3">
      <c r="A54" s="1"/>
      <c r="B54" s="319"/>
      <c r="C54" s="319"/>
      <c r="D54" s="319"/>
      <c r="E54" s="319"/>
      <c r="F54" s="319"/>
      <c r="G54" s="1"/>
      <c r="H54" s="1"/>
      <c r="I54" s="1"/>
      <c r="J54" s="1"/>
      <c r="K54" s="1"/>
      <c r="L54" s="1"/>
      <c r="M54" s="1"/>
      <c r="N54" s="1"/>
      <c r="O54" s="1"/>
      <c r="P54" s="1"/>
      <c r="Q54" s="1"/>
      <c r="R54" s="1"/>
      <c r="S54" s="1"/>
      <c r="T54" s="1"/>
      <c r="U54" s="1"/>
    </row>
    <row r="55" spans="1:21" x14ac:dyDescent="0.3">
      <c r="A55" s="1"/>
      <c r="B55" s="319"/>
      <c r="C55" s="319"/>
      <c r="D55" s="319"/>
      <c r="E55" s="319"/>
      <c r="F55" s="319"/>
      <c r="G55" s="1"/>
      <c r="H55" s="1"/>
      <c r="I55" s="1"/>
      <c r="J55" s="1"/>
      <c r="K55" s="1"/>
      <c r="L55" s="1"/>
      <c r="M55" s="1"/>
      <c r="N55" s="1"/>
      <c r="O55" s="1"/>
      <c r="P55" s="1"/>
      <c r="Q55" s="1"/>
      <c r="R55" s="1"/>
      <c r="S55" s="1"/>
      <c r="T55" s="1"/>
      <c r="U55" s="1"/>
    </row>
    <row r="56" spans="1:21" x14ac:dyDescent="0.3">
      <c r="A56" s="1"/>
      <c r="B56" s="319"/>
      <c r="C56" s="319"/>
      <c r="D56" s="319"/>
      <c r="E56" s="319"/>
      <c r="F56" s="319"/>
      <c r="G56" s="1"/>
      <c r="H56" s="1"/>
      <c r="I56" s="1"/>
      <c r="J56" s="1"/>
      <c r="K56" s="1"/>
      <c r="L56" s="1"/>
      <c r="M56" s="1"/>
      <c r="N56" s="1"/>
      <c r="O56" s="1"/>
      <c r="P56" s="1"/>
      <c r="Q56" s="1"/>
      <c r="R56" s="1"/>
      <c r="S56" s="1"/>
      <c r="T56" s="1"/>
      <c r="U56" s="1"/>
    </row>
    <row r="57" spans="1:21" x14ac:dyDescent="0.3">
      <c r="A57" s="1"/>
      <c r="B57" s="319"/>
      <c r="C57" s="319"/>
      <c r="D57" s="319"/>
      <c r="E57" s="319"/>
      <c r="F57" s="319"/>
      <c r="G57" s="1"/>
      <c r="H57" s="1"/>
      <c r="I57" s="1"/>
      <c r="J57" s="1"/>
      <c r="K57" s="1"/>
      <c r="L57" s="1"/>
      <c r="M57" s="1"/>
      <c r="N57" s="1"/>
      <c r="O57" s="1"/>
      <c r="P57" s="1"/>
      <c r="Q57" s="1"/>
      <c r="R57" s="1"/>
      <c r="S57" s="1"/>
      <c r="T57" s="1"/>
      <c r="U57" s="1"/>
    </row>
    <row r="58" spans="1:21" x14ac:dyDescent="0.3">
      <c r="A58" s="1"/>
      <c r="B58" s="319"/>
      <c r="C58" s="319"/>
      <c r="D58" s="319"/>
      <c r="E58" s="319"/>
      <c r="F58" s="319"/>
      <c r="G58" s="1"/>
      <c r="H58" s="1"/>
      <c r="I58" s="1"/>
      <c r="J58" s="1"/>
      <c r="K58" s="1"/>
      <c r="L58" s="1"/>
      <c r="M58" s="1"/>
      <c r="N58" s="1"/>
      <c r="O58" s="1"/>
      <c r="P58" s="1"/>
      <c r="Q58" s="1"/>
      <c r="R58" s="1"/>
      <c r="S58" s="1"/>
      <c r="T58" s="1"/>
      <c r="U58" s="1"/>
    </row>
    <row r="59" spans="1:21" x14ac:dyDescent="0.3">
      <c r="A59" s="1"/>
      <c r="B59" s="319"/>
      <c r="C59" s="319"/>
      <c r="D59" s="319"/>
      <c r="E59" s="319"/>
      <c r="F59" s="319"/>
      <c r="G59" s="1"/>
      <c r="H59" s="1"/>
      <c r="I59" s="1"/>
      <c r="J59" s="1"/>
      <c r="K59" s="1"/>
      <c r="L59" s="1"/>
      <c r="M59" s="1"/>
      <c r="N59" s="1"/>
      <c r="O59" s="1"/>
      <c r="P59" s="1"/>
      <c r="Q59" s="1"/>
      <c r="R59" s="1"/>
      <c r="S59" s="1"/>
      <c r="T59" s="1"/>
      <c r="U59" s="1"/>
    </row>
    <row r="60" spans="1:21" x14ac:dyDescent="0.3">
      <c r="A60" s="1"/>
      <c r="B60" s="319"/>
      <c r="C60" s="319"/>
      <c r="D60" s="319"/>
      <c r="E60" s="319"/>
      <c r="F60" s="319"/>
      <c r="G60" s="1"/>
      <c r="H60" s="1"/>
      <c r="I60" s="1"/>
      <c r="J60" s="1"/>
      <c r="K60" s="1"/>
      <c r="L60" s="1"/>
      <c r="M60" s="1"/>
      <c r="N60" s="1"/>
      <c r="O60" s="1"/>
      <c r="P60" s="1"/>
      <c r="Q60" s="1"/>
      <c r="R60" s="1"/>
      <c r="S60" s="1"/>
      <c r="T60" s="1"/>
      <c r="U60" s="1"/>
    </row>
    <row r="61" spans="1:21" x14ac:dyDescent="0.3">
      <c r="A61" s="1"/>
      <c r="B61" s="319"/>
      <c r="C61" s="319"/>
      <c r="D61" s="319"/>
      <c r="E61" s="319"/>
      <c r="F61" s="319"/>
      <c r="G61" s="1"/>
      <c r="H61" s="1"/>
      <c r="I61" s="1"/>
      <c r="J61" s="1"/>
      <c r="K61" s="1"/>
      <c r="L61" s="1"/>
      <c r="M61" s="1"/>
      <c r="N61" s="1"/>
      <c r="O61" s="1"/>
      <c r="P61" s="1"/>
      <c r="Q61" s="1"/>
      <c r="R61" s="1"/>
      <c r="S61" s="1"/>
      <c r="T61" s="1"/>
      <c r="U61" s="1"/>
    </row>
    <row r="62" spans="1:21" x14ac:dyDescent="0.3">
      <c r="A62" s="1"/>
      <c r="B62" s="319"/>
      <c r="C62" s="319"/>
      <c r="D62" s="319"/>
      <c r="E62" s="319"/>
      <c r="F62" s="319"/>
      <c r="G62" s="1"/>
      <c r="H62" s="1"/>
      <c r="I62" s="1"/>
      <c r="J62" s="1"/>
      <c r="K62" s="1"/>
      <c r="L62" s="1"/>
      <c r="M62" s="1"/>
      <c r="N62" s="1"/>
      <c r="O62" s="1"/>
      <c r="P62" s="1"/>
      <c r="Q62" s="1"/>
      <c r="R62" s="1"/>
      <c r="S62" s="1"/>
      <c r="T62" s="1"/>
      <c r="U62" s="1"/>
    </row>
    <row r="63" spans="1:21" x14ac:dyDescent="0.3">
      <c r="A63" s="1"/>
      <c r="B63" s="319"/>
      <c r="C63" s="319"/>
      <c r="D63" s="319"/>
      <c r="E63" s="319"/>
      <c r="F63" s="319"/>
      <c r="G63" s="1"/>
      <c r="H63" s="1"/>
      <c r="I63" s="1"/>
      <c r="J63" s="1"/>
      <c r="K63" s="1"/>
      <c r="L63" s="1"/>
      <c r="M63" s="1"/>
      <c r="N63" s="1"/>
      <c r="O63" s="1"/>
      <c r="P63" s="1"/>
      <c r="Q63" s="1"/>
      <c r="R63" s="1"/>
      <c r="S63" s="1"/>
      <c r="T63" s="1"/>
      <c r="U63" s="1"/>
    </row>
    <row r="64" spans="1:21" x14ac:dyDescent="0.3">
      <c r="A64" s="1"/>
      <c r="B64" s="319"/>
      <c r="C64" s="319"/>
      <c r="D64" s="319"/>
      <c r="E64" s="319"/>
      <c r="F64" s="319"/>
      <c r="G64" s="1"/>
      <c r="H64" s="1"/>
      <c r="I64" s="1"/>
      <c r="J64" s="1"/>
      <c r="K64" s="1"/>
      <c r="L64" s="1"/>
      <c r="M64" s="1"/>
      <c r="N64" s="1"/>
      <c r="O64" s="1"/>
      <c r="P64" s="1"/>
      <c r="Q64" s="1"/>
      <c r="R64" s="1"/>
      <c r="S64" s="1"/>
      <c r="T64" s="1"/>
      <c r="U64" s="1"/>
    </row>
    <row r="65" spans="1:21" x14ac:dyDescent="0.3">
      <c r="A65" s="1"/>
      <c r="B65" s="319"/>
      <c r="C65" s="319"/>
      <c r="D65" s="319"/>
      <c r="E65" s="319"/>
      <c r="F65" s="319"/>
      <c r="G65" s="1"/>
      <c r="H65" s="1"/>
      <c r="I65" s="1"/>
      <c r="J65" s="1"/>
      <c r="K65" s="1"/>
      <c r="L65" s="1"/>
      <c r="M65" s="1"/>
      <c r="N65" s="1"/>
      <c r="O65" s="1"/>
      <c r="P65" s="1"/>
      <c r="Q65" s="1"/>
      <c r="R65" s="1"/>
      <c r="S65" s="1"/>
      <c r="T65" s="1"/>
      <c r="U65" s="1"/>
    </row>
    <row r="66" spans="1:21" x14ac:dyDescent="0.3">
      <c r="A66" s="1"/>
      <c r="B66" s="319"/>
      <c r="C66" s="319"/>
      <c r="D66" s="319"/>
      <c r="E66" s="319"/>
      <c r="F66" s="319"/>
      <c r="G66" s="1"/>
      <c r="H66" s="1"/>
      <c r="I66" s="1"/>
      <c r="J66" s="1"/>
      <c r="K66" s="1"/>
      <c r="L66" s="1"/>
      <c r="M66" s="1"/>
      <c r="N66" s="1"/>
      <c r="O66" s="1"/>
      <c r="P66" s="1"/>
      <c r="Q66" s="1"/>
      <c r="R66" s="1"/>
      <c r="S66" s="1"/>
      <c r="T66" s="1"/>
      <c r="U66" s="1"/>
    </row>
    <row r="67" spans="1:21" x14ac:dyDescent="0.3">
      <c r="A67" s="1"/>
      <c r="B67" s="319"/>
      <c r="C67" s="319"/>
      <c r="D67" s="319"/>
      <c r="E67" s="319"/>
      <c r="F67" s="319"/>
      <c r="G67" s="1"/>
      <c r="H67" s="1"/>
      <c r="I67" s="1"/>
      <c r="J67" s="1"/>
      <c r="K67" s="1"/>
      <c r="L67" s="1"/>
      <c r="M67" s="1"/>
      <c r="N67" s="1"/>
      <c r="O67" s="1"/>
      <c r="P67" s="1"/>
      <c r="Q67" s="1"/>
      <c r="R67" s="1"/>
      <c r="S67" s="1"/>
      <c r="T67" s="1"/>
      <c r="U67" s="1"/>
    </row>
    <row r="68" spans="1:21" x14ac:dyDescent="0.3">
      <c r="A68" s="1"/>
      <c r="B68" s="319"/>
      <c r="C68" s="319"/>
      <c r="D68" s="319"/>
      <c r="E68" s="319"/>
      <c r="F68" s="319"/>
      <c r="G68" s="1"/>
      <c r="H68" s="1"/>
      <c r="I68" s="1"/>
      <c r="J68" s="1"/>
      <c r="K68" s="1"/>
      <c r="L68" s="1"/>
      <c r="M68" s="1"/>
      <c r="N68" s="1"/>
      <c r="O68" s="1"/>
      <c r="P68" s="1"/>
      <c r="Q68" s="1"/>
      <c r="R68" s="1"/>
      <c r="S68" s="1"/>
      <c r="T68" s="1"/>
      <c r="U68" s="1"/>
    </row>
    <row r="69" spans="1:21" x14ac:dyDescent="0.3">
      <c r="A69" s="1"/>
      <c r="B69" s="319"/>
      <c r="C69" s="319"/>
      <c r="D69" s="319"/>
      <c r="E69" s="319"/>
      <c r="F69" s="319"/>
      <c r="G69" s="1"/>
      <c r="H69" s="1"/>
      <c r="I69" s="1"/>
      <c r="J69" s="1"/>
      <c r="K69" s="1"/>
      <c r="L69" s="1"/>
      <c r="M69" s="1"/>
      <c r="N69" s="1"/>
      <c r="O69" s="1"/>
      <c r="P69" s="1"/>
      <c r="Q69" s="1"/>
      <c r="R69" s="1"/>
      <c r="S69" s="1"/>
      <c r="T69" s="1"/>
      <c r="U69" s="1"/>
    </row>
    <row r="70" spans="1:21" x14ac:dyDescent="0.3">
      <c r="A70" s="1"/>
      <c r="B70" s="319"/>
      <c r="C70" s="319"/>
      <c r="D70" s="319"/>
      <c r="E70" s="319"/>
      <c r="F70" s="319"/>
      <c r="G70" s="1"/>
      <c r="H70" s="1"/>
      <c r="I70" s="1"/>
      <c r="J70" s="1"/>
      <c r="K70" s="1"/>
      <c r="L70" s="1"/>
      <c r="M70" s="1"/>
      <c r="N70" s="1"/>
      <c r="O70" s="1"/>
      <c r="P70" s="1"/>
      <c r="Q70" s="1"/>
      <c r="R70" s="1"/>
      <c r="S70" s="1"/>
      <c r="T70" s="1"/>
      <c r="U70" s="1"/>
    </row>
    <row r="71" spans="1:21" x14ac:dyDescent="0.3">
      <c r="A71" s="1"/>
      <c r="B71" s="319"/>
      <c r="C71" s="319"/>
      <c r="D71" s="319"/>
      <c r="E71" s="319"/>
      <c r="F71" s="319"/>
      <c r="G71" s="1"/>
      <c r="H71" s="1"/>
      <c r="I71" s="1"/>
      <c r="J71" s="1"/>
      <c r="K71" s="1"/>
      <c r="L71" s="1"/>
      <c r="M71" s="1"/>
      <c r="N71" s="1"/>
      <c r="O71" s="1"/>
      <c r="P71" s="1"/>
      <c r="Q71" s="1"/>
      <c r="R71" s="1"/>
      <c r="S71" s="1"/>
      <c r="T71" s="1"/>
      <c r="U71" s="1"/>
    </row>
    <row r="72" spans="1:21" x14ac:dyDescent="0.3">
      <c r="A72" s="1"/>
      <c r="B72" s="319"/>
      <c r="C72" s="319"/>
      <c r="D72" s="319"/>
      <c r="E72" s="319"/>
      <c r="F72" s="319"/>
      <c r="G72" s="1"/>
      <c r="H72" s="1"/>
      <c r="I72" s="1"/>
      <c r="J72" s="1"/>
      <c r="K72" s="1"/>
      <c r="L72" s="1"/>
      <c r="M72" s="1"/>
      <c r="N72" s="1"/>
      <c r="O72" s="1"/>
      <c r="P72" s="1"/>
      <c r="Q72" s="1"/>
      <c r="R72" s="1"/>
      <c r="S72" s="1"/>
      <c r="T72" s="1"/>
      <c r="U72" s="1"/>
    </row>
    <row r="73" spans="1:21" x14ac:dyDescent="0.3">
      <c r="A73" s="1"/>
      <c r="B73" s="319"/>
      <c r="C73" s="319"/>
      <c r="D73" s="319"/>
      <c r="E73" s="319"/>
      <c r="F73" s="319"/>
      <c r="G73" s="1"/>
      <c r="H73" s="1"/>
      <c r="I73" s="1"/>
      <c r="J73" s="1"/>
      <c r="K73" s="1"/>
      <c r="L73" s="1"/>
      <c r="M73" s="1"/>
      <c r="N73" s="1"/>
      <c r="O73" s="1"/>
      <c r="P73" s="1"/>
      <c r="Q73" s="1"/>
      <c r="R73" s="1"/>
      <c r="S73" s="1"/>
      <c r="T73" s="1"/>
      <c r="U73" s="1"/>
    </row>
    <row r="74" spans="1:21" x14ac:dyDescent="0.3">
      <c r="A74" s="1"/>
      <c r="B74" s="319"/>
      <c r="C74" s="319"/>
      <c r="D74" s="319"/>
      <c r="E74" s="319"/>
      <c r="F74" s="319"/>
      <c r="G74" s="1"/>
      <c r="H74" s="1"/>
      <c r="I74" s="1"/>
      <c r="J74" s="1"/>
      <c r="K74" s="1"/>
      <c r="L74" s="1"/>
      <c r="M74" s="1"/>
      <c r="N74" s="1"/>
      <c r="O74" s="1"/>
      <c r="P74" s="1"/>
      <c r="Q74" s="1"/>
      <c r="R74" s="1"/>
      <c r="S74" s="1"/>
      <c r="T74" s="1"/>
      <c r="U74" s="1"/>
    </row>
    <row r="75" spans="1:21" x14ac:dyDescent="0.3">
      <c r="A75" s="1"/>
      <c r="B75" s="319"/>
      <c r="C75" s="319"/>
      <c r="D75" s="319"/>
      <c r="E75" s="319"/>
      <c r="F75" s="319"/>
      <c r="G75" s="1"/>
      <c r="H75" s="1"/>
      <c r="I75" s="1"/>
      <c r="J75" s="1"/>
      <c r="K75" s="1"/>
      <c r="L75" s="1"/>
      <c r="M75" s="1"/>
      <c r="N75" s="1"/>
      <c r="O75" s="1"/>
      <c r="P75" s="1"/>
      <c r="Q75" s="1"/>
      <c r="R75" s="1"/>
      <c r="S75" s="1"/>
      <c r="T75" s="1"/>
      <c r="U75" s="1"/>
    </row>
    <row r="76" spans="1:21" x14ac:dyDescent="0.3">
      <c r="A76" s="1"/>
      <c r="B76" s="319"/>
      <c r="C76" s="319"/>
      <c r="D76" s="319"/>
      <c r="E76" s="319"/>
      <c r="F76" s="319"/>
      <c r="G76" s="1"/>
      <c r="H76" s="1"/>
      <c r="I76" s="1"/>
      <c r="J76" s="1"/>
      <c r="K76" s="1"/>
      <c r="L76" s="1"/>
      <c r="M76" s="1"/>
      <c r="N76" s="1"/>
      <c r="O76" s="1"/>
      <c r="P76" s="1"/>
      <c r="Q76" s="1"/>
      <c r="R76" s="1"/>
      <c r="S76" s="1"/>
      <c r="T76" s="1"/>
      <c r="U76" s="1"/>
    </row>
    <row r="77" spans="1:21" x14ac:dyDescent="0.3">
      <c r="A77" s="1"/>
      <c r="B77" s="319"/>
      <c r="C77" s="319"/>
      <c r="D77" s="319"/>
      <c r="E77" s="319"/>
      <c r="F77" s="319"/>
      <c r="G77" s="1"/>
      <c r="H77" s="1"/>
      <c r="I77" s="1"/>
      <c r="J77" s="1"/>
      <c r="K77" s="1"/>
      <c r="L77" s="1"/>
      <c r="M77" s="1"/>
      <c r="N77" s="1"/>
      <c r="O77" s="1"/>
      <c r="P77" s="1"/>
      <c r="Q77" s="1"/>
      <c r="R77" s="1"/>
      <c r="S77" s="1"/>
      <c r="T77" s="1"/>
      <c r="U77" s="1"/>
    </row>
    <row r="78" spans="1:21" x14ac:dyDescent="0.3">
      <c r="A78" s="1"/>
      <c r="B78" s="319"/>
      <c r="C78" s="319"/>
      <c r="D78" s="319"/>
      <c r="E78" s="319"/>
      <c r="F78" s="319"/>
      <c r="G78" s="1"/>
      <c r="H78" s="1"/>
      <c r="I78" s="1"/>
      <c r="J78" s="1"/>
      <c r="K78" s="1"/>
      <c r="L78" s="1"/>
      <c r="M78" s="1"/>
      <c r="N78" s="1"/>
      <c r="O78" s="1"/>
      <c r="P78" s="1"/>
      <c r="Q78" s="1"/>
      <c r="R78" s="1"/>
      <c r="S78" s="1"/>
      <c r="T78" s="1"/>
      <c r="U78" s="1"/>
    </row>
    <row r="79" spans="1:21" x14ac:dyDescent="0.3">
      <c r="A79" s="1"/>
      <c r="B79" s="319"/>
      <c r="C79" s="319"/>
      <c r="D79" s="319"/>
      <c r="E79" s="319"/>
      <c r="F79" s="319"/>
      <c r="G79" s="1"/>
      <c r="H79" s="1"/>
      <c r="I79" s="1"/>
      <c r="J79" s="1"/>
      <c r="K79" s="1"/>
      <c r="L79" s="1"/>
      <c r="M79" s="1"/>
      <c r="N79" s="1"/>
      <c r="O79" s="1"/>
      <c r="P79" s="1"/>
      <c r="Q79" s="1"/>
      <c r="R79" s="1"/>
      <c r="S79" s="1"/>
      <c r="T79" s="1"/>
      <c r="U79" s="1"/>
    </row>
    <row r="80" spans="1:21" x14ac:dyDescent="0.3">
      <c r="A80" s="1"/>
      <c r="B80" s="319"/>
      <c r="C80" s="319"/>
      <c r="D80" s="319"/>
      <c r="E80" s="319"/>
      <c r="F80" s="319"/>
      <c r="G80" s="1"/>
      <c r="H80" s="1"/>
      <c r="I80" s="1"/>
      <c r="J80" s="1"/>
      <c r="K80" s="1"/>
      <c r="L80" s="1"/>
      <c r="M80" s="1"/>
      <c r="N80" s="1"/>
      <c r="O80" s="1"/>
      <c r="P80" s="1"/>
      <c r="Q80" s="1"/>
      <c r="R80" s="1"/>
      <c r="S80" s="1"/>
      <c r="T80" s="1"/>
      <c r="U80" s="1"/>
    </row>
    <row r="81" spans="1:21" x14ac:dyDescent="0.3">
      <c r="A81" s="1"/>
      <c r="B81" s="319"/>
      <c r="C81" s="319"/>
      <c r="D81" s="319"/>
      <c r="E81" s="319"/>
      <c r="F81" s="319"/>
      <c r="G81" s="1"/>
      <c r="H81" s="1"/>
      <c r="I81" s="1"/>
      <c r="J81" s="1"/>
      <c r="K81" s="1"/>
      <c r="L81" s="1"/>
      <c r="M81" s="1"/>
      <c r="N81" s="1"/>
      <c r="O81" s="1"/>
      <c r="P81" s="1"/>
      <c r="Q81" s="1"/>
      <c r="R81" s="1"/>
      <c r="S81" s="1"/>
      <c r="T81" s="1"/>
      <c r="U81" s="1"/>
    </row>
    <row r="82" spans="1:21" x14ac:dyDescent="0.3">
      <c r="A82" s="1"/>
      <c r="B82" s="319"/>
      <c r="C82" s="319"/>
      <c r="D82" s="319"/>
      <c r="E82" s="319"/>
      <c r="F82" s="319"/>
      <c r="G82" s="1"/>
      <c r="H82" s="1"/>
      <c r="I82" s="1"/>
      <c r="J82" s="1"/>
      <c r="K82" s="1"/>
      <c r="L82" s="1"/>
      <c r="M82" s="1"/>
      <c r="N82" s="1"/>
      <c r="O82" s="1"/>
      <c r="P82" s="1"/>
      <c r="Q82" s="1"/>
      <c r="R82" s="1"/>
      <c r="S82" s="1"/>
      <c r="T82" s="1"/>
      <c r="U82" s="1"/>
    </row>
    <row r="83" spans="1:21" x14ac:dyDescent="0.3">
      <c r="A83" s="1"/>
      <c r="B83" s="319"/>
      <c r="C83" s="319"/>
      <c r="D83" s="319"/>
      <c r="E83" s="319"/>
      <c r="F83" s="319"/>
      <c r="G83" s="1"/>
      <c r="H83" s="1"/>
      <c r="I83" s="1"/>
      <c r="J83" s="1"/>
      <c r="K83" s="1"/>
      <c r="L83" s="1"/>
      <c r="M83" s="1"/>
      <c r="N83" s="1"/>
      <c r="O83" s="1"/>
      <c r="P83" s="1"/>
      <c r="Q83" s="1"/>
      <c r="R83" s="1"/>
      <c r="S83" s="1"/>
      <c r="T83" s="1"/>
      <c r="U83" s="1"/>
    </row>
    <row r="84" spans="1:21" x14ac:dyDescent="0.3">
      <c r="A84" s="1"/>
      <c r="B84" s="319"/>
      <c r="C84" s="319"/>
      <c r="D84" s="319"/>
      <c r="E84" s="319"/>
      <c r="F84" s="319"/>
      <c r="G84" s="1"/>
      <c r="H84" s="1"/>
      <c r="I84" s="1"/>
      <c r="J84" s="1"/>
      <c r="K84" s="1"/>
      <c r="L84" s="1"/>
      <c r="M84" s="1"/>
      <c r="N84" s="1"/>
      <c r="O84" s="1"/>
      <c r="P84" s="1"/>
      <c r="Q84" s="1"/>
      <c r="R84" s="1"/>
      <c r="S84" s="1"/>
      <c r="T84" s="1"/>
      <c r="U84" s="1"/>
    </row>
    <row r="85" spans="1:21" x14ac:dyDescent="0.3">
      <c r="A85" s="1"/>
      <c r="B85" s="319"/>
      <c r="C85" s="319"/>
      <c r="D85" s="319"/>
      <c r="E85" s="319"/>
      <c r="F85" s="319"/>
      <c r="G85" s="1"/>
      <c r="H85" s="1"/>
      <c r="I85" s="1"/>
      <c r="J85" s="1"/>
      <c r="K85" s="1"/>
      <c r="L85" s="1"/>
      <c r="M85" s="1"/>
      <c r="N85" s="1"/>
      <c r="O85" s="1"/>
      <c r="P85" s="1"/>
      <c r="Q85" s="1"/>
      <c r="R85" s="1"/>
      <c r="S85" s="1"/>
      <c r="T85" s="1"/>
      <c r="U85" s="1"/>
    </row>
    <row r="86" spans="1:21" x14ac:dyDescent="0.3">
      <c r="A86" s="1"/>
      <c r="B86" s="319"/>
      <c r="C86" s="319"/>
      <c r="D86" s="319"/>
      <c r="E86" s="319"/>
      <c r="F86" s="319"/>
      <c r="G86" s="1"/>
      <c r="H86" s="1"/>
      <c r="I86" s="1"/>
      <c r="J86" s="1"/>
      <c r="K86" s="1"/>
      <c r="L86" s="1"/>
      <c r="M86" s="1"/>
      <c r="N86" s="1"/>
      <c r="O86" s="1"/>
      <c r="P86" s="1"/>
      <c r="Q86" s="1"/>
      <c r="R86" s="1"/>
      <c r="S86" s="1"/>
      <c r="T86" s="1"/>
      <c r="U86" s="1"/>
    </row>
    <row r="87" spans="1:21" x14ac:dyDescent="0.3">
      <c r="A87" s="1"/>
      <c r="B87" s="319"/>
      <c r="C87" s="319"/>
      <c r="D87" s="319"/>
      <c r="E87" s="319"/>
      <c r="F87" s="319"/>
      <c r="G87" s="1"/>
      <c r="H87" s="1"/>
      <c r="I87" s="1"/>
      <c r="J87" s="1"/>
      <c r="K87" s="1"/>
      <c r="L87" s="1"/>
      <c r="M87" s="1"/>
      <c r="N87" s="1"/>
      <c r="O87" s="1"/>
      <c r="P87" s="1"/>
      <c r="Q87" s="1"/>
      <c r="R87" s="1"/>
      <c r="S87" s="1"/>
      <c r="T87" s="1"/>
      <c r="U87" s="1"/>
    </row>
    <row r="88" spans="1:21" x14ac:dyDescent="0.3">
      <c r="A88" s="1"/>
      <c r="B88" s="319"/>
      <c r="C88" s="319"/>
      <c r="D88" s="319"/>
      <c r="E88" s="319"/>
      <c r="F88" s="319"/>
      <c r="G88" s="1"/>
      <c r="H88" s="1"/>
      <c r="I88" s="1"/>
      <c r="J88" s="1"/>
      <c r="K88" s="1"/>
      <c r="L88" s="1"/>
      <c r="M88" s="1"/>
      <c r="N88" s="1"/>
      <c r="O88" s="1"/>
      <c r="P88" s="1"/>
      <c r="Q88" s="1"/>
      <c r="R88" s="1"/>
      <c r="S88" s="1"/>
      <c r="T88" s="1"/>
      <c r="U88" s="1"/>
    </row>
    <row r="89" spans="1:21" x14ac:dyDescent="0.3">
      <c r="A89" s="1"/>
      <c r="B89" s="319"/>
      <c r="C89" s="319"/>
      <c r="D89" s="319"/>
      <c r="E89" s="319"/>
      <c r="F89" s="319"/>
      <c r="G89" s="1"/>
      <c r="H89" s="1"/>
      <c r="I89" s="1"/>
      <c r="J89" s="1"/>
      <c r="K89" s="1"/>
      <c r="L89" s="1"/>
      <c r="M89" s="1"/>
      <c r="N89" s="1"/>
      <c r="O89" s="1"/>
      <c r="P89" s="1"/>
      <c r="Q89" s="1"/>
      <c r="R89" s="1"/>
      <c r="S89" s="1"/>
      <c r="T89" s="1"/>
      <c r="U89" s="1"/>
    </row>
    <row r="90" spans="1:21" x14ac:dyDescent="0.3">
      <c r="A90" s="1"/>
      <c r="B90" s="319"/>
      <c r="C90" s="319"/>
      <c r="D90" s="319"/>
      <c r="E90" s="319"/>
      <c r="F90" s="319"/>
      <c r="G90" s="1"/>
      <c r="H90" s="1"/>
      <c r="I90" s="1"/>
      <c r="J90" s="1"/>
      <c r="K90" s="1"/>
      <c r="L90" s="1"/>
      <c r="M90" s="1"/>
      <c r="N90" s="1"/>
      <c r="O90" s="1"/>
      <c r="P90" s="1"/>
      <c r="Q90" s="1"/>
      <c r="R90" s="1"/>
      <c r="S90" s="1"/>
      <c r="T90" s="1"/>
      <c r="U90" s="1"/>
    </row>
    <row r="91" spans="1:21" x14ac:dyDescent="0.3">
      <c r="A91" s="1"/>
      <c r="B91" s="319"/>
      <c r="C91" s="319"/>
      <c r="D91" s="319"/>
      <c r="E91" s="319"/>
      <c r="F91" s="319"/>
      <c r="G91" s="1"/>
      <c r="H91" s="1"/>
      <c r="I91" s="1"/>
      <c r="J91" s="1"/>
      <c r="K91" s="1"/>
      <c r="L91" s="1"/>
      <c r="M91" s="1"/>
      <c r="N91" s="1"/>
      <c r="O91" s="1"/>
      <c r="P91" s="1"/>
      <c r="Q91" s="1"/>
      <c r="R91" s="1"/>
      <c r="S91" s="1"/>
      <c r="T91" s="1"/>
      <c r="U91" s="1"/>
    </row>
    <row r="92" spans="1:21" x14ac:dyDescent="0.3">
      <c r="A92" s="1"/>
      <c r="B92" s="319"/>
      <c r="C92" s="319"/>
      <c r="D92" s="319"/>
      <c r="E92" s="319"/>
      <c r="F92" s="319"/>
      <c r="G92" s="1"/>
      <c r="H92" s="1"/>
      <c r="I92" s="1"/>
      <c r="J92" s="1"/>
      <c r="K92" s="1"/>
      <c r="L92" s="1"/>
      <c r="M92" s="1"/>
      <c r="N92" s="1"/>
      <c r="O92" s="1"/>
      <c r="P92" s="1"/>
      <c r="Q92" s="1"/>
      <c r="R92" s="1"/>
      <c r="S92" s="1"/>
      <c r="T92" s="1"/>
      <c r="U92" s="1"/>
    </row>
    <row r="93" spans="1:21" x14ac:dyDescent="0.3">
      <c r="A93" s="1"/>
      <c r="B93" s="319"/>
      <c r="C93" s="319"/>
      <c r="D93" s="319"/>
      <c r="E93" s="319"/>
      <c r="F93" s="319"/>
      <c r="G93" s="1"/>
      <c r="H93" s="1"/>
      <c r="I93" s="1"/>
      <c r="J93" s="1"/>
      <c r="K93" s="1"/>
      <c r="L93" s="1"/>
      <c r="M93" s="1"/>
      <c r="N93" s="1"/>
      <c r="O93" s="1"/>
      <c r="P93" s="1"/>
      <c r="Q93" s="1"/>
      <c r="R93" s="1"/>
      <c r="S93" s="1"/>
      <c r="T93" s="1"/>
      <c r="U93" s="1"/>
    </row>
    <row r="94" spans="1:21" x14ac:dyDescent="0.3">
      <c r="A94" s="1"/>
      <c r="B94" s="319"/>
      <c r="C94" s="319"/>
      <c r="D94" s="319"/>
      <c r="E94" s="319"/>
      <c r="F94" s="319"/>
      <c r="G94" s="1"/>
      <c r="H94" s="1"/>
      <c r="I94" s="1"/>
      <c r="J94" s="1"/>
      <c r="K94" s="1"/>
      <c r="L94" s="1"/>
      <c r="M94" s="1"/>
      <c r="N94" s="1"/>
      <c r="O94" s="1"/>
      <c r="P94" s="1"/>
      <c r="Q94" s="1"/>
      <c r="R94" s="1"/>
      <c r="S94" s="1"/>
      <c r="T94" s="1"/>
      <c r="U94" s="1"/>
    </row>
    <row r="95" spans="1:21" x14ac:dyDescent="0.3">
      <c r="A95" s="1"/>
      <c r="B95" s="319"/>
      <c r="C95" s="319"/>
      <c r="D95" s="319"/>
      <c r="E95" s="319"/>
      <c r="F95" s="319"/>
      <c r="G95" s="1"/>
      <c r="H95" s="1"/>
      <c r="I95" s="1"/>
      <c r="J95" s="1"/>
      <c r="K95" s="1"/>
      <c r="L95" s="1"/>
      <c r="M95" s="1"/>
      <c r="N95" s="1"/>
      <c r="O95" s="1"/>
      <c r="P95" s="1"/>
      <c r="Q95" s="1"/>
      <c r="R95" s="1"/>
      <c r="S95" s="1"/>
      <c r="T95" s="1"/>
      <c r="U95" s="1"/>
    </row>
    <row r="96" spans="1:21" x14ac:dyDescent="0.3">
      <c r="A96" s="1"/>
      <c r="B96" s="319"/>
      <c r="C96" s="319"/>
      <c r="D96" s="319"/>
      <c r="E96" s="319"/>
      <c r="F96" s="319"/>
      <c r="G96" s="1"/>
      <c r="H96" s="1"/>
      <c r="I96" s="1"/>
      <c r="J96" s="1"/>
      <c r="K96" s="1"/>
      <c r="L96" s="1"/>
      <c r="M96" s="1"/>
      <c r="N96" s="1"/>
      <c r="O96" s="1"/>
      <c r="P96" s="1"/>
      <c r="Q96" s="1"/>
      <c r="R96" s="1"/>
      <c r="S96" s="1"/>
      <c r="T96" s="1"/>
      <c r="U96" s="1"/>
    </row>
    <row r="97" spans="1:21" x14ac:dyDescent="0.3">
      <c r="A97" s="1"/>
      <c r="B97" s="319"/>
      <c r="C97" s="319"/>
      <c r="D97" s="319"/>
      <c r="E97" s="319"/>
      <c r="F97" s="319"/>
      <c r="G97" s="1"/>
      <c r="H97" s="1"/>
      <c r="I97" s="1"/>
      <c r="J97" s="1"/>
      <c r="K97" s="1"/>
      <c r="L97" s="1"/>
      <c r="M97" s="1"/>
      <c r="N97" s="1"/>
      <c r="O97" s="1"/>
      <c r="P97" s="1"/>
      <c r="Q97" s="1"/>
      <c r="R97" s="1"/>
      <c r="S97" s="1"/>
      <c r="T97" s="1"/>
      <c r="U97" s="1"/>
    </row>
    <row r="98" spans="1:21" x14ac:dyDescent="0.3">
      <c r="A98" s="1"/>
      <c r="B98" s="319"/>
      <c r="C98" s="319"/>
      <c r="D98" s="319"/>
      <c r="E98" s="319"/>
      <c r="F98" s="319"/>
      <c r="G98" s="1"/>
      <c r="H98" s="1"/>
      <c r="I98" s="1"/>
      <c r="J98" s="1"/>
      <c r="K98" s="1"/>
      <c r="L98" s="1"/>
      <c r="M98" s="1"/>
      <c r="N98" s="1"/>
      <c r="O98" s="1"/>
      <c r="P98" s="1"/>
      <c r="Q98" s="1"/>
      <c r="R98" s="1"/>
      <c r="S98" s="1"/>
      <c r="T98" s="1"/>
      <c r="U98" s="1"/>
    </row>
    <row r="99" spans="1:21" x14ac:dyDescent="0.3">
      <c r="A99" s="1"/>
      <c r="B99" s="319"/>
      <c r="C99" s="319"/>
      <c r="D99" s="319"/>
      <c r="E99" s="319"/>
      <c r="F99" s="319"/>
      <c r="G99" s="1"/>
      <c r="H99" s="1"/>
      <c r="I99" s="1"/>
      <c r="J99" s="1"/>
      <c r="K99" s="1"/>
      <c r="L99" s="1"/>
      <c r="M99" s="1"/>
      <c r="N99" s="1"/>
      <c r="O99" s="1"/>
      <c r="P99" s="1"/>
      <c r="Q99" s="1"/>
      <c r="R99" s="1"/>
      <c r="S99" s="1"/>
      <c r="T99" s="1"/>
      <c r="U99" s="1"/>
    </row>
  </sheetData>
  <sheetProtection algorithmName="SHA-512" hashValue="rtibUwKky7HuV3Vr/Xja2VOpmAGphVuIZlmU+oDHC3B0KQ/EceMeR4jyOHvJAIWUjrAfzuTrcqEUYzjTdtweZw==" saltValue="P8ovsrhJQQ0dHY2Q2c15EQ==" spinCount="100000" sheet="1" objects="1" scenarios="1"/>
  <mergeCells count="2">
    <mergeCell ref="A10:F11"/>
    <mergeCell ref="A7:F9"/>
  </mergeCells>
  <printOptions horizontalCentered="1"/>
  <pageMargins left="0.25" right="0.25" top="0.75" bottom="0.75" header="0.3" footer="0.3"/>
  <pageSetup orientation="landscape" r:id="rId1"/>
  <headerFooter>
    <oddFooter>&amp;C&amp;"Century Gothic,Regular"&amp;9Page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2BC3E-2B24-4C10-A689-6C8B747DA8CD}">
  <sheetPr codeName="Sheet21">
    <pageSetUpPr fitToPage="1"/>
  </sheetPr>
  <dimension ref="A1:Y98"/>
  <sheetViews>
    <sheetView zoomScale="130" zoomScaleNormal="130" zoomScaleSheetLayoutView="130" workbookViewId="0">
      <pane ySplit="4" topLeftCell="A5" activePane="bottomLeft" state="frozen"/>
      <selection activeCell="A7" sqref="A7"/>
      <selection pane="bottomLeft" activeCell="A5" sqref="A5"/>
    </sheetView>
  </sheetViews>
  <sheetFormatPr baseColWidth="10" defaultColWidth="9.140625" defaultRowHeight="13.5" x14ac:dyDescent="0.3"/>
  <cols>
    <col min="1" max="1" width="36.140625" style="96" customWidth="1"/>
    <col min="2" max="6" width="13.7109375" style="7" customWidth="1"/>
    <col min="7" max="16384" width="9.140625" style="7"/>
  </cols>
  <sheetData>
    <row r="1" spans="1:25" ht="20.45" customHeight="1" x14ac:dyDescent="0.3">
      <c r="A1" s="89" t="s">
        <v>791</v>
      </c>
      <c r="B1" s="2"/>
      <c r="C1" s="2"/>
      <c r="D1" s="2"/>
      <c r="E1" s="2"/>
      <c r="F1" s="3"/>
      <c r="G1" s="1"/>
      <c r="H1" s="1"/>
      <c r="I1" s="1"/>
      <c r="J1" s="1"/>
      <c r="K1" s="1"/>
      <c r="L1" s="1"/>
      <c r="M1" s="1"/>
      <c r="N1" s="1"/>
      <c r="O1" s="1"/>
      <c r="P1" s="1"/>
      <c r="Q1" s="1"/>
      <c r="R1" s="1"/>
      <c r="S1" s="1"/>
      <c r="T1" s="1"/>
      <c r="U1" s="1"/>
      <c r="V1" s="1"/>
      <c r="W1" s="1"/>
      <c r="X1" s="1"/>
      <c r="Y1" s="1"/>
    </row>
    <row r="2" spans="1:25" ht="13.5" customHeight="1" x14ac:dyDescent="0.3">
      <c r="A2" s="100" t="s">
        <v>0</v>
      </c>
      <c r="B2" s="10"/>
      <c r="C2" s="10"/>
      <c r="D2" s="10"/>
      <c r="E2" s="121"/>
      <c r="F2" s="11"/>
      <c r="G2" s="1"/>
      <c r="H2" s="1"/>
      <c r="I2" s="1"/>
      <c r="J2" s="1"/>
      <c r="K2" s="1"/>
      <c r="L2" s="1"/>
      <c r="M2" s="1"/>
      <c r="N2" s="1"/>
      <c r="O2" s="1"/>
      <c r="P2" s="1"/>
      <c r="Q2" s="1"/>
      <c r="R2" s="1"/>
      <c r="S2" s="1"/>
      <c r="T2" s="1"/>
      <c r="U2" s="1"/>
      <c r="V2" s="1"/>
      <c r="W2" s="1"/>
      <c r="X2" s="1"/>
      <c r="Y2" s="1"/>
    </row>
    <row r="3" spans="1:25" x14ac:dyDescent="0.3">
      <c r="A3" s="91"/>
      <c r="B3" s="584">
        <v>2018</v>
      </c>
      <c r="C3" s="584">
        <v>2019</v>
      </c>
      <c r="D3" s="584">
        <v>2020</v>
      </c>
      <c r="E3" s="584">
        <v>2021</v>
      </c>
      <c r="F3" s="585">
        <v>2022</v>
      </c>
      <c r="G3" s="1"/>
      <c r="H3" s="1"/>
      <c r="I3" s="1"/>
      <c r="J3" s="1"/>
      <c r="K3" s="1"/>
      <c r="L3" s="1"/>
      <c r="M3" s="1"/>
      <c r="N3" s="1"/>
      <c r="O3" s="1"/>
      <c r="P3" s="1"/>
      <c r="Q3" s="1"/>
      <c r="R3" s="1"/>
      <c r="S3" s="1"/>
      <c r="T3" s="1"/>
      <c r="U3" s="1"/>
      <c r="V3" s="1"/>
      <c r="W3" s="1"/>
      <c r="X3" s="1"/>
      <c r="Y3" s="1"/>
    </row>
    <row r="4" spans="1:25" ht="15.75" customHeight="1" x14ac:dyDescent="0.3">
      <c r="A4" s="101" t="s">
        <v>1</v>
      </c>
      <c r="B4" s="14"/>
      <c r="C4" s="14"/>
      <c r="D4" s="14"/>
      <c r="E4" s="14"/>
      <c r="F4" s="15"/>
      <c r="G4" s="1"/>
      <c r="H4" s="1"/>
      <c r="I4" s="1"/>
      <c r="J4" s="1"/>
      <c r="K4" s="1"/>
      <c r="L4" s="1"/>
      <c r="M4" s="1"/>
      <c r="N4" s="1"/>
      <c r="O4" s="1"/>
      <c r="P4" s="1"/>
      <c r="Q4" s="1"/>
      <c r="R4" s="1"/>
      <c r="S4" s="1"/>
      <c r="T4" s="1"/>
      <c r="U4" s="1"/>
      <c r="V4" s="1"/>
      <c r="W4" s="1"/>
      <c r="X4" s="1"/>
      <c r="Y4" s="1"/>
    </row>
    <row r="5" spans="1:25" ht="27" x14ac:dyDescent="0.3">
      <c r="A5" s="93" t="s">
        <v>2</v>
      </c>
      <c r="B5" s="624">
        <v>1</v>
      </c>
      <c r="C5" s="624">
        <v>1</v>
      </c>
      <c r="D5" s="624">
        <v>0.57999999999999996</v>
      </c>
      <c r="E5" s="624">
        <v>1</v>
      </c>
      <c r="F5" s="625">
        <v>1</v>
      </c>
      <c r="G5" s="1"/>
      <c r="H5" s="1"/>
      <c r="I5" s="1"/>
      <c r="J5" s="1"/>
      <c r="K5" s="1"/>
      <c r="L5" s="1"/>
      <c r="M5" s="1"/>
      <c r="N5" s="1"/>
      <c r="O5" s="1"/>
      <c r="P5" s="1"/>
      <c r="Q5" s="1"/>
      <c r="R5" s="1"/>
      <c r="S5" s="1"/>
      <c r="T5" s="1"/>
      <c r="U5" s="1"/>
      <c r="V5" s="1"/>
      <c r="W5" s="1"/>
      <c r="X5" s="1"/>
      <c r="Y5" s="1"/>
    </row>
    <row r="6" spans="1:25" ht="27" x14ac:dyDescent="0.3">
      <c r="A6" s="93" t="s">
        <v>3</v>
      </c>
      <c r="B6" s="624">
        <v>1</v>
      </c>
      <c r="C6" s="624">
        <v>1</v>
      </c>
      <c r="D6" s="624">
        <v>0.82</v>
      </c>
      <c r="E6" s="624">
        <v>1</v>
      </c>
      <c r="F6" s="625">
        <v>1</v>
      </c>
      <c r="G6" s="1"/>
      <c r="H6" s="1"/>
      <c r="I6" s="1"/>
      <c r="J6" s="1"/>
      <c r="K6" s="1"/>
      <c r="L6" s="1"/>
      <c r="M6" s="1"/>
      <c r="N6" s="1"/>
      <c r="O6" s="1"/>
      <c r="P6" s="1"/>
      <c r="Q6" s="1"/>
      <c r="R6" s="1"/>
      <c r="S6" s="1"/>
      <c r="T6" s="1"/>
      <c r="U6" s="1"/>
      <c r="V6" s="1"/>
      <c r="W6" s="1"/>
      <c r="X6" s="1"/>
      <c r="Y6" s="1"/>
    </row>
    <row r="7" spans="1:25" ht="27" x14ac:dyDescent="0.3">
      <c r="A7" s="93" t="s">
        <v>4</v>
      </c>
      <c r="B7" s="624">
        <v>1</v>
      </c>
      <c r="C7" s="624">
        <v>1</v>
      </c>
      <c r="D7" s="624">
        <v>0.82</v>
      </c>
      <c r="E7" s="624">
        <v>1</v>
      </c>
      <c r="F7" s="625">
        <v>1</v>
      </c>
      <c r="G7" s="1"/>
      <c r="H7" s="1"/>
      <c r="I7" s="1"/>
      <c r="J7" s="1"/>
      <c r="K7" s="1"/>
      <c r="L7" s="1"/>
      <c r="M7" s="1"/>
      <c r="N7" s="1"/>
      <c r="O7" s="1"/>
      <c r="P7" s="1"/>
      <c r="Q7" s="1"/>
      <c r="R7" s="1"/>
      <c r="S7" s="1"/>
      <c r="T7" s="1"/>
      <c r="U7" s="1"/>
      <c r="V7" s="1"/>
      <c r="W7" s="1"/>
      <c r="X7" s="1"/>
      <c r="Y7" s="1"/>
    </row>
    <row r="8" spans="1:25" s="152" customFormat="1" ht="5.0999999999999996" customHeight="1" x14ac:dyDescent="0.3">
      <c r="A8" s="151"/>
      <c r="B8" s="626"/>
      <c r="C8" s="626"/>
      <c r="D8" s="626"/>
      <c r="E8" s="626"/>
      <c r="F8" s="627"/>
      <c r="G8" s="5"/>
      <c r="H8" s="5"/>
      <c r="I8" s="150"/>
      <c r="J8" s="150"/>
      <c r="K8" s="150"/>
      <c r="L8" s="150"/>
      <c r="M8" s="150"/>
      <c r="N8" s="150"/>
      <c r="O8" s="150"/>
      <c r="P8" s="150"/>
      <c r="Q8" s="150"/>
    </row>
    <row r="9" spans="1:25" s="140" customFormat="1" ht="13.5" customHeight="1" x14ac:dyDescent="0.3">
      <c r="A9" s="148" t="s">
        <v>695</v>
      </c>
      <c r="B9" s="628"/>
      <c r="C9" s="628"/>
      <c r="D9" s="628"/>
      <c r="E9" s="628"/>
      <c r="F9" s="629"/>
      <c r="G9" s="5"/>
      <c r="H9" s="5"/>
      <c r="I9" s="137"/>
      <c r="J9" s="137"/>
      <c r="K9" s="137"/>
      <c r="L9" s="137"/>
      <c r="M9" s="137"/>
      <c r="N9" s="137"/>
      <c r="O9" s="137"/>
      <c r="P9" s="137"/>
      <c r="Q9" s="137"/>
    </row>
    <row r="10" spans="1:25" s="140" customFormat="1" ht="13.5" customHeight="1" x14ac:dyDescent="0.3">
      <c r="A10" s="149" t="s">
        <v>706</v>
      </c>
      <c r="B10" s="630">
        <v>257</v>
      </c>
      <c r="C10" s="630">
        <v>285</v>
      </c>
      <c r="D10" s="630">
        <v>270</v>
      </c>
      <c r="E10" s="630">
        <v>205</v>
      </c>
      <c r="F10" s="631">
        <v>372</v>
      </c>
      <c r="G10" s="1025"/>
      <c r="H10" s="1026"/>
      <c r="I10" s="1026"/>
      <c r="J10" s="1026"/>
      <c r="K10" s="1026"/>
      <c r="L10" s="1026"/>
      <c r="M10" s="1026"/>
      <c r="N10" s="137"/>
      <c r="O10" s="137"/>
      <c r="P10" s="137"/>
      <c r="Q10" s="137"/>
    </row>
    <row r="11" spans="1:25" ht="8.1" customHeight="1" x14ac:dyDescent="0.3">
      <c r="A11" s="94"/>
      <c r="B11" s="9"/>
      <c r="C11" s="9"/>
      <c r="D11" s="9"/>
      <c r="E11" s="9"/>
      <c r="F11" s="9"/>
      <c r="G11" s="1"/>
      <c r="H11" s="1"/>
      <c r="I11" s="1"/>
      <c r="J11" s="1"/>
      <c r="K11" s="1"/>
      <c r="L11" s="1"/>
      <c r="M11" s="1"/>
      <c r="N11" s="1"/>
      <c r="O11" s="1"/>
      <c r="P11" s="1"/>
      <c r="Q11" s="1"/>
      <c r="R11" s="1"/>
      <c r="S11" s="1"/>
      <c r="T11" s="1"/>
      <c r="U11" s="1"/>
      <c r="V11" s="1"/>
      <c r="W11" s="1"/>
      <c r="X11" s="1"/>
      <c r="Y11" s="1"/>
    </row>
    <row r="12" spans="1:25" ht="11.65" customHeight="1" x14ac:dyDescent="0.3">
      <c r="A12" s="999" t="s">
        <v>230</v>
      </c>
      <c r="B12" s="999"/>
      <c r="C12" s="999"/>
      <c r="D12" s="999"/>
      <c r="E12" s="999"/>
      <c r="F12" s="999"/>
      <c r="G12" s="17"/>
      <c r="H12" s="18"/>
      <c r="I12" s="1"/>
      <c r="J12" s="1"/>
      <c r="K12" s="1"/>
      <c r="L12" s="1"/>
      <c r="M12" s="1"/>
      <c r="N12" s="1"/>
      <c r="O12" s="1"/>
      <c r="P12" s="1"/>
      <c r="Q12" s="1"/>
      <c r="R12" s="1"/>
      <c r="S12" s="1"/>
      <c r="T12" s="1"/>
      <c r="U12" s="1"/>
      <c r="V12" s="1"/>
      <c r="W12" s="1"/>
      <c r="X12" s="1"/>
      <c r="Y12" s="1"/>
    </row>
    <row r="13" spans="1:25" x14ac:dyDescent="0.3">
      <c r="A13" s="999" t="s">
        <v>807</v>
      </c>
      <c r="B13" s="999"/>
      <c r="C13" s="999"/>
      <c r="D13" s="999"/>
      <c r="E13" s="999"/>
      <c r="F13" s="999"/>
      <c r="G13" s="17"/>
      <c r="H13" s="18"/>
      <c r="I13" s="1"/>
      <c r="J13" s="1"/>
      <c r="K13" s="1"/>
      <c r="L13" s="1"/>
      <c r="M13" s="1"/>
      <c r="N13" s="1"/>
      <c r="O13" s="1"/>
      <c r="P13" s="1"/>
      <c r="Q13" s="1"/>
      <c r="R13" s="1"/>
      <c r="S13" s="1"/>
      <c r="T13" s="1"/>
      <c r="U13" s="1"/>
      <c r="V13" s="1"/>
      <c r="W13" s="1"/>
      <c r="X13" s="1"/>
      <c r="Y13" s="1"/>
    </row>
    <row r="14" spans="1:25" x14ac:dyDescent="0.3">
      <c r="A14" s="95"/>
      <c r="B14" s="1"/>
      <c r="C14" s="1"/>
      <c r="D14" s="1"/>
      <c r="E14" s="1"/>
      <c r="F14" s="1"/>
      <c r="G14" s="1"/>
      <c r="H14" s="1"/>
      <c r="I14" s="1"/>
      <c r="J14" s="1"/>
      <c r="K14" s="1"/>
      <c r="L14" s="1"/>
      <c r="M14" s="1"/>
      <c r="N14" s="1"/>
      <c r="O14" s="1"/>
      <c r="P14" s="1"/>
      <c r="Q14" s="1"/>
      <c r="R14" s="1"/>
      <c r="S14" s="1"/>
      <c r="T14" s="1"/>
      <c r="U14" s="1"/>
      <c r="V14" s="1"/>
      <c r="W14" s="1"/>
      <c r="X14" s="1"/>
      <c r="Y14" s="1"/>
    </row>
    <row r="15" spans="1:25" x14ac:dyDescent="0.3">
      <c r="A15" s="95"/>
      <c r="B15" s="1"/>
      <c r="C15" s="1"/>
      <c r="D15" s="1"/>
      <c r="E15" s="1"/>
      <c r="F15" s="1"/>
      <c r="G15" s="1"/>
      <c r="H15" s="1"/>
      <c r="I15" s="1"/>
      <c r="J15" s="1"/>
      <c r="K15" s="1"/>
      <c r="L15" s="1"/>
      <c r="M15" s="1"/>
      <c r="N15" s="1"/>
      <c r="O15" s="1"/>
      <c r="P15" s="1"/>
      <c r="Q15" s="1"/>
      <c r="R15" s="1"/>
      <c r="S15" s="1"/>
      <c r="T15" s="1"/>
      <c r="U15" s="1"/>
      <c r="V15" s="1"/>
      <c r="W15" s="1"/>
      <c r="X15" s="1"/>
      <c r="Y15" s="1"/>
    </row>
    <row r="16" spans="1:25" x14ac:dyDescent="0.3">
      <c r="A16" s="95"/>
      <c r="B16" s="1"/>
      <c r="C16" s="1"/>
      <c r="D16" s="1"/>
      <c r="E16" s="1"/>
      <c r="F16" s="1"/>
      <c r="G16" s="1"/>
      <c r="H16" s="1"/>
      <c r="I16" s="1"/>
      <c r="J16" s="1"/>
      <c r="K16" s="1"/>
      <c r="L16" s="1"/>
      <c r="M16" s="1"/>
      <c r="N16" s="1"/>
      <c r="O16" s="1"/>
      <c r="P16" s="1"/>
      <c r="Q16" s="1"/>
      <c r="R16" s="1"/>
      <c r="S16" s="1"/>
      <c r="T16" s="1"/>
      <c r="U16" s="1"/>
      <c r="V16" s="1"/>
      <c r="W16" s="1"/>
      <c r="X16" s="1"/>
      <c r="Y16" s="1"/>
    </row>
    <row r="17" spans="1:25" x14ac:dyDescent="0.3">
      <c r="A17" s="95"/>
      <c r="B17" s="1"/>
      <c r="C17" s="1"/>
      <c r="D17" s="1"/>
      <c r="E17" s="1"/>
      <c r="F17" s="1"/>
      <c r="G17" s="1"/>
      <c r="H17" s="1"/>
      <c r="I17" s="1"/>
      <c r="J17" s="1"/>
      <c r="K17" s="1"/>
      <c r="L17" s="1"/>
      <c r="M17" s="1"/>
      <c r="N17" s="1"/>
      <c r="O17" s="1"/>
      <c r="P17" s="1"/>
      <c r="Q17" s="1"/>
      <c r="R17" s="1"/>
      <c r="S17" s="1"/>
      <c r="T17" s="1"/>
      <c r="U17" s="1"/>
      <c r="V17" s="1"/>
      <c r="W17" s="1"/>
      <c r="X17" s="1"/>
      <c r="Y17" s="1"/>
    </row>
    <row r="18" spans="1:25" x14ac:dyDescent="0.3">
      <c r="A18" s="95"/>
      <c r="B18" s="1"/>
      <c r="C18" s="1"/>
      <c r="D18" s="1"/>
      <c r="E18" s="1"/>
      <c r="F18" s="1"/>
      <c r="G18" s="1"/>
      <c r="H18" s="1"/>
      <c r="I18" s="1"/>
      <c r="J18" s="1"/>
      <c r="K18" s="1"/>
      <c r="L18" s="1"/>
      <c r="M18" s="1"/>
      <c r="N18" s="1"/>
      <c r="O18" s="1"/>
      <c r="P18" s="1"/>
      <c r="Q18" s="1"/>
      <c r="R18" s="1"/>
      <c r="S18" s="1"/>
      <c r="T18" s="1"/>
      <c r="U18" s="1"/>
      <c r="V18" s="1"/>
      <c r="W18" s="1"/>
      <c r="X18" s="1"/>
      <c r="Y18" s="1"/>
    </row>
    <row r="19" spans="1:25" x14ac:dyDescent="0.3">
      <c r="A19" s="95"/>
      <c r="B19" s="1"/>
      <c r="C19" s="1"/>
      <c r="D19" s="1"/>
      <c r="E19" s="1"/>
      <c r="F19" s="1"/>
      <c r="G19" s="1"/>
      <c r="H19" s="1"/>
      <c r="I19" s="1"/>
      <c r="J19" s="1"/>
      <c r="K19" s="1"/>
      <c r="L19" s="1"/>
      <c r="M19" s="1"/>
      <c r="N19" s="1"/>
      <c r="O19" s="1"/>
      <c r="P19" s="1"/>
      <c r="Q19" s="1"/>
      <c r="R19" s="1"/>
      <c r="S19" s="1"/>
      <c r="T19" s="1"/>
      <c r="U19" s="1"/>
      <c r="V19" s="1"/>
      <c r="W19" s="1"/>
      <c r="X19" s="1"/>
      <c r="Y19" s="1"/>
    </row>
    <row r="20" spans="1:25" x14ac:dyDescent="0.3">
      <c r="A20" s="95"/>
      <c r="B20" s="1"/>
      <c r="C20" s="1"/>
      <c r="D20" s="1"/>
      <c r="E20" s="1"/>
      <c r="F20" s="1"/>
      <c r="G20" s="1"/>
      <c r="H20" s="1"/>
      <c r="I20" s="1"/>
      <c r="J20" s="1"/>
      <c r="K20" s="1"/>
      <c r="L20" s="1"/>
      <c r="M20" s="1"/>
      <c r="N20" s="1"/>
      <c r="O20" s="1"/>
      <c r="P20" s="1"/>
      <c r="Q20" s="1"/>
      <c r="R20" s="1"/>
      <c r="S20" s="1"/>
      <c r="T20" s="1"/>
      <c r="U20" s="1"/>
      <c r="V20" s="1"/>
      <c r="W20" s="1"/>
      <c r="X20" s="1"/>
      <c r="Y20" s="1"/>
    </row>
    <row r="21" spans="1:25" x14ac:dyDescent="0.3">
      <c r="A21" s="95"/>
      <c r="B21" s="1"/>
      <c r="C21" s="1"/>
      <c r="D21" s="1"/>
      <c r="E21" s="1"/>
      <c r="F21" s="1"/>
      <c r="G21" s="1"/>
      <c r="H21" s="1"/>
      <c r="I21" s="1"/>
      <c r="J21" s="1"/>
      <c r="K21" s="1"/>
      <c r="L21" s="1"/>
      <c r="M21" s="1"/>
      <c r="N21" s="1"/>
      <c r="O21" s="1"/>
      <c r="P21" s="1"/>
      <c r="Q21" s="1"/>
      <c r="R21" s="1"/>
      <c r="S21" s="1"/>
      <c r="T21" s="1"/>
      <c r="U21" s="1"/>
      <c r="V21" s="1"/>
      <c r="W21" s="1"/>
      <c r="X21" s="1"/>
      <c r="Y21" s="1"/>
    </row>
    <row r="22" spans="1:25" x14ac:dyDescent="0.3">
      <c r="A22" s="95"/>
      <c r="B22" s="1"/>
      <c r="C22" s="1"/>
      <c r="D22" s="1"/>
      <c r="E22" s="1"/>
      <c r="F22" s="1"/>
      <c r="G22" s="1"/>
      <c r="H22" s="1"/>
      <c r="I22" s="1"/>
      <c r="J22" s="1"/>
      <c r="K22" s="1"/>
      <c r="L22" s="1"/>
      <c r="M22" s="1"/>
      <c r="N22" s="1"/>
      <c r="O22" s="1"/>
      <c r="P22" s="1"/>
      <c r="Q22" s="1"/>
      <c r="R22" s="1"/>
      <c r="S22" s="1"/>
      <c r="T22" s="1"/>
      <c r="U22" s="1"/>
      <c r="V22" s="1"/>
      <c r="W22" s="1"/>
      <c r="X22" s="1"/>
      <c r="Y22" s="1"/>
    </row>
    <row r="23" spans="1:25" x14ac:dyDescent="0.3">
      <c r="A23" s="95"/>
      <c r="B23" s="1"/>
      <c r="C23" s="1"/>
      <c r="D23" s="1"/>
      <c r="E23" s="1"/>
      <c r="F23" s="1"/>
      <c r="G23" s="1"/>
      <c r="H23" s="1"/>
      <c r="I23" s="1"/>
      <c r="J23" s="1"/>
      <c r="K23" s="1"/>
      <c r="L23" s="1"/>
      <c r="M23" s="1"/>
      <c r="N23" s="1"/>
      <c r="O23" s="1"/>
      <c r="P23" s="1"/>
      <c r="Q23" s="1"/>
      <c r="R23" s="1"/>
      <c r="S23" s="1"/>
      <c r="T23" s="1"/>
      <c r="U23" s="1"/>
      <c r="V23" s="1"/>
      <c r="W23" s="1"/>
      <c r="X23" s="1"/>
      <c r="Y23" s="1"/>
    </row>
    <row r="24" spans="1:25" x14ac:dyDescent="0.3">
      <c r="A24" s="95"/>
      <c r="B24" s="1"/>
      <c r="C24" s="1"/>
      <c r="D24" s="1"/>
      <c r="E24" s="1"/>
      <c r="F24" s="1"/>
      <c r="G24" s="1"/>
      <c r="H24" s="1"/>
      <c r="I24" s="1"/>
      <c r="J24" s="1"/>
      <c r="K24" s="1"/>
      <c r="L24" s="1"/>
      <c r="M24" s="1"/>
      <c r="N24" s="1"/>
      <c r="O24" s="1"/>
      <c r="P24" s="1"/>
      <c r="Q24" s="1"/>
      <c r="R24" s="1"/>
      <c r="S24" s="1"/>
      <c r="T24" s="1"/>
      <c r="U24" s="1"/>
      <c r="V24" s="1"/>
      <c r="W24" s="1"/>
      <c r="X24" s="1"/>
      <c r="Y24" s="1"/>
    </row>
    <row r="25" spans="1:25" x14ac:dyDescent="0.3">
      <c r="A25" s="95"/>
      <c r="B25" s="1"/>
      <c r="C25" s="1"/>
      <c r="D25" s="1"/>
      <c r="E25" s="1"/>
      <c r="F25" s="1"/>
      <c r="G25" s="1"/>
      <c r="H25" s="1"/>
      <c r="I25" s="1"/>
      <c r="J25" s="1"/>
      <c r="K25" s="1"/>
      <c r="L25" s="1"/>
      <c r="M25" s="1"/>
      <c r="N25" s="1"/>
      <c r="O25" s="1"/>
      <c r="P25" s="1"/>
      <c r="Q25" s="1"/>
      <c r="R25" s="1"/>
      <c r="S25" s="1"/>
      <c r="T25" s="1"/>
      <c r="U25" s="1"/>
      <c r="V25" s="1"/>
      <c r="W25" s="1"/>
      <c r="X25" s="1"/>
      <c r="Y25" s="1"/>
    </row>
    <row r="26" spans="1:25" x14ac:dyDescent="0.3">
      <c r="A26" s="95"/>
      <c r="B26" s="1"/>
      <c r="C26" s="1"/>
      <c r="D26" s="1"/>
      <c r="E26" s="1"/>
      <c r="F26" s="1"/>
      <c r="G26" s="1"/>
      <c r="H26" s="1"/>
      <c r="I26" s="1"/>
      <c r="J26" s="1"/>
      <c r="K26" s="1"/>
      <c r="L26" s="1"/>
      <c r="M26" s="1"/>
      <c r="N26" s="1"/>
      <c r="O26" s="1"/>
      <c r="P26" s="1"/>
      <c r="Q26" s="1"/>
      <c r="R26" s="1"/>
      <c r="S26" s="1"/>
      <c r="T26" s="1"/>
      <c r="U26" s="1"/>
      <c r="V26" s="1"/>
      <c r="W26" s="1"/>
      <c r="X26" s="1"/>
      <c r="Y26" s="1"/>
    </row>
    <row r="27" spans="1:25" x14ac:dyDescent="0.3">
      <c r="A27" s="95"/>
      <c r="B27" s="1"/>
      <c r="C27" s="1"/>
      <c r="D27" s="1"/>
      <c r="E27" s="1"/>
      <c r="F27" s="1"/>
      <c r="G27" s="1"/>
      <c r="H27" s="1"/>
      <c r="I27" s="1"/>
      <c r="J27" s="1"/>
      <c r="K27" s="1"/>
      <c r="L27" s="1"/>
      <c r="M27" s="1"/>
      <c r="N27" s="1"/>
      <c r="O27" s="1"/>
      <c r="P27" s="1"/>
      <c r="Q27" s="1"/>
      <c r="R27" s="1"/>
      <c r="S27" s="1"/>
      <c r="T27" s="1"/>
      <c r="U27" s="1"/>
      <c r="V27" s="1"/>
      <c r="W27" s="1"/>
      <c r="X27" s="1"/>
      <c r="Y27" s="1"/>
    </row>
    <row r="28" spans="1:25" x14ac:dyDescent="0.3">
      <c r="A28" s="95"/>
      <c r="B28" s="1"/>
      <c r="C28" s="1"/>
      <c r="D28" s="1"/>
      <c r="E28" s="1"/>
      <c r="F28" s="1"/>
      <c r="G28" s="1"/>
      <c r="H28" s="1"/>
      <c r="I28" s="1"/>
      <c r="J28" s="1"/>
      <c r="K28" s="1"/>
      <c r="L28" s="1"/>
      <c r="M28" s="1"/>
      <c r="N28" s="1"/>
      <c r="O28" s="1"/>
      <c r="P28" s="1"/>
      <c r="Q28" s="1"/>
      <c r="R28" s="1"/>
      <c r="S28" s="1"/>
      <c r="T28" s="1"/>
      <c r="U28" s="1"/>
      <c r="V28" s="1"/>
      <c r="W28" s="1"/>
      <c r="X28" s="1"/>
      <c r="Y28" s="1"/>
    </row>
    <row r="29" spans="1:25" x14ac:dyDescent="0.3">
      <c r="A29" s="95"/>
      <c r="B29" s="1"/>
      <c r="C29" s="1"/>
      <c r="D29" s="1"/>
      <c r="E29" s="1"/>
      <c r="F29" s="1"/>
      <c r="G29" s="1"/>
      <c r="H29" s="1"/>
      <c r="I29" s="1"/>
      <c r="J29" s="1"/>
      <c r="K29" s="1"/>
      <c r="L29" s="1"/>
      <c r="M29" s="1"/>
      <c r="N29" s="1"/>
      <c r="O29" s="1"/>
      <c r="P29" s="1"/>
      <c r="Q29" s="1"/>
      <c r="R29" s="1"/>
      <c r="S29" s="1"/>
      <c r="T29" s="1"/>
      <c r="U29" s="1"/>
      <c r="V29" s="1"/>
      <c r="W29" s="1"/>
      <c r="X29" s="1"/>
      <c r="Y29" s="1"/>
    </row>
    <row r="30" spans="1:25" x14ac:dyDescent="0.3">
      <c r="A30" s="95"/>
      <c r="B30" s="1"/>
      <c r="C30" s="1"/>
      <c r="D30" s="1"/>
      <c r="E30" s="1"/>
      <c r="F30" s="1"/>
      <c r="G30" s="1"/>
      <c r="H30" s="1"/>
      <c r="I30" s="1"/>
      <c r="J30" s="1"/>
      <c r="K30" s="1"/>
      <c r="L30" s="1"/>
      <c r="M30" s="1"/>
      <c r="N30" s="1"/>
      <c r="O30" s="1"/>
      <c r="P30" s="1"/>
      <c r="Q30" s="1"/>
      <c r="R30" s="1"/>
      <c r="S30" s="1"/>
      <c r="T30" s="1"/>
      <c r="U30" s="1"/>
      <c r="V30" s="1"/>
      <c r="W30" s="1"/>
      <c r="X30" s="1"/>
      <c r="Y30" s="1"/>
    </row>
    <row r="31" spans="1:25" x14ac:dyDescent="0.3">
      <c r="A31" s="95"/>
      <c r="B31" s="1"/>
      <c r="C31" s="1"/>
      <c r="D31" s="1"/>
      <c r="E31" s="1"/>
      <c r="F31" s="1"/>
      <c r="G31" s="1"/>
      <c r="H31" s="1"/>
      <c r="I31" s="1"/>
      <c r="J31" s="1"/>
      <c r="K31" s="1"/>
      <c r="L31" s="1"/>
      <c r="M31" s="1"/>
      <c r="N31" s="1"/>
      <c r="O31" s="1"/>
      <c r="P31" s="1"/>
      <c r="Q31" s="1"/>
      <c r="R31" s="1"/>
      <c r="S31" s="1"/>
      <c r="T31" s="1"/>
      <c r="U31" s="1"/>
      <c r="V31" s="1"/>
      <c r="W31" s="1"/>
      <c r="X31" s="1"/>
      <c r="Y31" s="1"/>
    </row>
    <row r="32" spans="1:25" x14ac:dyDescent="0.3">
      <c r="A32" s="95"/>
      <c r="B32" s="1"/>
      <c r="C32" s="1"/>
      <c r="D32" s="1"/>
      <c r="E32" s="1"/>
      <c r="F32" s="1"/>
      <c r="G32" s="1"/>
      <c r="H32" s="1"/>
      <c r="I32" s="1"/>
      <c r="J32" s="1"/>
      <c r="K32" s="1"/>
      <c r="L32" s="1"/>
      <c r="M32" s="1"/>
      <c r="N32" s="1"/>
      <c r="O32" s="1"/>
      <c r="P32" s="1"/>
      <c r="Q32" s="1"/>
      <c r="R32" s="1"/>
      <c r="S32" s="1"/>
      <c r="T32" s="1"/>
      <c r="U32" s="1"/>
      <c r="V32" s="1"/>
      <c r="W32" s="1"/>
      <c r="X32" s="1"/>
      <c r="Y32" s="1"/>
    </row>
    <row r="33" spans="1:25" x14ac:dyDescent="0.3">
      <c r="A33" s="95"/>
      <c r="B33" s="1"/>
      <c r="C33" s="1"/>
      <c r="D33" s="1"/>
      <c r="E33" s="1"/>
      <c r="F33" s="1"/>
      <c r="G33" s="1"/>
      <c r="H33" s="1"/>
      <c r="I33" s="1"/>
      <c r="J33" s="1"/>
      <c r="K33" s="1"/>
      <c r="L33" s="1"/>
      <c r="M33" s="1"/>
      <c r="N33" s="1"/>
      <c r="O33" s="1"/>
      <c r="P33" s="1"/>
      <c r="Q33" s="1"/>
      <c r="R33" s="1"/>
      <c r="S33" s="1"/>
      <c r="T33" s="1"/>
      <c r="U33" s="1"/>
      <c r="V33" s="1"/>
      <c r="W33" s="1"/>
      <c r="X33" s="1"/>
      <c r="Y33" s="1"/>
    </row>
    <row r="34" spans="1:25" x14ac:dyDescent="0.3">
      <c r="A34" s="95"/>
      <c r="B34" s="1"/>
      <c r="C34" s="1"/>
      <c r="D34" s="1"/>
      <c r="E34" s="1"/>
      <c r="F34" s="1"/>
      <c r="G34" s="1"/>
      <c r="H34" s="1"/>
      <c r="I34" s="1"/>
      <c r="J34" s="1"/>
      <c r="K34" s="1"/>
      <c r="L34" s="1"/>
      <c r="M34" s="1"/>
      <c r="N34" s="1"/>
      <c r="O34" s="1"/>
      <c r="P34" s="1"/>
      <c r="Q34" s="1"/>
      <c r="R34" s="1"/>
      <c r="S34" s="1"/>
      <c r="T34" s="1"/>
      <c r="U34" s="1"/>
      <c r="V34" s="1"/>
      <c r="W34" s="1"/>
      <c r="X34" s="1"/>
      <c r="Y34" s="1"/>
    </row>
    <row r="35" spans="1:25" x14ac:dyDescent="0.3">
      <c r="A35" s="95"/>
      <c r="B35" s="1"/>
      <c r="C35" s="1"/>
      <c r="D35" s="1"/>
      <c r="E35" s="1"/>
      <c r="F35" s="1"/>
      <c r="G35" s="1"/>
      <c r="H35" s="1"/>
      <c r="I35" s="1"/>
      <c r="J35" s="1"/>
      <c r="K35" s="1"/>
      <c r="L35" s="1"/>
      <c r="M35" s="1"/>
      <c r="N35" s="1"/>
      <c r="O35" s="1"/>
      <c r="P35" s="1"/>
      <c r="Q35" s="1"/>
      <c r="R35" s="1"/>
      <c r="S35" s="1"/>
      <c r="T35" s="1"/>
      <c r="U35" s="1"/>
      <c r="V35" s="1"/>
      <c r="W35" s="1"/>
      <c r="X35" s="1"/>
      <c r="Y35" s="1"/>
    </row>
    <row r="36" spans="1:25" x14ac:dyDescent="0.3">
      <c r="A36" s="95"/>
      <c r="B36" s="1"/>
      <c r="C36" s="1"/>
      <c r="D36" s="1"/>
      <c r="E36" s="1"/>
      <c r="F36" s="1"/>
      <c r="G36" s="1"/>
      <c r="H36" s="1"/>
      <c r="I36" s="1"/>
      <c r="J36" s="1"/>
      <c r="K36" s="1"/>
      <c r="L36" s="1"/>
      <c r="M36" s="1"/>
      <c r="N36" s="1"/>
      <c r="O36" s="1"/>
      <c r="P36" s="1"/>
      <c r="Q36" s="1"/>
      <c r="R36" s="1"/>
      <c r="S36" s="1"/>
      <c r="T36" s="1"/>
      <c r="U36" s="1"/>
      <c r="V36" s="1"/>
      <c r="W36" s="1"/>
      <c r="X36" s="1"/>
      <c r="Y36" s="1"/>
    </row>
    <row r="37" spans="1:25" x14ac:dyDescent="0.3">
      <c r="A37" s="95"/>
      <c r="B37" s="1"/>
      <c r="C37" s="1"/>
      <c r="D37" s="1"/>
      <c r="E37" s="1"/>
      <c r="F37" s="1"/>
      <c r="G37" s="1"/>
      <c r="H37" s="1"/>
      <c r="I37" s="1"/>
      <c r="J37" s="1"/>
      <c r="K37" s="1"/>
      <c r="L37" s="1"/>
      <c r="M37" s="1"/>
      <c r="N37" s="1"/>
      <c r="O37" s="1"/>
      <c r="P37" s="1"/>
      <c r="Q37" s="1"/>
      <c r="R37" s="1"/>
      <c r="S37" s="1"/>
      <c r="T37" s="1"/>
      <c r="U37" s="1"/>
      <c r="V37" s="1"/>
      <c r="W37" s="1"/>
      <c r="X37" s="1"/>
      <c r="Y37" s="1"/>
    </row>
    <row r="38" spans="1:25" x14ac:dyDescent="0.3">
      <c r="A38" s="95"/>
      <c r="B38" s="1"/>
      <c r="C38" s="1"/>
      <c r="D38" s="1"/>
      <c r="E38" s="1"/>
      <c r="F38" s="1"/>
      <c r="G38" s="1"/>
      <c r="H38" s="1"/>
      <c r="I38" s="1"/>
      <c r="J38" s="1"/>
      <c r="K38" s="1"/>
      <c r="L38" s="1"/>
      <c r="M38" s="1"/>
      <c r="N38" s="1"/>
      <c r="O38" s="1"/>
      <c r="P38" s="1"/>
      <c r="Q38" s="1"/>
      <c r="R38" s="1"/>
      <c r="S38" s="1"/>
      <c r="T38" s="1"/>
      <c r="U38" s="1"/>
      <c r="V38" s="1"/>
      <c r="W38" s="1"/>
      <c r="X38" s="1"/>
      <c r="Y38" s="1"/>
    </row>
    <row r="39" spans="1:25" x14ac:dyDescent="0.3">
      <c r="A39" s="95"/>
      <c r="B39" s="1"/>
      <c r="C39" s="1"/>
      <c r="D39" s="1"/>
      <c r="E39" s="1"/>
      <c r="F39" s="1"/>
      <c r="G39" s="1"/>
      <c r="H39" s="1"/>
      <c r="I39" s="1"/>
      <c r="J39" s="1"/>
      <c r="K39" s="1"/>
      <c r="L39" s="1"/>
      <c r="M39" s="1"/>
      <c r="N39" s="1"/>
      <c r="O39" s="1"/>
      <c r="P39" s="1"/>
      <c r="Q39" s="1"/>
      <c r="R39" s="1"/>
      <c r="S39" s="1"/>
      <c r="T39" s="1"/>
      <c r="U39" s="1"/>
      <c r="V39" s="1"/>
      <c r="W39" s="1"/>
      <c r="X39" s="1"/>
      <c r="Y39" s="1"/>
    </row>
    <row r="40" spans="1:25" x14ac:dyDescent="0.3">
      <c r="A40" s="95"/>
      <c r="B40" s="1"/>
      <c r="C40" s="1"/>
      <c r="D40" s="1"/>
      <c r="E40" s="1"/>
      <c r="F40" s="1"/>
      <c r="G40" s="1"/>
      <c r="H40" s="1"/>
      <c r="I40" s="1"/>
      <c r="J40" s="1"/>
      <c r="K40" s="1"/>
      <c r="L40" s="1"/>
      <c r="M40" s="1"/>
      <c r="N40" s="1"/>
      <c r="O40" s="1"/>
      <c r="P40" s="1"/>
      <c r="Q40" s="1"/>
      <c r="R40" s="1"/>
      <c r="S40" s="1"/>
      <c r="T40" s="1"/>
      <c r="U40" s="1"/>
      <c r="V40" s="1"/>
      <c r="W40" s="1"/>
      <c r="X40" s="1"/>
      <c r="Y40" s="1"/>
    </row>
    <row r="41" spans="1:25" x14ac:dyDescent="0.3">
      <c r="A41" s="95"/>
      <c r="B41" s="1"/>
      <c r="C41" s="1"/>
      <c r="D41" s="1"/>
      <c r="E41" s="1"/>
      <c r="F41" s="1"/>
      <c r="G41" s="1"/>
      <c r="H41" s="1"/>
      <c r="I41" s="1"/>
      <c r="J41" s="1"/>
      <c r="K41" s="1"/>
      <c r="L41" s="1"/>
      <c r="M41" s="1"/>
      <c r="N41" s="1"/>
      <c r="O41" s="1"/>
      <c r="P41" s="1"/>
      <c r="Q41" s="1"/>
      <c r="R41" s="1"/>
      <c r="S41" s="1"/>
      <c r="T41" s="1"/>
      <c r="U41" s="1"/>
      <c r="V41" s="1"/>
      <c r="W41" s="1"/>
      <c r="X41" s="1"/>
      <c r="Y41" s="1"/>
    </row>
    <row r="42" spans="1:25" x14ac:dyDescent="0.3">
      <c r="A42" s="95"/>
      <c r="B42" s="1"/>
      <c r="C42" s="1"/>
      <c r="D42" s="1"/>
      <c r="E42" s="1"/>
      <c r="F42" s="1"/>
      <c r="G42" s="1"/>
      <c r="H42" s="1"/>
      <c r="I42" s="1"/>
      <c r="J42" s="1"/>
      <c r="K42" s="1"/>
      <c r="L42" s="1"/>
      <c r="M42" s="1"/>
      <c r="N42" s="1"/>
      <c r="O42" s="1"/>
      <c r="P42" s="1"/>
      <c r="Q42" s="1"/>
      <c r="R42" s="1"/>
      <c r="S42" s="1"/>
      <c r="T42" s="1"/>
      <c r="U42" s="1"/>
      <c r="V42" s="1"/>
      <c r="W42" s="1"/>
      <c r="X42" s="1"/>
      <c r="Y42" s="1"/>
    </row>
    <row r="43" spans="1:25" x14ac:dyDescent="0.3">
      <c r="A43" s="95"/>
      <c r="B43" s="1"/>
      <c r="C43" s="1"/>
      <c r="D43" s="1"/>
      <c r="E43" s="1"/>
      <c r="F43" s="1"/>
      <c r="G43" s="1"/>
      <c r="H43" s="1"/>
      <c r="I43" s="1"/>
      <c r="J43" s="1"/>
      <c r="K43" s="1"/>
      <c r="L43" s="1"/>
      <c r="M43" s="1"/>
      <c r="N43" s="1"/>
      <c r="O43" s="1"/>
      <c r="P43" s="1"/>
      <c r="Q43" s="1"/>
      <c r="R43" s="1"/>
      <c r="S43" s="1"/>
      <c r="T43" s="1"/>
      <c r="U43" s="1"/>
      <c r="V43" s="1"/>
      <c r="W43" s="1"/>
      <c r="X43" s="1"/>
      <c r="Y43" s="1"/>
    </row>
    <row r="44" spans="1:25" x14ac:dyDescent="0.3">
      <c r="A44" s="95"/>
      <c r="B44" s="1"/>
      <c r="C44" s="1"/>
      <c r="D44" s="1"/>
      <c r="E44" s="1"/>
      <c r="F44" s="1"/>
      <c r="G44" s="1"/>
      <c r="H44" s="1"/>
      <c r="I44" s="1"/>
      <c r="J44" s="1"/>
      <c r="K44" s="1"/>
      <c r="L44" s="1"/>
      <c r="M44" s="1"/>
      <c r="N44" s="1"/>
      <c r="O44" s="1"/>
      <c r="P44" s="1"/>
      <c r="Q44" s="1"/>
      <c r="R44" s="1"/>
      <c r="S44" s="1"/>
      <c r="T44" s="1"/>
      <c r="U44" s="1"/>
      <c r="V44" s="1"/>
      <c r="W44" s="1"/>
      <c r="X44" s="1"/>
      <c r="Y44" s="1"/>
    </row>
    <row r="45" spans="1:25" x14ac:dyDescent="0.3">
      <c r="A45" s="95"/>
      <c r="B45" s="1"/>
      <c r="C45" s="1"/>
      <c r="D45" s="1"/>
      <c r="E45" s="1"/>
      <c r="F45" s="1"/>
      <c r="G45" s="1"/>
      <c r="H45" s="1"/>
      <c r="I45" s="1"/>
      <c r="J45" s="1"/>
      <c r="K45" s="1"/>
      <c r="L45" s="1"/>
      <c r="M45" s="1"/>
      <c r="N45" s="1"/>
      <c r="O45" s="1"/>
      <c r="P45" s="1"/>
      <c r="Q45" s="1"/>
      <c r="R45" s="1"/>
      <c r="S45" s="1"/>
      <c r="T45" s="1"/>
      <c r="U45" s="1"/>
      <c r="V45" s="1"/>
      <c r="W45" s="1"/>
      <c r="X45" s="1"/>
      <c r="Y45" s="1"/>
    </row>
    <row r="46" spans="1:25" x14ac:dyDescent="0.3">
      <c r="A46" s="95"/>
      <c r="B46" s="1"/>
      <c r="C46" s="1"/>
      <c r="D46" s="1"/>
      <c r="E46" s="1"/>
      <c r="F46" s="1"/>
      <c r="G46" s="1"/>
      <c r="H46" s="1"/>
      <c r="I46" s="1"/>
      <c r="J46" s="1"/>
      <c r="K46" s="1"/>
      <c r="L46" s="1"/>
      <c r="M46" s="1"/>
      <c r="N46" s="1"/>
      <c r="O46" s="1"/>
      <c r="P46" s="1"/>
      <c r="Q46" s="1"/>
      <c r="R46" s="1"/>
      <c r="S46" s="1"/>
      <c r="T46" s="1"/>
      <c r="U46" s="1"/>
      <c r="V46" s="1"/>
      <c r="W46" s="1"/>
      <c r="X46" s="1"/>
      <c r="Y46" s="1"/>
    </row>
    <row r="47" spans="1:25" x14ac:dyDescent="0.3">
      <c r="A47" s="95"/>
      <c r="B47" s="1"/>
      <c r="C47" s="1"/>
      <c r="D47" s="1"/>
      <c r="E47" s="1"/>
      <c r="F47" s="1"/>
      <c r="G47" s="1"/>
      <c r="H47" s="1"/>
      <c r="I47" s="1"/>
      <c r="J47" s="1"/>
      <c r="K47" s="1"/>
      <c r="L47" s="1"/>
      <c r="M47" s="1"/>
      <c r="N47" s="1"/>
      <c r="O47" s="1"/>
      <c r="P47" s="1"/>
      <c r="Q47" s="1"/>
      <c r="R47" s="1"/>
      <c r="S47" s="1"/>
      <c r="T47" s="1"/>
      <c r="U47" s="1"/>
      <c r="V47" s="1"/>
      <c r="W47" s="1"/>
      <c r="X47" s="1"/>
      <c r="Y47" s="1"/>
    </row>
    <row r="48" spans="1:25" x14ac:dyDescent="0.3">
      <c r="A48" s="95"/>
      <c r="B48" s="1"/>
      <c r="C48" s="1"/>
      <c r="D48" s="1"/>
      <c r="E48" s="1"/>
      <c r="F48" s="1"/>
      <c r="G48" s="1"/>
      <c r="H48" s="1"/>
      <c r="I48" s="1"/>
      <c r="J48" s="1"/>
      <c r="K48" s="1"/>
      <c r="L48" s="1"/>
      <c r="M48" s="1"/>
      <c r="N48" s="1"/>
      <c r="O48" s="1"/>
      <c r="P48" s="1"/>
      <c r="Q48" s="1"/>
      <c r="R48" s="1"/>
      <c r="S48" s="1"/>
      <c r="T48" s="1"/>
      <c r="U48" s="1"/>
      <c r="V48" s="1"/>
      <c r="W48" s="1"/>
      <c r="X48" s="1"/>
      <c r="Y48" s="1"/>
    </row>
    <row r="49" spans="1:25" x14ac:dyDescent="0.3">
      <c r="A49" s="95"/>
      <c r="B49" s="1"/>
      <c r="C49" s="1"/>
      <c r="D49" s="1"/>
      <c r="E49" s="1"/>
      <c r="F49" s="1"/>
      <c r="G49" s="1"/>
      <c r="H49" s="1"/>
      <c r="I49" s="1"/>
      <c r="J49" s="1"/>
      <c r="K49" s="1"/>
      <c r="L49" s="1"/>
      <c r="M49" s="1"/>
      <c r="N49" s="1"/>
      <c r="O49" s="1"/>
      <c r="P49" s="1"/>
      <c r="Q49" s="1"/>
      <c r="R49" s="1"/>
      <c r="S49" s="1"/>
      <c r="T49" s="1"/>
      <c r="U49" s="1"/>
      <c r="V49" s="1"/>
      <c r="W49" s="1"/>
      <c r="X49" s="1"/>
      <c r="Y49" s="1"/>
    </row>
    <row r="50" spans="1:25" x14ac:dyDescent="0.3">
      <c r="A50" s="95"/>
      <c r="B50" s="1"/>
      <c r="C50" s="1"/>
      <c r="D50" s="1"/>
      <c r="E50" s="1"/>
      <c r="F50" s="1"/>
      <c r="G50" s="1"/>
      <c r="H50" s="1"/>
      <c r="I50" s="1"/>
      <c r="J50" s="1"/>
      <c r="K50" s="1"/>
      <c r="L50" s="1"/>
      <c r="M50" s="1"/>
      <c r="N50" s="1"/>
      <c r="O50" s="1"/>
      <c r="P50" s="1"/>
      <c r="Q50" s="1"/>
      <c r="R50" s="1"/>
      <c r="S50" s="1"/>
      <c r="T50" s="1"/>
      <c r="U50" s="1"/>
      <c r="V50" s="1"/>
      <c r="W50" s="1"/>
      <c r="X50" s="1"/>
      <c r="Y50" s="1"/>
    </row>
    <row r="51" spans="1:25" x14ac:dyDescent="0.3">
      <c r="A51" s="95"/>
      <c r="B51" s="1"/>
      <c r="C51" s="1"/>
      <c r="D51" s="1"/>
      <c r="E51" s="1"/>
      <c r="F51" s="1"/>
      <c r="G51" s="1"/>
      <c r="H51" s="1"/>
      <c r="I51" s="1"/>
      <c r="J51" s="1"/>
      <c r="K51" s="1"/>
      <c r="L51" s="1"/>
      <c r="M51" s="1"/>
      <c r="N51" s="1"/>
      <c r="O51" s="1"/>
      <c r="P51" s="1"/>
      <c r="Q51" s="1"/>
      <c r="R51" s="1"/>
      <c r="S51" s="1"/>
      <c r="T51" s="1"/>
      <c r="U51" s="1"/>
      <c r="V51" s="1"/>
      <c r="W51" s="1"/>
      <c r="X51" s="1"/>
      <c r="Y51" s="1"/>
    </row>
    <row r="52" spans="1:25" x14ac:dyDescent="0.3">
      <c r="A52" s="95"/>
      <c r="B52" s="1"/>
      <c r="C52" s="1"/>
      <c r="D52" s="1"/>
      <c r="E52" s="1"/>
      <c r="F52" s="1"/>
      <c r="G52" s="1"/>
      <c r="H52" s="1"/>
      <c r="I52" s="1"/>
      <c r="J52" s="1"/>
      <c r="K52" s="1"/>
      <c r="L52" s="1"/>
      <c r="M52" s="1"/>
      <c r="N52" s="1"/>
      <c r="O52" s="1"/>
      <c r="P52" s="1"/>
      <c r="Q52" s="1"/>
      <c r="R52" s="1"/>
      <c r="S52" s="1"/>
      <c r="T52" s="1"/>
      <c r="U52" s="1"/>
      <c r="V52" s="1"/>
      <c r="W52" s="1"/>
      <c r="X52" s="1"/>
      <c r="Y52" s="1"/>
    </row>
    <row r="53" spans="1:25" x14ac:dyDescent="0.3">
      <c r="A53" s="95"/>
      <c r="B53" s="1"/>
      <c r="C53" s="1"/>
      <c r="D53" s="1"/>
      <c r="E53" s="1"/>
      <c r="F53" s="1"/>
      <c r="G53" s="1"/>
      <c r="H53" s="1"/>
      <c r="I53" s="1"/>
      <c r="J53" s="1"/>
      <c r="K53" s="1"/>
      <c r="L53" s="1"/>
      <c r="M53" s="1"/>
      <c r="N53" s="1"/>
      <c r="O53" s="1"/>
      <c r="P53" s="1"/>
      <c r="Q53" s="1"/>
      <c r="R53" s="1"/>
      <c r="S53" s="1"/>
      <c r="T53" s="1"/>
      <c r="U53" s="1"/>
      <c r="V53" s="1"/>
      <c r="W53" s="1"/>
      <c r="X53" s="1"/>
      <c r="Y53" s="1"/>
    </row>
    <row r="54" spans="1:25" x14ac:dyDescent="0.3">
      <c r="A54" s="95"/>
      <c r="B54" s="1"/>
      <c r="C54" s="1"/>
      <c r="D54" s="1"/>
      <c r="E54" s="1"/>
      <c r="F54" s="1"/>
      <c r="G54" s="1"/>
      <c r="H54" s="1"/>
      <c r="I54" s="1"/>
      <c r="J54" s="1"/>
      <c r="K54" s="1"/>
      <c r="L54" s="1"/>
      <c r="M54" s="1"/>
      <c r="N54" s="1"/>
      <c r="O54" s="1"/>
      <c r="P54" s="1"/>
      <c r="Q54" s="1"/>
      <c r="R54" s="1"/>
      <c r="S54" s="1"/>
      <c r="T54" s="1"/>
      <c r="U54" s="1"/>
      <c r="V54" s="1"/>
      <c r="W54" s="1"/>
      <c r="X54" s="1"/>
      <c r="Y54" s="1"/>
    </row>
    <row r="55" spans="1:25" x14ac:dyDescent="0.3">
      <c r="A55" s="95"/>
      <c r="B55" s="1"/>
      <c r="C55" s="1"/>
      <c r="D55" s="1"/>
      <c r="E55" s="1"/>
      <c r="F55" s="1"/>
      <c r="G55" s="1"/>
      <c r="H55" s="1"/>
      <c r="I55" s="1"/>
      <c r="J55" s="1"/>
      <c r="K55" s="1"/>
      <c r="L55" s="1"/>
      <c r="M55" s="1"/>
      <c r="N55" s="1"/>
      <c r="O55" s="1"/>
      <c r="P55" s="1"/>
      <c r="Q55" s="1"/>
      <c r="R55" s="1"/>
      <c r="S55" s="1"/>
      <c r="T55" s="1"/>
      <c r="U55" s="1"/>
      <c r="V55" s="1"/>
      <c r="W55" s="1"/>
      <c r="X55" s="1"/>
      <c r="Y55" s="1"/>
    </row>
    <row r="56" spans="1:25" x14ac:dyDescent="0.3">
      <c r="A56" s="95"/>
      <c r="B56" s="1"/>
      <c r="C56" s="1"/>
      <c r="D56" s="1"/>
      <c r="E56" s="1"/>
      <c r="F56" s="1"/>
      <c r="G56" s="1"/>
      <c r="H56" s="1"/>
      <c r="I56" s="1"/>
      <c r="J56" s="1"/>
      <c r="K56" s="1"/>
      <c r="L56" s="1"/>
      <c r="M56" s="1"/>
      <c r="N56" s="1"/>
      <c r="O56" s="1"/>
      <c r="P56" s="1"/>
      <c r="Q56" s="1"/>
      <c r="R56" s="1"/>
      <c r="S56" s="1"/>
      <c r="T56" s="1"/>
      <c r="U56" s="1"/>
      <c r="V56" s="1"/>
      <c r="W56" s="1"/>
      <c r="X56" s="1"/>
      <c r="Y56" s="1"/>
    </row>
    <row r="57" spans="1:25" x14ac:dyDescent="0.3">
      <c r="A57" s="95"/>
      <c r="B57" s="1"/>
      <c r="C57" s="1"/>
      <c r="D57" s="1"/>
      <c r="E57" s="1"/>
      <c r="F57" s="1"/>
      <c r="G57" s="1"/>
      <c r="H57" s="1"/>
      <c r="I57" s="1"/>
      <c r="J57" s="1"/>
      <c r="K57" s="1"/>
      <c r="L57" s="1"/>
      <c r="M57" s="1"/>
      <c r="N57" s="1"/>
      <c r="O57" s="1"/>
      <c r="P57" s="1"/>
      <c r="Q57" s="1"/>
      <c r="R57" s="1"/>
      <c r="S57" s="1"/>
      <c r="T57" s="1"/>
      <c r="U57" s="1"/>
      <c r="V57" s="1"/>
      <c r="W57" s="1"/>
      <c r="X57" s="1"/>
      <c r="Y57" s="1"/>
    </row>
    <row r="58" spans="1:25" x14ac:dyDescent="0.3">
      <c r="A58" s="95"/>
      <c r="B58" s="1"/>
      <c r="C58" s="1"/>
      <c r="D58" s="1"/>
      <c r="E58" s="1"/>
      <c r="F58" s="1"/>
      <c r="G58" s="1"/>
      <c r="H58" s="1"/>
      <c r="I58" s="1"/>
      <c r="J58" s="1"/>
      <c r="K58" s="1"/>
      <c r="L58" s="1"/>
      <c r="M58" s="1"/>
      <c r="N58" s="1"/>
      <c r="O58" s="1"/>
      <c r="P58" s="1"/>
      <c r="Q58" s="1"/>
      <c r="R58" s="1"/>
      <c r="S58" s="1"/>
      <c r="T58" s="1"/>
      <c r="U58" s="1"/>
      <c r="V58" s="1"/>
      <c r="W58" s="1"/>
      <c r="X58" s="1"/>
      <c r="Y58" s="1"/>
    </row>
    <row r="59" spans="1:25" x14ac:dyDescent="0.3">
      <c r="A59" s="95"/>
      <c r="B59" s="1"/>
      <c r="C59" s="1"/>
      <c r="D59" s="1"/>
      <c r="E59" s="1"/>
      <c r="F59" s="1"/>
      <c r="G59" s="1"/>
      <c r="H59" s="1"/>
      <c r="I59" s="1"/>
      <c r="J59" s="1"/>
      <c r="K59" s="1"/>
      <c r="L59" s="1"/>
      <c r="M59" s="1"/>
      <c r="N59" s="1"/>
      <c r="O59" s="1"/>
      <c r="P59" s="1"/>
      <c r="Q59" s="1"/>
      <c r="R59" s="1"/>
      <c r="S59" s="1"/>
      <c r="T59" s="1"/>
      <c r="U59" s="1"/>
      <c r="V59" s="1"/>
      <c r="W59" s="1"/>
      <c r="X59" s="1"/>
      <c r="Y59" s="1"/>
    </row>
    <row r="60" spans="1:25" x14ac:dyDescent="0.3">
      <c r="A60" s="95"/>
      <c r="B60" s="1"/>
      <c r="C60" s="1"/>
      <c r="D60" s="1"/>
      <c r="E60" s="1"/>
      <c r="F60" s="1"/>
      <c r="G60" s="1"/>
      <c r="H60" s="1"/>
      <c r="I60" s="1"/>
      <c r="J60" s="1"/>
      <c r="K60" s="1"/>
      <c r="L60" s="1"/>
      <c r="M60" s="1"/>
      <c r="N60" s="1"/>
      <c r="O60" s="1"/>
      <c r="P60" s="1"/>
      <c r="Q60" s="1"/>
      <c r="R60" s="1"/>
      <c r="S60" s="1"/>
      <c r="T60" s="1"/>
      <c r="U60" s="1"/>
      <c r="V60" s="1"/>
      <c r="W60" s="1"/>
      <c r="X60" s="1"/>
      <c r="Y60" s="1"/>
    </row>
    <row r="61" spans="1:25" x14ac:dyDescent="0.3">
      <c r="A61" s="95"/>
      <c r="B61" s="1"/>
      <c r="C61" s="1"/>
      <c r="D61" s="1"/>
      <c r="E61" s="1"/>
      <c r="F61" s="1"/>
      <c r="G61" s="1"/>
      <c r="H61" s="1"/>
      <c r="I61" s="1"/>
      <c r="J61" s="1"/>
      <c r="K61" s="1"/>
      <c r="L61" s="1"/>
      <c r="M61" s="1"/>
      <c r="N61" s="1"/>
      <c r="O61" s="1"/>
      <c r="P61" s="1"/>
      <c r="Q61" s="1"/>
      <c r="R61" s="1"/>
      <c r="S61" s="1"/>
      <c r="T61" s="1"/>
      <c r="U61" s="1"/>
      <c r="V61" s="1"/>
      <c r="W61" s="1"/>
      <c r="X61" s="1"/>
      <c r="Y61" s="1"/>
    </row>
    <row r="62" spans="1:25" x14ac:dyDescent="0.3">
      <c r="A62" s="95"/>
      <c r="B62" s="1"/>
      <c r="C62" s="1"/>
      <c r="D62" s="1"/>
      <c r="E62" s="1"/>
      <c r="F62" s="1"/>
      <c r="G62" s="1"/>
      <c r="H62" s="1"/>
      <c r="I62" s="1"/>
      <c r="J62" s="1"/>
      <c r="K62" s="1"/>
      <c r="L62" s="1"/>
      <c r="M62" s="1"/>
      <c r="N62" s="1"/>
      <c r="O62" s="1"/>
      <c r="P62" s="1"/>
      <c r="Q62" s="1"/>
      <c r="R62" s="1"/>
      <c r="S62" s="1"/>
      <c r="T62" s="1"/>
      <c r="U62" s="1"/>
      <c r="V62" s="1"/>
      <c r="W62" s="1"/>
      <c r="X62" s="1"/>
      <c r="Y62" s="1"/>
    </row>
    <row r="63" spans="1:25" x14ac:dyDescent="0.3">
      <c r="A63" s="95"/>
      <c r="B63" s="1"/>
      <c r="C63" s="1"/>
      <c r="D63" s="1"/>
      <c r="E63" s="1"/>
      <c r="F63" s="1"/>
      <c r="G63" s="1"/>
      <c r="H63" s="1"/>
      <c r="I63" s="1"/>
      <c r="J63" s="1"/>
      <c r="K63" s="1"/>
      <c r="L63" s="1"/>
      <c r="M63" s="1"/>
      <c r="N63" s="1"/>
      <c r="O63" s="1"/>
      <c r="P63" s="1"/>
      <c r="Q63" s="1"/>
      <c r="R63" s="1"/>
      <c r="S63" s="1"/>
      <c r="T63" s="1"/>
      <c r="U63" s="1"/>
      <c r="V63" s="1"/>
      <c r="W63" s="1"/>
      <c r="X63" s="1"/>
      <c r="Y63" s="1"/>
    </row>
    <row r="64" spans="1:25" x14ac:dyDescent="0.3">
      <c r="A64" s="95"/>
      <c r="B64" s="1"/>
      <c r="C64" s="1"/>
      <c r="D64" s="1"/>
      <c r="E64" s="1"/>
      <c r="F64" s="1"/>
      <c r="G64" s="1"/>
      <c r="H64" s="1"/>
      <c r="I64" s="1"/>
      <c r="J64" s="1"/>
      <c r="K64" s="1"/>
      <c r="L64" s="1"/>
      <c r="M64" s="1"/>
      <c r="N64" s="1"/>
      <c r="O64" s="1"/>
      <c r="P64" s="1"/>
      <c r="Q64" s="1"/>
      <c r="R64" s="1"/>
      <c r="S64" s="1"/>
      <c r="T64" s="1"/>
      <c r="U64" s="1"/>
      <c r="V64" s="1"/>
      <c r="W64" s="1"/>
      <c r="X64" s="1"/>
      <c r="Y64" s="1"/>
    </row>
    <row r="65" spans="1:25" x14ac:dyDescent="0.3">
      <c r="A65" s="95"/>
      <c r="B65" s="1"/>
      <c r="C65" s="1"/>
      <c r="D65" s="1"/>
      <c r="E65" s="1"/>
      <c r="F65" s="1"/>
      <c r="G65" s="1"/>
      <c r="H65" s="1"/>
      <c r="I65" s="1"/>
      <c r="J65" s="1"/>
      <c r="K65" s="1"/>
      <c r="L65" s="1"/>
      <c r="M65" s="1"/>
      <c r="N65" s="1"/>
      <c r="O65" s="1"/>
      <c r="P65" s="1"/>
      <c r="Q65" s="1"/>
      <c r="R65" s="1"/>
      <c r="S65" s="1"/>
      <c r="T65" s="1"/>
      <c r="U65" s="1"/>
      <c r="V65" s="1"/>
      <c r="W65" s="1"/>
      <c r="X65" s="1"/>
      <c r="Y65" s="1"/>
    </row>
    <row r="66" spans="1:25" x14ac:dyDescent="0.3">
      <c r="A66" s="95"/>
      <c r="B66" s="1"/>
      <c r="C66" s="1"/>
      <c r="D66" s="1"/>
      <c r="E66" s="1"/>
      <c r="F66" s="1"/>
      <c r="G66" s="1"/>
      <c r="H66" s="1"/>
      <c r="I66" s="1"/>
      <c r="J66" s="1"/>
      <c r="K66" s="1"/>
      <c r="L66" s="1"/>
      <c r="M66" s="1"/>
      <c r="N66" s="1"/>
      <c r="O66" s="1"/>
      <c r="P66" s="1"/>
      <c r="Q66" s="1"/>
      <c r="R66" s="1"/>
      <c r="S66" s="1"/>
      <c r="T66" s="1"/>
      <c r="U66" s="1"/>
      <c r="V66" s="1"/>
      <c r="W66" s="1"/>
      <c r="X66" s="1"/>
      <c r="Y66" s="1"/>
    </row>
    <row r="67" spans="1:25" x14ac:dyDescent="0.3">
      <c r="A67" s="95"/>
      <c r="B67" s="1"/>
      <c r="C67" s="1"/>
      <c r="D67" s="1"/>
      <c r="E67" s="1"/>
      <c r="F67" s="1"/>
      <c r="G67" s="1"/>
      <c r="H67" s="1"/>
      <c r="I67" s="1"/>
      <c r="J67" s="1"/>
      <c r="K67" s="1"/>
      <c r="L67" s="1"/>
      <c r="M67" s="1"/>
      <c r="N67" s="1"/>
      <c r="O67" s="1"/>
      <c r="P67" s="1"/>
      <c r="Q67" s="1"/>
      <c r="R67" s="1"/>
      <c r="S67" s="1"/>
      <c r="T67" s="1"/>
      <c r="U67" s="1"/>
      <c r="V67" s="1"/>
      <c r="W67" s="1"/>
      <c r="X67" s="1"/>
      <c r="Y67" s="1"/>
    </row>
    <row r="68" spans="1:25" x14ac:dyDescent="0.3">
      <c r="A68" s="95"/>
      <c r="B68" s="1"/>
      <c r="C68" s="1"/>
      <c r="D68" s="1"/>
      <c r="E68" s="1"/>
      <c r="F68" s="1"/>
      <c r="G68" s="1"/>
      <c r="H68" s="1"/>
      <c r="I68" s="1"/>
      <c r="J68" s="1"/>
      <c r="K68" s="1"/>
      <c r="L68" s="1"/>
      <c r="M68" s="1"/>
      <c r="N68" s="1"/>
      <c r="O68" s="1"/>
      <c r="P68" s="1"/>
      <c r="Q68" s="1"/>
      <c r="R68" s="1"/>
      <c r="S68" s="1"/>
      <c r="T68" s="1"/>
      <c r="U68" s="1"/>
      <c r="V68" s="1"/>
      <c r="W68" s="1"/>
      <c r="X68" s="1"/>
      <c r="Y68" s="1"/>
    </row>
    <row r="69" spans="1:25" x14ac:dyDescent="0.3">
      <c r="A69" s="95"/>
      <c r="B69" s="1"/>
      <c r="C69" s="1"/>
      <c r="D69" s="1"/>
      <c r="E69" s="1"/>
      <c r="F69" s="1"/>
      <c r="G69" s="1"/>
      <c r="H69" s="1"/>
      <c r="I69" s="1"/>
      <c r="J69" s="1"/>
      <c r="K69" s="1"/>
      <c r="L69" s="1"/>
      <c r="M69" s="1"/>
      <c r="N69" s="1"/>
      <c r="O69" s="1"/>
      <c r="P69" s="1"/>
      <c r="Q69" s="1"/>
      <c r="R69" s="1"/>
      <c r="S69" s="1"/>
      <c r="T69" s="1"/>
      <c r="U69" s="1"/>
      <c r="V69" s="1"/>
      <c r="W69" s="1"/>
      <c r="X69" s="1"/>
      <c r="Y69" s="1"/>
    </row>
    <row r="70" spans="1:25" x14ac:dyDescent="0.3">
      <c r="A70" s="95"/>
      <c r="B70" s="1"/>
      <c r="C70" s="1"/>
      <c r="D70" s="1"/>
      <c r="E70" s="1"/>
      <c r="F70" s="1"/>
      <c r="G70" s="1"/>
      <c r="H70" s="1"/>
      <c r="I70" s="1"/>
      <c r="J70" s="1"/>
      <c r="K70" s="1"/>
      <c r="L70" s="1"/>
      <c r="M70" s="1"/>
      <c r="N70" s="1"/>
      <c r="O70" s="1"/>
      <c r="P70" s="1"/>
      <c r="Q70" s="1"/>
      <c r="R70" s="1"/>
      <c r="S70" s="1"/>
      <c r="T70" s="1"/>
      <c r="U70" s="1"/>
      <c r="V70" s="1"/>
      <c r="W70" s="1"/>
      <c r="X70" s="1"/>
      <c r="Y70" s="1"/>
    </row>
    <row r="71" spans="1:25" x14ac:dyDescent="0.3">
      <c r="A71" s="95"/>
      <c r="B71" s="1"/>
      <c r="C71" s="1"/>
      <c r="D71" s="1"/>
      <c r="E71" s="1"/>
      <c r="F71" s="1"/>
      <c r="G71" s="1"/>
      <c r="H71" s="1"/>
      <c r="I71" s="1"/>
      <c r="J71" s="1"/>
      <c r="K71" s="1"/>
      <c r="L71" s="1"/>
      <c r="M71" s="1"/>
      <c r="N71" s="1"/>
      <c r="O71" s="1"/>
      <c r="P71" s="1"/>
      <c r="Q71" s="1"/>
      <c r="R71" s="1"/>
      <c r="S71" s="1"/>
      <c r="T71" s="1"/>
      <c r="U71" s="1"/>
      <c r="V71" s="1"/>
      <c r="W71" s="1"/>
      <c r="X71" s="1"/>
      <c r="Y71" s="1"/>
    </row>
    <row r="72" spans="1:25" x14ac:dyDescent="0.3">
      <c r="A72" s="95"/>
      <c r="B72" s="1"/>
      <c r="C72" s="1"/>
      <c r="D72" s="1"/>
      <c r="E72" s="1"/>
      <c r="F72" s="1"/>
      <c r="G72" s="1"/>
      <c r="H72" s="1"/>
      <c r="I72" s="1"/>
      <c r="J72" s="1"/>
      <c r="K72" s="1"/>
      <c r="L72" s="1"/>
      <c r="M72" s="1"/>
      <c r="N72" s="1"/>
      <c r="O72" s="1"/>
      <c r="P72" s="1"/>
      <c r="Q72" s="1"/>
      <c r="R72" s="1"/>
      <c r="S72" s="1"/>
      <c r="T72" s="1"/>
      <c r="U72" s="1"/>
      <c r="V72" s="1"/>
      <c r="W72" s="1"/>
      <c r="X72" s="1"/>
      <c r="Y72" s="1"/>
    </row>
    <row r="73" spans="1:25" x14ac:dyDescent="0.3">
      <c r="A73" s="95"/>
      <c r="B73" s="1"/>
      <c r="C73" s="1"/>
      <c r="D73" s="1"/>
      <c r="E73" s="1"/>
      <c r="F73" s="1"/>
      <c r="G73" s="1"/>
      <c r="H73" s="1"/>
      <c r="I73" s="1"/>
      <c r="J73" s="1"/>
      <c r="K73" s="1"/>
      <c r="L73" s="1"/>
      <c r="M73" s="1"/>
      <c r="N73" s="1"/>
      <c r="O73" s="1"/>
      <c r="P73" s="1"/>
      <c r="Q73" s="1"/>
      <c r="R73" s="1"/>
      <c r="S73" s="1"/>
      <c r="T73" s="1"/>
      <c r="U73" s="1"/>
      <c r="V73" s="1"/>
      <c r="W73" s="1"/>
      <c r="X73" s="1"/>
      <c r="Y73" s="1"/>
    </row>
    <row r="74" spans="1:25" x14ac:dyDescent="0.3">
      <c r="A74" s="95"/>
      <c r="B74" s="1"/>
      <c r="C74" s="1"/>
      <c r="D74" s="1"/>
      <c r="E74" s="1"/>
      <c r="F74" s="1"/>
      <c r="G74" s="1"/>
      <c r="H74" s="1"/>
      <c r="I74" s="1"/>
      <c r="J74" s="1"/>
      <c r="K74" s="1"/>
      <c r="L74" s="1"/>
      <c r="M74" s="1"/>
      <c r="N74" s="1"/>
      <c r="O74" s="1"/>
      <c r="P74" s="1"/>
      <c r="Q74" s="1"/>
      <c r="R74" s="1"/>
      <c r="S74" s="1"/>
      <c r="T74" s="1"/>
      <c r="U74" s="1"/>
      <c r="V74" s="1"/>
      <c r="W74" s="1"/>
      <c r="X74" s="1"/>
      <c r="Y74" s="1"/>
    </row>
    <row r="75" spans="1:25" x14ac:dyDescent="0.3">
      <c r="A75" s="95"/>
      <c r="B75" s="1"/>
      <c r="C75" s="1"/>
      <c r="D75" s="1"/>
      <c r="E75" s="1"/>
      <c r="F75" s="1"/>
      <c r="G75" s="1"/>
      <c r="H75" s="1"/>
      <c r="I75" s="1"/>
      <c r="J75" s="1"/>
      <c r="K75" s="1"/>
      <c r="L75" s="1"/>
      <c r="M75" s="1"/>
      <c r="N75" s="1"/>
      <c r="O75" s="1"/>
      <c r="P75" s="1"/>
      <c r="Q75" s="1"/>
      <c r="R75" s="1"/>
      <c r="S75" s="1"/>
      <c r="T75" s="1"/>
      <c r="U75" s="1"/>
      <c r="V75" s="1"/>
      <c r="W75" s="1"/>
      <c r="X75" s="1"/>
      <c r="Y75" s="1"/>
    </row>
    <row r="76" spans="1:25" x14ac:dyDescent="0.3">
      <c r="A76" s="95"/>
      <c r="B76" s="1"/>
      <c r="C76" s="1"/>
      <c r="D76" s="1"/>
      <c r="E76" s="1"/>
      <c r="F76" s="1"/>
      <c r="G76" s="1"/>
      <c r="H76" s="1"/>
      <c r="I76" s="1"/>
      <c r="J76" s="1"/>
      <c r="K76" s="1"/>
      <c r="L76" s="1"/>
      <c r="M76" s="1"/>
      <c r="N76" s="1"/>
      <c r="O76" s="1"/>
      <c r="P76" s="1"/>
      <c r="Q76" s="1"/>
      <c r="R76" s="1"/>
      <c r="S76" s="1"/>
      <c r="T76" s="1"/>
      <c r="U76" s="1"/>
      <c r="V76" s="1"/>
      <c r="W76" s="1"/>
      <c r="X76" s="1"/>
      <c r="Y76" s="1"/>
    </row>
    <row r="77" spans="1:25" x14ac:dyDescent="0.3">
      <c r="A77" s="95"/>
      <c r="B77" s="1"/>
      <c r="C77" s="1"/>
      <c r="D77" s="1"/>
      <c r="E77" s="1"/>
      <c r="F77" s="1"/>
      <c r="G77" s="1"/>
      <c r="H77" s="1"/>
      <c r="I77" s="1"/>
      <c r="J77" s="1"/>
      <c r="K77" s="1"/>
      <c r="L77" s="1"/>
      <c r="M77" s="1"/>
      <c r="N77" s="1"/>
      <c r="O77" s="1"/>
      <c r="P77" s="1"/>
      <c r="Q77" s="1"/>
      <c r="R77" s="1"/>
      <c r="S77" s="1"/>
      <c r="T77" s="1"/>
      <c r="U77" s="1"/>
      <c r="V77" s="1"/>
      <c r="W77" s="1"/>
      <c r="X77" s="1"/>
      <c r="Y77" s="1"/>
    </row>
    <row r="78" spans="1:25" x14ac:dyDescent="0.3">
      <c r="A78" s="95"/>
      <c r="B78" s="1"/>
      <c r="C78" s="1"/>
      <c r="D78" s="1"/>
      <c r="E78" s="1"/>
      <c r="F78" s="1"/>
      <c r="G78" s="1"/>
      <c r="H78" s="1"/>
      <c r="I78" s="1"/>
      <c r="J78" s="1"/>
      <c r="K78" s="1"/>
      <c r="L78" s="1"/>
      <c r="M78" s="1"/>
      <c r="N78" s="1"/>
      <c r="O78" s="1"/>
      <c r="P78" s="1"/>
      <c r="Q78" s="1"/>
      <c r="R78" s="1"/>
      <c r="S78" s="1"/>
      <c r="T78" s="1"/>
      <c r="U78" s="1"/>
      <c r="V78" s="1"/>
      <c r="W78" s="1"/>
      <c r="X78" s="1"/>
      <c r="Y78" s="1"/>
    </row>
    <row r="79" spans="1:25" x14ac:dyDescent="0.3">
      <c r="A79" s="95"/>
      <c r="B79" s="1"/>
      <c r="C79" s="1"/>
      <c r="D79" s="1"/>
      <c r="E79" s="1"/>
      <c r="F79" s="1"/>
      <c r="G79" s="1"/>
      <c r="H79" s="1"/>
      <c r="I79" s="1"/>
      <c r="J79" s="1"/>
      <c r="K79" s="1"/>
      <c r="L79" s="1"/>
      <c r="M79" s="1"/>
      <c r="N79" s="1"/>
      <c r="O79" s="1"/>
      <c r="P79" s="1"/>
      <c r="Q79" s="1"/>
      <c r="R79" s="1"/>
      <c r="S79" s="1"/>
      <c r="T79" s="1"/>
      <c r="U79" s="1"/>
      <c r="V79" s="1"/>
      <c r="W79" s="1"/>
      <c r="X79" s="1"/>
      <c r="Y79" s="1"/>
    </row>
    <row r="80" spans="1:25" x14ac:dyDescent="0.3">
      <c r="A80" s="95"/>
      <c r="B80" s="1"/>
      <c r="C80" s="1"/>
      <c r="D80" s="1"/>
      <c r="E80" s="1"/>
      <c r="F80" s="1"/>
      <c r="G80" s="1"/>
      <c r="H80" s="1"/>
      <c r="I80" s="1"/>
      <c r="J80" s="1"/>
      <c r="K80" s="1"/>
      <c r="L80" s="1"/>
      <c r="M80" s="1"/>
      <c r="N80" s="1"/>
      <c r="O80" s="1"/>
      <c r="P80" s="1"/>
      <c r="Q80" s="1"/>
      <c r="R80" s="1"/>
      <c r="S80" s="1"/>
      <c r="T80" s="1"/>
      <c r="U80" s="1"/>
      <c r="V80" s="1"/>
      <c r="W80" s="1"/>
      <c r="X80" s="1"/>
      <c r="Y80" s="1"/>
    </row>
    <row r="81" spans="1:25" x14ac:dyDescent="0.3">
      <c r="A81" s="95"/>
      <c r="B81" s="1"/>
      <c r="C81" s="1"/>
      <c r="D81" s="1"/>
      <c r="E81" s="1"/>
      <c r="F81" s="1"/>
      <c r="G81" s="1"/>
      <c r="H81" s="1"/>
      <c r="I81" s="1"/>
      <c r="J81" s="1"/>
      <c r="K81" s="1"/>
      <c r="L81" s="1"/>
      <c r="M81" s="1"/>
      <c r="N81" s="1"/>
      <c r="O81" s="1"/>
      <c r="P81" s="1"/>
      <c r="Q81" s="1"/>
      <c r="R81" s="1"/>
      <c r="S81" s="1"/>
      <c r="T81" s="1"/>
      <c r="U81" s="1"/>
      <c r="V81" s="1"/>
      <c r="W81" s="1"/>
      <c r="X81" s="1"/>
      <c r="Y81" s="1"/>
    </row>
    <row r="82" spans="1:25" x14ac:dyDescent="0.3">
      <c r="A82" s="95"/>
      <c r="B82" s="1"/>
      <c r="C82" s="1"/>
      <c r="D82" s="1"/>
      <c r="E82" s="1"/>
      <c r="F82" s="1"/>
      <c r="G82" s="1"/>
      <c r="H82" s="1"/>
      <c r="I82" s="1"/>
      <c r="J82" s="1"/>
      <c r="K82" s="1"/>
      <c r="L82" s="1"/>
      <c r="M82" s="1"/>
      <c r="N82" s="1"/>
      <c r="O82" s="1"/>
      <c r="P82" s="1"/>
      <c r="Q82" s="1"/>
      <c r="R82" s="1"/>
      <c r="S82" s="1"/>
      <c r="T82" s="1"/>
      <c r="U82" s="1"/>
      <c r="V82" s="1"/>
      <c r="W82" s="1"/>
      <c r="X82" s="1"/>
      <c r="Y82" s="1"/>
    </row>
    <row r="83" spans="1:25" x14ac:dyDescent="0.3">
      <c r="A83" s="95"/>
      <c r="B83" s="1"/>
      <c r="C83" s="1"/>
      <c r="D83" s="1"/>
      <c r="E83" s="1"/>
      <c r="F83" s="1"/>
      <c r="G83" s="1"/>
      <c r="H83" s="1"/>
      <c r="I83" s="1"/>
      <c r="J83" s="1"/>
      <c r="K83" s="1"/>
      <c r="L83" s="1"/>
      <c r="M83" s="1"/>
      <c r="N83" s="1"/>
      <c r="O83" s="1"/>
      <c r="P83" s="1"/>
      <c r="Q83" s="1"/>
      <c r="R83" s="1"/>
      <c r="S83" s="1"/>
      <c r="T83" s="1"/>
      <c r="U83" s="1"/>
      <c r="V83" s="1"/>
      <c r="W83" s="1"/>
      <c r="X83" s="1"/>
      <c r="Y83" s="1"/>
    </row>
    <row r="84" spans="1:25" x14ac:dyDescent="0.3">
      <c r="A84" s="95"/>
      <c r="B84" s="1"/>
      <c r="C84" s="1"/>
      <c r="D84" s="1"/>
      <c r="E84" s="1"/>
      <c r="F84" s="1"/>
      <c r="G84" s="1"/>
      <c r="H84" s="1"/>
      <c r="I84" s="1"/>
      <c r="J84" s="1"/>
      <c r="K84" s="1"/>
      <c r="L84" s="1"/>
      <c r="M84" s="1"/>
      <c r="N84" s="1"/>
      <c r="O84" s="1"/>
      <c r="P84" s="1"/>
      <c r="Q84" s="1"/>
      <c r="R84" s="1"/>
      <c r="S84" s="1"/>
      <c r="T84" s="1"/>
      <c r="U84" s="1"/>
      <c r="V84" s="1"/>
      <c r="W84" s="1"/>
      <c r="X84" s="1"/>
      <c r="Y84" s="1"/>
    </row>
    <row r="85" spans="1:25" x14ac:dyDescent="0.3">
      <c r="A85" s="95"/>
      <c r="B85" s="1"/>
      <c r="C85" s="1"/>
      <c r="D85" s="1"/>
      <c r="E85" s="1"/>
      <c r="F85" s="1"/>
      <c r="G85" s="1"/>
      <c r="H85" s="1"/>
      <c r="I85" s="1"/>
      <c r="J85" s="1"/>
      <c r="K85" s="1"/>
      <c r="L85" s="1"/>
      <c r="M85" s="1"/>
      <c r="N85" s="1"/>
      <c r="O85" s="1"/>
      <c r="P85" s="1"/>
      <c r="Q85" s="1"/>
      <c r="R85" s="1"/>
      <c r="S85" s="1"/>
      <c r="T85" s="1"/>
      <c r="U85" s="1"/>
      <c r="V85" s="1"/>
      <c r="W85" s="1"/>
      <c r="X85" s="1"/>
      <c r="Y85" s="1"/>
    </row>
    <row r="86" spans="1:25" x14ac:dyDescent="0.3">
      <c r="A86" s="95"/>
      <c r="B86" s="1"/>
      <c r="C86" s="1"/>
      <c r="D86" s="1"/>
      <c r="E86" s="1"/>
      <c r="F86" s="1"/>
      <c r="G86" s="1"/>
      <c r="H86" s="1"/>
      <c r="I86" s="1"/>
      <c r="J86" s="1"/>
      <c r="K86" s="1"/>
      <c r="L86" s="1"/>
      <c r="M86" s="1"/>
      <c r="N86" s="1"/>
      <c r="O86" s="1"/>
      <c r="P86" s="1"/>
      <c r="Q86" s="1"/>
      <c r="R86" s="1"/>
      <c r="S86" s="1"/>
      <c r="T86" s="1"/>
      <c r="U86" s="1"/>
      <c r="V86" s="1"/>
      <c r="W86" s="1"/>
      <c r="X86" s="1"/>
      <c r="Y86" s="1"/>
    </row>
    <row r="87" spans="1:25" x14ac:dyDescent="0.3">
      <c r="A87" s="95"/>
      <c r="B87" s="1"/>
      <c r="C87" s="1"/>
      <c r="D87" s="1"/>
      <c r="E87" s="1"/>
      <c r="F87" s="1"/>
      <c r="G87" s="1"/>
      <c r="H87" s="1"/>
      <c r="I87" s="1"/>
      <c r="J87" s="1"/>
      <c r="K87" s="1"/>
      <c r="L87" s="1"/>
      <c r="M87" s="1"/>
      <c r="N87" s="1"/>
      <c r="O87" s="1"/>
      <c r="P87" s="1"/>
      <c r="Q87" s="1"/>
      <c r="R87" s="1"/>
      <c r="S87" s="1"/>
      <c r="T87" s="1"/>
      <c r="U87" s="1"/>
      <c r="V87" s="1"/>
      <c r="W87" s="1"/>
      <c r="X87" s="1"/>
      <c r="Y87" s="1"/>
    </row>
    <row r="88" spans="1:25" x14ac:dyDescent="0.3">
      <c r="A88" s="95"/>
      <c r="B88" s="1"/>
      <c r="C88" s="1"/>
      <c r="D88" s="1"/>
      <c r="E88" s="1"/>
      <c r="F88" s="1"/>
      <c r="G88" s="1"/>
      <c r="H88" s="1"/>
      <c r="I88" s="1"/>
      <c r="J88" s="1"/>
      <c r="K88" s="1"/>
      <c r="L88" s="1"/>
      <c r="M88" s="1"/>
      <c r="N88" s="1"/>
      <c r="O88" s="1"/>
      <c r="P88" s="1"/>
      <c r="Q88" s="1"/>
      <c r="R88" s="1"/>
      <c r="S88" s="1"/>
      <c r="T88" s="1"/>
      <c r="U88" s="1"/>
      <c r="V88" s="1"/>
      <c r="W88" s="1"/>
      <c r="X88" s="1"/>
      <c r="Y88" s="1"/>
    </row>
    <row r="89" spans="1:25" x14ac:dyDescent="0.3">
      <c r="A89" s="95"/>
      <c r="B89" s="1"/>
      <c r="C89" s="1"/>
      <c r="D89" s="1"/>
      <c r="E89" s="1"/>
      <c r="F89" s="1"/>
      <c r="G89" s="1"/>
      <c r="H89" s="1"/>
      <c r="I89" s="1"/>
      <c r="J89" s="1"/>
      <c r="K89" s="1"/>
      <c r="L89" s="1"/>
      <c r="M89" s="1"/>
      <c r="N89" s="1"/>
      <c r="O89" s="1"/>
      <c r="P89" s="1"/>
      <c r="Q89" s="1"/>
      <c r="R89" s="1"/>
      <c r="S89" s="1"/>
      <c r="T89" s="1"/>
      <c r="U89" s="1"/>
      <c r="V89" s="1"/>
      <c r="W89" s="1"/>
      <c r="X89" s="1"/>
      <c r="Y89" s="1"/>
    </row>
    <row r="90" spans="1:25" x14ac:dyDescent="0.3">
      <c r="A90" s="95"/>
      <c r="B90" s="1"/>
      <c r="C90" s="1"/>
      <c r="D90" s="1"/>
      <c r="E90" s="1"/>
      <c r="F90" s="1"/>
      <c r="G90" s="1"/>
      <c r="H90" s="1"/>
      <c r="I90" s="1"/>
      <c r="J90" s="1"/>
      <c r="K90" s="1"/>
      <c r="L90" s="1"/>
      <c r="M90" s="1"/>
      <c r="N90" s="1"/>
      <c r="O90" s="1"/>
      <c r="P90" s="1"/>
      <c r="Q90" s="1"/>
      <c r="R90" s="1"/>
      <c r="S90" s="1"/>
      <c r="T90" s="1"/>
      <c r="U90" s="1"/>
      <c r="V90" s="1"/>
      <c r="W90" s="1"/>
      <c r="X90" s="1"/>
      <c r="Y90" s="1"/>
    </row>
    <row r="91" spans="1:25" x14ac:dyDescent="0.3">
      <c r="A91" s="95"/>
      <c r="B91" s="1"/>
      <c r="C91" s="1"/>
      <c r="D91" s="1"/>
      <c r="E91" s="1"/>
      <c r="F91" s="1"/>
      <c r="G91" s="1"/>
      <c r="H91" s="1"/>
      <c r="I91" s="1"/>
      <c r="J91" s="1"/>
      <c r="K91" s="1"/>
      <c r="L91" s="1"/>
      <c r="M91" s="1"/>
      <c r="N91" s="1"/>
      <c r="O91" s="1"/>
      <c r="P91" s="1"/>
      <c r="Q91" s="1"/>
      <c r="R91" s="1"/>
      <c r="S91" s="1"/>
      <c r="T91" s="1"/>
      <c r="U91" s="1"/>
      <c r="V91" s="1"/>
      <c r="W91" s="1"/>
      <c r="X91" s="1"/>
      <c r="Y91" s="1"/>
    </row>
    <row r="92" spans="1:25" x14ac:dyDescent="0.3">
      <c r="A92" s="95"/>
      <c r="B92" s="1"/>
      <c r="C92" s="1"/>
      <c r="D92" s="1"/>
      <c r="E92" s="1"/>
      <c r="F92" s="1"/>
      <c r="G92" s="1"/>
      <c r="H92" s="1"/>
      <c r="I92" s="1"/>
      <c r="J92" s="1"/>
      <c r="K92" s="1"/>
      <c r="L92" s="1"/>
      <c r="M92" s="1"/>
      <c r="N92" s="1"/>
      <c r="O92" s="1"/>
      <c r="P92" s="1"/>
      <c r="Q92" s="1"/>
      <c r="R92" s="1"/>
      <c r="S92" s="1"/>
      <c r="T92" s="1"/>
      <c r="U92" s="1"/>
      <c r="V92" s="1"/>
      <c r="W92" s="1"/>
      <c r="X92" s="1"/>
      <c r="Y92" s="1"/>
    </row>
    <row r="93" spans="1:25" x14ac:dyDescent="0.3">
      <c r="A93" s="95"/>
      <c r="B93" s="1"/>
      <c r="C93" s="1"/>
      <c r="D93" s="1"/>
      <c r="E93" s="1"/>
      <c r="F93" s="1"/>
      <c r="G93" s="1"/>
      <c r="H93" s="1"/>
      <c r="I93" s="1"/>
      <c r="J93" s="1"/>
      <c r="K93" s="1"/>
      <c r="L93" s="1"/>
      <c r="M93" s="1"/>
      <c r="N93" s="1"/>
      <c r="O93" s="1"/>
      <c r="P93" s="1"/>
      <c r="Q93" s="1"/>
      <c r="R93" s="1"/>
      <c r="S93" s="1"/>
      <c r="T93" s="1"/>
      <c r="U93" s="1"/>
      <c r="V93" s="1"/>
      <c r="W93" s="1"/>
      <c r="X93" s="1"/>
      <c r="Y93" s="1"/>
    </row>
    <row r="94" spans="1:25" x14ac:dyDescent="0.3">
      <c r="A94" s="95"/>
      <c r="B94" s="1"/>
      <c r="C94" s="1"/>
      <c r="D94" s="1"/>
      <c r="E94" s="1"/>
      <c r="F94" s="1"/>
      <c r="G94" s="1"/>
      <c r="H94" s="1"/>
      <c r="I94" s="1"/>
      <c r="J94" s="1"/>
      <c r="K94" s="1"/>
      <c r="L94" s="1"/>
      <c r="M94" s="1"/>
      <c r="N94" s="1"/>
      <c r="O94" s="1"/>
      <c r="P94" s="1"/>
      <c r="Q94" s="1"/>
      <c r="R94" s="1"/>
      <c r="S94" s="1"/>
      <c r="T94" s="1"/>
      <c r="U94" s="1"/>
      <c r="V94" s="1"/>
      <c r="W94" s="1"/>
      <c r="X94" s="1"/>
      <c r="Y94" s="1"/>
    </row>
    <row r="95" spans="1:25" x14ac:dyDescent="0.3">
      <c r="A95" s="95"/>
      <c r="B95" s="1"/>
      <c r="C95" s="1"/>
      <c r="D95" s="1"/>
      <c r="E95" s="1"/>
      <c r="F95" s="1"/>
      <c r="G95" s="1"/>
      <c r="H95" s="1"/>
      <c r="I95" s="1"/>
      <c r="J95" s="1"/>
      <c r="K95" s="1"/>
      <c r="L95" s="1"/>
      <c r="M95" s="1"/>
      <c r="N95" s="1"/>
      <c r="O95" s="1"/>
      <c r="P95" s="1"/>
      <c r="Q95" s="1"/>
      <c r="R95" s="1"/>
      <c r="S95" s="1"/>
      <c r="T95" s="1"/>
      <c r="U95" s="1"/>
      <c r="V95" s="1"/>
      <c r="W95" s="1"/>
      <c r="X95" s="1"/>
      <c r="Y95" s="1"/>
    </row>
    <row r="96" spans="1:25" x14ac:dyDescent="0.3">
      <c r="A96" s="95"/>
      <c r="B96" s="1"/>
      <c r="C96" s="1"/>
      <c r="D96" s="1"/>
      <c r="E96" s="1"/>
      <c r="F96" s="1"/>
      <c r="G96" s="1"/>
      <c r="H96" s="1"/>
      <c r="I96" s="1"/>
      <c r="J96" s="1"/>
      <c r="K96" s="1"/>
      <c r="L96" s="1"/>
      <c r="M96" s="1"/>
      <c r="N96" s="1"/>
      <c r="O96" s="1"/>
      <c r="P96" s="1"/>
      <c r="Q96" s="1"/>
      <c r="R96" s="1"/>
      <c r="S96" s="1"/>
      <c r="T96" s="1"/>
      <c r="U96" s="1"/>
      <c r="V96" s="1"/>
      <c r="W96" s="1"/>
      <c r="X96" s="1"/>
      <c r="Y96" s="1"/>
    </row>
    <row r="97" spans="1:25" x14ac:dyDescent="0.3">
      <c r="A97" s="95"/>
      <c r="B97" s="1"/>
      <c r="C97" s="1"/>
      <c r="D97" s="1"/>
      <c r="E97" s="1"/>
      <c r="F97" s="1"/>
      <c r="G97" s="1"/>
      <c r="H97" s="1"/>
      <c r="I97" s="1"/>
      <c r="J97" s="1"/>
      <c r="K97" s="1"/>
      <c r="L97" s="1"/>
      <c r="M97" s="1"/>
      <c r="N97" s="1"/>
      <c r="O97" s="1"/>
      <c r="P97" s="1"/>
      <c r="Q97" s="1"/>
      <c r="R97" s="1"/>
      <c r="S97" s="1"/>
      <c r="T97" s="1"/>
      <c r="U97" s="1"/>
      <c r="V97" s="1"/>
      <c r="W97" s="1"/>
      <c r="X97" s="1"/>
      <c r="Y97" s="1"/>
    </row>
    <row r="98" spans="1:25" x14ac:dyDescent="0.3">
      <c r="A98" s="95"/>
      <c r="B98" s="1"/>
      <c r="C98" s="1"/>
      <c r="D98" s="1"/>
      <c r="E98" s="1"/>
      <c r="F98" s="1"/>
      <c r="G98" s="1"/>
      <c r="H98" s="1"/>
      <c r="I98" s="1"/>
      <c r="J98" s="1"/>
      <c r="K98" s="1"/>
      <c r="L98" s="1"/>
      <c r="M98" s="1"/>
      <c r="N98" s="1"/>
      <c r="O98" s="1"/>
      <c r="P98" s="1"/>
      <c r="Q98" s="1"/>
      <c r="R98" s="1"/>
      <c r="S98" s="1"/>
      <c r="T98" s="1"/>
      <c r="U98" s="1"/>
      <c r="V98" s="1"/>
      <c r="W98" s="1"/>
      <c r="X98" s="1"/>
      <c r="Y98" s="1"/>
    </row>
  </sheetData>
  <sheetProtection algorithmName="SHA-512" hashValue="RF2uW9RCh5rdknVyjLmHA7rHf8X+3vonVpaju/uOCfyjCQzBAk0CzesUNCljm0nHml8oeYR1/+RQDPkHLrFEyA==" saltValue="ji6sLEY7L+2SoOz8iUV2WQ==" spinCount="100000" sheet="1" objects="1" scenarios="1"/>
  <mergeCells count="3">
    <mergeCell ref="G10:M10"/>
    <mergeCell ref="A12:F12"/>
    <mergeCell ref="A13:F13"/>
  </mergeCells>
  <printOptions horizontalCentered="1"/>
  <pageMargins left="0.25" right="0.25" top="0.75" bottom="0.75" header="0.3" footer="0.3"/>
  <pageSetup scale="45" orientation="landscape" r:id="rId1"/>
  <headerFooter>
    <oddFooter>&amp;C&amp;"Century Gothic,Regular"&amp;9Page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9655A-C235-48A9-AB2C-BE9055062124}">
  <sheetPr codeName="Sheet27">
    <pageSetUpPr fitToPage="1"/>
  </sheetPr>
  <dimension ref="A1:Y92"/>
  <sheetViews>
    <sheetView zoomScale="130" zoomScaleNormal="130" zoomScaleSheetLayoutView="130" workbookViewId="0">
      <pane ySplit="3" topLeftCell="A4" activePane="bottomLeft" state="frozen"/>
      <selection activeCell="A7" sqref="A7"/>
      <selection pane="bottomLeft" activeCell="A4" sqref="A4"/>
    </sheetView>
  </sheetViews>
  <sheetFormatPr baseColWidth="10" defaultColWidth="9.140625" defaultRowHeight="13.5" x14ac:dyDescent="0.3"/>
  <cols>
    <col min="1" max="1" width="45.7109375" style="99" customWidth="1"/>
    <col min="2" max="6" width="13.7109375" style="7" customWidth="1"/>
    <col min="7" max="16384" width="9.140625" style="7"/>
  </cols>
  <sheetData>
    <row r="1" spans="1:25" ht="20.45" customHeight="1" x14ac:dyDescent="0.3">
      <c r="A1" s="89" t="s">
        <v>791</v>
      </c>
      <c r="B1" s="2"/>
      <c r="C1" s="2"/>
      <c r="D1" s="2"/>
      <c r="E1" s="2"/>
      <c r="F1" s="3"/>
      <c r="G1" s="1"/>
      <c r="H1" s="1"/>
      <c r="I1" s="1"/>
      <c r="J1" s="1"/>
      <c r="K1" s="1"/>
      <c r="L1" s="1"/>
      <c r="M1" s="1"/>
      <c r="N1" s="1"/>
      <c r="O1" s="1"/>
      <c r="P1" s="1"/>
      <c r="Q1" s="1"/>
      <c r="R1" s="1"/>
      <c r="S1" s="1"/>
      <c r="T1" s="1"/>
      <c r="U1" s="1"/>
      <c r="V1" s="1"/>
      <c r="W1" s="1"/>
      <c r="X1" s="1"/>
      <c r="Y1" s="1"/>
    </row>
    <row r="2" spans="1:25" ht="13.5" customHeight="1" x14ac:dyDescent="0.3">
      <c r="A2" s="100" t="s">
        <v>0</v>
      </c>
      <c r="B2" s="10"/>
      <c r="C2" s="10"/>
      <c r="D2" s="10"/>
      <c r="E2" s="35"/>
      <c r="F2" s="36"/>
      <c r="G2" s="1"/>
      <c r="H2" s="1"/>
      <c r="I2" s="1"/>
      <c r="J2" s="1"/>
      <c r="K2" s="1"/>
      <c r="L2" s="1"/>
      <c r="M2" s="1"/>
      <c r="N2" s="1"/>
      <c r="O2" s="1"/>
      <c r="P2" s="1"/>
      <c r="Q2" s="1"/>
      <c r="R2" s="1"/>
      <c r="S2" s="1"/>
      <c r="T2" s="1"/>
      <c r="U2" s="1"/>
      <c r="V2" s="1"/>
      <c r="W2" s="1"/>
      <c r="X2" s="1"/>
      <c r="Y2" s="1"/>
    </row>
    <row r="3" spans="1:25" x14ac:dyDescent="0.3">
      <c r="A3" s="91"/>
      <c r="B3" s="584">
        <v>2018</v>
      </c>
      <c r="C3" s="584">
        <v>2019</v>
      </c>
      <c r="D3" s="584">
        <v>2020</v>
      </c>
      <c r="E3" s="584">
        <v>2021</v>
      </c>
      <c r="F3" s="585">
        <v>2022</v>
      </c>
      <c r="G3" s="1"/>
      <c r="H3" s="1"/>
      <c r="I3" s="1"/>
      <c r="J3" s="1"/>
      <c r="K3" s="1"/>
      <c r="L3" s="1"/>
      <c r="M3" s="1"/>
      <c r="N3" s="1"/>
      <c r="O3" s="1"/>
      <c r="P3" s="1"/>
      <c r="Q3" s="1"/>
      <c r="R3" s="1"/>
      <c r="S3" s="1"/>
      <c r="T3" s="1"/>
      <c r="U3" s="1"/>
      <c r="V3" s="1"/>
      <c r="W3" s="1"/>
      <c r="X3" s="1"/>
      <c r="Y3" s="1"/>
    </row>
    <row r="4" spans="1:25" ht="15.75" customHeight="1" x14ac:dyDescent="0.3">
      <c r="A4" s="101" t="s">
        <v>704</v>
      </c>
      <c r="B4" s="613"/>
      <c r="C4" s="613"/>
      <c r="D4" s="613"/>
      <c r="E4" s="613"/>
      <c r="F4" s="614"/>
      <c r="G4" s="1"/>
      <c r="H4" s="1"/>
      <c r="I4" s="1"/>
      <c r="J4" s="1"/>
      <c r="K4" s="1"/>
      <c r="L4" s="1"/>
      <c r="M4" s="1"/>
      <c r="N4" s="1"/>
      <c r="O4" s="1"/>
      <c r="P4" s="1"/>
      <c r="Q4" s="1"/>
      <c r="R4" s="1"/>
      <c r="S4" s="1"/>
      <c r="T4" s="1"/>
      <c r="U4" s="1"/>
      <c r="V4" s="1"/>
      <c r="W4" s="1"/>
      <c r="X4" s="1"/>
      <c r="Y4" s="1"/>
    </row>
    <row r="5" spans="1:25" ht="13.5" customHeight="1" x14ac:dyDescent="0.3">
      <c r="A5" s="105" t="s">
        <v>7</v>
      </c>
      <c r="B5" s="615">
        <f>3201+59.9</f>
        <v>3260.9</v>
      </c>
      <c r="C5" s="615">
        <f>3552+61.3</f>
        <v>3613.3</v>
      </c>
      <c r="D5" s="615">
        <f>2923.49400424091+56.5</f>
        <v>2979.9940042409098</v>
      </c>
      <c r="E5" s="616">
        <v>3350</v>
      </c>
      <c r="F5" s="617">
        <v>4077.0017350009998</v>
      </c>
      <c r="G5" s="1"/>
      <c r="H5" s="1"/>
      <c r="I5" s="1"/>
      <c r="J5" s="1"/>
      <c r="K5" s="1"/>
      <c r="L5" s="1"/>
      <c r="M5" s="1"/>
      <c r="N5" s="1"/>
      <c r="O5" s="1"/>
      <c r="P5" s="1"/>
      <c r="Q5" s="1"/>
      <c r="R5" s="1"/>
      <c r="S5" s="1"/>
      <c r="T5" s="1"/>
      <c r="U5" s="1"/>
      <c r="V5" s="1"/>
      <c r="W5" s="1"/>
      <c r="X5" s="1"/>
      <c r="Y5" s="1"/>
    </row>
    <row r="6" spans="1:25" ht="13.5" customHeight="1" x14ac:dyDescent="0.3">
      <c r="A6" s="105" t="s">
        <v>8</v>
      </c>
      <c r="B6" s="772">
        <f>5115+196.5</f>
        <v>5311.5</v>
      </c>
      <c r="C6" s="772">
        <f>5437+206.2</f>
        <v>5643.2</v>
      </c>
      <c r="D6" s="772">
        <f>4590.2961765462+213.3</f>
        <v>4803.5961765461998</v>
      </c>
      <c r="E6" s="772">
        <v>5489</v>
      </c>
      <c r="F6" s="773">
        <v>8218.4797863900003</v>
      </c>
      <c r="G6" s="1"/>
      <c r="H6" s="1"/>
      <c r="I6" s="1"/>
      <c r="J6" s="1"/>
      <c r="K6" s="1"/>
      <c r="L6" s="1"/>
      <c r="M6" s="1"/>
      <c r="N6" s="1"/>
      <c r="O6" s="1"/>
      <c r="P6" s="1"/>
      <c r="Q6" s="1"/>
      <c r="R6" s="1"/>
      <c r="S6" s="1"/>
      <c r="T6" s="1"/>
      <c r="U6" s="1"/>
      <c r="V6" s="1"/>
      <c r="W6" s="1"/>
      <c r="X6" s="1"/>
      <c r="Y6" s="1"/>
    </row>
    <row r="7" spans="1:25" ht="13.5" customHeight="1" x14ac:dyDescent="0.3">
      <c r="A7" s="51" t="s">
        <v>9</v>
      </c>
      <c r="B7" s="772">
        <f>1288+1723.4</f>
        <v>3011.4</v>
      </c>
      <c r="C7" s="772">
        <f>1566+1289.6</f>
        <v>2855.6</v>
      </c>
      <c r="D7" s="772">
        <f>1197.61466614596+1372.3</f>
        <v>2569.9146661459599</v>
      </c>
      <c r="E7" s="772">
        <v>2969</v>
      </c>
      <c r="F7" s="773">
        <v>2988.2230656407</v>
      </c>
      <c r="G7" s="1"/>
      <c r="H7" s="1"/>
      <c r="I7" s="1"/>
      <c r="J7" s="1"/>
      <c r="K7" s="1"/>
      <c r="L7" s="1"/>
      <c r="M7" s="1"/>
      <c r="N7" s="1"/>
      <c r="O7" s="1"/>
      <c r="P7" s="1"/>
      <c r="Q7" s="1"/>
      <c r="R7" s="1"/>
      <c r="S7" s="1"/>
      <c r="T7" s="1"/>
      <c r="U7" s="1"/>
      <c r="V7" s="1"/>
      <c r="W7" s="1"/>
      <c r="X7" s="1"/>
      <c r="Y7" s="1"/>
    </row>
    <row r="8" spans="1:25" ht="13.5" customHeight="1" x14ac:dyDescent="0.3">
      <c r="A8" s="561" t="s">
        <v>10</v>
      </c>
      <c r="B8" s="190">
        <f>B5+B6+B7</f>
        <v>11583.8</v>
      </c>
      <c r="C8" s="190">
        <f>C5+C6+C7</f>
        <v>12112.1</v>
      </c>
      <c r="D8" s="190">
        <f>D5+D6+D7</f>
        <v>10353.504846933069</v>
      </c>
      <c r="E8" s="190">
        <v>11808</v>
      </c>
      <c r="F8" s="618">
        <v>15283.7045870317</v>
      </c>
      <c r="G8" s="1"/>
      <c r="H8" s="1"/>
      <c r="I8" s="1"/>
      <c r="J8" s="1"/>
      <c r="K8" s="1"/>
      <c r="L8" s="1"/>
      <c r="M8" s="1"/>
      <c r="N8" s="1"/>
      <c r="O8" s="1"/>
      <c r="P8" s="1"/>
      <c r="Q8" s="1"/>
      <c r="R8" s="1"/>
      <c r="S8" s="1"/>
      <c r="T8" s="1"/>
      <c r="U8" s="1"/>
      <c r="V8" s="1"/>
      <c r="W8" s="1"/>
      <c r="X8" s="1"/>
      <c r="Y8" s="1"/>
    </row>
    <row r="9" spans="1:25" ht="13.5" customHeight="1" x14ac:dyDescent="0.3">
      <c r="A9" s="105" t="s">
        <v>11</v>
      </c>
      <c r="B9" s="619">
        <f>B5/B8</f>
        <v>0.28150520554567587</v>
      </c>
      <c r="C9" s="619">
        <f>C5/C8</f>
        <v>0.29832151319754624</v>
      </c>
      <c r="D9" s="619">
        <f>D5/D8</f>
        <v>0.28782465921418371</v>
      </c>
      <c r="E9" s="619">
        <v>0.28370596205962062</v>
      </c>
      <c r="F9" s="620">
        <v>0.27</v>
      </c>
      <c r="G9" s="1"/>
      <c r="H9" s="1"/>
      <c r="I9" s="1"/>
      <c r="J9" s="1"/>
      <c r="K9" s="1"/>
      <c r="L9" s="1"/>
      <c r="M9" s="1"/>
      <c r="N9" s="1"/>
      <c r="O9" s="1"/>
      <c r="P9" s="1"/>
      <c r="Q9" s="1"/>
      <c r="R9" s="1"/>
      <c r="S9" s="1"/>
      <c r="T9" s="1"/>
      <c r="U9" s="1"/>
      <c r="V9" s="1"/>
      <c r="W9" s="1"/>
      <c r="X9" s="1"/>
      <c r="Y9" s="1"/>
    </row>
    <row r="10" spans="1:25" ht="13.5" customHeight="1" x14ac:dyDescent="0.3">
      <c r="A10" s="105" t="s">
        <v>12</v>
      </c>
      <c r="B10" s="619">
        <f>B6/B8</f>
        <v>0.45852828950776087</v>
      </c>
      <c r="C10" s="619">
        <f>C6/C8</f>
        <v>0.46591425103821793</v>
      </c>
      <c r="D10" s="619">
        <f>D6/D8</f>
        <v>0.46395846117453921</v>
      </c>
      <c r="E10" s="619">
        <v>0.46485433604336046</v>
      </c>
      <c r="F10" s="620">
        <v>0.54</v>
      </c>
      <c r="G10" s="1"/>
      <c r="H10" s="1"/>
      <c r="I10" s="1"/>
      <c r="J10" s="1"/>
      <c r="K10" s="1"/>
      <c r="L10" s="1"/>
      <c r="M10" s="1"/>
      <c r="N10" s="1"/>
      <c r="O10" s="1"/>
      <c r="P10" s="1"/>
      <c r="Q10" s="1"/>
      <c r="R10" s="1"/>
      <c r="S10" s="1"/>
      <c r="T10" s="1"/>
      <c r="U10" s="1"/>
      <c r="V10" s="1"/>
      <c r="W10" s="1"/>
      <c r="X10" s="1"/>
      <c r="Y10" s="1"/>
    </row>
    <row r="11" spans="1:25" ht="13.5" customHeight="1" x14ac:dyDescent="0.3">
      <c r="A11" s="105" t="s">
        <v>13</v>
      </c>
      <c r="B11" s="619">
        <f>B7/B8</f>
        <v>0.25996650494656331</v>
      </c>
      <c r="C11" s="619">
        <f>C7/C8</f>
        <v>0.23576423576423575</v>
      </c>
      <c r="D11" s="619">
        <f>D7/D8</f>
        <v>0.24821687961127714</v>
      </c>
      <c r="E11" s="619">
        <v>0.25143970189701897</v>
      </c>
      <c r="F11" s="620">
        <v>0.19</v>
      </c>
      <c r="G11" s="1"/>
      <c r="H11" s="1"/>
      <c r="I11" s="1"/>
      <c r="J11" s="1"/>
      <c r="K11" s="1"/>
      <c r="L11" s="1"/>
      <c r="M11" s="1"/>
      <c r="N11" s="1"/>
      <c r="O11" s="1"/>
      <c r="P11" s="1"/>
      <c r="Q11" s="1"/>
      <c r="R11" s="1"/>
      <c r="S11" s="1"/>
      <c r="T11" s="1"/>
      <c r="U11" s="1"/>
      <c r="V11" s="1"/>
      <c r="W11" s="1"/>
      <c r="X11" s="1"/>
      <c r="Y11" s="1"/>
    </row>
    <row r="12" spans="1:25" s="20" customFormat="1" x14ac:dyDescent="0.3">
      <c r="A12" s="22"/>
      <c r="B12" s="588"/>
      <c r="C12" s="588"/>
      <c r="D12" s="588"/>
      <c r="E12" s="588"/>
      <c r="F12" s="589"/>
      <c r="G12" s="23"/>
      <c r="H12" s="6"/>
      <c r="I12" s="6"/>
      <c r="J12" s="6"/>
      <c r="K12" s="6"/>
      <c r="L12" s="6"/>
      <c r="M12" s="6"/>
      <c r="N12" s="6"/>
      <c r="O12" s="6"/>
      <c r="P12" s="6"/>
      <c r="Q12" s="6"/>
      <c r="R12" s="6"/>
      <c r="S12" s="6"/>
      <c r="T12" s="6"/>
      <c r="U12" s="6"/>
      <c r="V12" s="6"/>
      <c r="W12" s="6"/>
      <c r="X12" s="6"/>
      <c r="Y12" s="6"/>
    </row>
    <row r="13" spans="1:25" x14ac:dyDescent="0.3">
      <c r="A13" s="24" t="s">
        <v>14</v>
      </c>
      <c r="B13" s="621">
        <f>3727+257</f>
        <v>3984</v>
      </c>
      <c r="C13" s="621">
        <f>3649+253</f>
        <v>3902</v>
      </c>
      <c r="D13" s="621">
        <f>3379+252</f>
        <v>3631</v>
      </c>
      <c r="E13" s="621">
        <v>3145</v>
      </c>
      <c r="F13" s="622">
        <v>3376</v>
      </c>
      <c r="G13" s="1"/>
      <c r="H13" s="1"/>
      <c r="I13" s="1"/>
      <c r="J13" s="1"/>
      <c r="K13" s="1"/>
      <c r="L13" s="1"/>
      <c r="M13" s="1"/>
      <c r="N13" s="1"/>
      <c r="O13" s="1"/>
      <c r="P13" s="1"/>
      <c r="Q13" s="1"/>
      <c r="R13" s="1"/>
      <c r="S13" s="1"/>
      <c r="T13" s="1"/>
      <c r="U13" s="1"/>
      <c r="V13" s="1"/>
      <c r="W13" s="1"/>
      <c r="X13" s="1"/>
      <c r="Y13" s="1"/>
    </row>
    <row r="14" spans="1:25" ht="8.1" customHeight="1" x14ac:dyDescent="0.3">
      <c r="A14" s="97"/>
      <c r="B14" s="9"/>
      <c r="C14" s="9"/>
      <c r="D14" s="9"/>
      <c r="E14" s="9"/>
      <c r="F14" s="9"/>
      <c r="G14" s="1"/>
      <c r="H14" s="1"/>
      <c r="I14" s="1"/>
      <c r="J14" s="1"/>
      <c r="K14" s="1"/>
      <c r="L14" s="1"/>
      <c r="M14" s="1"/>
      <c r="N14" s="1"/>
      <c r="O14" s="1"/>
      <c r="P14" s="1"/>
      <c r="Q14" s="1"/>
      <c r="R14" s="1"/>
      <c r="S14" s="1"/>
      <c r="T14" s="1"/>
      <c r="U14" s="1"/>
      <c r="V14" s="1"/>
      <c r="W14" s="1"/>
      <c r="X14" s="1"/>
      <c r="Y14" s="1"/>
    </row>
    <row r="15" spans="1:25" x14ac:dyDescent="0.3">
      <c r="A15" s="999"/>
      <c r="B15" s="999"/>
      <c r="C15" s="999"/>
      <c r="D15" s="999"/>
      <c r="E15" s="999"/>
      <c r="F15" s="999"/>
      <c r="G15" s="18"/>
      <c r="H15" s="1"/>
      <c r="I15" s="1"/>
      <c r="J15" s="1"/>
      <c r="K15" s="1"/>
      <c r="L15" s="1"/>
      <c r="M15" s="1"/>
      <c r="N15" s="1"/>
      <c r="O15" s="1"/>
      <c r="P15" s="1"/>
      <c r="Q15" s="1"/>
      <c r="R15" s="1"/>
      <c r="S15" s="1"/>
      <c r="T15" s="1"/>
      <c r="U15" s="1"/>
      <c r="V15" s="1"/>
      <c r="W15" s="1"/>
      <c r="X15" s="1"/>
      <c r="Y15" s="1"/>
    </row>
    <row r="16" spans="1:25" x14ac:dyDescent="0.3">
      <c r="A16" s="102"/>
      <c r="B16" s="1"/>
      <c r="C16" s="1"/>
      <c r="D16" s="1"/>
      <c r="E16" s="1"/>
      <c r="F16" s="1"/>
      <c r="G16" s="1"/>
      <c r="H16" s="1"/>
      <c r="I16" s="1"/>
      <c r="J16" s="1"/>
      <c r="K16" s="1"/>
      <c r="L16" s="1"/>
      <c r="M16" s="1"/>
      <c r="N16" s="1"/>
      <c r="O16" s="1"/>
      <c r="P16" s="1"/>
      <c r="Q16" s="1"/>
      <c r="R16" s="1"/>
      <c r="S16" s="1"/>
      <c r="T16" s="1"/>
      <c r="U16" s="1"/>
      <c r="V16" s="1"/>
      <c r="W16" s="1"/>
      <c r="X16" s="1"/>
      <c r="Y16" s="1"/>
    </row>
    <row r="17" spans="1:25" x14ac:dyDescent="0.3">
      <c r="A17" s="98"/>
      <c r="B17" s="1"/>
      <c r="C17" s="1"/>
      <c r="D17" s="1"/>
      <c r="E17" s="1"/>
      <c r="F17" s="1"/>
      <c r="G17" s="1"/>
      <c r="H17" s="1"/>
      <c r="I17" s="1"/>
      <c r="J17" s="1"/>
      <c r="K17" s="1"/>
      <c r="L17" s="1"/>
      <c r="M17" s="1"/>
      <c r="N17" s="1"/>
      <c r="O17" s="1"/>
      <c r="P17" s="1"/>
      <c r="Q17" s="1"/>
      <c r="R17" s="1"/>
      <c r="S17" s="1"/>
      <c r="T17" s="1"/>
      <c r="U17" s="1"/>
      <c r="V17" s="1"/>
      <c r="W17" s="1"/>
      <c r="X17" s="1"/>
      <c r="Y17" s="1"/>
    </row>
    <row r="18" spans="1:25" x14ac:dyDescent="0.3">
      <c r="A18" s="98"/>
      <c r="B18" s="1"/>
      <c r="C18" s="1"/>
      <c r="D18" s="1"/>
      <c r="E18" s="1"/>
      <c r="F18" s="1"/>
      <c r="G18" s="1"/>
      <c r="H18" s="1"/>
      <c r="I18" s="1"/>
      <c r="J18" s="1"/>
      <c r="K18" s="1"/>
      <c r="L18" s="1"/>
      <c r="M18" s="1"/>
      <c r="N18" s="1"/>
      <c r="O18" s="1"/>
      <c r="P18" s="1"/>
      <c r="Q18" s="1"/>
      <c r="R18" s="1"/>
      <c r="S18" s="1"/>
      <c r="T18" s="1"/>
      <c r="U18" s="1"/>
      <c r="V18" s="1"/>
      <c r="W18" s="1"/>
      <c r="X18" s="1"/>
      <c r="Y18" s="1"/>
    </row>
    <row r="19" spans="1:25" x14ac:dyDescent="0.3">
      <c r="A19" s="98"/>
      <c r="B19" s="1"/>
      <c r="C19" s="1"/>
      <c r="D19" s="1"/>
      <c r="E19" s="1"/>
      <c r="F19" s="1"/>
      <c r="G19" s="1"/>
      <c r="H19" s="1"/>
      <c r="I19" s="1"/>
      <c r="J19" s="1"/>
      <c r="K19" s="1"/>
      <c r="L19" s="1"/>
      <c r="M19" s="1"/>
      <c r="N19" s="1"/>
      <c r="O19" s="1"/>
      <c r="P19" s="1"/>
      <c r="Q19" s="1"/>
      <c r="R19" s="1"/>
      <c r="S19" s="1"/>
      <c r="T19" s="1"/>
      <c r="U19" s="1"/>
      <c r="V19" s="1"/>
      <c r="W19" s="1"/>
      <c r="X19" s="1"/>
      <c r="Y19" s="1"/>
    </row>
    <row r="20" spans="1:25" x14ac:dyDescent="0.3">
      <c r="A20" s="98"/>
      <c r="B20" s="1"/>
      <c r="C20" s="1"/>
      <c r="D20" s="1"/>
      <c r="E20" s="1"/>
      <c r="F20" s="1"/>
      <c r="G20" s="1"/>
      <c r="H20" s="1"/>
      <c r="I20" s="1"/>
      <c r="J20" s="1"/>
      <c r="K20" s="1"/>
      <c r="L20" s="1"/>
      <c r="M20" s="1"/>
      <c r="N20" s="1"/>
      <c r="O20" s="1"/>
      <c r="P20" s="1"/>
      <c r="Q20" s="1"/>
      <c r="R20" s="1"/>
      <c r="S20" s="1"/>
      <c r="T20" s="1"/>
      <c r="U20" s="1"/>
      <c r="V20" s="1"/>
      <c r="W20" s="1"/>
      <c r="X20" s="1"/>
      <c r="Y20" s="1"/>
    </row>
    <row r="21" spans="1:25" x14ac:dyDescent="0.3">
      <c r="A21" s="98"/>
      <c r="B21" s="1"/>
      <c r="C21" s="1"/>
      <c r="D21" s="1"/>
      <c r="E21" s="1"/>
      <c r="F21" s="1"/>
      <c r="G21" s="1"/>
      <c r="H21" s="1"/>
      <c r="I21" s="1"/>
      <c r="J21" s="1"/>
      <c r="K21" s="1"/>
      <c r="L21" s="1"/>
      <c r="M21" s="1"/>
      <c r="N21" s="1"/>
      <c r="O21" s="1"/>
      <c r="P21" s="1"/>
      <c r="Q21" s="1"/>
      <c r="R21" s="1"/>
      <c r="S21" s="1"/>
      <c r="T21" s="1"/>
      <c r="U21" s="1"/>
      <c r="V21" s="1"/>
      <c r="W21" s="1"/>
      <c r="X21" s="1"/>
      <c r="Y21" s="1"/>
    </row>
    <row r="22" spans="1:25" x14ac:dyDescent="0.3">
      <c r="A22" s="98"/>
      <c r="B22" s="1"/>
      <c r="C22" s="1"/>
      <c r="D22" s="1"/>
      <c r="E22" s="1"/>
      <c r="F22" s="1"/>
      <c r="G22" s="1"/>
      <c r="H22" s="1"/>
      <c r="I22" s="1"/>
      <c r="J22" s="1"/>
      <c r="K22" s="1"/>
      <c r="L22" s="1"/>
      <c r="M22" s="1"/>
      <c r="N22" s="1"/>
      <c r="O22" s="1"/>
      <c r="P22" s="1"/>
      <c r="Q22" s="1"/>
      <c r="R22" s="1"/>
      <c r="S22" s="1"/>
      <c r="T22" s="1"/>
      <c r="U22" s="1"/>
      <c r="V22" s="1"/>
      <c r="W22" s="1"/>
      <c r="X22" s="1"/>
      <c r="Y22" s="1"/>
    </row>
    <row r="23" spans="1:25" x14ac:dyDescent="0.3">
      <c r="A23" s="98"/>
      <c r="B23" s="1"/>
      <c r="C23" s="1"/>
      <c r="D23" s="1"/>
      <c r="E23" s="1"/>
      <c r="F23" s="1"/>
      <c r="G23" s="1"/>
      <c r="H23" s="1"/>
      <c r="I23" s="1"/>
      <c r="J23" s="1"/>
      <c r="K23" s="1"/>
      <c r="L23" s="1"/>
      <c r="M23" s="1"/>
      <c r="N23" s="1"/>
      <c r="O23" s="1"/>
      <c r="P23" s="1"/>
      <c r="Q23" s="1"/>
      <c r="R23" s="1"/>
      <c r="S23" s="1"/>
      <c r="T23" s="1"/>
      <c r="U23" s="1"/>
      <c r="V23" s="1"/>
      <c r="W23" s="1"/>
      <c r="X23" s="1"/>
      <c r="Y23" s="1"/>
    </row>
    <row r="24" spans="1:25" x14ac:dyDescent="0.3">
      <c r="A24" s="98"/>
      <c r="B24" s="1"/>
      <c r="C24" s="1"/>
      <c r="D24" s="1"/>
      <c r="E24" s="1"/>
      <c r="F24" s="1"/>
      <c r="G24" s="1"/>
      <c r="H24" s="1"/>
      <c r="I24" s="1"/>
      <c r="J24" s="1"/>
      <c r="K24" s="1"/>
      <c r="L24" s="1"/>
      <c r="M24" s="1"/>
      <c r="N24" s="1"/>
      <c r="O24" s="1"/>
      <c r="P24" s="1"/>
      <c r="Q24" s="1"/>
      <c r="R24" s="1"/>
      <c r="S24" s="1"/>
      <c r="T24" s="1"/>
      <c r="U24" s="1"/>
      <c r="V24" s="1"/>
      <c r="W24" s="1"/>
      <c r="X24" s="1"/>
      <c r="Y24" s="1"/>
    </row>
    <row r="25" spans="1:25" x14ac:dyDescent="0.3">
      <c r="A25" s="98"/>
      <c r="B25" s="1"/>
      <c r="C25" s="1"/>
      <c r="D25" s="1"/>
      <c r="E25" s="1"/>
      <c r="F25" s="1"/>
      <c r="G25" s="1"/>
      <c r="H25" s="1"/>
      <c r="I25" s="1"/>
      <c r="J25" s="1"/>
      <c r="K25" s="1"/>
      <c r="L25" s="1"/>
      <c r="M25" s="1"/>
      <c r="N25" s="1"/>
      <c r="O25" s="1"/>
      <c r="P25" s="1"/>
      <c r="Q25" s="1"/>
      <c r="R25" s="1"/>
      <c r="S25" s="1"/>
      <c r="T25" s="1"/>
      <c r="U25" s="1"/>
      <c r="V25" s="1"/>
      <c r="W25" s="1"/>
      <c r="X25" s="1"/>
      <c r="Y25" s="1"/>
    </row>
    <row r="26" spans="1:25" x14ac:dyDescent="0.3">
      <c r="A26" s="98"/>
      <c r="B26" s="1"/>
      <c r="C26" s="1"/>
      <c r="D26" s="1"/>
      <c r="E26" s="1"/>
      <c r="F26" s="1"/>
      <c r="G26" s="1"/>
      <c r="H26" s="1"/>
      <c r="I26" s="1"/>
      <c r="J26" s="1"/>
      <c r="K26" s="1"/>
      <c r="L26" s="1"/>
      <c r="M26" s="1"/>
      <c r="N26" s="1"/>
      <c r="O26" s="1"/>
      <c r="P26" s="1"/>
      <c r="Q26" s="1"/>
      <c r="R26" s="1"/>
      <c r="S26" s="1"/>
      <c r="T26" s="1"/>
      <c r="U26" s="1"/>
      <c r="V26" s="1"/>
      <c r="W26" s="1"/>
      <c r="X26" s="1"/>
      <c r="Y26" s="1"/>
    </row>
    <row r="27" spans="1:25" x14ac:dyDescent="0.3">
      <c r="A27" s="98"/>
      <c r="B27" s="1"/>
      <c r="C27" s="1"/>
      <c r="D27" s="1"/>
      <c r="E27" s="1"/>
      <c r="F27" s="1"/>
      <c r="G27" s="1"/>
      <c r="H27" s="1"/>
      <c r="I27" s="1"/>
      <c r="J27" s="1"/>
      <c r="K27" s="1"/>
      <c r="L27" s="1"/>
      <c r="M27" s="1"/>
      <c r="N27" s="1"/>
      <c r="O27" s="1"/>
      <c r="P27" s="1"/>
      <c r="Q27" s="1"/>
      <c r="R27" s="1"/>
      <c r="S27" s="1"/>
      <c r="T27" s="1"/>
      <c r="U27" s="1"/>
      <c r="V27" s="1"/>
      <c r="W27" s="1"/>
      <c r="X27" s="1"/>
      <c r="Y27" s="1"/>
    </row>
    <row r="28" spans="1:25" x14ac:dyDescent="0.3">
      <c r="A28" s="98"/>
      <c r="B28" s="1"/>
      <c r="C28" s="1"/>
      <c r="D28" s="1"/>
      <c r="E28" s="1"/>
      <c r="F28" s="1"/>
      <c r="G28" s="1"/>
      <c r="H28" s="1"/>
      <c r="I28" s="1"/>
      <c r="J28" s="1"/>
      <c r="K28" s="1"/>
      <c r="L28" s="1"/>
      <c r="M28" s="1"/>
      <c r="N28" s="1"/>
      <c r="O28" s="1"/>
      <c r="P28" s="1"/>
      <c r="Q28" s="1"/>
      <c r="R28" s="1"/>
      <c r="S28" s="1"/>
      <c r="T28" s="1"/>
      <c r="U28" s="1"/>
      <c r="V28" s="1"/>
      <c r="W28" s="1"/>
      <c r="X28" s="1"/>
      <c r="Y28" s="1"/>
    </row>
    <row r="29" spans="1:25" x14ac:dyDescent="0.3">
      <c r="A29" s="98"/>
      <c r="B29" s="1"/>
      <c r="C29" s="1"/>
      <c r="D29" s="1"/>
      <c r="E29" s="1"/>
      <c r="F29" s="1"/>
      <c r="G29" s="1"/>
      <c r="H29" s="1"/>
      <c r="I29" s="1"/>
      <c r="J29" s="1"/>
      <c r="K29" s="1"/>
      <c r="L29" s="1"/>
      <c r="M29" s="1"/>
      <c r="N29" s="1"/>
      <c r="O29" s="1"/>
      <c r="P29" s="1"/>
      <c r="Q29" s="1"/>
      <c r="R29" s="1"/>
      <c r="S29" s="1"/>
      <c r="T29" s="1"/>
      <c r="U29" s="1"/>
      <c r="V29" s="1"/>
      <c r="W29" s="1"/>
      <c r="X29" s="1"/>
      <c r="Y29" s="1"/>
    </row>
    <row r="30" spans="1:25" x14ac:dyDescent="0.3">
      <c r="A30" s="98"/>
      <c r="B30" s="1"/>
      <c r="C30" s="1"/>
      <c r="D30" s="1"/>
      <c r="E30" s="1"/>
      <c r="F30" s="1"/>
      <c r="G30" s="1"/>
      <c r="H30" s="1"/>
      <c r="I30" s="1"/>
      <c r="J30" s="1"/>
      <c r="K30" s="1"/>
      <c r="L30" s="1"/>
      <c r="M30" s="1"/>
      <c r="N30" s="1"/>
      <c r="O30" s="1"/>
      <c r="P30" s="1"/>
      <c r="Q30" s="1"/>
      <c r="R30" s="1"/>
      <c r="S30" s="1"/>
      <c r="T30" s="1"/>
      <c r="U30" s="1"/>
      <c r="V30" s="1"/>
      <c r="W30" s="1"/>
      <c r="X30" s="1"/>
      <c r="Y30" s="1"/>
    </row>
    <row r="31" spans="1:25" x14ac:dyDescent="0.3">
      <c r="A31" s="98"/>
      <c r="B31" s="1"/>
      <c r="C31" s="1"/>
      <c r="D31" s="1"/>
      <c r="E31" s="1"/>
      <c r="F31" s="1"/>
      <c r="G31" s="1"/>
      <c r="H31" s="1"/>
      <c r="I31" s="1"/>
      <c r="J31" s="1"/>
      <c r="K31" s="1"/>
      <c r="L31" s="1"/>
      <c r="M31" s="1"/>
      <c r="N31" s="1"/>
      <c r="O31" s="1"/>
      <c r="P31" s="1"/>
      <c r="Q31" s="1"/>
      <c r="R31" s="1"/>
      <c r="S31" s="1"/>
      <c r="T31" s="1"/>
      <c r="U31" s="1"/>
      <c r="V31" s="1"/>
      <c r="W31" s="1"/>
      <c r="X31" s="1"/>
      <c r="Y31" s="1"/>
    </row>
    <row r="32" spans="1:25" x14ac:dyDescent="0.3">
      <c r="A32" s="98"/>
      <c r="B32" s="1"/>
      <c r="C32" s="1"/>
      <c r="D32" s="1"/>
      <c r="E32" s="1"/>
      <c r="F32" s="1"/>
      <c r="G32" s="1"/>
      <c r="H32" s="1"/>
      <c r="I32" s="1"/>
      <c r="J32" s="1"/>
      <c r="K32" s="1"/>
      <c r="L32" s="1"/>
      <c r="M32" s="1"/>
      <c r="N32" s="1"/>
      <c r="O32" s="1"/>
      <c r="P32" s="1"/>
      <c r="Q32" s="1"/>
      <c r="R32" s="1"/>
      <c r="S32" s="1"/>
      <c r="T32" s="1"/>
      <c r="U32" s="1"/>
      <c r="V32" s="1"/>
      <c r="W32" s="1"/>
      <c r="X32" s="1"/>
      <c r="Y32" s="1"/>
    </row>
    <row r="33" spans="1:25" x14ac:dyDescent="0.3">
      <c r="A33" s="98"/>
      <c r="B33" s="1"/>
      <c r="C33" s="1"/>
      <c r="D33" s="1"/>
      <c r="E33" s="1"/>
      <c r="F33" s="1"/>
      <c r="G33" s="1"/>
      <c r="H33" s="1"/>
      <c r="I33" s="1"/>
      <c r="J33" s="1"/>
      <c r="K33" s="1"/>
      <c r="L33" s="1"/>
      <c r="M33" s="1"/>
      <c r="N33" s="1"/>
      <c r="O33" s="1"/>
      <c r="P33" s="1"/>
      <c r="Q33" s="1"/>
      <c r="R33" s="1"/>
      <c r="S33" s="1"/>
      <c r="T33" s="1"/>
      <c r="U33" s="1"/>
      <c r="V33" s="1"/>
      <c r="W33" s="1"/>
      <c r="X33" s="1"/>
      <c r="Y33" s="1"/>
    </row>
    <row r="34" spans="1:25" x14ac:dyDescent="0.3">
      <c r="A34" s="98"/>
      <c r="B34" s="1"/>
      <c r="C34" s="1"/>
      <c r="D34" s="1"/>
      <c r="E34" s="1"/>
      <c r="F34" s="1"/>
      <c r="G34" s="1"/>
      <c r="H34" s="1"/>
      <c r="I34" s="1"/>
      <c r="J34" s="1"/>
      <c r="K34" s="1"/>
      <c r="L34" s="1"/>
      <c r="M34" s="1"/>
      <c r="N34" s="1"/>
      <c r="O34" s="1"/>
      <c r="P34" s="1"/>
      <c r="Q34" s="1"/>
      <c r="R34" s="1"/>
      <c r="S34" s="1"/>
      <c r="T34" s="1"/>
      <c r="U34" s="1"/>
      <c r="V34" s="1"/>
      <c r="W34" s="1"/>
      <c r="X34" s="1"/>
      <c r="Y34" s="1"/>
    </row>
    <row r="35" spans="1:25" x14ac:dyDescent="0.3">
      <c r="A35" s="98"/>
      <c r="B35" s="1"/>
      <c r="C35" s="1"/>
      <c r="D35" s="1"/>
      <c r="E35" s="1"/>
      <c r="F35" s="1"/>
      <c r="G35" s="1"/>
      <c r="H35" s="1"/>
      <c r="I35" s="1"/>
      <c r="J35" s="1"/>
      <c r="K35" s="1"/>
      <c r="L35" s="1"/>
      <c r="M35" s="1"/>
      <c r="N35" s="1"/>
      <c r="O35" s="1"/>
      <c r="P35" s="1"/>
      <c r="Q35" s="1"/>
      <c r="R35" s="1"/>
      <c r="S35" s="1"/>
      <c r="T35" s="1"/>
      <c r="U35" s="1"/>
      <c r="V35" s="1"/>
      <c r="W35" s="1"/>
      <c r="X35" s="1"/>
      <c r="Y35" s="1"/>
    </row>
    <row r="36" spans="1:25" x14ac:dyDescent="0.3">
      <c r="A36" s="98"/>
      <c r="B36" s="1"/>
      <c r="C36" s="1"/>
      <c r="D36" s="1"/>
      <c r="E36" s="1"/>
      <c r="F36" s="1"/>
      <c r="G36" s="1"/>
      <c r="H36" s="1"/>
      <c r="I36" s="1"/>
      <c r="J36" s="1"/>
      <c r="K36" s="1"/>
      <c r="L36" s="1"/>
      <c r="M36" s="1"/>
      <c r="N36" s="1"/>
      <c r="O36" s="1"/>
      <c r="P36" s="1"/>
      <c r="Q36" s="1"/>
      <c r="R36" s="1"/>
      <c r="S36" s="1"/>
      <c r="T36" s="1"/>
      <c r="U36" s="1"/>
      <c r="V36" s="1"/>
      <c r="W36" s="1"/>
      <c r="X36" s="1"/>
      <c r="Y36" s="1"/>
    </row>
    <row r="37" spans="1:25" x14ac:dyDescent="0.3">
      <c r="A37" s="98"/>
      <c r="B37" s="1"/>
      <c r="C37" s="1"/>
      <c r="D37" s="1"/>
      <c r="E37" s="1"/>
      <c r="F37" s="1"/>
      <c r="G37" s="1"/>
      <c r="H37" s="1"/>
      <c r="I37" s="1"/>
      <c r="J37" s="1"/>
      <c r="K37" s="1"/>
      <c r="L37" s="1"/>
      <c r="M37" s="1"/>
      <c r="N37" s="1"/>
      <c r="O37" s="1"/>
      <c r="P37" s="1"/>
      <c r="Q37" s="1"/>
      <c r="R37" s="1"/>
      <c r="S37" s="1"/>
      <c r="T37" s="1"/>
      <c r="U37" s="1"/>
      <c r="V37" s="1"/>
      <c r="W37" s="1"/>
      <c r="X37" s="1"/>
      <c r="Y37" s="1"/>
    </row>
    <row r="38" spans="1:25" x14ac:dyDescent="0.3">
      <c r="A38" s="98"/>
      <c r="B38" s="1"/>
      <c r="C38" s="1"/>
      <c r="D38" s="1"/>
      <c r="E38" s="1"/>
      <c r="F38" s="1"/>
      <c r="G38" s="1"/>
      <c r="H38" s="1"/>
      <c r="I38" s="1"/>
      <c r="J38" s="1"/>
      <c r="K38" s="1"/>
      <c r="L38" s="1"/>
      <c r="M38" s="1"/>
      <c r="N38" s="1"/>
      <c r="O38" s="1"/>
      <c r="P38" s="1"/>
      <c r="Q38" s="1"/>
      <c r="R38" s="1"/>
      <c r="S38" s="1"/>
      <c r="T38" s="1"/>
      <c r="U38" s="1"/>
      <c r="V38" s="1"/>
      <c r="W38" s="1"/>
      <c r="X38" s="1"/>
      <c r="Y38" s="1"/>
    </row>
    <row r="39" spans="1:25" x14ac:dyDescent="0.3">
      <c r="A39" s="98"/>
      <c r="B39" s="1"/>
      <c r="C39" s="1"/>
      <c r="D39" s="1"/>
      <c r="E39" s="1"/>
      <c r="F39" s="1"/>
      <c r="G39" s="1"/>
      <c r="H39" s="1"/>
      <c r="I39" s="1"/>
      <c r="J39" s="1"/>
      <c r="K39" s="1"/>
      <c r="L39" s="1"/>
      <c r="M39" s="1"/>
      <c r="N39" s="1"/>
      <c r="O39" s="1"/>
      <c r="P39" s="1"/>
      <c r="Q39" s="1"/>
      <c r="R39" s="1"/>
      <c r="S39" s="1"/>
      <c r="T39" s="1"/>
      <c r="U39" s="1"/>
      <c r="V39" s="1"/>
      <c r="W39" s="1"/>
      <c r="X39" s="1"/>
      <c r="Y39" s="1"/>
    </row>
    <row r="40" spans="1:25" x14ac:dyDescent="0.3">
      <c r="A40" s="98"/>
      <c r="B40" s="1"/>
      <c r="C40" s="1"/>
      <c r="D40" s="1"/>
      <c r="E40" s="1"/>
      <c r="F40" s="1"/>
      <c r="G40" s="1"/>
      <c r="H40" s="1"/>
      <c r="I40" s="1"/>
      <c r="J40" s="1"/>
      <c r="K40" s="1"/>
      <c r="L40" s="1"/>
      <c r="M40" s="1"/>
      <c r="N40" s="1"/>
      <c r="O40" s="1"/>
      <c r="P40" s="1"/>
      <c r="Q40" s="1"/>
      <c r="R40" s="1"/>
      <c r="S40" s="1"/>
      <c r="T40" s="1"/>
      <c r="U40" s="1"/>
      <c r="V40" s="1"/>
      <c r="W40" s="1"/>
      <c r="X40" s="1"/>
      <c r="Y40" s="1"/>
    </row>
    <row r="41" spans="1:25" x14ac:dyDescent="0.3">
      <c r="A41" s="98"/>
      <c r="B41" s="1"/>
      <c r="C41" s="1"/>
      <c r="D41" s="1"/>
      <c r="E41" s="1"/>
      <c r="F41" s="1"/>
      <c r="G41" s="1"/>
      <c r="H41" s="1"/>
      <c r="I41" s="1"/>
      <c r="J41" s="1"/>
      <c r="K41" s="1"/>
      <c r="L41" s="1"/>
      <c r="M41" s="1"/>
      <c r="N41" s="1"/>
      <c r="O41" s="1"/>
      <c r="P41" s="1"/>
      <c r="Q41" s="1"/>
      <c r="R41" s="1"/>
      <c r="S41" s="1"/>
      <c r="T41" s="1"/>
      <c r="U41" s="1"/>
      <c r="V41" s="1"/>
      <c r="W41" s="1"/>
      <c r="X41" s="1"/>
      <c r="Y41" s="1"/>
    </row>
    <row r="42" spans="1:25" x14ac:dyDescent="0.3">
      <c r="A42" s="98"/>
      <c r="B42" s="1"/>
      <c r="C42" s="1"/>
      <c r="D42" s="1"/>
      <c r="E42" s="1"/>
      <c r="F42" s="1"/>
      <c r="G42" s="1"/>
      <c r="H42" s="1"/>
      <c r="I42" s="1"/>
      <c r="J42" s="1"/>
      <c r="K42" s="1"/>
      <c r="L42" s="1"/>
      <c r="M42" s="1"/>
      <c r="N42" s="1"/>
      <c r="O42" s="1"/>
      <c r="P42" s="1"/>
      <c r="Q42" s="1"/>
      <c r="R42" s="1"/>
      <c r="S42" s="1"/>
      <c r="T42" s="1"/>
      <c r="U42" s="1"/>
      <c r="V42" s="1"/>
      <c r="W42" s="1"/>
      <c r="X42" s="1"/>
      <c r="Y42" s="1"/>
    </row>
    <row r="43" spans="1:25" x14ac:dyDescent="0.3">
      <c r="A43" s="98"/>
      <c r="B43" s="1"/>
      <c r="C43" s="1"/>
      <c r="D43" s="1"/>
      <c r="E43" s="1"/>
      <c r="F43" s="1"/>
      <c r="G43" s="1"/>
      <c r="H43" s="1"/>
      <c r="I43" s="1"/>
      <c r="J43" s="1"/>
      <c r="K43" s="1"/>
      <c r="L43" s="1"/>
      <c r="M43" s="1"/>
      <c r="N43" s="1"/>
      <c r="O43" s="1"/>
      <c r="P43" s="1"/>
      <c r="Q43" s="1"/>
      <c r="R43" s="1"/>
      <c r="S43" s="1"/>
      <c r="T43" s="1"/>
      <c r="U43" s="1"/>
      <c r="V43" s="1"/>
      <c r="W43" s="1"/>
      <c r="X43" s="1"/>
      <c r="Y43" s="1"/>
    </row>
    <row r="44" spans="1:25" x14ac:dyDescent="0.3">
      <c r="A44" s="98"/>
      <c r="B44" s="1"/>
      <c r="C44" s="1"/>
      <c r="D44" s="1"/>
      <c r="E44" s="1"/>
      <c r="F44" s="1"/>
      <c r="G44" s="1"/>
      <c r="H44" s="1"/>
      <c r="I44" s="1"/>
      <c r="J44" s="1"/>
      <c r="K44" s="1"/>
      <c r="L44" s="1"/>
      <c r="M44" s="1"/>
      <c r="N44" s="1"/>
      <c r="O44" s="1"/>
      <c r="P44" s="1"/>
      <c r="Q44" s="1"/>
      <c r="R44" s="1"/>
      <c r="S44" s="1"/>
      <c r="T44" s="1"/>
      <c r="U44" s="1"/>
      <c r="V44" s="1"/>
      <c r="W44" s="1"/>
      <c r="X44" s="1"/>
      <c r="Y44" s="1"/>
    </row>
    <row r="45" spans="1:25" x14ac:dyDescent="0.3">
      <c r="A45" s="98"/>
      <c r="B45" s="1"/>
      <c r="C45" s="1"/>
      <c r="D45" s="1"/>
      <c r="E45" s="1"/>
      <c r="F45" s="1"/>
      <c r="G45" s="1"/>
      <c r="H45" s="1"/>
      <c r="I45" s="1"/>
      <c r="J45" s="1"/>
      <c r="K45" s="1"/>
      <c r="L45" s="1"/>
      <c r="M45" s="1"/>
      <c r="N45" s="1"/>
      <c r="O45" s="1"/>
      <c r="P45" s="1"/>
      <c r="Q45" s="1"/>
      <c r="R45" s="1"/>
      <c r="S45" s="1"/>
      <c r="T45" s="1"/>
      <c r="U45" s="1"/>
      <c r="V45" s="1"/>
      <c r="W45" s="1"/>
      <c r="X45" s="1"/>
      <c r="Y45" s="1"/>
    </row>
    <row r="46" spans="1:25" x14ac:dyDescent="0.3">
      <c r="A46" s="98"/>
      <c r="B46" s="1"/>
      <c r="C46" s="1"/>
      <c r="D46" s="1"/>
      <c r="E46" s="1"/>
      <c r="F46" s="1"/>
      <c r="G46" s="1"/>
      <c r="H46" s="1"/>
      <c r="I46" s="1"/>
      <c r="J46" s="1"/>
      <c r="K46" s="1"/>
      <c r="L46" s="1"/>
      <c r="M46" s="1"/>
      <c r="N46" s="1"/>
      <c r="O46" s="1"/>
      <c r="P46" s="1"/>
      <c r="Q46" s="1"/>
      <c r="R46" s="1"/>
      <c r="S46" s="1"/>
      <c r="T46" s="1"/>
      <c r="U46" s="1"/>
      <c r="V46" s="1"/>
      <c r="W46" s="1"/>
      <c r="X46" s="1"/>
      <c r="Y46" s="1"/>
    </row>
    <row r="47" spans="1:25" x14ac:dyDescent="0.3">
      <c r="A47" s="98"/>
      <c r="B47" s="1"/>
      <c r="C47" s="1"/>
      <c r="D47" s="1"/>
      <c r="E47" s="1"/>
      <c r="F47" s="1"/>
      <c r="G47" s="1"/>
      <c r="H47" s="1"/>
      <c r="I47" s="1"/>
      <c r="J47" s="1"/>
      <c r="K47" s="1"/>
      <c r="L47" s="1"/>
      <c r="M47" s="1"/>
      <c r="N47" s="1"/>
      <c r="O47" s="1"/>
      <c r="P47" s="1"/>
      <c r="Q47" s="1"/>
      <c r="R47" s="1"/>
      <c r="S47" s="1"/>
      <c r="T47" s="1"/>
      <c r="U47" s="1"/>
      <c r="V47" s="1"/>
      <c r="W47" s="1"/>
      <c r="X47" s="1"/>
      <c r="Y47" s="1"/>
    </row>
    <row r="48" spans="1:25" x14ac:dyDescent="0.3">
      <c r="A48" s="98"/>
      <c r="B48" s="1"/>
      <c r="C48" s="1"/>
      <c r="D48" s="1"/>
      <c r="E48" s="1"/>
      <c r="F48" s="1"/>
      <c r="G48" s="1"/>
      <c r="H48" s="1"/>
      <c r="I48" s="1"/>
      <c r="J48" s="1"/>
      <c r="K48" s="1"/>
      <c r="L48" s="1"/>
      <c r="M48" s="1"/>
      <c r="N48" s="1"/>
      <c r="O48" s="1"/>
      <c r="P48" s="1"/>
      <c r="Q48" s="1"/>
      <c r="R48" s="1"/>
      <c r="S48" s="1"/>
      <c r="T48" s="1"/>
      <c r="U48" s="1"/>
      <c r="V48" s="1"/>
      <c r="W48" s="1"/>
      <c r="X48" s="1"/>
      <c r="Y48" s="1"/>
    </row>
    <row r="49" spans="1:25" x14ac:dyDescent="0.3">
      <c r="A49" s="98"/>
      <c r="B49" s="1"/>
      <c r="C49" s="1"/>
      <c r="D49" s="1"/>
      <c r="E49" s="1"/>
      <c r="F49" s="1"/>
      <c r="G49" s="1"/>
      <c r="H49" s="1"/>
      <c r="I49" s="1"/>
      <c r="J49" s="1"/>
      <c r="K49" s="1"/>
      <c r="L49" s="1"/>
      <c r="M49" s="1"/>
      <c r="N49" s="1"/>
      <c r="O49" s="1"/>
      <c r="P49" s="1"/>
      <c r="Q49" s="1"/>
      <c r="R49" s="1"/>
      <c r="S49" s="1"/>
      <c r="T49" s="1"/>
      <c r="U49" s="1"/>
      <c r="V49" s="1"/>
      <c r="W49" s="1"/>
      <c r="X49" s="1"/>
      <c r="Y49" s="1"/>
    </row>
    <row r="50" spans="1:25" x14ac:dyDescent="0.3">
      <c r="A50" s="98"/>
      <c r="B50" s="1"/>
      <c r="C50" s="1"/>
      <c r="D50" s="1"/>
      <c r="E50" s="1"/>
      <c r="F50" s="1"/>
      <c r="G50" s="1"/>
      <c r="H50" s="1"/>
      <c r="I50" s="1"/>
      <c r="J50" s="1"/>
      <c r="K50" s="1"/>
      <c r="L50" s="1"/>
      <c r="M50" s="1"/>
      <c r="N50" s="1"/>
      <c r="O50" s="1"/>
      <c r="P50" s="1"/>
      <c r="Q50" s="1"/>
      <c r="R50" s="1"/>
      <c r="S50" s="1"/>
      <c r="T50" s="1"/>
      <c r="U50" s="1"/>
      <c r="V50" s="1"/>
      <c r="W50" s="1"/>
      <c r="X50" s="1"/>
      <c r="Y50" s="1"/>
    </row>
    <row r="51" spans="1:25" x14ac:dyDescent="0.3">
      <c r="A51" s="98"/>
      <c r="B51" s="1"/>
      <c r="C51" s="1"/>
      <c r="D51" s="1"/>
      <c r="E51" s="1"/>
      <c r="F51" s="1"/>
      <c r="G51" s="1"/>
      <c r="H51" s="1"/>
      <c r="I51" s="1"/>
      <c r="J51" s="1"/>
      <c r="K51" s="1"/>
      <c r="L51" s="1"/>
      <c r="M51" s="1"/>
      <c r="N51" s="1"/>
      <c r="O51" s="1"/>
      <c r="P51" s="1"/>
      <c r="Q51" s="1"/>
      <c r="R51" s="1"/>
      <c r="S51" s="1"/>
      <c r="T51" s="1"/>
      <c r="U51" s="1"/>
      <c r="V51" s="1"/>
      <c r="W51" s="1"/>
      <c r="X51" s="1"/>
      <c r="Y51" s="1"/>
    </row>
    <row r="52" spans="1:25" x14ac:dyDescent="0.3">
      <c r="A52" s="98"/>
      <c r="B52" s="1"/>
      <c r="C52" s="1"/>
      <c r="D52" s="1"/>
      <c r="E52" s="1"/>
      <c r="F52" s="1"/>
      <c r="G52" s="1"/>
      <c r="H52" s="1"/>
      <c r="I52" s="1"/>
      <c r="J52" s="1"/>
      <c r="K52" s="1"/>
      <c r="L52" s="1"/>
      <c r="M52" s="1"/>
      <c r="N52" s="1"/>
      <c r="O52" s="1"/>
      <c r="P52" s="1"/>
      <c r="Q52" s="1"/>
      <c r="R52" s="1"/>
      <c r="S52" s="1"/>
      <c r="T52" s="1"/>
      <c r="U52" s="1"/>
      <c r="V52" s="1"/>
      <c r="W52" s="1"/>
      <c r="X52" s="1"/>
      <c r="Y52" s="1"/>
    </row>
    <row r="53" spans="1:25" x14ac:dyDescent="0.3">
      <c r="A53" s="98"/>
      <c r="B53" s="1"/>
      <c r="C53" s="1"/>
      <c r="D53" s="1"/>
      <c r="E53" s="1"/>
      <c r="F53" s="1"/>
      <c r="G53" s="1"/>
      <c r="H53" s="1"/>
      <c r="I53" s="1"/>
      <c r="J53" s="1"/>
      <c r="K53" s="1"/>
      <c r="L53" s="1"/>
      <c r="M53" s="1"/>
      <c r="N53" s="1"/>
      <c r="O53" s="1"/>
      <c r="P53" s="1"/>
      <c r="Q53" s="1"/>
      <c r="R53" s="1"/>
      <c r="S53" s="1"/>
      <c r="T53" s="1"/>
      <c r="U53" s="1"/>
      <c r="V53" s="1"/>
      <c r="W53" s="1"/>
      <c r="X53" s="1"/>
      <c r="Y53" s="1"/>
    </row>
    <row r="54" spans="1:25" x14ac:dyDescent="0.3">
      <c r="A54" s="98"/>
      <c r="B54" s="1"/>
      <c r="C54" s="1"/>
      <c r="D54" s="1"/>
      <c r="E54" s="1"/>
      <c r="F54" s="1"/>
      <c r="G54" s="1"/>
      <c r="H54" s="1"/>
      <c r="I54" s="1"/>
      <c r="J54" s="1"/>
      <c r="K54" s="1"/>
      <c r="L54" s="1"/>
      <c r="M54" s="1"/>
      <c r="N54" s="1"/>
      <c r="O54" s="1"/>
      <c r="P54" s="1"/>
      <c r="Q54" s="1"/>
      <c r="R54" s="1"/>
      <c r="S54" s="1"/>
      <c r="T54" s="1"/>
      <c r="U54" s="1"/>
      <c r="V54" s="1"/>
      <c r="W54" s="1"/>
      <c r="X54" s="1"/>
      <c r="Y54" s="1"/>
    </row>
    <row r="55" spans="1:25" x14ac:dyDescent="0.3">
      <c r="A55" s="98"/>
      <c r="B55" s="1"/>
      <c r="C55" s="1"/>
      <c r="D55" s="1"/>
      <c r="E55" s="1"/>
      <c r="F55" s="1"/>
      <c r="G55" s="1"/>
      <c r="H55" s="1"/>
      <c r="I55" s="1"/>
      <c r="J55" s="1"/>
      <c r="K55" s="1"/>
      <c r="L55" s="1"/>
      <c r="M55" s="1"/>
      <c r="N55" s="1"/>
      <c r="O55" s="1"/>
      <c r="P55" s="1"/>
      <c r="Q55" s="1"/>
      <c r="R55" s="1"/>
      <c r="S55" s="1"/>
      <c r="T55" s="1"/>
      <c r="U55" s="1"/>
      <c r="V55" s="1"/>
      <c r="W55" s="1"/>
      <c r="X55" s="1"/>
      <c r="Y55" s="1"/>
    </row>
    <row r="56" spans="1:25" x14ac:dyDescent="0.3">
      <c r="A56" s="98"/>
      <c r="B56" s="1"/>
      <c r="C56" s="1"/>
      <c r="D56" s="1"/>
      <c r="E56" s="1"/>
      <c r="F56" s="1"/>
      <c r="G56" s="1"/>
      <c r="H56" s="1"/>
      <c r="I56" s="1"/>
      <c r="J56" s="1"/>
      <c r="K56" s="1"/>
      <c r="L56" s="1"/>
      <c r="M56" s="1"/>
      <c r="N56" s="1"/>
      <c r="O56" s="1"/>
      <c r="P56" s="1"/>
      <c r="Q56" s="1"/>
      <c r="R56" s="1"/>
      <c r="S56" s="1"/>
      <c r="T56" s="1"/>
      <c r="U56" s="1"/>
      <c r="V56" s="1"/>
      <c r="W56" s="1"/>
      <c r="X56" s="1"/>
      <c r="Y56" s="1"/>
    </row>
    <row r="57" spans="1:25" x14ac:dyDescent="0.3">
      <c r="A57" s="98"/>
      <c r="B57" s="1"/>
      <c r="C57" s="1"/>
      <c r="D57" s="1"/>
      <c r="E57" s="1"/>
      <c r="F57" s="1"/>
      <c r="G57" s="1"/>
      <c r="H57" s="1"/>
      <c r="I57" s="1"/>
      <c r="J57" s="1"/>
      <c r="K57" s="1"/>
      <c r="L57" s="1"/>
      <c r="M57" s="1"/>
      <c r="N57" s="1"/>
      <c r="O57" s="1"/>
      <c r="P57" s="1"/>
      <c r="Q57" s="1"/>
      <c r="R57" s="1"/>
      <c r="S57" s="1"/>
      <c r="T57" s="1"/>
      <c r="U57" s="1"/>
      <c r="V57" s="1"/>
      <c r="W57" s="1"/>
      <c r="X57" s="1"/>
      <c r="Y57" s="1"/>
    </row>
    <row r="58" spans="1:25" x14ac:dyDescent="0.3">
      <c r="A58" s="98"/>
      <c r="B58" s="1"/>
      <c r="C58" s="1"/>
      <c r="D58" s="1"/>
      <c r="E58" s="1"/>
      <c r="F58" s="1"/>
      <c r="G58" s="1"/>
      <c r="H58" s="1"/>
      <c r="I58" s="1"/>
      <c r="J58" s="1"/>
      <c r="K58" s="1"/>
      <c r="L58" s="1"/>
      <c r="M58" s="1"/>
      <c r="N58" s="1"/>
      <c r="O58" s="1"/>
      <c r="P58" s="1"/>
      <c r="Q58" s="1"/>
      <c r="R58" s="1"/>
      <c r="S58" s="1"/>
      <c r="T58" s="1"/>
      <c r="U58" s="1"/>
      <c r="V58" s="1"/>
      <c r="W58" s="1"/>
      <c r="X58" s="1"/>
      <c r="Y58" s="1"/>
    </row>
    <row r="59" spans="1:25" x14ac:dyDescent="0.3">
      <c r="A59" s="98"/>
      <c r="B59" s="1"/>
      <c r="C59" s="1"/>
      <c r="D59" s="1"/>
      <c r="E59" s="1"/>
      <c r="F59" s="1"/>
      <c r="G59" s="1"/>
      <c r="H59" s="1"/>
      <c r="I59" s="1"/>
      <c r="J59" s="1"/>
      <c r="K59" s="1"/>
      <c r="L59" s="1"/>
      <c r="M59" s="1"/>
      <c r="N59" s="1"/>
      <c r="O59" s="1"/>
      <c r="P59" s="1"/>
      <c r="Q59" s="1"/>
      <c r="R59" s="1"/>
      <c r="S59" s="1"/>
      <c r="T59" s="1"/>
      <c r="U59" s="1"/>
      <c r="V59" s="1"/>
      <c r="W59" s="1"/>
      <c r="X59" s="1"/>
      <c r="Y59" s="1"/>
    </row>
    <row r="60" spans="1:25" x14ac:dyDescent="0.3">
      <c r="A60" s="98"/>
      <c r="B60" s="1"/>
      <c r="C60" s="1"/>
      <c r="D60" s="1"/>
      <c r="E60" s="1"/>
      <c r="F60" s="1"/>
      <c r="G60" s="1"/>
      <c r="H60" s="1"/>
      <c r="I60" s="1"/>
      <c r="J60" s="1"/>
      <c r="K60" s="1"/>
      <c r="L60" s="1"/>
      <c r="M60" s="1"/>
      <c r="N60" s="1"/>
      <c r="O60" s="1"/>
      <c r="P60" s="1"/>
      <c r="Q60" s="1"/>
      <c r="R60" s="1"/>
      <c r="S60" s="1"/>
      <c r="T60" s="1"/>
      <c r="U60" s="1"/>
      <c r="V60" s="1"/>
      <c r="W60" s="1"/>
      <c r="X60" s="1"/>
      <c r="Y60" s="1"/>
    </row>
    <row r="61" spans="1:25" x14ac:dyDescent="0.3">
      <c r="A61" s="98"/>
      <c r="B61" s="1"/>
      <c r="C61" s="1"/>
      <c r="D61" s="1"/>
      <c r="E61" s="1"/>
      <c r="F61" s="1"/>
      <c r="G61" s="1"/>
      <c r="H61" s="1"/>
      <c r="I61" s="1"/>
      <c r="J61" s="1"/>
      <c r="K61" s="1"/>
      <c r="L61" s="1"/>
      <c r="M61" s="1"/>
      <c r="N61" s="1"/>
      <c r="O61" s="1"/>
      <c r="P61" s="1"/>
      <c r="Q61" s="1"/>
      <c r="R61" s="1"/>
      <c r="S61" s="1"/>
      <c r="T61" s="1"/>
      <c r="U61" s="1"/>
      <c r="V61" s="1"/>
      <c r="W61" s="1"/>
      <c r="X61" s="1"/>
      <c r="Y61" s="1"/>
    </row>
    <row r="62" spans="1:25" x14ac:dyDescent="0.3">
      <c r="A62" s="98"/>
      <c r="B62" s="1"/>
      <c r="C62" s="1"/>
      <c r="D62" s="1"/>
      <c r="E62" s="1"/>
      <c r="F62" s="1"/>
      <c r="G62" s="1"/>
      <c r="H62" s="1"/>
      <c r="I62" s="1"/>
      <c r="J62" s="1"/>
      <c r="K62" s="1"/>
      <c r="L62" s="1"/>
      <c r="M62" s="1"/>
      <c r="N62" s="1"/>
      <c r="O62" s="1"/>
      <c r="P62" s="1"/>
      <c r="Q62" s="1"/>
      <c r="R62" s="1"/>
      <c r="S62" s="1"/>
      <c r="T62" s="1"/>
      <c r="U62" s="1"/>
      <c r="V62" s="1"/>
      <c r="W62" s="1"/>
      <c r="X62" s="1"/>
      <c r="Y62" s="1"/>
    </row>
    <row r="63" spans="1:25" x14ac:dyDescent="0.3">
      <c r="A63" s="98"/>
      <c r="B63" s="1"/>
      <c r="C63" s="1"/>
      <c r="D63" s="1"/>
      <c r="E63" s="1"/>
      <c r="F63" s="1"/>
      <c r="G63" s="1"/>
      <c r="H63" s="1"/>
      <c r="I63" s="1"/>
      <c r="J63" s="1"/>
      <c r="K63" s="1"/>
      <c r="L63" s="1"/>
      <c r="M63" s="1"/>
      <c r="N63" s="1"/>
      <c r="O63" s="1"/>
      <c r="P63" s="1"/>
      <c r="Q63" s="1"/>
      <c r="R63" s="1"/>
      <c r="S63" s="1"/>
      <c r="T63" s="1"/>
      <c r="U63" s="1"/>
      <c r="V63" s="1"/>
      <c r="W63" s="1"/>
      <c r="X63" s="1"/>
      <c r="Y63" s="1"/>
    </row>
    <row r="64" spans="1:25" x14ac:dyDescent="0.3">
      <c r="A64" s="98"/>
      <c r="B64" s="1"/>
      <c r="C64" s="1"/>
      <c r="D64" s="1"/>
      <c r="E64" s="1"/>
      <c r="F64" s="1"/>
      <c r="G64" s="1"/>
      <c r="H64" s="1"/>
      <c r="I64" s="1"/>
      <c r="J64" s="1"/>
      <c r="K64" s="1"/>
      <c r="L64" s="1"/>
      <c r="M64" s="1"/>
      <c r="N64" s="1"/>
      <c r="O64" s="1"/>
      <c r="P64" s="1"/>
      <c r="Q64" s="1"/>
      <c r="R64" s="1"/>
      <c r="S64" s="1"/>
      <c r="T64" s="1"/>
      <c r="U64" s="1"/>
      <c r="V64" s="1"/>
      <c r="W64" s="1"/>
      <c r="X64" s="1"/>
      <c r="Y64" s="1"/>
    </row>
    <row r="65" spans="1:25" x14ac:dyDescent="0.3">
      <c r="A65" s="98"/>
      <c r="B65" s="1"/>
      <c r="C65" s="1"/>
      <c r="D65" s="1"/>
      <c r="E65" s="1"/>
      <c r="F65" s="1"/>
      <c r="G65" s="1"/>
      <c r="H65" s="1"/>
      <c r="I65" s="1"/>
      <c r="J65" s="1"/>
      <c r="K65" s="1"/>
      <c r="L65" s="1"/>
      <c r="M65" s="1"/>
      <c r="N65" s="1"/>
      <c r="O65" s="1"/>
      <c r="P65" s="1"/>
      <c r="Q65" s="1"/>
      <c r="R65" s="1"/>
      <c r="S65" s="1"/>
      <c r="T65" s="1"/>
      <c r="U65" s="1"/>
      <c r="V65" s="1"/>
      <c r="W65" s="1"/>
      <c r="X65" s="1"/>
      <c r="Y65" s="1"/>
    </row>
    <row r="66" spans="1:25" x14ac:dyDescent="0.3">
      <c r="A66" s="98"/>
      <c r="B66" s="1"/>
      <c r="C66" s="1"/>
      <c r="D66" s="1"/>
      <c r="E66" s="1"/>
      <c r="F66" s="1"/>
      <c r="G66" s="1"/>
      <c r="H66" s="1"/>
      <c r="I66" s="1"/>
      <c r="J66" s="1"/>
      <c r="K66" s="1"/>
      <c r="L66" s="1"/>
      <c r="M66" s="1"/>
      <c r="N66" s="1"/>
      <c r="O66" s="1"/>
      <c r="P66" s="1"/>
      <c r="Q66" s="1"/>
      <c r="R66" s="1"/>
      <c r="S66" s="1"/>
      <c r="T66" s="1"/>
      <c r="U66" s="1"/>
      <c r="V66" s="1"/>
      <c r="W66" s="1"/>
      <c r="X66" s="1"/>
      <c r="Y66" s="1"/>
    </row>
    <row r="67" spans="1:25" x14ac:dyDescent="0.3">
      <c r="A67" s="98"/>
      <c r="B67" s="1"/>
      <c r="C67" s="1"/>
      <c r="D67" s="1"/>
      <c r="E67" s="1"/>
      <c r="F67" s="1"/>
      <c r="G67" s="1"/>
      <c r="H67" s="1"/>
      <c r="I67" s="1"/>
      <c r="J67" s="1"/>
      <c r="K67" s="1"/>
      <c r="L67" s="1"/>
      <c r="M67" s="1"/>
      <c r="N67" s="1"/>
      <c r="O67" s="1"/>
      <c r="P67" s="1"/>
      <c r="Q67" s="1"/>
      <c r="R67" s="1"/>
      <c r="S67" s="1"/>
      <c r="T67" s="1"/>
      <c r="U67" s="1"/>
      <c r="V67" s="1"/>
      <c r="W67" s="1"/>
      <c r="X67" s="1"/>
      <c r="Y67" s="1"/>
    </row>
    <row r="68" spans="1:25" x14ac:dyDescent="0.3">
      <c r="A68" s="98"/>
      <c r="B68" s="1"/>
      <c r="C68" s="1"/>
      <c r="D68" s="1"/>
      <c r="E68" s="1"/>
      <c r="F68" s="1"/>
      <c r="G68" s="1"/>
      <c r="H68" s="1"/>
      <c r="I68" s="1"/>
      <c r="J68" s="1"/>
      <c r="K68" s="1"/>
      <c r="L68" s="1"/>
      <c r="M68" s="1"/>
      <c r="N68" s="1"/>
      <c r="O68" s="1"/>
      <c r="P68" s="1"/>
      <c r="Q68" s="1"/>
      <c r="R68" s="1"/>
      <c r="S68" s="1"/>
      <c r="T68" s="1"/>
      <c r="U68" s="1"/>
      <c r="V68" s="1"/>
      <c r="W68" s="1"/>
      <c r="X68" s="1"/>
      <c r="Y68" s="1"/>
    </row>
    <row r="69" spans="1:25" x14ac:dyDescent="0.3">
      <c r="A69" s="98"/>
      <c r="B69" s="1"/>
      <c r="C69" s="1"/>
      <c r="D69" s="1"/>
      <c r="E69" s="1"/>
      <c r="F69" s="1"/>
      <c r="G69" s="1"/>
      <c r="H69" s="1"/>
      <c r="I69" s="1"/>
      <c r="J69" s="1"/>
      <c r="K69" s="1"/>
      <c r="L69" s="1"/>
      <c r="M69" s="1"/>
      <c r="N69" s="1"/>
      <c r="O69" s="1"/>
      <c r="P69" s="1"/>
      <c r="Q69" s="1"/>
      <c r="R69" s="1"/>
      <c r="S69" s="1"/>
      <c r="T69" s="1"/>
      <c r="U69" s="1"/>
      <c r="V69" s="1"/>
      <c r="W69" s="1"/>
      <c r="X69" s="1"/>
      <c r="Y69" s="1"/>
    </row>
    <row r="70" spans="1:25" x14ac:dyDescent="0.3">
      <c r="A70" s="98"/>
      <c r="B70" s="1"/>
      <c r="C70" s="1"/>
      <c r="D70" s="1"/>
      <c r="E70" s="1"/>
      <c r="F70" s="1"/>
      <c r="G70" s="1"/>
      <c r="H70" s="1"/>
      <c r="I70" s="1"/>
      <c r="J70" s="1"/>
      <c r="K70" s="1"/>
      <c r="L70" s="1"/>
      <c r="M70" s="1"/>
      <c r="N70" s="1"/>
      <c r="O70" s="1"/>
      <c r="P70" s="1"/>
      <c r="Q70" s="1"/>
      <c r="R70" s="1"/>
      <c r="S70" s="1"/>
      <c r="T70" s="1"/>
      <c r="U70" s="1"/>
      <c r="V70" s="1"/>
      <c r="W70" s="1"/>
      <c r="X70" s="1"/>
      <c r="Y70" s="1"/>
    </row>
    <row r="71" spans="1:25" x14ac:dyDescent="0.3">
      <c r="A71" s="98"/>
      <c r="B71" s="1"/>
      <c r="C71" s="1"/>
      <c r="D71" s="1"/>
      <c r="E71" s="1"/>
      <c r="F71" s="1"/>
      <c r="G71" s="1"/>
      <c r="H71" s="1"/>
      <c r="I71" s="1"/>
      <c r="J71" s="1"/>
      <c r="K71" s="1"/>
      <c r="L71" s="1"/>
      <c r="M71" s="1"/>
      <c r="N71" s="1"/>
      <c r="O71" s="1"/>
      <c r="P71" s="1"/>
      <c r="Q71" s="1"/>
      <c r="R71" s="1"/>
      <c r="S71" s="1"/>
      <c r="T71" s="1"/>
      <c r="U71" s="1"/>
      <c r="V71" s="1"/>
      <c r="W71" s="1"/>
      <c r="X71" s="1"/>
      <c r="Y71" s="1"/>
    </row>
    <row r="72" spans="1:25" x14ac:dyDescent="0.3">
      <c r="A72" s="98"/>
      <c r="B72" s="1"/>
      <c r="C72" s="1"/>
      <c r="D72" s="1"/>
      <c r="E72" s="1"/>
      <c r="F72" s="1"/>
      <c r="G72" s="1"/>
      <c r="H72" s="1"/>
      <c r="I72" s="1"/>
      <c r="J72" s="1"/>
      <c r="K72" s="1"/>
      <c r="L72" s="1"/>
      <c r="M72" s="1"/>
      <c r="N72" s="1"/>
      <c r="O72" s="1"/>
      <c r="P72" s="1"/>
      <c r="Q72" s="1"/>
      <c r="R72" s="1"/>
      <c r="S72" s="1"/>
      <c r="T72" s="1"/>
      <c r="U72" s="1"/>
      <c r="V72" s="1"/>
      <c r="W72" s="1"/>
      <c r="X72" s="1"/>
      <c r="Y72" s="1"/>
    </row>
    <row r="73" spans="1:25" x14ac:dyDescent="0.3">
      <c r="A73" s="98"/>
      <c r="B73" s="1"/>
      <c r="C73" s="1"/>
      <c r="D73" s="1"/>
      <c r="E73" s="1"/>
      <c r="F73" s="1"/>
      <c r="G73" s="1"/>
      <c r="H73" s="1"/>
      <c r="I73" s="1"/>
      <c r="J73" s="1"/>
      <c r="K73" s="1"/>
      <c r="L73" s="1"/>
      <c r="M73" s="1"/>
      <c r="N73" s="1"/>
      <c r="O73" s="1"/>
      <c r="P73" s="1"/>
      <c r="Q73" s="1"/>
      <c r="R73" s="1"/>
      <c r="S73" s="1"/>
      <c r="T73" s="1"/>
      <c r="U73" s="1"/>
      <c r="V73" s="1"/>
      <c r="W73" s="1"/>
      <c r="X73" s="1"/>
      <c r="Y73" s="1"/>
    </row>
    <row r="74" spans="1:25" x14ac:dyDescent="0.3">
      <c r="A74" s="98"/>
      <c r="B74" s="1"/>
      <c r="C74" s="1"/>
      <c r="D74" s="1"/>
      <c r="E74" s="1"/>
      <c r="F74" s="1"/>
      <c r="G74" s="1"/>
      <c r="H74" s="1"/>
      <c r="I74" s="1"/>
      <c r="J74" s="1"/>
      <c r="K74" s="1"/>
      <c r="L74" s="1"/>
      <c r="M74" s="1"/>
      <c r="N74" s="1"/>
      <c r="O74" s="1"/>
      <c r="P74" s="1"/>
      <c r="Q74" s="1"/>
      <c r="R74" s="1"/>
      <c r="S74" s="1"/>
      <c r="T74" s="1"/>
      <c r="U74" s="1"/>
      <c r="V74" s="1"/>
      <c r="W74" s="1"/>
      <c r="X74" s="1"/>
      <c r="Y74" s="1"/>
    </row>
    <row r="75" spans="1:25" x14ac:dyDescent="0.3">
      <c r="A75" s="98"/>
      <c r="B75" s="1"/>
      <c r="C75" s="1"/>
      <c r="D75" s="1"/>
      <c r="E75" s="1"/>
      <c r="F75" s="1"/>
      <c r="G75" s="1"/>
      <c r="H75" s="1"/>
      <c r="I75" s="1"/>
      <c r="J75" s="1"/>
      <c r="K75" s="1"/>
      <c r="L75" s="1"/>
      <c r="M75" s="1"/>
      <c r="N75" s="1"/>
      <c r="O75" s="1"/>
      <c r="P75" s="1"/>
      <c r="Q75" s="1"/>
      <c r="R75" s="1"/>
      <c r="S75" s="1"/>
      <c r="T75" s="1"/>
      <c r="U75" s="1"/>
      <c r="V75" s="1"/>
      <c r="W75" s="1"/>
      <c r="X75" s="1"/>
      <c r="Y75" s="1"/>
    </row>
    <row r="76" spans="1:25" x14ac:dyDescent="0.3">
      <c r="A76" s="98"/>
      <c r="B76" s="1"/>
      <c r="C76" s="1"/>
      <c r="D76" s="1"/>
      <c r="E76" s="1"/>
      <c r="F76" s="1"/>
      <c r="G76" s="1"/>
      <c r="H76" s="1"/>
      <c r="I76" s="1"/>
      <c r="J76" s="1"/>
      <c r="K76" s="1"/>
      <c r="L76" s="1"/>
      <c r="M76" s="1"/>
      <c r="N76" s="1"/>
      <c r="O76" s="1"/>
      <c r="P76" s="1"/>
      <c r="Q76" s="1"/>
      <c r="R76" s="1"/>
      <c r="S76" s="1"/>
      <c r="T76" s="1"/>
      <c r="U76" s="1"/>
      <c r="V76" s="1"/>
      <c r="W76" s="1"/>
      <c r="X76" s="1"/>
      <c r="Y76" s="1"/>
    </row>
    <row r="77" spans="1:25" x14ac:dyDescent="0.3">
      <c r="A77" s="98"/>
      <c r="B77" s="1"/>
      <c r="C77" s="1"/>
      <c r="D77" s="1"/>
      <c r="E77" s="1"/>
      <c r="F77" s="1"/>
      <c r="G77" s="1"/>
      <c r="H77" s="1"/>
      <c r="I77" s="1"/>
      <c r="J77" s="1"/>
      <c r="K77" s="1"/>
      <c r="L77" s="1"/>
      <c r="M77" s="1"/>
      <c r="N77" s="1"/>
      <c r="O77" s="1"/>
      <c r="P77" s="1"/>
      <c r="Q77" s="1"/>
      <c r="R77" s="1"/>
      <c r="S77" s="1"/>
      <c r="T77" s="1"/>
      <c r="U77" s="1"/>
      <c r="V77" s="1"/>
      <c r="W77" s="1"/>
      <c r="X77" s="1"/>
      <c r="Y77" s="1"/>
    </row>
    <row r="78" spans="1:25" x14ac:dyDescent="0.3">
      <c r="A78" s="98"/>
      <c r="B78" s="1"/>
      <c r="C78" s="1"/>
      <c r="D78" s="1"/>
      <c r="E78" s="1"/>
      <c r="F78" s="1"/>
      <c r="G78" s="1"/>
      <c r="H78" s="1"/>
      <c r="I78" s="1"/>
      <c r="J78" s="1"/>
      <c r="K78" s="1"/>
      <c r="L78" s="1"/>
      <c r="M78" s="1"/>
      <c r="N78" s="1"/>
      <c r="O78" s="1"/>
      <c r="P78" s="1"/>
      <c r="Q78" s="1"/>
      <c r="R78" s="1"/>
      <c r="S78" s="1"/>
      <c r="T78" s="1"/>
      <c r="U78" s="1"/>
      <c r="V78" s="1"/>
      <c r="W78" s="1"/>
      <c r="X78" s="1"/>
      <c r="Y78" s="1"/>
    </row>
    <row r="79" spans="1:25" x14ac:dyDescent="0.3">
      <c r="A79" s="98"/>
      <c r="B79" s="1"/>
      <c r="C79" s="1"/>
      <c r="D79" s="1"/>
      <c r="E79" s="1"/>
      <c r="F79" s="1"/>
      <c r="G79" s="1"/>
      <c r="H79" s="1"/>
      <c r="I79" s="1"/>
      <c r="J79" s="1"/>
      <c r="K79" s="1"/>
      <c r="L79" s="1"/>
      <c r="M79" s="1"/>
      <c r="N79" s="1"/>
      <c r="O79" s="1"/>
      <c r="P79" s="1"/>
      <c r="Q79" s="1"/>
      <c r="R79" s="1"/>
      <c r="S79" s="1"/>
      <c r="T79" s="1"/>
      <c r="U79" s="1"/>
      <c r="V79" s="1"/>
      <c r="W79" s="1"/>
      <c r="X79" s="1"/>
      <c r="Y79" s="1"/>
    </row>
    <row r="80" spans="1:25" x14ac:dyDescent="0.3">
      <c r="A80" s="98"/>
      <c r="B80" s="1"/>
      <c r="C80" s="1"/>
      <c r="D80" s="1"/>
      <c r="E80" s="1"/>
      <c r="F80" s="1"/>
      <c r="G80" s="1"/>
      <c r="H80" s="1"/>
      <c r="I80" s="1"/>
      <c r="J80" s="1"/>
      <c r="K80" s="1"/>
      <c r="L80" s="1"/>
      <c r="M80" s="1"/>
      <c r="N80" s="1"/>
      <c r="O80" s="1"/>
      <c r="P80" s="1"/>
      <c r="Q80" s="1"/>
      <c r="R80" s="1"/>
      <c r="S80" s="1"/>
      <c r="T80" s="1"/>
      <c r="U80" s="1"/>
      <c r="V80" s="1"/>
      <c r="W80" s="1"/>
      <c r="X80" s="1"/>
      <c r="Y80" s="1"/>
    </row>
    <row r="81" spans="1:25" x14ac:dyDescent="0.3">
      <c r="A81" s="98"/>
      <c r="B81" s="1"/>
      <c r="C81" s="1"/>
      <c r="D81" s="1"/>
      <c r="E81" s="1"/>
      <c r="F81" s="1"/>
      <c r="G81" s="1"/>
      <c r="H81" s="1"/>
      <c r="I81" s="1"/>
      <c r="J81" s="1"/>
      <c r="K81" s="1"/>
      <c r="L81" s="1"/>
      <c r="M81" s="1"/>
      <c r="N81" s="1"/>
      <c r="O81" s="1"/>
      <c r="P81" s="1"/>
      <c r="Q81" s="1"/>
      <c r="R81" s="1"/>
      <c r="S81" s="1"/>
      <c r="T81" s="1"/>
      <c r="U81" s="1"/>
      <c r="V81" s="1"/>
      <c r="W81" s="1"/>
      <c r="X81" s="1"/>
      <c r="Y81" s="1"/>
    </row>
    <row r="82" spans="1:25" x14ac:dyDescent="0.3">
      <c r="A82" s="98"/>
      <c r="B82" s="1"/>
      <c r="C82" s="1"/>
      <c r="D82" s="1"/>
      <c r="E82" s="1"/>
      <c r="F82" s="1"/>
      <c r="G82" s="1"/>
      <c r="H82" s="1"/>
      <c r="I82" s="1"/>
      <c r="J82" s="1"/>
      <c r="K82" s="1"/>
      <c r="L82" s="1"/>
      <c r="M82" s="1"/>
      <c r="N82" s="1"/>
      <c r="O82" s="1"/>
      <c r="P82" s="1"/>
      <c r="Q82" s="1"/>
      <c r="R82" s="1"/>
      <c r="S82" s="1"/>
      <c r="T82" s="1"/>
      <c r="U82" s="1"/>
      <c r="V82" s="1"/>
      <c r="W82" s="1"/>
      <c r="X82" s="1"/>
      <c r="Y82" s="1"/>
    </row>
    <row r="83" spans="1:25" x14ac:dyDescent="0.3">
      <c r="A83" s="98"/>
      <c r="B83" s="1"/>
      <c r="C83" s="1"/>
      <c r="D83" s="1"/>
      <c r="E83" s="1"/>
      <c r="F83" s="1"/>
      <c r="G83" s="1"/>
      <c r="H83" s="1"/>
      <c r="I83" s="1"/>
      <c r="J83" s="1"/>
      <c r="K83" s="1"/>
      <c r="L83" s="1"/>
      <c r="M83" s="1"/>
      <c r="N83" s="1"/>
      <c r="O83" s="1"/>
      <c r="P83" s="1"/>
      <c r="Q83" s="1"/>
      <c r="R83" s="1"/>
      <c r="S83" s="1"/>
      <c r="T83" s="1"/>
      <c r="U83" s="1"/>
      <c r="V83" s="1"/>
      <c r="W83" s="1"/>
      <c r="X83" s="1"/>
      <c r="Y83" s="1"/>
    </row>
    <row r="84" spans="1:25" x14ac:dyDescent="0.3">
      <c r="A84" s="98"/>
      <c r="B84" s="1"/>
      <c r="C84" s="1"/>
      <c r="D84" s="1"/>
      <c r="E84" s="1"/>
      <c r="F84" s="1"/>
      <c r="G84" s="1"/>
      <c r="H84" s="1"/>
      <c r="I84" s="1"/>
      <c r="J84" s="1"/>
      <c r="K84" s="1"/>
      <c r="L84" s="1"/>
      <c r="M84" s="1"/>
      <c r="N84" s="1"/>
      <c r="O84" s="1"/>
      <c r="P84" s="1"/>
      <c r="Q84" s="1"/>
      <c r="R84" s="1"/>
      <c r="S84" s="1"/>
      <c r="T84" s="1"/>
      <c r="U84" s="1"/>
      <c r="V84" s="1"/>
      <c r="W84" s="1"/>
      <c r="X84" s="1"/>
      <c r="Y84" s="1"/>
    </row>
    <row r="85" spans="1:25" x14ac:dyDescent="0.3">
      <c r="A85" s="98"/>
      <c r="B85" s="1"/>
      <c r="C85" s="1"/>
      <c r="D85" s="1"/>
      <c r="E85" s="1"/>
      <c r="F85" s="1"/>
      <c r="G85" s="1"/>
      <c r="H85" s="1"/>
      <c r="I85" s="1"/>
      <c r="J85" s="1"/>
      <c r="K85" s="1"/>
      <c r="L85" s="1"/>
      <c r="M85" s="1"/>
      <c r="N85" s="1"/>
      <c r="O85" s="1"/>
      <c r="P85" s="1"/>
      <c r="Q85" s="1"/>
      <c r="R85" s="1"/>
      <c r="S85" s="1"/>
      <c r="T85" s="1"/>
      <c r="U85" s="1"/>
      <c r="V85" s="1"/>
      <c r="W85" s="1"/>
      <c r="X85" s="1"/>
      <c r="Y85" s="1"/>
    </row>
    <row r="86" spans="1:25" x14ac:dyDescent="0.3">
      <c r="A86" s="98"/>
      <c r="B86" s="1"/>
      <c r="C86" s="1"/>
      <c r="D86" s="1"/>
      <c r="E86" s="1"/>
      <c r="F86" s="1"/>
      <c r="G86" s="1"/>
      <c r="H86" s="1"/>
      <c r="I86" s="1"/>
      <c r="J86" s="1"/>
      <c r="K86" s="1"/>
      <c r="L86" s="1"/>
      <c r="M86" s="1"/>
      <c r="N86" s="1"/>
      <c r="O86" s="1"/>
      <c r="P86" s="1"/>
      <c r="Q86" s="1"/>
      <c r="R86" s="1"/>
      <c r="S86" s="1"/>
      <c r="T86" s="1"/>
      <c r="U86" s="1"/>
      <c r="V86" s="1"/>
      <c r="W86" s="1"/>
      <c r="X86" s="1"/>
      <c r="Y86" s="1"/>
    </row>
    <row r="87" spans="1:25" x14ac:dyDescent="0.3">
      <c r="A87" s="98"/>
      <c r="B87" s="1"/>
      <c r="C87" s="1"/>
      <c r="D87" s="1"/>
      <c r="E87" s="1"/>
      <c r="F87" s="1"/>
      <c r="G87" s="1"/>
      <c r="H87" s="1"/>
      <c r="I87" s="1"/>
      <c r="J87" s="1"/>
      <c r="K87" s="1"/>
      <c r="L87" s="1"/>
      <c r="M87" s="1"/>
      <c r="N87" s="1"/>
      <c r="O87" s="1"/>
      <c r="P87" s="1"/>
      <c r="Q87" s="1"/>
      <c r="R87" s="1"/>
      <c r="S87" s="1"/>
      <c r="T87" s="1"/>
      <c r="U87" s="1"/>
      <c r="V87" s="1"/>
      <c r="W87" s="1"/>
      <c r="X87" s="1"/>
      <c r="Y87" s="1"/>
    </row>
    <row r="88" spans="1:25" x14ac:dyDescent="0.3">
      <c r="A88" s="98"/>
      <c r="B88" s="1"/>
      <c r="C88" s="1"/>
      <c r="D88" s="1"/>
      <c r="E88" s="1"/>
      <c r="F88" s="1"/>
      <c r="G88" s="1"/>
      <c r="H88" s="1"/>
      <c r="I88" s="1"/>
      <c r="J88" s="1"/>
      <c r="K88" s="1"/>
      <c r="L88" s="1"/>
      <c r="M88" s="1"/>
      <c r="N88" s="1"/>
      <c r="O88" s="1"/>
      <c r="P88" s="1"/>
      <c r="Q88" s="1"/>
      <c r="R88" s="1"/>
      <c r="S88" s="1"/>
      <c r="T88" s="1"/>
      <c r="U88" s="1"/>
      <c r="V88" s="1"/>
      <c r="W88" s="1"/>
      <c r="X88" s="1"/>
      <c r="Y88" s="1"/>
    </row>
    <row r="89" spans="1:25" x14ac:dyDescent="0.3">
      <c r="A89" s="98"/>
      <c r="B89" s="1"/>
      <c r="C89" s="1"/>
      <c r="D89" s="1"/>
      <c r="E89" s="1"/>
      <c r="F89" s="1"/>
      <c r="G89" s="1"/>
      <c r="H89" s="1"/>
      <c r="I89" s="1"/>
      <c r="J89" s="1"/>
      <c r="K89" s="1"/>
      <c r="L89" s="1"/>
      <c r="M89" s="1"/>
      <c r="N89" s="1"/>
      <c r="O89" s="1"/>
      <c r="P89" s="1"/>
      <c r="Q89" s="1"/>
      <c r="R89" s="1"/>
      <c r="S89" s="1"/>
      <c r="T89" s="1"/>
      <c r="U89" s="1"/>
      <c r="V89" s="1"/>
      <c r="W89" s="1"/>
      <c r="X89" s="1"/>
      <c r="Y89" s="1"/>
    </row>
    <row r="90" spans="1:25" x14ac:dyDescent="0.3">
      <c r="A90" s="98"/>
      <c r="B90" s="1"/>
      <c r="C90" s="1"/>
      <c r="D90" s="1"/>
      <c r="E90" s="1"/>
      <c r="F90" s="1"/>
      <c r="G90" s="1"/>
      <c r="H90" s="1"/>
      <c r="I90" s="1"/>
      <c r="J90" s="1"/>
      <c r="K90" s="1"/>
      <c r="L90" s="1"/>
      <c r="M90" s="1"/>
      <c r="N90" s="1"/>
      <c r="O90" s="1"/>
      <c r="P90" s="1"/>
      <c r="Q90" s="1"/>
      <c r="R90" s="1"/>
      <c r="S90" s="1"/>
      <c r="T90" s="1"/>
      <c r="U90" s="1"/>
      <c r="V90" s="1"/>
      <c r="W90" s="1"/>
      <c r="X90" s="1"/>
      <c r="Y90" s="1"/>
    </row>
    <row r="91" spans="1:25" x14ac:dyDescent="0.3">
      <c r="A91" s="98"/>
      <c r="B91" s="1"/>
      <c r="C91" s="1"/>
      <c r="D91" s="1"/>
      <c r="E91" s="1"/>
      <c r="F91" s="1"/>
      <c r="G91" s="1"/>
      <c r="H91" s="1"/>
      <c r="I91" s="1"/>
      <c r="J91" s="1"/>
      <c r="K91" s="1"/>
      <c r="L91" s="1"/>
      <c r="M91" s="1"/>
      <c r="N91" s="1"/>
      <c r="O91" s="1"/>
      <c r="P91" s="1"/>
      <c r="Q91" s="1"/>
      <c r="R91" s="1"/>
      <c r="S91" s="1"/>
      <c r="T91" s="1"/>
      <c r="U91" s="1"/>
      <c r="V91" s="1"/>
      <c r="W91" s="1"/>
      <c r="X91" s="1"/>
      <c r="Y91" s="1"/>
    </row>
    <row r="92" spans="1:25" x14ac:dyDescent="0.3">
      <c r="A92" s="98"/>
      <c r="B92" s="1"/>
      <c r="C92" s="1"/>
      <c r="D92" s="1"/>
      <c r="E92" s="1"/>
      <c r="F92" s="1"/>
      <c r="G92" s="1"/>
      <c r="H92" s="1"/>
      <c r="I92" s="1"/>
      <c r="J92" s="1"/>
      <c r="K92" s="1"/>
      <c r="L92" s="1"/>
      <c r="M92" s="1"/>
      <c r="N92" s="1"/>
      <c r="O92" s="1"/>
      <c r="P92" s="1"/>
      <c r="Q92" s="1"/>
      <c r="R92" s="1"/>
      <c r="S92" s="1"/>
      <c r="T92" s="1"/>
      <c r="U92" s="1"/>
      <c r="V92" s="1"/>
      <c r="W92" s="1"/>
      <c r="X92" s="1"/>
      <c r="Y92" s="1"/>
    </row>
  </sheetData>
  <sheetProtection algorithmName="SHA-512" hashValue="hfBsSpihj4b4d0eLP9bUlBqj9fdY+QyEggrDbNAT6Ol9KSDG4BnDS/Tol46DFzNAsgKpm1C1xcjQheHqV4fWbA==" saltValue="4I7sR1I1k/uiiuhsORCFng==" spinCount="100000" sheet="1" objects="1" scenarios="1"/>
  <mergeCells count="1">
    <mergeCell ref="A15:F15"/>
  </mergeCells>
  <printOptions horizontalCentered="1"/>
  <pageMargins left="0.25" right="0.25" top="0.75" bottom="0.75" header="0.3" footer="0.3"/>
  <pageSetup orientation="landscape" r:id="rId1"/>
  <headerFooter>
    <oddFooter>&amp;C&amp;"Century Gothic,Regular"&amp;9Page &amp;P of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92E3A-C14F-439B-9DA5-E5BF69089B34}">
  <sheetPr>
    <pageSetUpPr fitToPage="1"/>
  </sheetPr>
  <dimension ref="A1:Y153"/>
  <sheetViews>
    <sheetView zoomScale="130" zoomScaleNormal="130" zoomScaleSheetLayoutView="130" workbookViewId="0">
      <pane xSplit="2" ySplit="3" topLeftCell="C4" activePane="bottomRight" state="frozen"/>
      <selection activeCell="A7" sqref="A7"/>
      <selection pane="topRight" activeCell="A7" sqref="A7"/>
      <selection pane="bottomLeft" activeCell="A7" sqref="A7"/>
      <selection pane="bottomRight" activeCell="C4" sqref="C4"/>
    </sheetView>
  </sheetViews>
  <sheetFormatPr baseColWidth="10" defaultColWidth="9.140625" defaultRowHeight="15.75" x14ac:dyDescent="0.3"/>
  <cols>
    <col min="1" max="1" width="12.7109375" customWidth="1"/>
    <col min="2" max="2" width="33.28515625" style="7" customWidth="1"/>
    <col min="3" max="3" width="13.140625" style="760" customWidth="1"/>
    <col min="4" max="4" width="13.140625" style="761" customWidth="1"/>
    <col min="5" max="6" width="13.140625" style="760" customWidth="1"/>
    <col min="7" max="7" width="13.140625" style="761" customWidth="1"/>
    <col min="8" max="8" width="13.140625" style="760" customWidth="1"/>
    <col min="9" max="9" width="15" style="760" customWidth="1"/>
    <col min="10" max="16384" width="9.140625" style="7"/>
  </cols>
  <sheetData>
    <row r="1" spans="1:25" ht="20.45" customHeight="1" x14ac:dyDescent="0.3">
      <c r="A1" s="89" t="s">
        <v>791</v>
      </c>
      <c r="B1" s="89"/>
      <c r="C1" s="729"/>
      <c r="D1" s="730"/>
      <c r="E1" s="729"/>
      <c r="F1" s="729"/>
      <c r="G1" s="730"/>
      <c r="H1" s="729"/>
      <c r="I1" s="729"/>
      <c r="J1" s="1"/>
      <c r="K1" s="1"/>
      <c r="L1" s="1"/>
      <c r="M1" s="1"/>
      <c r="N1" s="1"/>
      <c r="O1" s="1"/>
      <c r="P1" s="1"/>
      <c r="Q1" s="1"/>
      <c r="R1" s="1"/>
      <c r="S1" s="1"/>
      <c r="T1" s="1"/>
      <c r="U1" s="1"/>
      <c r="V1" s="1"/>
      <c r="W1" s="1"/>
      <c r="X1" s="1"/>
      <c r="Y1" s="1"/>
    </row>
    <row r="2" spans="1:25" ht="15" customHeight="1" x14ac:dyDescent="0.3">
      <c r="A2" s="90" t="s">
        <v>0</v>
      </c>
      <c r="B2" s="328"/>
      <c r="C2" s="1033" t="s">
        <v>33</v>
      </c>
      <c r="D2" s="1034"/>
      <c r="E2" s="1035"/>
      <c r="F2" s="1033" t="s">
        <v>110</v>
      </c>
      <c r="G2" s="1034"/>
      <c r="H2" s="1035"/>
      <c r="I2" s="1030" t="s">
        <v>34</v>
      </c>
      <c r="J2" s="19"/>
      <c r="K2"/>
      <c r="L2"/>
      <c r="M2"/>
      <c r="N2"/>
    </row>
    <row r="3" spans="1:25" ht="15" customHeight="1" x14ac:dyDescent="0.3">
      <c r="A3" s="405" t="s">
        <v>770</v>
      </c>
      <c r="B3" s="405"/>
      <c r="C3" s="731" t="s">
        <v>15</v>
      </c>
      <c r="D3" s="732" t="s">
        <v>31</v>
      </c>
      <c r="E3" s="523" t="s">
        <v>114</v>
      </c>
      <c r="F3" s="731" t="s">
        <v>15</v>
      </c>
      <c r="G3" s="732" t="s">
        <v>31</v>
      </c>
      <c r="H3" s="733" t="s">
        <v>114</v>
      </c>
      <c r="I3" s="1031"/>
      <c r="J3" s="19"/>
      <c r="K3" s="1"/>
      <c r="L3" s="1"/>
      <c r="M3" s="1"/>
      <c r="N3" s="1"/>
      <c r="O3" s="1"/>
      <c r="P3" s="1"/>
      <c r="Q3" s="1"/>
      <c r="R3" s="1"/>
      <c r="S3" s="1"/>
      <c r="T3" s="1"/>
      <c r="U3" s="1"/>
      <c r="V3" s="1"/>
      <c r="W3" s="1"/>
      <c r="X3" s="1"/>
      <c r="Y3" s="1"/>
    </row>
    <row r="4" spans="1:25" s="20" customFormat="1" ht="13.5" x14ac:dyDescent="0.3">
      <c r="A4" s="1028" t="s">
        <v>748</v>
      </c>
      <c r="B4" s="419" t="s">
        <v>124</v>
      </c>
      <c r="C4" s="467"/>
      <c r="D4" s="734"/>
      <c r="E4" s="524"/>
      <c r="F4" s="467"/>
      <c r="G4" s="734"/>
      <c r="H4" s="524"/>
      <c r="I4" s="468"/>
      <c r="J4" s="6"/>
    </row>
    <row r="5" spans="1:25" s="20" customFormat="1" ht="13.5" x14ac:dyDescent="0.3">
      <c r="A5" s="1028"/>
      <c r="B5" s="420" t="s">
        <v>16</v>
      </c>
      <c r="C5" s="774">
        <v>139.60789800000001</v>
      </c>
      <c r="D5" s="735">
        <f>C5/E5</f>
        <v>0.5007975934263259</v>
      </c>
      <c r="E5" s="526">
        <v>278.77110399999998</v>
      </c>
      <c r="F5" s="774">
        <v>187.190414</v>
      </c>
      <c r="G5" s="735">
        <f>F5/H5</f>
        <v>0.79697057504205593</v>
      </c>
      <c r="H5" s="526">
        <v>234.87744699999999</v>
      </c>
      <c r="I5" s="775">
        <f t="shared" ref="I5:I29" si="0">H5+E5</f>
        <v>513.648551</v>
      </c>
      <c r="J5" s="6"/>
    </row>
    <row r="6" spans="1:25" s="20" customFormat="1" ht="13.5" x14ac:dyDescent="0.3">
      <c r="A6" s="1028"/>
      <c r="B6" s="420" t="s">
        <v>30</v>
      </c>
      <c r="C6" s="456">
        <v>68.748391999999996</v>
      </c>
      <c r="D6" s="735">
        <f t="shared" ref="D6:D32" si="1">C6/E6</f>
        <v>0.44346281305433338</v>
      </c>
      <c r="E6" s="526">
        <v>155.026284</v>
      </c>
      <c r="F6" s="456">
        <v>77.100076999999999</v>
      </c>
      <c r="G6" s="735">
        <f t="shared" ref="G6:G32" si="2">F6/H6</f>
        <v>0.74021246169380328</v>
      </c>
      <c r="H6" s="526">
        <v>104.15938800000001</v>
      </c>
      <c r="I6" s="591">
        <f>H6+E6</f>
        <v>259.18567200000001</v>
      </c>
      <c r="J6" s="6"/>
    </row>
    <row r="7" spans="1:25" s="20" customFormat="1" ht="13.5" x14ac:dyDescent="0.3">
      <c r="A7" s="1028"/>
      <c r="B7" s="420" t="s">
        <v>17</v>
      </c>
      <c r="C7" s="456">
        <v>553.71117800000002</v>
      </c>
      <c r="D7" s="735">
        <f t="shared" si="1"/>
        <v>0.49040434899050189</v>
      </c>
      <c r="E7" s="526">
        <v>1129.0910839999999</v>
      </c>
      <c r="F7" s="456">
        <v>374.935293</v>
      </c>
      <c r="G7" s="735">
        <f t="shared" si="2"/>
        <v>0.45790683908485375</v>
      </c>
      <c r="H7" s="526">
        <v>818.80256200000008</v>
      </c>
      <c r="I7" s="591">
        <f>H7+E7</f>
        <v>1947.893646</v>
      </c>
      <c r="J7" s="6"/>
    </row>
    <row r="8" spans="1:25" s="20" customFormat="1" ht="13.5" x14ac:dyDescent="0.3">
      <c r="A8" s="1028"/>
      <c r="B8" s="421" t="s">
        <v>29</v>
      </c>
      <c r="C8" s="456">
        <v>234.215901</v>
      </c>
      <c r="D8" s="735">
        <f t="shared" si="1"/>
        <v>0.52340246284185876</v>
      </c>
      <c r="E8" s="526">
        <v>447.48719699999998</v>
      </c>
      <c r="F8" s="456">
        <v>78.681578000000002</v>
      </c>
      <c r="G8" s="735">
        <f t="shared" si="2"/>
        <v>0.71185248801478151</v>
      </c>
      <c r="H8" s="526">
        <v>110.530734</v>
      </c>
      <c r="I8" s="591">
        <f>H8+E8</f>
        <v>558.01793099999998</v>
      </c>
      <c r="J8" s="6"/>
    </row>
    <row r="9" spans="1:25" s="20" customFormat="1" ht="13.5" x14ac:dyDescent="0.3">
      <c r="A9" s="1028"/>
      <c r="B9" s="421" t="s">
        <v>18</v>
      </c>
      <c r="C9" s="456">
        <v>150.46780699999999</v>
      </c>
      <c r="D9" s="735">
        <f t="shared" si="1"/>
        <v>0.43989671704858946</v>
      </c>
      <c r="E9" s="526">
        <v>342.05257999999998</v>
      </c>
      <c r="F9" s="456">
        <v>139.838998</v>
      </c>
      <c r="G9" s="735">
        <f t="shared" si="2"/>
        <v>0.73713207843674966</v>
      </c>
      <c r="H9" s="526">
        <v>189.706841</v>
      </c>
      <c r="I9" s="591">
        <f>H9+E9</f>
        <v>531.75942099999997</v>
      </c>
      <c r="J9" s="6"/>
    </row>
    <row r="10" spans="1:25" s="20" customFormat="1" ht="13.5" x14ac:dyDescent="0.3">
      <c r="A10" s="1028"/>
      <c r="B10" s="422" t="s">
        <v>21</v>
      </c>
      <c r="C10" s="528">
        <v>39.562959999999997</v>
      </c>
      <c r="D10" s="736">
        <f t="shared" si="1"/>
        <v>0.45604977385496726</v>
      </c>
      <c r="E10" s="530">
        <v>86.751407999999998</v>
      </c>
      <c r="F10" s="528">
        <v>18.394024999999999</v>
      </c>
      <c r="G10" s="736">
        <f t="shared" si="2"/>
        <v>0.69978228179844937</v>
      </c>
      <c r="H10" s="530">
        <v>26.285354000000002</v>
      </c>
      <c r="I10" s="593">
        <f>H10+E10</f>
        <v>113.036762</v>
      </c>
      <c r="J10" s="6"/>
    </row>
    <row r="11" spans="1:25" s="20" customFormat="1" ht="13.5" x14ac:dyDescent="0.3">
      <c r="A11" s="1028"/>
      <c r="B11" s="419" t="s">
        <v>111</v>
      </c>
      <c r="C11" s="529"/>
      <c r="D11" s="734"/>
      <c r="E11" s="532"/>
      <c r="F11" s="529"/>
      <c r="G11" s="734"/>
      <c r="H11" s="532"/>
      <c r="I11" s="592"/>
      <c r="J11" s="6"/>
    </row>
    <row r="12" spans="1:25" s="20" customFormat="1" ht="13.5" x14ac:dyDescent="0.3">
      <c r="A12" s="1028"/>
      <c r="B12" s="420" t="s">
        <v>23</v>
      </c>
      <c r="C12" s="456">
        <v>212.91782799999999</v>
      </c>
      <c r="D12" s="735">
        <f t="shared" si="1"/>
        <v>0.16310757474163903</v>
      </c>
      <c r="E12" s="526">
        <v>1305.3828329999999</v>
      </c>
      <c r="F12" s="456">
        <v>246.16550699999999</v>
      </c>
      <c r="G12" s="735">
        <f t="shared" si="2"/>
        <v>0.28346442142963768</v>
      </c>
      <c r="H12" s="526">
        <v>868.41765099999998</v>
      </c>
      <c r="I12" s="591">
        <f t="shared" si="0"/>
        <v>2173.8004839999999</v>
      </c>
      <c r="J12" s="6"/>
    </row>
    <row r="13" spans="1:25" s="20" customFormat="1" ht="13.5" x14ac:dyDescent="0.3">
      <c r="A13" s="1028"/>
      <c r="B13" s="423" t="s">
        <v>22</v>
      </c>
      <c r="C13" s="528">
        <v>50.887036000000002</v>
      </c>
      <c r="D13" s="736">
        <f t="shared" si="1"/>
        <v>0.12587372062032956</v>
      </c>
      <c r="E13" s="530">
        <v>404.270532</v>
      </c>
      <c r="F13" s="528">
        <v>75.681486000000007</v>
      </c>
      <c r="G13" s="736">
        <f t="shared" si="2"/>
        <v>0.22652605018930314</v>
      </c>
      <c r="H13" s="530">
        <v>334.09617100000003</v>
      </c>
      <c r="I13" s="593">
        <f>H13+E13</f>
        <v>738.36670300000003</v>
      </c>
      <c r="J13" s="6"/>
    </row>
    <row r="14" spans="1:25" s="20" customFormat="1" ht="13.5" x14ac:dyDescent="0.3">
      <c r="A14" s="1028"/>
      <c r="B14" s="419" t="s">
        <v>112</v>
      </c>
      <c r="C14" s="529"/>
      <c r="D14" s="734"/>
      <c r="E14" s="532"/>
      <c r="F14" s="529"/>
      <c r="G14" s="734"/>
      <c r="H14" s="532"/>
      <c r="I14" s="592"/>
      <c r="J14" s="6"/>
    </row>
    <row r="15" spans="1:25" s="20" customFormat="1" ht="13.5" x14ac:dyDescent="0.3">
      <c r="A15" s="1028"/>
      <c r="B15" s="88" t="s">
        <v>197</v>
      </c>
      <c r="C15" s="529">
        <v>175.54009600000001</v>
      </c>
      <c r="D15" s="734">
        <f>C15/E15</f>
        <v>9.4381505899298987E-2</v>
      </c>
      <c r="E15" s="532">
        <v>1859.8992920000001</v>
      </c>
      <c r="F15" s="529">
        <v>271.81724800000001</v>
      </c>
      <c r="G15" s="734">
        <f t="shared" si="2"/>
        <v>0.16474298146155891</v>
      </c>
      <c r="H15" s="532">
        <v>1649.9473640000001</v>
      </c>
      <c r="I15" s="592">
        <f t="shared" si="0"/>
        <v>3509.8466560000002</v>
      </c>
      <c r="J15" s="6"/>
    </row>
    <row r="16" spans="1:25" s="400" customFormat="1" ht="13.5" x14ac:dyDescent="0.3">
      <c r="A16" s="1028"/>
      <c r="B16" s="424" t="s">
        <v>749</v>
      </c>
      <c r="C16" s="737">
        <f>SUM(C5:C15)</f>
        <v>1625.6590960000001</v>
      </c>
      <c r="D16" s="738">
        <f>C16/E16</f>
        <v>0.27054942890571249</v>
      </c>
      <c r="E16" s="739">
        <f t="shared" ref="E16:F16" si="3">SUM(E5:E15)</f>
        <v>6008.732313999999</v>
      </c>
      <c r="F16" s="737">
        <f t="shared" si="3"/>
        <v>1469.8046259999999</v>
      </c>
      <c r="G16" s="738">
        <f t="shared" si="2"/>
        <v>0.33891271386374083</v>
      </c>
      <c r="H16" s="739">
        <f>SUM(H5:H15)</f>
        <v>4336.8235120000008</v>
      </c>
      <c r="I16" s="740">
        <f t="shared" si="0"/>
        <v>10345.555826</v>
      </c>
      <c r="J16" s="399"/>
    </row>
    <row r="17" spans="1:10" s="20" customFormat="1" ht="13.5" x14ac:dyDescent="0.3">
      <c r="A17" s="1027" t="s">
        <v>750</v>
      </c>
      <c r="B17" s="419" t="s">
        <v>124</v>
      </c>
      <c r="C17" s="467"/>
      <c r="D17" s="734"/>
      <c r="E17" s="524"/>
      <c r="F17" s="467"/>
      <c r="G17" s="734"/>
      <c r="H17" s="524"/>
      <c r="I17" s="468"/>
      <c r="J17" s="6"/>
    </row>
    <row r="18" spans="1:10" s="20" customFormat="1" ht="13.5" x14ac:dyDescent="0.3">
      <c r="A18" s="1028"/>
      <c r="B18" s="420" t="s">
        <v>19</v>
      </c>
      <c r="C18" s="774">
        <v>46.756424000000003</v>
      </c>
      <c r="D18" s="735">
        <f t="shared" si="1"/>
        <v>0.67600078865079627</v>
      </c>
      <c r="E18" s="526">
        <v>69.166227000000006</v>
      </c>
      <c r="F18" s="774">
        <v>43.235702000000003</v>
      </c>
      <c r="G18" s="735">
        <f t="shared" si="2"/>
        <v>0.47628396625617869</v>
      </c>
      <c r="H18" s="526">
        <v>90.777152000000001</v>
      </c>
      <c r="I18" s="775">
        <f>H18+E18</f>
        <v>159.94337899999999</v>
      </c>
      <c r="J18" s="41"/>
    </row>
    <row r="19" spans="1:10" s="20" customFormat="1" ht="13.5" x14ac:dyDescent="0.3">
      <c r="A19" s="1028"/>
      <c r="B19" s="423" t="s">
        <v>20</v>
      </c>
      <c r="C19" s="456">
        <v>21.275807</v>
      </c>
      <c r="D19" s="735">
        <f t="shared" si="1"/>
        <v>0.53822505145135136</v>
      </c>
      <c r="E19" s="526">
        <v>39.529573999999997</v>
      </c>
      <c r="F19" s="456">
        <v>31.456848999999998</v>
      </c>
      <c r="G19" s="735">
        <f t="shared" si="2"/>
        <v>0.61798064949239173</v>
      </c>
      <c r="H19" s="526">
        <v>50.902644000000002</v>
      </c>
      <c r="I19" s="591">
        <f>H19+E19</f>
        <v>90.432218000000006</v>
      </c>
      <c r="J19" s="6"/>
    </row>
    <row r="20" spans="1:10" s="400" customFormat="1" ht="13.5" x14ac:dyDescent="0.3">
      <c r="A20" s="1029"/>
      <c r="B20" s="424" t="s">
        <v>751</v>
      </c>
      <c r="C20" s="737">
        <f>SUM(C18:C19)</f>
        <v>68.032230999999996</v>
      </c>
      <c r="D20" s="738">
        <f>C20/E20</f>
        <v>0.62589566822365106</v>
      </c>
      <c r="E20" s="739">
        <f>SUM(E18:E19)</f>
        <v>108.695801</v>
      </c>
      <c r="F20" s="737">
        <f>SUM(F18:F19)</f>
        <v>74.692551000000009</v>
      </c>
      <c r="G20" s="738">
        <f t="shared" si="2"/>
        <v>0.52719267749369148</v>
      </c>
      <c r="H20" s="739">
        <f>SUM(H18:H19)</f>
        <v>141.67979600000001</v>
      </c>
      <c r="I20" s="740">
        <f t="shared" si="0"/>
        <v>250.37559700000003</v>
      </c>
      <c r="J20" s="399"/>
    </row>
    <row r="21" spans="1:10" s="20" customFormat="1" ht="10.9" customHeight="1" x14ac:dyDescent="0.3">
      <c r="A21" s="1027" t="s">
        <v>752</v>
      </c>
      <c r="B21" s="419" t="s">
        <v>124</v>
      </c>
      <c r="C21" s="467"/>
      <c r="D21" s="734"/>
      <c r="E21" s="524"/>
      <c r="F21" s="467"/>
      <c r="G21" s="734"/>
      <c r="H21" s="524"/>
      <c r="I21" s="468"/>
      <c r="J21" s="6"/>
    </row>
    <row r="22" spans="1:10" s="20" customFormat="1" ht="13.5" x14ac:dyDescent="0.3">
      <c r="A22" s="1028"/>
      <c r="B22" s="421" t="s">
        <v>26</v>
      </c>
      <c r="C22" s="774">
        <v>13.460663</v>
      </c>
      <c r="D22" s="735">
        <f t="shared" si="1"/>
        <v>0.25534162694949941</v>
      </c>
      <c r="E22" s="526">
        <v>52.716289000000003</v>
      </c>
      <c r="F22" s="774">
        <v>66.751564999999999</v>
      </c>
      <c r="G22" s="735">
        <f t="shared" si="2"/>
        <v>0.51184532606995714</v>
      </c>
      <c r="H22" s="526">
        <v>130.41354799999999</v>
      </c>
      <c r="I22" s="775">
        <f t="shared" si="0"/>
        <v>183.12983700000001</v>
      </c>
      <c r="J22" s="6"/>
    </row>
    <row r="23" spans="1:10" s="20" customFormat="1" ht="13.5" x14ac:dyDescent="0.3">
      <c r="A23" s="1028"/>
      <c r="B23" s="425" t="s">
        <v>27</v>
      </c>
      <c r="C23" s="528">
        <v>45.712083</v>
      </c>
      <c r="D23" s="736">
        <f t="shared" si="1"/>
        <v>0.48959499529261563</v>
      </c>
      <c r="E23" s="530">
        <v>93.367137</v>
      </c>
      <c r="F23" s="528">
        <v>137.30277799999999</v>
      </c>
      <c r="G23" s="736">
        <f t="shared" si="2"/>
        <v>0.68101181170008573</v>
      </c>
      <c r="H23" s="530">
        <v>201.61585400000001</v>
      </c>
      <c r="I23" s="593">
        <f t="shared" si="0"/>
        <v>294.98299100000003</v>
      </c>
      <c r="J23" s="6"/>
    </row>
    <row r="24" spans="1:10" s="20" customFormat="1" ht="13.5" x14ac:dyDescent="0.3">
      <c r="A24" s="1028"/>
      <c r="B24" s="419" t="s">
        <v>113</v>
      </c>
      <c r="C24" s="529"/>
      <c r="D24" s="734"/>
      <c r="E24" s="532"/>
      <c r="F24" s="529"/>
      <c r="G24" s="734"/>
      <c r="H24" s="532"/>
      <c r="I24" s="592"/>
      <c r="J24" s="6"/>
    </row>
    <row r="25" spans="1:10" s="20" customFormat="1" ht="13.5" x14ac:dyDescent="0.3">
      <c r="A25" s="1028"/>
      <c r="B25" s="421" t="s">
        <v>28</v>
      </c>
      <c r="C25" s="456">
        <v>10.010615</v>
      </c>
      <c r="D25" s="735">
        <f t="shared" si="1"/>
        <v>6.7803768555796326E-3</v>
      </c>
      <c r="E25" s="526">
        <v>1476.4098240000001</v>
      </c>
      <c r="F25" s="456">
        <v>48.015048999999998</v>
      </c>
      <c r="G25" s="735">
        <f t="shared" si="2"/>
        <v>0.18185560306407608</v>
      </c>
      <c r="H25" s="526">
        <v>264.02842800000002</v>
      </c>
      <c r="I25" s="591">
        <f t="shared" si="0"/>
        <v>1740.4382520000001</v>
      </c>
      <c r="J25" s="6"/>
    </row>
    <row r="26" spans="1:10" s="400" customFormat="1" ht="13.5" x14ac:dyDescent="0.3">
      <c r="A26" s="1028"/>
      <c r="B26" s="424" t="s">
        <v>756</v>
      </c>
      <c r="C26" s="737">
        <f>SUM(C22:C25)</f>
        <v>69.183361000000005</v>
      </c>
      <c r="D26" s="738">
        <f t="shared" si="1"/>
        <v>4.2640153356570211E-2</v>
      </c>
      <c r="E26" s="739">
        <f>SUM(E22:E25)</f>
        <v>1622.49325</v>
      </c>
      <c r="F26" s="737">
        <f>SUM(F22:F25)</f>
        <v>252.06939199999999</v>
      </c>
      <c r="G26" s="738">
        <f t="shared" si="2"/>
        <v>0.42289418796830502</v>
      </c>
      <c r="H26" s="739">
        <f>SUM(H22:H25)</f>
        <v>596.05782999999997</v>
      </c>
      <c r="I26" s="740">
        <f t="shared" si="0"/>
        <v>2218.5510800000002</v>
      </c>
      <c r="J26" s="399"/>
    </row>
    <row r="27" spans="1:10" s="20" customFormat="1" ht="13.5" x14ac:dyDescent="0.3">
      <c r="A27" s="1027" t="s">
        <v>217</v>
      </c>
      <c r="B27" s="419" t="s">
        <v>217</v>
      </c>
      <c r="C27" s="467"/>
      <c r="D27" s="734"/>
      <c r="E27" s="524"/>
      <c r="F27" s="467"/>
      <c r="G27" s="734"/>
      <c r="H27" s="524"/>
      <c r="I27" s="468"/>
      <c r="J27" s="6"/>
    </row>
    <row r="28" spans="1:10" s="20" customFormat="1" ht="27" x14ac:dyDescent="0.3">
      <c r="A28" s="1028"/>
      <c r="B28" s="421" t="s">
        <v>235</v>
      </c>
      <c r="C28" s="774">
        <v>15.463476999999999</v>
      </c>
      <c r="D28" s="735">
        <f t="shared" si="1"/>
        <v>0.55011430092618629</v>
      </c>
      <c r="E28" s="526">
        <v>28.109570999999999</v>
      </c>
      <c r="F28" s="774">
        <v>17.398778</v>
      </c>
      <c r="G28" s="735">
        <f t="shared" si="2"/>
        <v>0.72045378194199861</v>
      </c>
      <c r="H28" s="526">
        <v>24.149749</v>
      </c>
      <c r="I28" s="775">
        <f t="shared" si="0"/>
        <v>52.259320000000002</v>
      </c>
      <c r="J28" s="6"/>
    </row>
    <row r="29" spans="1:10" s="20" customFormat="1" ht="13.5" x14ac:dyDescent="0.3">
      <c r="A29" s="1028"/>
      <c r="B29" s="426" t="s">
        <v>24</v>
      </c>
      <c r="C29" s="456">
        <v>0.51081799999999999</v>
      </c>
      <c r="D29" s="735">
        <f t="shared" si="1"/>
        <v>4.9319234142151211E-2</v>
      </c>
      <c r="E29" s="526">
        <v>10.357379</v>
      </c>
      <c r="F29" s="456">
        <v>3.5384579999999999</v>
      </c>
      <c r="G29" s="735">
        <f t="shared" si="2"/>
        <v>0.17934486269830932</v>
      </c>
      <c r="H29" s="526">
        <v>19.72991</v>
      </c>
      <c r="I29" s="591">
        <f t="shared" si="0"/>
        <v>30.087288999999998</v>
      </c>
      <c r="J29" s="6"/>
    </row>
    <row r="30" spans="1:10" s="20" customFormat="1" ht="13.5" x14ac:dyDescent="0.3">
      <c r="A30" s="1028"/>
      <c r="B30" s="426" t="s">
        <v>25</v>
      </c>
      <c r="C30" s="456">
        <v>1.4633E-2</v>
      </c>
      <c r="D30" s="735">
        <f t="shared" si="1"/>
        <v>7.9074011069605015E-4</v>
      </c>
      <c r="E30" s="526">
        <v>18.505448000000001</v>
      </c>
      <c r="F30" s="456">
        <v>0.30671300000000001</v>
      </c>
      <c r="G30" s="735">
        <f t="shared" si="2"/>
        <v>5.3917966596537019E-2</v>
      </c>
      <c r="H30" s="526">
        <v>5.6885120000000002</v>
      </c>
      <c r="I30" s="591">
        <f>H30+E30</f>
        <v>24.193960000000001</v>
      </c>
      <c r="J30" s="6"/>
    </row>
    <row r="31" spans="1:10" s="20" customFormat="1" ht="10.9" customHeight="1" x14ac:dyDescent="0.3">
      <c r="A31" s="1028"/>
      <c r="B31" s="426" t="s">
        <v>789</v>
      </c>
      <c r="C31" s="456">
        <v>25</v>
      </c>
      <c r="D31" s="735">
        <f t="shared" si="1"/>
        <v>5.7736720554272515E-2</v>
      </c>
      <c r="E31" s="526">
        <v>433</v>
      </c>
      <c r="F31" s="456">
        <v>456</v>
      </c>
      <c r="G31" s="735">
        <f t="shared" si="2"/>
        <v>0.23626943005181347</v>
      </c>
      <c r="H31" s="526">
        <v>1930</v>
      </c>
      <c r="I31" s="591">
        <f>H31+E31</f>
        <v>2363</v>
      </c>
      <c r="J31" s="6"/>
    </row>
    <row r="32" spans="1:10" s="400" customFormat="1" ht="13.5" x14ac:dyDescent="0.3">
      <c r="A32" s="1029"/>
      <c r="B32" s="424" t="s">
        <v>757</v>
      </c>
      <c r="C32" s="737">
        <f>SUM(C28:C30)</f>
        <v>15.988928</v>
      </c>
      <c r="D32" s="738">
        <f t="shared" si="1"/>
        <v>0.28064340911190011</v>
      </c>
      <c r="E32" s="739">
        <f>SUM(E28:E30)</f>
        <v>56.972397999999998</v>
      </c>
      <c r="F32" s="737">
        <f>SUM(F28:F30)</f>
        <v>21.243948999999997</v>
      </c>
      <c r="G32" s="738">
        <f t="shared" si="2"/>
        <v>0.42858044933713602</v>
      </c>
      <c r="H32" s="739">
        <f>SUM(H28:H30)</f>
        <v>49.568171000000007</v>
      </c>
      <c r="I32" s="740">
        <f>H32+E32</f>
        <v>106.540569</v>
      </c>
      <c r="J32" s="399"/>
    </row>
    <row r="33" spans="1:11" s="20" customFormat="1" ht="5.0999999999999996" customHeight="1" x14ac:dyDescent="0.3">
      <c r="A33" s="5"/>
      <c r="B33" s="388"/>
      <c r="C33" s="537"/>
      <c r="D33" s="741"/>
      <c r="E33" s="742"/>
      <c r="F33" s="537"/>
      <c r="G33" s="741"/>
      <c r="H33" s="742"/>
      <c r="I33" s="743"/>
      <c r="J33" s="6"/>
    </row>
    <row r="34" spans="1:11" s="400" customFormat="1" ht="13.5" x14ac:dyDescent="0.3">
      <c r="A34" s="401" t="s">
        <v>201</v>
      </c>
      <c r="B34" s="401"/>
      <c r="C34" s="744">
        <f>C32+C26+C20+C16</f>
        <v>1778.8636160000001</v>
      </c>
      <c r="D34" s="745">
        <f>C34/E34</f>
        <v>0.22815029549864604</v>
      </c>
      <c r="E34" s="746">
        <f>E32+E26+E20+E16</f>
        <v>7796.8937629999991</v>
      </c>
      <c r="F34" s="744">
        <f>F32+F26+F20+F16</f>
        <v>1817.8105179999998</v>
      </c>
      <c r="G34" s="745">
        <f>F34/H34</f>
        <v>0.3547550048760878</v>
      </c>
      <c r="H34" s="746">
        <f>H32+H26+H20+H16</f>
        <v>5124.1293090000008</v>
      </c>
      <c r="I34" s="747">
        <f>I32+I26+I20+I16</f>
        <v>12921.023072</v>
      </c>
      <c r="J34" s="399"/>
    </row>
    <row r="35" spans="1:11" s="1" customFormat="1" ht="8.1" customHeight="1" x14ac:dyDescent="0.3">
      <c r="A35" s="5"/>
      <c r="B35" s="5"/>
      <c r="C35" s="748"/>
      <c r="D35" s="749"/>
      <c r="E35" s="750"/>
      <c r="F35" s="748"/>
      <c r="G35" s="749"/>
      <c r="H35" s="751"/>
      <c r="I35" s="752"/>
    </row>
    <row r="36" spans="1:11" customFormat="1" ht="15" x14ac:dyDescent="0.25">
      <c r="A36" s="185" t="s">
        <v>229</v>
      </c>
      <c r="B36" s="32"/>
      <c r="C36" s="753"/>
      <c r="D36" s="754"/>
      <c r="E36" s="755"/>
      <c r="F36" s="755"/>
      <c r="G36" s="754"/>
      <c r="H36" s="756"/>
      <c r="I36" s="757"/>
      <c r="J36" s="5"/>
      <c r="K36" s="5"/>
    </row>
    <row r="37" spans="1:11" customFormat="1" ht="15" x14ac:dyDescent="0.25">
      <c r="A37" s="185" t="s">
        <v>978</v>
      </c>
      <c r="B37" s="32"/>
      <c r="C37" s="753"/>
      <c r="D37" s="754"/>
      <c r="E37" s="755"/>
      <c r="F37" s="755"/>
      <c r="G37" s="754"/>
      <c r="H37" s="755"/>
      <c r="I37" s="757"/>
      <c r="J37" s="5"/>
      <c r="K37" s="5"/>
    </row>
    <row r="38" spans="1:11" customFormat="1" ht="15" x14ac:dyDescent="0.25">
      <c r="A38" s="1032" t="s">
        <v>808</v>
      </c>
      <c r="B38" s="1032"/>
      <c r="C38" s="1032"/>
      <c r="D38" s="1032"/>
      <c r="E38" s="1032"/>
      <c r="F38" s="1032"/>
      <c r="G38" s="1032"/>
      <c r="H38" s="1032"/>
      <c r="I38" s="755"/>
      <c r="J38" s="5"/>
      <c r="K38" s="5"/>
    </row>
    <row r="39" spans="1:11" customFormat="1" ht="15" x14ac:dyDescent="0.25">
      <c r="A39" s="1032"/>
      <c r="B39" s="1032"/>
      <c r="C39" s="1032"/>
      <c r="D39" s="1032"/>
      <c r="E39" s="1032"/>
      <c r="F39" s="1032"/>
      <c r="G39" s="1032"/>
      <c r="H39" s="1032"/>
      <c r="I39" s="755"/>
      <c r="J39" s="5"/>
      <c r="K39" s="5"/>
    </row>
    <row r="40" spans="1:11" customFormat="1" ht="22.15" customHeight="1" x14ac:dyDescent="0.25">
      <c r="A40" s="1032"/>
      <c r="B40" s="1032"/>
      <c r="C40" s="1032"/>
      <c r="D40" s="1032"/>
      <c r="E40" s="1032"/>
      <c r="F40" s="1032"/>
      <c r="G40" s="1032"/>
      <c r="H40" s="1032"/>
      <c r="I40" s="755"/>
      <c r="J40" s="5"/>
      <c r="K40" s="5"/>
    </row>
    <row r="41" spans="1:11" s="1" customFormat="1" x14ac:dyDescent="0.3">
      <c r="A41" s="5"/>
      <c r="C41" s="758"/>
      <c r="D41" s="759"/>
      <c r="E41" s="758"/>
      <c r="F41" s="758"/>
      <c r="G41" s="759"/>
      <c r="H41" s="758"/>
      <c r="I41" s="758"/>
    </row>
    <row r="42" spans="1:11" s="1" customFormat="1" x14ac:dyDescent="0.3">
      <c r="A42" s="5"/>
      <c r="C42" s="758"/>
      <c r="D42" s="759"/>
      <c r="E42" s="758"/>
      <c r="F42" s="758"/>
      <c r="G42" s="759"/>
      <c r="H42" s="758"/>
      <c r="I42" s="758"/>
    </row>
    <row r="43" spans="1:11" s="1" customFormat="1" x14ac:dyDescent="0.3">
      <c r="A43" s="5"/>
      <c r="C43" s="758"/>
      <c r="D43" s="759"/>
      <c r="E43" s="758"/>
      <c r="F43" s="758"/>
      <c r="G43" s="759"/>
      <c r="H43" s="758"/>
      <c r="I43" s="758"/>
    </row>
    <row r="44" spans="1:11" s="1" customFormat="1" x14ac:dyDescent="0.3">
      <c r="A44" s="5"/>
      <c r="C44" s="758"/>
      <c r="D44" s="759"/>
      <c r="E44" s="758"/>
      <c r="F44" s="758"/>
      <c r="G44" s="759"/>
      <c r="H44" s="758"/>
      <c r="I44" s="758"/>
    </row>
    <row r="45" spans="1:11" s="1" customFormat="1" x14ac:dyDescent="0.3">
      <c r="A45" s="5"/>
      <c r="C45" s="758"/>
      <c r="D45" s="759"/>
      <c r="E45" s="758"/>
      <c r="F45" s="758"/>
      <c r="G45" s="759"/>
      <c r="H45" s="758"/>
      <c r="I45" s="758"/>
    </row>
    <row r="46" spans="1:11" s="1" customFormat="1" x14ac:dyDescent="0.3">
      <c r="A46" s="5"/>
      <c r="C46" s="758"/>
      <c r="D46" s="759"/>
      <c r="E46" s="758"/>
      <c r="F46" s="758"/>
      <c r="G46" s="759"/>
      <c r="H46" s="758"/>
      <c r="I46" s="758"/>
    </row>
    <row r="47" spans="1:11" s="1" customFormat="1" x14ac:dyDescent="0.3">
      <c r="A47" s="5"/>
      <c r="C47" s="758"/>
      <c r="D47" s="759"/>
      <c r="E47" s="758"/>
      <c r="F47" s="758"/>
      <c r="G47" s="759"/>
      <c r="H47" s="758"/>
      <c r="I47" s="758"/>
    </row>
    <row r="48" spans="1:11" s="1" customFormat="1" x14ac:dyDescent="0.3">
      <c r="A48" s="5"/>
      <c r="C48" s="758"/>
      <c r="D48" s="759"/>
      <c r="E48" s="758"/>
      <c r="F48" s="758"/>
      <c r="G48" s="759"/>
      <c r="H48" s="758"/>
      <c r="I48" s="758"/>
    </row>
    <row r="49" spans="1:9" s="1" customFormat="1" x14ac:dyDescent="0.3">
      <c r="A49" s="5"/>
      <c r="C49" s="758"/>
      <c r="D49" s="759"/>
      <c r="E49" s="758"/>
      <c r="F49" s="758"/>
      <c r="G49" s="759"/>
      <c r="H49" s="758"/>
      <c r="I49" s="758"/>
    </row>
    <row r="50" spans="1:9" s="1" customFormat="1" x14ac:dyDescent="0.3">
      <c r="A50" s="5"/>
      <c r="C50" s="758"/>
      <c r="D50" s="759"/>
      <c r="E50" s="758"/>
      <c r="F50" s="758"/>
      <c r="G50" s="759"/>
      <c r="H50" s="758"/>
      <c r="I50" s="758"/>
    </row>
    <row r="51" spans="1:9" s="1" customFormat="1" x14ac:dyDescent="0.3">
      <c r="A51" s="5"/>
      <c r="C51" s="758"/>
      <c r="D51" s="759"/>
      <c r="E51" s="758"/>
      <c r="F51" s="758"/>
      <c r="G51" s="759"/>
      <c r="H51" s="758"/>
      <c r="I51" s="758"/>
    </row>
    <row r="52" spans="1:9" s="1" customFormat="1" x14ac:dyDescent="0.3">
      <c r="A52" s="5"/>
      <c r="C52" s="758"/>
      <c r="D52" s="759"/>
      <c r="E52" s="758"/>
      <c r="F52" s="758"/>
      <c r="G52" s="759"/>
      <c r="H52" s="758"/>
      <c r="I52" s="758"/>
    </row>
    <row r="53" spans="1:9" s="1" customFormat="1" x14ac:dyDescent="0.3">
      <c r="A53" s="5"/>
      <c r="C53" s="758"/>
      <c r="D53" s="759"/>
      <c r="E53" s="758"/>
      <c r="F53" s="758"/>
      <c r="G53" s="759"/>
      <c r="H53" s="758"/>
      <c r="I53" s="758"/>
    </row>
    <row r="54" spans="1:9" s="1" customFormat="1" x14ac:dyDescent="0.3">
      <c r="A54" s="5"/>
      <c r="C54" s="758"/>
      <c r="D54" s="759"/>
      <c r="E54" s="758"/>
      <c r="F54" s="758"/>
      <c r="G54" s="759"/>
      <c r="H54" s="758"/>
      <c r="I54" s="758"/>
    </row>
    <row r="55" spans="1:9" s="1" customFormat="1" x14ac:dyDescent="0.3">
      <c r="A55" s="5"/>
      <c r="C55" s="758"/>
      <c r="D55" s="759"/>
      <c r="E55" s="758"/>
      <c r="F55" s="758"/>
      <c r="G55" s="759"/>
      <c r="H55" s="758"/>
      <c r="I55" s="758"/>
    </row>
    <row r="56" spans="1:9" x14ac:dyDescent="0.3">
      <c r="A56" s="5"/>
      <c r="B56" s="1"/>
    </row>
    <row r="57" spans="1:9" x14ac:dyDescent="0.3">
      <c r="A57" s="5"/>
      <c r="B57" s="1"/>
    </row>
    <row r="58" spans="1:9" x14ac:dyDescent="0.3">
      <c r="A58" s="5"/>
      <c r="B58" s="1"/>
    </row>
    <row r="59" spans="1:9" x14ac:dyDescent="0.3">
      <c r="A59" s="5"/>
      <c r="B59" s="1"/>
    </row>
    <row r="60" spans="1:9" x14ac:dyDescent="0.3">
      <c r="A60" s="5"/>
      <c r="B60" s="1"/>
    </row>
    <row r="61" spans="1:9" x14ac:dyDescent="0.3">
      <c r="A61" s="5"/>
      <c r="B61" s="1"/>
    </row>
    <row r="62" spans="1:9" x14ac:dyDescent="0.3">
      <c r="A62" s="5"/>
      <c r="B62" s="1"/>
    </row>
    <row r="63" spans="1:9" x14ac:dyDescent="0.3">
      <c r="A63" s="5"/>
      <c r="B63" s="1"/>
    </row>
    <row r="64" spans="1:9" x14ac:dyDescent="0.3">
      <c r="A64" s="5"/>
      <c r="B64" s="1"/>
    </row>
    <row r="65" spans="1:2" x14ac:dyDescent="0.3">
      <c r="A65" s="5"/>
      <c r="B65" s="1"/>
    </row>
    <row r="66" spans="1:2" x14ac:dyDescent="0.3">
      <c r="A66" s="5"/>
      <c r="B66" s="1"/>
    </row>
    <row r="67" spans="1:2" x14ac:dyDescent="0.3">
      <c r="A67" s="5"/>
      <c r="B67" s="1"/>
    </row>
    <row r="68" spans="1:2" x14ac:dyDescent="0.3">
      <c r="A68" s="5"/>
      <c r="B68" s="1"/>
    </row>
    <row r="69" spans="1:2" x14ac:dyDescent="0.3">
      <c r="A69" s="5"/>
      <c r="B69" s="1"/>
    </row>
    <row r="70" spans="1:2" x14ac:dyDescent="0.3">
      <c r="A70" s="5"/>
      <c r="B70" s="1"/>
    </row>
    <row r="71" spans="1:2" x14ac:dyDescent="0.3">
      <c r="A71" s="5"/>
      <c r="B71" s="1"/>
    </row>
    <row r="72" spans="1:2" x14ac:dyDescent="0.3">
      <c r="A72" s="5"/>
      <c r="B72" s="1"/>
    </row>
    <row r="73" spans="1:2" x14ac:dyDescent="0.3">
      <c r="A73" s="5"/>
      <c r="B73" s="1"/>
    </row>
    <row r="74" spans="1:2" x14ac:dyDescent="0.3">
      <c r="A74" s="5"/>
      <c r="B74" s="1"/>
    </row>
    <row r="75" spans="1:2" x14ac:dyDescent="0.3">
      <c r="A75" s="5"/>
      <c r="B75" s="1"/>
    </row>
    <row r="76" spans="1:2" x14ac:dyDescent="0.3">
      <c r="A76" s="5"/>
      <c r="B76" s="1"/>
    </row>
    <row r="77" spans="1:2" x14ac:dyDescent="0.3">
      <c r="A77" s="5"/>
      <c r="B77" s="1"/>
    </row>
    <row r="78" spans="1:2" x14ac:dyDescent="0.3">
      <c r="A78" s="5"/>
      <c r="B78" s="1"/>
    </row>
    <row r="79" spans="1:2" x14ac:dyDescent="0.3">
      <c r="A79" s="5"/>
      <c r="B79" s="1"/>
    </row>
    <row r="80" spans="1:2" x14ac:dyDescent="0.3">
      <c r="A80" s="5"/>
      <c r="B80" s="1"/>
    </row>
    <row r="81" spans="1:2" x14ac:dyDescent="0.3">
      <c r="A81" s="5"/>
      <c r="B81" s="1"/>
    </row>
    <row r="82" spans="1:2" x14ac:dyDescent="0.3">
      <c r="A82" s="5"/>
      <c r="B82" s="1"/>
    </row>
    <row r="83" spans="1:2" x14ac:dyDescent="0.3">
      <c r="A83" s="5"/>
      <c r="B83" s="1"/>
    </row>
    <row r="84" spans="1:2" x14ac:dyDescent="0.3">
      <c r="A84" s="5"/>
      <c r="B84" s="1"/>
    </row>
    <row r="85" spans="1:2" x14ac:dyDescent="0.3">
      <c r="A85" s="5"/>
      <c r="B85" s="1"/>
    </row>
    <row r="86" spans="1:2" x14ac:dyDescent="0.3">
      <c r="A86" s="5"/>
      <c r="B86" s="1"/>
    </row>
    <row r="87" spans="1:2" x14ac:dyDescent="0.3">
      <c r="A87" s="5"/>
      <c r="B87" s="1"/>
    </row>
    <row r="88" spans="1:2" x14ac:dyDescent="0.3">
      <c r="A88" s="5"/>
      <c r="B88" s="1"/>
    </row>
    <row r="89" spans="1:2" x14ac:dyDescent="0.3">
      <c r="A89" s="5"/>
      <c r="B89" s="1"/>
    </row>
    <row r="90" spans="1:2" x14ac:dyDescent="0.3">
      <c r="A90" s="5"/>
      <c r="B90" s="1"/>
    </row>
    <row r="91" spans="1:2" x14ac:dyDescent="0.3">
      <c r="A91" s="5"/>
      <c r="B91" s="1"/>
    </row>
    <row r="92" spans="1:2" x14ac:dyDescent="0.3">
      <c r="A92" s="5"/>
      <c r="B92" s="1"/>
    </row>
    <row r="93" spans="1:2" x14ac:dyDescent="0.3">
      <c r="A93" s="5"/>
      <c r="B93" s="1"/>
    </row>
    <row r="94" spans="1:2" x14ac:dyDescent="0.3">
      <c r="A94" s="5"/>
      <c r="B94" s="1"/>
    </row>
    <row r="95" spans="1:2" x14ac:dyDescent="0.3">
      <c r="A95" s="5"/>
      <c r="B95" s="1"/>
    </row>
    <row r="96" spans="1:2" x14ac:dyDescent="0.3">
      <c r="A96" s="5"/>
      <c r="B96" s="1"/>
    </row>
    <row r="97" spans="1:2" x14ac:dyDescent="0.3">
      <c r="A97" s="5"/>
      <c r="B97" s="1"/>
    </row>
    <row r="98" spans="1:2" x14ac:dyDescent="0.3">
      <c r="A98" s="5"/>
      <c r="B98" s="1"/>
    </row>
    <row r="99" spans="1:2" x14ac:dyDescent="0.3">
      <c r="A99" s="5"/>
      <c r="B99" s="1"/>
    </row>
    <row r="100" spans="1:2" x14ac:dyDescent="0.3">
      <c r="A100" s="5"/>
      <c r="B100" s="1"/>
    </row>
    <row r="101" spans="1:2" x14ac:dyDescent="0.3">
      <c r="A101" s="5"/>
      <c r="B101" s="1"/>
    </row>
    <row r="102" spans="1:2" x14ac:dyDescent="0.3">
      <c r="A102" s="5"/>
      <c r="B102" s="1"/>
    </row>
    <row r="103" spans="1:2" x14ac:dyDescent="0.3">
      <c r="A103" s="5"/>
      <c r="B103" s="1"/>
    </row>
    <row r="104" spans="1:2" x14ac:dyDescent="0.3">
      <c r="A104" s="5"/>
      <c r="B104" s="1"/>
    </row>
    <row r="105" spans="1:2" x14ac:dyDescent="0.3">
      <c r="A105" s="5"/>
      <c r="B105" s="1"/>
    </row>
    <row r="106" spans="1:2" x14ac:dyDescent="0.3">
      <c r="A106" s="5"/>
      <c r="B106" s="1"/>
    </row>
    <row r="107" spans="1:2" x14ac:dyDescent="0.3">
      <c r="A107" s="5"/>
      <c r="B107" s="1"/>
    </row>
    <row r="108" spans="1:2" x14ac:dyDescent="0.3">
      <c r="A108" s="5"/>
      <c r="B108" s="1"/>
    </row>
    <row r="109" spans="1:2" x14ac:dyDescent="0.3">
      <c r="A109" s="5"/>
      <c r="B109" s="1"/>
    </row>
    <row r="110" spans="1:2" x14ac:dyDescent="0.3">
      <c r="A110" s="5"/>
      <c r="B110" s="1"/>
    </row>
    <row r="111" spans="1:2" x14ac:dyDescent="0.3">
      <c r="A111" s="5"/>
      <c r="B111" s="1"/>
    </row>
    <row r="112" spans="1:2" x14ac:dyDescent="0.3">
      <c r="A112" s="5"/>
      <c r="B112" s="1"/>
    </row>
    <row r="113" spans="1:2" x14ac:dyDescent="0.3">
      <c r="A113" s="5"/>
      <c r="B113" s="1"/>
    </row>
    <row r="114" spans="1:2" x14ac:dyDescent="0.3">
      <c r="A114" s="5"/>
      <c r="B114" s="1"/>
    </row>
    <row r="115" spans="1:2" x14ac:dyDescent="0.3">
      <c r="A115" s="5"/>
      <c r="B115" s="1"/>
    </row>
    <row r="116" spans="1:2" x14ac:dyDescent="0.3">
      <c r="A116" s="5"/>
      <c r="B116" s="1"/>
    </row>
    <row r="117" spans="1:2" x14ac:dyDescent="0.3">
      <c r="A117" s="5"/>
      <c r="B117" s="1"/>
    </row>
    <row r="118" spans="1:2" x14ac:dyDescent="0.3">
      <c r="A118" s="5"/>
      <c r="B118" s="1"/>
    </row>
    <row r="119" spans="1:2" x14ac:dyDescent="0.3">
      <c r="A119" s="5"/>
      <c r="B119" s="1"/>
    </row>
    <row r="120" spans="1:2" x14ac:dyDescent="0.3">
      <c r="A120" s="5"/>
      <c r="B120" s="1"/>
    </row>
    <row r="121" spans="1:2" x14ac:dyDescent="0.3">
      <c r="A121" s="5"/>
      <c r="B121" s="1"/>
    </row>
    <row r="122" spans="1:2" x14ac:dyDescent="0.3">
      <c r="A122" s="5"/>
      <c r="B122" s="1"/>
    </row>
    <row r="123" spans="1:2" x14ac:dyDescent="0.3">
      <c r="A123" s="5"/>
      <c r="B123" s="1"/>
    </row>
    <row r="124" spans="1:2" x14ac:dyDescent="0.3">
      <c r="A124" s="5"/>
      <c r="B124" s="1"/>
    </row>
    <row r="125" spans="1:2" x14ac:dyDescent="0.3">
      <c r="A125" s="5"/>
      <c r="B125" s="1"/>
    </row>
    <row r="126" spans="1:2" x14ac:dyDescent="0.3">
      <c r="A126" s="5"/>
      <c r="B126" s="1"/>
    </row>
    <row r="127" spans="1:2" x14ac:dyDescent="0.3">
      <c r="A127" s="5"/>
      <c r="B127" s="1"/>
    </row>
    <row r="128" spans="1:2" x14ac:dyDescent="0.3">
      <c r="A128" s="5"/>
      <c r="B128" s="1"/>
    </row>
    <row r="129" spans="1:2" x14ac:dyDescent="0.3">
      <c r="A129" s="5"/>
      <c r="B129" s="1"/>
    </row>
    <row r="130" spans="1:2" x14ac:dyDescent="0.3">
      <c r="A130" s="5"/>
      <c r="B130" s="1"/>
    </row>
    <row r="131" spans="1:2" x14ac:dyDescent="0.3">
      <c r="A131" s="5"/>
      <c r="B131" s="1"/>
    </row>
    <row r="132" spans="1:2" x14ac:dyDescent="0.3">
      <c r="A132" s="5"/>
      <c r="B132" s="1"/>
    </row>
    <row r="133" spans="1:2" x14ac:dyDescent="0.3">
      <c r="A133" s="5"/>
      <c r="B133" s="1"/>
    </row>
    <row r="134" spans="1:2" x14ac:dyDescent="0.3">
      <c r="A134" s="5"/>
      <c r="B134" s="1"/>
    </row>
    <row r="135" spans="1:2" x14ac:dyDescent="0.3">
      <c r="A135" s="5"/>
      <c r="B135" s="1"/>
    </row>
    <row r="136" spans="1:2" x14ac:dyDescent="0.3">
      <c r="A136" s="5"/>
      <c r="B136" s="1"/>
    </row>
    <row r="137" spans="1:2" x14ac:dyDescent="0.3">
      <c r="A137" s="5"/>
      <c r="B137" s="1"/>
    </row>
    <row r="138" spans="1:2" x14ac:dyDescent="0.3">
      <c r="A138" s="5"/>
      <c r="B138" s="1"/>
    </row>
    <row r="139" spans="1:2" x14ac:dyDescent="0.3">
      <c r="A139" s="5"/>
      <c r="B139" s="1"/>
    </row>
    <row r="140" spans="1:2" x14ac:dyDescent="0.3">
      <c r="A140" s="5"/>
      <c r="B140" s="1"/>
    </row>
    <row r="141" spans="1:2" x14ac:dyDescent="0.3">
      <c r="A141" s="5"/>
      <c r="B141" s="1"/>
    </row>
    <row r="142" spans="1:2" x14ac:dyDescent="0.3">
      <c r="A142" s="5"/>
      <c r="B142" s="1"/>
    </row>
    <row r="143" spans="1:2" x14ac:dyDescent="0.3">
      <c r="A143" s="5"/>
      <c r="B143" s="1"/>
    </row>
    <row r="144" spans="1:2" x14ac:dyDescent="0.3">
      <c r="A144" s="5"/>
      <c r="B144" s="1"/>
    </row>
    <row r="145" spans="1:2" x14ac:dyDescent="0.3">
      <c r="A145" s="5"/>
      <c r="B145" s="1"/>
    </row>
    <row r="146" spans="1:2" x14ac:dyDescent="0.3">
      <c r="A146" s="5"/>
    </row>
    <row r="147" spans="1:2" x14ac:dyDescent="0.3">
      <c r="A147" s="5"/>
    </row>
    <row r="148" spans="1:2" x14ac:dyDescent="0.3">
      <c r="A148" s="5"/>
    </row>
    <row r="149" spans="1:2" x14ac:dyDescent="0.3">
      <c r="A149" s="5"/>
    </row>
    <row r="150" spans="1:2" x14ac:dyDescent="0.3">
      <c r="A150" s="5"/>
    </row>
    <row r="151" spans="1:2" x14ac:dyDescent="0.3">
      <c r="A151" s="5"/>
    </row>
    <row r="152" spans="1:2" x14ac:dyDescent="0.3">
      <c r="A152" s="5"/>
    </row>
    <row r="153" spans="1:2" x14ac:dyDescent="0.3">
      <c r="A153" s="5"/>
    </row>
  </sheetData>
  <sheetProtection algorithmName="SHA-512" hashValue="ybzEdyavk6oxO9X7kxI0/j/DuWaqu1Mar2lMev5iBXIRZGLmxCeY0e5bPEAJK6ClEvvnn4/a6o9kzRGBJpE0yw==" saltValue="ZrlkEy7KMCikHLPY5e2gww==" spinCount="100000" sheet="1" objects="1" scenarios="1"/>
  <mergeCells count="8">
    <mergeCell ref="A21:A26"/>
    <mergeCell ref="A27:A32"/>
    <mergeCell ref="I2:I3"/>
    <mergeCell ref="A38:H40"/>
    <mergeCell ref="C2:E2"/>
    <mergeCell ref="F2:H2"/>
    <mergeCell ref="A4:A16"/>
    <mergeCell ref="A17:A20"/>
  </mergeCells>
  <printOptions horizontalCentered="1"/>
  <pageMargins left="0.25" right="0.25" top="0.75" bottom="0.75" header="0.3" footer="0.3"/>
  <pageSetup scale="24" orientation="landscape" r:id="rId1"/>
  <headerFooter>
    <oddFooter>&amp;C&amp;"Century Gothic,Regular"&amp;9Page &amp;P of &amp;N</oddFooter>
  </headerFooter>
  <ignoredErrors>
    <ignoredError sqref="D33:D34 G33:G34 G16:G30 D16:D30" formula="1"/>
    <ignoredError sqref="G32 D32" formula="1" formulaRange="1"/>
    <ignoredError sqref="C32 E32:F32 H32" formulaRange="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D2079-E52D-4EA7-8294-8069B471AC51}">
  <sheetPr>
    <pageSetUpPr fitToPage="1"/>
  </sheetPr>
  <dimension ref="A1:M187"/>
  <sheetViews>
    <sheetView zoomScale="130" zoomScaleNormal="130" zoomScaleSheetLayoutView="130" workbookViewId="0">
      <pane xSplit="2" ySplit="4" topLeftCell="C68" activePane="bottomRight" state="frozen"/>
      <selection activeCell="C5" sqref="C5"/>
      <selection pane="topRight" activeCell="C5" sqref="C5"/>
      <selection pane="bottomLeft" activeCell="C5" sqref="C5"/>
      <selection pane="bottomRight" activeCell="H87" sqref="H87"/>
    </sheetView>
  </sheetViews>
  <sheetFormatPr baseColWidth="10" defaultColWidth="8.85546875" defaultRowHeight="15.75" x14ac:dyDescent="0.3"/>
  <cols>
    <col min="1" max="1" width="12.7109375" customWidth="1"/>
    <col min="2" max="2" width="35.7109375" style="96" customWidth="1"/>
    <col min="3" max="7" width="13.7109375" style="67" customWidth="1"/>
    <col min="8" max="8" width="45.140625" customWidth="1"/>
  </cols>
  <sheetData>
    <row r="1" spans="1:13" s="7" customFormat="1" ht="20.45" customHeight="1" x14ac:dyDescent="0.3">
      <c r="A1" s="89" t="s">
        <v>791</v>
      </c>
      <c r="B1" s="89"/>
      <c r="C1" s="33"/>
      <c r="D1" s="33"/>
      <c r="E1" s="33"/>
      <c r="F1" s="33"/>
      <c r="G1" s="34"/>
      <c r="H1" s="1"/>
      <c r="I1" s="1"/>
      <c r="J1" s="1"/>
      <c r="K1" s="1"/>
      <c r="L1" s="1"/>
      <c r="M1" s="1"/>
    </row>
    <row r="2" spans="1:13" s="7" customFormat="1" ht="13.5" x14ac:dyDescent="0.3">
      <c r="A2" s="90" t="s">
        <v>35</v>
      </c>
      <c r="B2" s="329"/>
      <c r="C2" s="35"/>
      <c r="D2" s="35"/>
      <c r="E2" s="35"/>
      <c r="F2" s="35"/>
      <c r="G2" s="36"/>
      <c r="H2" s="1"/>
      <c r="I2" s="1"/>
      <c r="J2" s="1"/>
      <c r="K2" s="1"/>
      <c r="L2" s="1"/>
      <c r="M2" s="1"/>
    </row>
    <row r="3" spans="1:13" s="7" customFormat="1" ht="13.5" x14ac:dyDescent="0.3">
      <c r="A3" s="91"/>
      <c r="B3" s="363"/>
      <c r="C3" s="562">
        <v>2018</v>
      </c>
      <c r="D3" s="562">
        <v>2019</v>
      </c>
      <c r="E3" s="562">
        <v>2020</v>
      </c>
      <c r="F3" s="562">
        <v>2021</v>
      </c>
      <c r="G3" s="563">
        <v>2022</v>
      </c>
      <c r="H3" s="1"/>
      <c r="I3" s="1"/>
      <c r="J3" s="1"/>
      <c r="K3" s="1"/>
      <c r="L3" s="1"/>
      <c r="M3" s="1"/>
    </row>
    <row r="4" spans="1:13" s="20" customFormat="1" ht="15" customHeight="1" x14ac:dyDescent="0.3">
      <c r="A4" s="92" t="s">
        <v>192</v>
      </c>
      <c r="B4" s="258"/>
      <c r="C4" s="565"/>
      <c r="D4" s="565"/>
      <c r="E4" s="565"/>
      <c r="F4" s="581"/>
      <c r="G4" s="566"/>
      <c r="H4" s="6"/>
      <c r="I4" s="6"/>
      <c r="J4" s="6"/>
      <c r="K4" s="6"/>
      <c r="L4" s="6"/>
      <c r="M4" s="6"/>
    </row>
    <row r="5" spans="1:13" s="20" customFormat="1" ht="15" customHeight="1" x14ac:dyDescent="0.3">
      <c r="A5" s="126" t="s">
        <v>193</v>
      </c>
      <c r="B5" s="126"/>
      <c r="C5" s="582"/>
      <c r="D5" s="582"/>
      <c r="E5" s="582"/>
      <c r="F5" s="582"/>
      <c r="G5" s="583"/>
      <c r="H5" s="6"/>
      <c r="I5" s="6"/>
      <c r="J5" s="6"/>
      <c r="K5" s="6"/>
      <c r="L5" s="6"/>
      <c r="M5" s="6"/>
    </row>
    <row r="6" spans="1:13" s="20" customFormat="1" ht="13.5" x14ac:dyDescent="0.3">
      <c r="A6" s="1027" t="s">
        <v>748</v>
      </c>
      <c r="B6" s="419" t="s">
        <v>124</v>
      </c>
      <c r="C6" s="594"/>
      <c r="D6" s="594"/>
      <c r="E6" s="594"/>
      <c r="F6" s="594"/>
      <c r="G6" s="595"/>
      <c r="H6" s="6"/>
      <c r="I6" s="6"/>
      <c r="J6" s="6"/>
      <c r="K6" s="6"/>
      <c r="L6" s="6"/>
      <c r="M6" s="6"/>
    </row>
    <row r="7" spans="1:13" s="20" customFormat="1" ht="13.5" x14ac:dyDescent="0.3">
      <c r="A7" s="1028"/>
      <c r="B7" s="420" t="s">
        <v>16</v>
      </c>
      <c r="C7" s="596">
        <v>148112.33419329853</v>
      </c>
      <c r="D7" s="596">
        <v>160559.35935181737</v>
      </c>
      <c r="E7" s="596">
        <v>162715.27718697401</v>
      </c>
      <c r="F7" s="596">
        <v>163182.06</v>
      </c>
      <c r="G7" s="597">
        <v>179776.15</v>
      </c>
      <c r="H7" s="6"/>
      <c r="I7" s="6"/>
      <c r="J7" s="6"/>
      <c r="K7" s="6"/>
      <c r="L7" s="6"/>
      <c r="M7" s="6"/>
    </row>
    <row r="8" spans="1:13" s="20" customFormat="1" ht="13.5" x14ac:dyDescent="0.3">
      <c r="A8" s="1028"/>
      <c r="B8" s="420" t="s">
        <v>969</v>
      </c>
      <c r="C8" s="596">
        <v>167046.8930915099</v>
      </c>
      <c r="D8" s="596">
        <v>148576.01007478239</v>
      </c>
      <c r="E8" s="596">
        <v>53110.825370080682</v>
      </c>
      <c r="F8" s="596">
        <v>100331.16</v>
      </c>
      <c r="G8" s="597">
        <v>87189.79</v>
      </c>
      <c r="H8" s="6"/>
      <c r="I8" s="6"/>
      <c r="J8" s="6"/>
      <c r="K8" s="6"/>
      <c r="L8" s="6"/>
      <c r="M8" s="6"/>
    </row>
    <row r="9" spans="1:13" s="20" customFormat="1" ht="13.5" x14ac:dyDescent="0.3">
      <c r="A9" s="1028"/>
      <c r="B9" s="420" t="s">
        <v>17</v>
      </c>
      <c r="C9" s="596">
        <v>615255.74087460153</v>
      </c>
      <c r="D9" s="596">
        <v>677159.49762990302</v>
      </c>
      <c r="E9" s="596">
        <v>627797.12491947494</v>
      </c>
      <c r="F9" s="596">
        <v>620636.35</v>
      </c>
      <c r="G9" s="597">
        <v>656639.64</v>
      </c>
      <c r="H9" s="6"/>
      <c r="I9" s="6"/>
      <c r="J9" s="6"/>
      <c r="K9" s="6"/>
      <c r="L9" s="6"/>
      <c r="M9" s="6"/>
    </row>
    <row r="10" spans="1:13" s="20" customFormat="1" ht="13.5" x14ac:dyDescent="0.3">
      <c r="A10" s="1028"/>
      <c r="B10" s="421" t="s">
        <v>970</v>
      </c>
      <c r="C10" s="596">
        <v>177236.37753587426</v>
      </c>
      <c r="D10" s="596">
        <v>217855.42187862651</v>
      </c>
      <c r="E10" s="596">
        <v>225196.54154938331</v>
      </c>
      <c r="F10" s="596">
        <v>185084.48</v>
      </c>
      <c r="G10" s="597">
        <v>202372.86</v>
      </c>
      <c r="H10" s="19"/>
      <c r="I10" s="6"/>
      <c r="J10" s="6"/>
      <c r="K10" s="6"/>
      <c r="L10" s="6"/>
      <c r="M10" s="6"/>
    </row>
    <row r="11" spans="1:13" s="20" customFormat="1" ht="13.5" x14ac:dyDescent="0.3">
      <c r="A11" s="1028"/>
      <c r="B11" s="421" t="s">
        <v>18</v>
      </c>
      <c r="C11" s="596">
        <v>133626.83822473773</v>
      </c>
      <c r="D11" s="596">
        <v>151817.50695489277</v>
      </c>
      <c r="E11" s="596">
        <v>119190.24176727961</v>
      </c>
      <c r="F11" s="596">
        <v>154977.95000000001</v>
      </c>
      <c r="G11" s="597">
        <v>145308.5</v>
      </c>
      <c r="H11" s="6"/>
      <c r="I11" s="6"/>
      <c r="J11" s="6"/>
      <c r="K11" s="6"/>
      <c r="L11" s="6"/>
      <c r="M11" s="6"/>
    </row>
    <row r="12" spans="1:13" s="20" customFormat="1" ht="13.5" x14ac:dyDescent="0.3">
      <c r="A12" s="1028"/>
      <c r="B12" s="422" t="s">
        <v>21</v>
      </c>
      <c r="C12" s="598">
        <v>35825.672465501826</v>
      </c>
      <c r="D12" s="598">
        <v>37226.993976821708</v>
      </c>
      <c r="E12" s="598">
        <v>41910.10734752455</v>
      </c>
      <c r="F12" s="598">
        <v>40622.22</v>
      </c>
      <c r="G12" s="599">
        <v>46535.360000000001</v>
      </c>
      <c r="H12" s="6"/>
      <c r="I12" s="6"/>
      <c r="J12" s="6"/>
      <c r="K12" s="6"/>
      <c r="L12" s="6"/>
      <c r="M12" s="6"/>
    </row>
    <row r="13" spans="1:13" s="20" customFormat="1" ht="13.5" x14ac:dyDescent="0.3">
      <c r="A13" s="1028"/>
      <c r="B13" s="419" t="s">
        <v>111</v>
      </c>
      <c r="C13" s="594"/>
      <c r="D13" s="594"/>
      <c r="E13" s="594"/>
      <c r="F13" s="594"/>
      <c r="G13" s="600"/>
      <c r="H13" s="6"/>
      <c r="I13" s="6"/>
      <c r="J13" s="6"/>
      <c r="K13" s="6"/>
      <c r="L13" s="6"/>
      <c r="M13" s="6"/>
    </row>
    <row r="14" spans="1:13" s="20" customFormat="1" ht="13.5" x14ac:dyDescent="0.3">
      <c r="A14" s="1028"/>
      <c r="B14" s="420" t="s">
        <v>23</v>
      </c>
      <c r="C14" s="596">
        <v>578103.42689092038</v>
      </c>
      <c r="D14" s="596">
        <v>638972.16179296304</v>
      </c>
      <c r="E14" s="596">
        <v>564127.33893672901</v>
      </c>
      <c r="F14" s="596">
        <v>644126</v>
      </c>
      <c r="G14" s="597">
        <v>664043.82999999996</v>
      </c>
      <c r="H14" s="6"/>
      <c r="I14" s="6"/>
      <c r="J14" s="6"/>
      <c r="K14" s="6"/>
      <c r="L14" s="6"/>
      <c r="M14" s="6"/>
    </row>
    <row r="15" spans="1:13" s="20" customFormat="1" ht="13.5" x14ac:dyDescent="0.3">
      <c r="A15" s="1028"/>
      <c r="B15" s="423" t="s">
        <v>22</v>
      </c>
      <c r="C15" s="601">
        <v>133702.95403146301</v>
      </c>
      <c r="D15" s="601">
        <v>141452.3374177888</v>
      </c>
      <c r="E15" s="601">
        <v>80540</v>
      </c>
      <c r="F15" s="601">
        <v>61937.41</v>
      </c>
      <c r="G15" s="602">
        <v>84379.39</v>
      </c>
      <c r="H15" s="6"/>
      <c r="I15" s="6"/>
      <c r="J15" s="6"/>
      <c r="K15" s="6"/>
      <c r="L15" s="6"/>
      <c r="M15" s="6"/>
    </row>
    <row r="16" spans="1:13" s="20" customFormat="1" ht="13.5" x14ac:dyDescent="0.3">
      <c r="A16" s="1028"/>
      <c r="B16" s="419" t="s">
        <v>112</v>
      </c>
      <c r="C16" s="594"/>
      <c r="D16" s="594"/>
      <c r="E16" s="594"/>
      <c r="F16" s="594"/>
      <c r="G16" s="600"/>
      <c r="H16" s="6"/>
      <c r="I16" s="6"/>
      <c r="J16" s="6"/>
      <c r="K16" s="6"/>
      <c r="L16" s="6"/>
      <c r="M16" s="6"/>
    </row>
    <row r="17" spans="1:13" s="20" customFormat="1" ht="13.5" x14ac:dyDescent="0.3">
      <c r="A17" s="1028"/>
      <c r="B17" s="88" t="s">
        <v>197</v>
      </c>
      <c r="C17" s="598">
        <v>2651587.2895859582</v>
      </c>
      <c r="D17" s="598">
        <v>2212265.3100425256</v>
      </c>
      <c r="E17" s="598">
        <v>2034938.7278633281</v>
      </c>
      <c r="F17" s="598">
        <v>2284467.2599999998</v>
      </c>
      <c r="G17" s="599">
        <v>2504659.91</v>
      </c>
      <c r="H17" s="6"/>
      <c r="I17" s="6"/>
      <c r="J17" s="6"/>
      <c r="K17" s="6"/>
      <c r="L17" s="6"/>
      <c r="M17" s="6"/>
    </row>
    <row r="18" spans="1:13" s="20" customFormat="1" ht="13.5" x14ac:dyDescent="0.3">
      <c r="A18" s="1029"/>
      <c r="B18" s="428" t="s">
        <v>749</v>
      </c>
      <c r="C18" s="603">
        <f>SUM(C7:C17)</f>
        <v>4640497.5268938653</v>
      </c>
      <c r="D18" s="603">
        <f t="shared" ref="D18:F18" si="0">SUM(D7:D17)</f>
        <v>4385884.5991201214</v>
      </c>
      <c r="E18" s="603">
        <f t="shared" si="0"/>
        <v>3909526.184940774</v>
      </c>
      <c r="F18" s="603">
        <f t="shared" si="0"/>
        <v>4255364.8899999997</v>
      </c>
      <c r="G18" s="604">
        <f>SUM(G7:G17)</f>
        <v>4570905.43</v>
      </c>
      <c r="H18" s="131"/>
      <c r="I18" s="6"/>
      <c r="J18" s="6"/>
      <c r="K18" s="6"/>
      <c r="L18" s="6"/>
      <c r="M18" s="6"/>
    </row>
    <row r="19" spans="1:13" s="20" customFormat="1" ht="13.5" x14ac:dyDescent="0.3">
      <c r="A19" s="1027" t="s">
        <v>750</v>
      </c>
      <c r="B19" s="419" t="s">
        <v>124</v>
      </c>
      <c r="C19" s="594"/>
      <c r="D19" s="594"/>
      <c r="E19" s="594"/>
      <c r="F19" s="594"/>
      <c r="G19" s="600"/>
      <c r="H19" s="6"/>
      <c r="I19" s="6"/>
      <c r="J19" s="6"/>
      <c r="K19" s="6"/>
      <c r="L19" s="6"/>
      <c r="M19" s="6"/>
    </row>
    <row r="20" spans="1:13" s="20" customFormat="1" ht="13.5" x14ac:dyDescent="0.3">
      <c r="A20" s="1028"/>
      <c r="B20" s="420" t="s">
        <v>19</v>
      </c>
      <c r="C20" s="596">
        <v>41949.709691534801</v>
      </c>
      <c r="D20" s="596">
        <v>51414.355510893802</v>
      </c>
      <c r="E20" s="596">
        <v>34558.290107248053</v>
      </c>
      <c r="F20" s="596">
        <v>29590.91</v>
      </c>
      <c r="G20" s="597">
        <v>57480</v>
      </c>
      <c r="H20" s="6"/>
      <c r="I20" s="6"/>
      <c r="J20" s="6"/>
      <c r="K20" s="6"/>
      <c r="L20" s="6"/>
      <c r="M20" s="6"/>
    </row>
    <row r="21" spans="1:13" s="20" customFormat="1" ht="13.5" x14ac:dyDescent="0.3">
      <c r="A21" s="1028"/>
      <c r="B21" s="423" t="s">
        <v>20</v>
      </c>
      <c r="C21" s="601">
        <v>18860.2571949015</v>
      </c>
      <c r="D21" s="601">
        <v>19965.718109417601</v>
      </c>
      <c r="E21" s="601">
        <v>17232</v>
      </c>
      <c r="F21" s="601">
        <v>17817.27</v>
      </c>
      <c r="G21" s="602">
        <v>17159.14</v>
      </c>
      <c r="H21" s="6"/>
      <c r="I21" s="6"/>
      <c r="J21" s="6"/>
      <c r="K21" s="6"/>
      <c r="L21" s="6"/>
      <c r="M21" s="6"/>
    </row>
    <row r="22" spans="1:13" s="20" customFormat="1" ht="13.5" x14ac:dyDescent="0.3">
      <c r="A22" s="1029"/>
      <c r="B22" s="428" t="s">
        <v>751</v>
      </c>
      <c r="C22" s="603">
        <f>SUM(C20:C21)</f>
        <v>60809.966886436305</v>
      </c>
      <c r="D22" s="603">
        <f t="shared" ref="D22:F22" si="1">SUM(D20:D21)</f>
        <v>71380.073620311407</v>
      </c>
      <c r="E22" s="603">
        <f t="shared" si="1"/>
        <v>51790.290107248053</v>
      </c>
      <c r="F22" s="603">
        <f t="shared" si="1"/>
        <v>47408.18</v>
      </c>
      <c r="G22" s="604">
        <f>SUM(G20:G21)</f>
        <v>74639.14</v>
      </c>
      <c r="H22" s="131"/>
      <c r="I22" s="6"/>
      <c r="J22" s="6"/>
      <c r="K22" s="6"/>
      <c r="L22" s="6"/>
      <c r="M22" s="6"/>
    </row>
    <row r="23" spans="1:13" s="20" customFormat="1" ht="13.5" x14ac:dyDescent="0.3">
      <c r="A23" s="1027" t="s">
        <v>752</v>
      </c>
      <c r="B23" s="419" t="s">
        <v>124</v>
      </c>
      <c r="C23" s="594"/>
      <c r="D23" s="594"/>
      <c r="E23" s="594"/>
      <c r="F23" s="594"/>
      <c r="G23" s="600"/>
      <c r="H23" s="6"/>
      <c r="I23" s="6"/>
      <c r="J23" s="6"/>
      <c r="K23" s="6"/>
      <c r="L23" s="6"/>
      <c r="M23" s="6"/>
    </row>
    <row r="24" spans="1:13" s="20" customFormat="1" ht="13.5" x14ac:dyDescent="0.3">
      <c r="A24" s="1028"/>
      <c r="B24" s="421" t="s">
        <v>753</v>
      </c>
      <c r="C24" s="596">
        <v>1115.7629692119999</v>
      </c>
      <c r="D24" s="596">
        <v>916.12987498699999</v>
      </c>
      <c r="E24" s="596" t="s">
        <v>164</v>
      </c>
      <c r="F24" s="596" t="s">
        <v>164</v>
      </c>
      <c r="G24" s="597" t="s">
        <v>164</v>
      </c>
      <c r="H24" s="6"/>
      <c r="I24" s="6"/>
      <c r="J24" s="6"/>
      <c r="K24" s="6"/>
      <c r="L24" s="6"/>
      <c r="M24" s="6"/>
    </row>
    <row r="25" spans="1:13" s="20" customFormat="1" ht="13.5" x14ac:dyDescent="0.3">
      <c r="A25" s="1028"/>
      <c r="B25" s="421" t="s">
        <v>26</v>
      </c>
      <c r="C25" s="596">
        <v>60472.645237665798</v>
      </c>
      <c r="D25" s="596">
        <v>71105.397605391394</v>
      </c>
      <c r="E25" s="596">
        <v>85612.885793596899</v>
      </c>
      <c r="F25" s="596">
        <v>100042.88</v>
      </c>
      <c r="G25" s="597">
        <v>110204.05</v>
      </c>
      <c r="H25" s="6"/>
      <c r="I25" s="6"/>
      <c r="J25" s="6"/>
      <c r="K25" s="6"/>
      <c r="L25" s="6"/>
      <c r="M25" s="6"/>
    </row>
    <row r="26" spans="1:13" s="20" customFormat="1" ht="13.5" x14ac:dyDescent="0.3">
      <c r="A26" s="1028"/>
      <c r="B26" s="421" t="s">
        <v>27</v>
      </c>
      <c r="C26" s="596">
        <v>99751.901175865394</v>
      </c>
      <c r="D26" s="596">
        <v>93839.696296247479</v>
      </c>
      <c r="E26" s="596">
        <v>98602.189321915808</v>
      </c>
      <c r="F26" s="596">
        <v>93234.04</v>
      </c>
      <c r="G26" s="597">
        <v>97114.39</v>
      </c>
      <c r="H26" s="6"/>
      <c r="I26" s="6"/>
      <c r="J26" s="6"/>
      <c r="K26" s="6"/>
      <c r="L26" s="6"/>
      <c r="M26" s="6"/>
    </row>
    <row r="27" spans="1:13" s="20" customFormat="1" ht="13.5" x14ac:dyDescent="0.3">
      <c r="A27" s="1028"/>
      <c r="B27" s="422" t="s">
        <v>754</v>
      </c>
      <c r="C27" s="601">
        <v>18463.445573285</v>
      </c>
      <c r="D27" s="601">
        <v>17735.438632742003</v>
      </c>
      <c r="E27" s="601" t="s">
        <v>164</v>
      </c>
      <c r="F27" s="601" t="s">
        <v>164</v>
      </c>
      <c r="G27" s="602" t="s">
        <v>164</v>
      </c>
      <c r="H27" s="201"/>
      <c r="I27" s="6"/>
      <c r="J27" s="6"/>
      <c r="K27" s="6"/>
      <c r="L27" s="6"/>
      <c r="M27" s="6"/>
    </row>
    <row r="28" spans="1:13" s="20" customFormat="1" ht="10.15" customHeight="1" x14ac:dyDescent="0.3">
      <c r="A28" s="1028"/>
      <c r="B28" s="419" t="s">
        <v>113</v>
      </c>
      <c r="C28" s="594"/>
      <c r="D28" s="594"/>
      <c r="E28" s="594"/>
      <c r="F28" s="594"/>
      <c r="G28" s="600"/>
      <c r="H28" s="1038"/>
      <c r="I28" s="6"/>
      <c r="J28" s="6"/>
      <c r="K28" s="6"/>
      <c r="L28" s="6"/>
      <c r="M28" s="6"/>
    </row>
    <row r="29" spans="1:13" s="20" customFormat="1" ht="13.5" x14ac:dyDescent="0.3">
      <c r="A29" s="1028"/>
      <c r="B29" s="421" t="s">
        <v>28</v>
      </c>
      <c r="C29" s="596">
        <v>57766.721290503403</v>
      </c>
      <c r="D29" s="596">
        <v>59298.6305765539</v>
      </c>
      <c r="E29" s="596">
        <v>60149.480768680303</v>
      </c>
      <c r="F29" s="596">
        <v>53427</v>
      </c>
      <c r="G29" s="597">
        <v>47265.75</v>
      </c>
      <c r="H29" s="1038"/>
      <c r="I29" s="6"/>
      <c r="J29" s="6"/>
      <c r="K29" s="6"/>
      <c r="L29" s="6"/>
      <c r="M29" s="6"/>
    </row>
    <row r="30" spans="1:13" s="20" customFormat="1" ht="13.5" x14ac:dyDescent="0.3">
      <c r="A30" s="1028"/>
      <c r="B30" s="421" t="s">
        <v>755</v>
      </c>
      <c r="C30" s="598">
        <v>4692.6057041829599</v>
      </c>
      <c r="D30" s="598">
        <v>4277.1053652877899</v>
      </c>
      <c r="E30" s="598">
        <v>3184.1571908596898</v>
      </c>
      <c r="F30" s="598" t="s">
        <v>164</v>
      </c>
      <c r="G30" s="599" t="s">
        <v>164</v>
      </c>
      <c r="H30" s="1038"/>
      <c r="I30" s="6"/>
      <c r="J30" s="6"/>
      <c r="K30" s="6"/>
      <c r="L30" s="6"/>
      <c r="M30" s="6"/>
    </row>
    <row r="31" spans="1:13" s="20" customFormat="1" ht="13.5" x14ac:dyDescent="0.3">
      <c r="A31" s="1029"/>
      <c r="B31" s="428" t="s">
        <v>756</v>
      </c>
      <c r="C31" s="603">
        <f>SUM(C24:C30)</f>
        <v>242263.08195071455</v>
      </c>
      <c r="D31" s="603">
        <f>SUM(D24:D30)</f>
        <v>247172.39835120959</v>
      </c>
      <c r="E31" s="603">
        <f>SUM(E24:E30)</f>
        <v>247548.71307505271</v>
      </c>
      <c r="F31" s="603">
        <f>SUM(F24:F30)</f>
        <v>246703.91999999998</v>
      </c>
      <c r="G31" s="604">
        <f>SUM(G24:G30)</f>
        <v>254584.19</v>
      </c>
      <c r="H31" s="1038"/>
      <c r="I31" s="6"/>
      <c r="J31" s="6"/>
      <c r="K31" s="6"/>
      <c r="L31" s="6"/>
      <c r="M31" s="6"/>
    </row>
    <row r="32" spans="1:13" s="20" customFormat="1" ht="10.15" customHeight="1" x14ac:dyDescent="0.3">
      <c r="A32" s="1027" t="s">
        <v>217</v>
      </c>
      <c r="B32" s="419" t="s">
        <v>217</v>
      </c>
      <c r="C32" s="594"/>
      <c r="D32" s="594"/>
      <c r="E32" s="594"/>
      <c r="F32" s="594"/>
      <c r="G32" s="600"/>
      <c r="H32" s="1038"/>
      <c r="I32" s="6"/>
      <c r="J32" s="6"/>
      <c r="K32" s="6"/>
      <c r="L32" s="6"/>
      <c r="M32" s="6"/>
    </row>
    <row r="33" spans="1:13" s="20" customFormat="1" ht="13.5" x14ac:dyDescent="0.3">
      <c r="A33" s="1028"/>
      <c r="B33" s="421" t="s">
        <v>235</v>
      </c>
      <c r="C33" s="596">
        <v>14110.682272415201</v>
      </c>
      <c r="D33" s="596">
        <v>16708.941673609952</v>
      </c>
      <c r="E33" s="596">
        <v>17106.688314085011</v>
      </c>
      <c r="F33" s="596">
        <v>16609.82</v>
      </c>
      <c r="G33" s="597">
        <v>19855.98</v>
      </c>
      <c r="H33" s="1038"/>
      <c r="I33" s="6"/>
      <c r="J33" s="6"/>
      <c r="K33" s="6"/>
      <c r="L33" s="6"/>
      <c r="M33" s="6"/>
    </row>
    <row r="34" spans="1:13" s="20" customFormat="1" ht="13.5" x14ac:dyDescent="0.3">
      <c r="A34" s="1028"/>
      <c r="B34" s="426" t="s">
        <v>24</v>
      </c>
      <c r="C34" s="605">
        <v>6925.2077124736006</v>
      </c>
      <c r="D34" s="605">
        <v>8404.1893784479998</v>
      </c>
      <c r="E34" s="605">
        <v>8238.1797351087989</v>
      </c>
      <c r="F34" s="605">
        <v>9365.48</v>
      </c>
      <c r="G34" s="606">
        <v>7752.02</v>
      </c>
      <c r="H34" s="1038"/>
      <c r="I34" s="6"/>
      <c r="J34" s="6"/>
      <c r="K34" s="6"/>
      <c r="L34" s="6"/>
      <c r="M34" s="6"/>
    </row>
    <row r="35" spans="1:13" s="20" customFormat="1" ht="13.5" x14ac:dyDescent="0.3">
      <c r="A35" s="1028"/>
      <c r="B35" s="427" t="s">
        <v>25</v>
      </c>
      <c r="C35" s="598">
        <v>113.40247693079999</v>
      </c>
      <c r="D35" s="598">
        <v>119.2918284224</v>
      </c>
      <c r="E35" s="598">
        <v>88.282037161599987</v>
      </c>
      <c r="F35" s="598">
        <v>106.68</v>
      </c>
      <c r="G35" s="599">
        <v>86.23</v>
      </c>
      <c r="H35" s="1038"/>
      <c r="I35" s="6"/>
      <c r="J35" s="6"/>
      <c r="K35" s="6"/>
      <c r="L35" s="6"/>
      <c r="M35" s="6"/>
    </row>
    <row r="36" spans="1:13" s="20" customFormat="1" ht="13.5" x14ac:dyDescent="0.3">
      <c r="A36" s="1029"/>
      <c r="B36" s="428" t="s">
        <v>757</v>
      </c>
      <c r="C36" s="603">
        <f>SUM(C33:C35)</f>
        <v>21149.292461819605</v>
      </c>
      <c r="D36" s="603">
        <f t="shared" ref="D36:F36" si="2">SUM(D33:D35)</f>
        <v>25232.42288048035</v>
      </c>
      <c r="E36" s="603">
        <f t="shared" si="2"/>
        <v>25433.15008635541</v>
      </c>
      <c r="F36" s="603">
        <f t="shared" si="2"/>
        <v>26081.98</v>
      </c>
      <c r="G36" s="604">
        <f>SUM(G33:G35)</f>
        <v>27694.23</v>
      </c>
      <c r="H36" s="367"/>
      <c r="I36" s="6"/>
      <c r="J36" s="6"/>
      <c r="K36" s="6"/>
      <c r="L36" s="6"/>
      <c r="M36" s="6"/>
    </row>
    <row r="37" spans="1:13" s="20" customFormat="1" ht="5.0999999999999996" customHeight="1" x14ac:dyDescent="0.3">
      <c r="B37" s="368"/>
      <c r="C37" s="598"/>
      <c r="D37" s="598"/>
      <c r="E37" s="598"/>
      <c r="F37" s="598"/>
      <c r="G37" s="599"/>
      <c r="H37" s="367"/>
      <c r="I37" s="6"/>
      <c r="J37" s="6"/>
      <c r="K37" s="6"/>
      <c r="L37" s="6"/>
      <c r="M37" s="6"/>
    </row>
    <row r="38" spans="1:13" s="20" customFormat="1" ht="13.5" x14ac:dyDescent="0.3">
      <c r="A38" s="1036" t="s">
        <v>196</v>
      </c>
      <c r="B38" s="1037"/>
      <c r="C38" s="607">
        <f>+C36+C31+C22+C18</f>
        <v>4964719.8681928357</v>
      </c>
      <c r="D38" s="607">
        <f>+D36+D31+D22+D18</f>
        <v>4729669.4939721227</v>
      </c>
      <c r="E38" s="607">
        <f>+E36+E31+E22+E18</f>
        <v>4234298.3382094298</v>
      </c>
      <c r="F38" s="607">
        <f>+F36+F31+F22+F18</f>
        <v>4575558.97</v>
      </c>
      <c r="G38" s="608">
        <f>+G36+G31+G22+G18</f>
        <v>4927822.9899999993</v>
      </c>
      <c r="H38" s="131"/>
      <c r="I38" s="6"/>
      <c r="J38" s="6"/>
      <c r="K38" s="6"/>
      <c r="L38" s="6"/>
      <c r="M38" s="6"/>
    </row>
    <row r="39" spans="1:13" s="20" customFormat="1" ht="13.5" x14ac:dyDescent="0.3">
      <c r="B39" s="369"/>
      <c r="C39" s="598"/>
      <c r="D39" s="598"/>
      <c r="E39" s="598"/>
      <c r="F39" s="598"/>
      <c r="G39" s="599"/>
      <c r="H39" s="6"/>
      <c r="I39" s="6"/>
      <c r="J39" s="6"/>
      <c r="K39" s="6"/>
      <c r="L39" s="6"/>
      <c r="M39" s="6"/>
    </row>
    <row r="40" spans="1:13" s="20" customFormat="1" ht="15" customHeight="1" x14ac:dyDescent="0.3">
      <c r="A40" s="127" t="s">
        <v>236</v>
      </c>
      <c r="B40" s="126"/>
      <c r="C40" s="609"/>
      <c r="D40" s="609"/>
      <c r="E40" s="609"/>
      <c r="F40" s="609"/>
      <c r="G40" s="610"/>
      <c r="H40" s="6"/>
      <c r="I40" s="6"/>
      <c r="J40" s="6"/>
      <c r="K40" s="6"/>
      <c r="L40" s="6"/>
      <c r="M40" s="6"/>
    </row>
    <row r="41" spans="1:13" s="20" customFormat="1" ht="13.5" x14ac:dyDescent="0.3">
      <c r="A41" s="1027" t="s">
        <v>748</v>
      </c>
      <c r="B41" s="31" t="s">
        <v>124</v>
      </c>
      <c r="C41" s="594"/>
      <c r="D41" s="594"/>
      <c r="E41" s="594"/>
      <c r="F41" s="594"/>
      <c r="G41" s="600"/>
      <c r="H41" s="6"/>
      <c r="I41" s="6"/>
      <c r="J41" s="6"/>
      <c r="K41" s="6"/>
      <c r="L41" s="6"/>
      <c r="M41" s="6"/>
    </row>
    <row r="42" spans="1:13" s="20" customFormat="1" ht="13.5" x14ac:dyDescent="0.3">
      <c r="A42" s="1028"/>
      <c r="B42" s="16" t="s">
        <v>16</v>
      </c>
      <c r="C42" s="596">
        <v>254016</v>
      </c>
      <c r="D42" s="596">
        <v>231111.44</v>
      </c>
      <c r="E42" s="596">
        <v>239608</v>
      </c>
      <c r="F42" s="596">
        <v>160232.51999999999</v>
      </c>
      <c r="G42" s="597">
        <v>159922.78</v>
      </c>
      <c r="H42" s="6"/>
      <c r="I42" s="6"/>
      <c r="J42" s="6"/>
      <c r="K42" s="6"/>
      <c r="L42" s="6"/>
      <c r="M42" s="6"/>
    </row>
    <row r="43" spans="1:13" s="20" customFormat="1" ht="13.5" x14ac:dyDescent="0.3">
      <c r="A43" s="1028"/>
      <c r="B43" s="420" t="s">
        <v>969</v>
      </c>
      <c r="C43" s="596">
        <v>228615.0398</v>
      </c>
      <c r="D43" s="596">
        <v>226323.06590422301</v>
      </c>
      <c r="E43" s="596">
        <v>100720</v>
      </c>
      <c r="F43" s="596">
        <v>130793.3</v>
      </c>
      <c r="G43" s="597">
        <v>145537.73000000001</v>
      </c>
      <c r="H43" s="6"/>
      <c r="I43" s="6"/>
      <c r="J43" s="6"/>
      <c r="K43" s="6"/>
      <c r="L43" s="6"/>
      <c r="M43" s="6"/>
    </row>
    <row r="44" spans="1:13" s="20" customFormat="1" ht="13.5" x14ac:dyDescent="0.3">
      <c r="A44" s="1028"/>
      <c r="B44" s="420" t="s">
        <v>17</v>
      </c>
      <c r="C44" s="596">
        <v>985532.53269999998</v>
      </c>
      <c r="D44" s="596">
        <v>970178.06382443057</v>
      </c>
      <c r="E44" s="596">
        <v>949081</v>
      </c>
      <c r="F44" s="596">
        <v>763266.92</v>
      </c>
      <c r="G44" s="597">
        <v>815734.09</v>
      </c>
      <c r="H44" s="6"/>
      <c r="I44" s="6"/>
      <c r="J44" s="6"/>
      <c r="K44" s="6"/>
      <c r="L44" s="6"/>
      <c r="M44" s="6"/>
    </row>
    <row r="45" spans="1:13" s="20" customFormat="1" ht="13.5" x14ac:dyDescent="0.3">
      <c r="A45" s="1028"/>
      <c r="B45" s="421" t="s">
        <v>970</v>
      </c>
      <c r="C45" s="596">
        <v>88718.253559999997</v>
      </c>
      <c r="D45" s="596">
        <v>98252.265282077016</v>
      </c>
      <c r="E45" s="596">
        <v>138629</v>
      </c>
      <c r="F45" s="596">
        <v>156798.18</v>
      </c>
      <c r="G45" s="597">
        <v>156530</v>
      </c>
      <c r="H45" s="19"/>
      <c r="I45" s="6"/>
      <c r="J45" s="6"/>
      <c r="K45" s="6"/>
      <c r="L45" s="6"/>
      <c r="M45" s="6"/>
    </row>
    <row r="46" spans="1:13" s="20" customFormat="1" ht="13.5" x14ac:dyDescent="0.3">
      <c r="A46" s="1028"/>
      <c r="B46" s="893" t="s">
        <v>18</v>
      </c>
      <c r="C46" s="596">
        <v>389041.30560000002</v>
      </c>
      <c r="D46" s="596">
        <v>352222.09784848173</v>
      </c>
      <c r="E46" s="596">
        <v>408617</v>
      </c>
      <c r="F46" s="596">
        <v>356594.12</v>
      </c>
      <c r="G46" s="597">
        <v>331758.32</v>
      </c>
      <c r="H46" s="6"/>
      <c r="I46" s="6"/>
      <c r="J46" s="6"/>
      <c r="K46" s="6"/>
      <c r="L46" s="6"/>
      <c r="M46" s="6"/>
    </row>
    <row r="47" spans="1:13" s="20" customFormat="1" ht="13.5" x14ac:dyDescent="0.3">
      <c r="A47" s="1028"/>
      <c r="B47" s="425" t="s">
        <v>21</v>
      </c>
      <c r="C47" s="598">
        <v>100009.2347</v>
      </c>
      <c r="D47" s="598">
        <v>106392.02246518969</v>
      </c>
      <c r="E47" s="598">
        <v>80071.025892984006</v>
      </c>
      <c r="F47" s="598">
        <v>91193.68</v>
      </c>
      <c r="G47" s="599">
        <v>91193.33</v>
      </c>
      <c r="H47" s="6"/>
      <c r="I47" s="6"/>
      <c r="J47" s="6"/>
      <c r="K47" s="6"/>
      <c r="L47" s="6"/>
      <c r="M47" s="6"/>
    </row>
    <row r="48" spans="1:13" s="20" customFormat="1" ht="13.5" x14ac:dyDescent="0.3">
      <c r="A48" s="1028"/>
      <c r="B48" s="31" t="s">
        <v>111</v>
      </c>
      <c r="C48" s="594"/>
      <c r="D48" s="594"/>
      <c r="E48" s="594"/>
      <c r="F48" s="594"/>
      <c r="G48" s="600"/>
      <c r="H48" s="6"/>
      <c r="I48" s="6"/>
      <c r="J48" s="6"/>
      <c r="K48" s="6"/>
      <c r="L48" s="6"/>
      <c r="M48" s="6"/>
    </row>
    <row r="49" spans="1:13" s="20" customFormat="1" ht="13.5" x14ac:dyDescent="0.3">
      <c r="A49" s="1028"/>
      <c r="B49" s="16" t="s">
        <v>23</v>
      </c>
      <c r="C49" s="596">
        <v>264777.61154999997</v>
      </c>
      <c r="D49" s="596">
        <v>275538.58151159697</v>
      </c>
      <c r="E49" s="596">
        <v>231339</v>
      </c>
      <c r="F49" s="596">
        <v>315557.12406590267</v>
      </c>
      <c r="G49" s="597">
        <v>405709.55</v>
      </c>
      <c r="H49" s="6"/>
      <c r="I49" s="6"/>
      <c r="J49" s="6"/>
      <c r="K49" s="6"/>
      <c r="L49" s="6"/>
      <c r="M49" s="6"/>
    </row>
    <row r="50" spans="1:13" s="20" customFormat="1" ht="13.5" x14ac:dyDescent="0.3">
      <c r="A50" s="1028"/>
      <c r="B50" s="433" t="s">
        <v>22</v>
      </c>
      <c r="C50" s="601">
        <v>259702.86618700001</v>
      </c>
      <c r="D50" s="601">
        <v>238719.93599999999</v>
      </c>
      <c r="E50" s="601">
        <v>224033.16</v>
      </c>
      <c r="F50" s="601">
        <v>222730.26</v>
      </c>
      <c r="G50" s="602">
        <v>189561.37</v>
      </c>
      <c r="H50" s="6"/>
      <c r="I50" s="6"/>
      <c r="J50" s="6"/>
      <c r="K50" s="6"/>
      <c r="L50" s="6"/>
      <c r="M50" s="6"/>
    </row>
    <row r="51" spans="1:13" s="20" customFormat="1" ht="13.5" x14ac:dyDescent="0.3">
      <c r="A51" s="1028"/>
      <c r="B51" s="31" t="s">
        <v>112</v>
      </c>
      <c r="C51" s="594"/>
      <c r="D51" s="594"/>
      <c r="E51" s="594"/>
      <c r="F51" s="594"/>
      <c r="G51" s="600"/>
      <c r="H51" s="6"/>
      <c r="I51" s="6"/>
      <c r="J51" s="6"/>
      <c r="K51" s="6"/>
      <c r="L51" s="6"/>
      <c r="M51" s="6"/>
    </row>
    <row r="52" spans="1:13" s="20" customFormat="1" ht="13.5" x14ac:dyDescent="0.3">
      <c r="A52" s="1028"/>
      <c r="B52" s="432" t="s">
        <v>758</v>
      </c>
      <c r="C52" s="598">
        <v>0</v>
      </c>
      <c r="D52" s="598">
        <v>0</v>
      </c>
      <c r="E52" s="598">
        <v>0</v>
      </c>
      <c r="F52" s="598">
        <v>0</v>
      </c>
      <c r="G52" s="599">
        <v>0</v>
      </c>
      <c r="H52" s="6"/>
      <c r="I52" s="6"/>
      <c r="J52" s="6"/>
      <c r="K52" s="6"/>
      <c r="L52" s="6"/>
      <c r="M52" s="6"/>
    </row>
    <row r="53" spans="1:13" s="20" customFormat="1" ht="13.5" x14ac:dyDescent="0.3">
      <c r="A53" s="1029"/>
      <c r="B53" s="430" t="s">
        <v>749</v>
      </c>
      <c r="C53" s="603">
        <f>SUM(C42:C52)</f>
        <v>2570412.8440970001</v>
      </c>
      <c r="D53" s="603">
        <f t="shared" ref="D53:F53" si="3">SUM(D42:D52)</f>
        <v>2498737.472835999</v>
      </c>
      <c r="E53" s="603">
        <f t="shared" si="3"/>
        <v>2372098.1858929843</v>
      </c>
      <c r="F53" s="603">
        <f t="shared" si="3"/>
        <v>2197166.1040659025</v>
      </c>
      <c r="G53" s="604">
        <f>SUM(G42:G52)</f>
        <v>2295947.1700000004</v>
      </c>
      <c r="H53" s="131"/>
      <c r="I53" s="6"/>
      <c r="J53" s="6"/>
      <c r="K53" s="6"/>
      <c r="L53" s="6"/>
      <c r="M53" s="6"/>
    </row>
    <row r="54" spans="1:13" s="20" customFormat="1" ht="13.5" x14ac:dyDescent="0.3">
      <c r="A54" s="1027" t="s">
        <v>750</v>
      </c>
      <c r="B54" s="31" t="s">
        <v>124</v>
      </c>
      <c r="C54" s="594"/>
      <c r="D54" s="594"/>
      <c r="E54" s="594"/>
      <c r="F54" s="594"/>
      <c r="G54" s="600"/>
      <c r="H54" s="6"/>
      <c r="I54" s="6"/>
      <c r="J54" s="6"/>
      <c r="K54" s="6"/>
      <c r="L54" s="6"/>
      <c r="M54" s="6"/>
    </row>
    <row r="55" spans="1:13" s="20" customFormat="1" ht="13.5" x14ac:dyDescent="0.3">
      <c r="A55" s="1028"/>
      <c r="B55" s="16" t="s">
        <v>19</v>
      </c>
      <c r="C55" s="596">
        <v>98908.591320000007</v>
      </c>
      <c r="D55" s="596">
        <v>96278.136569999959</v>
      </c>
      <c r="E55" s="596">
        <v>66230.518384800002</v>
      </c>
      <c r="F55" s="596">
        <v>62348.03</v>
      </c>
      <c r="G55" s="597">
        <v>74891.13</v>
      </c>
      <c r="H55" s="6"/>
      <c r="I55" s="6"/>
      <c r="J55" s="6"/>
      <c r="K55" s="6"/>
      <c r="L55" s="6"/>
      <c r="M55" s="6"/>
    </row>
    <row r="56" spans="1:13" s="20" customFormat="1" ht="13.5" x14ac:dyDescent="0.3">
      <c r="A56" s="1028"/>
      <c r="B56" s="433" t="s">
        <v>20</v>
      </c>
      <c r="C56" s="601">
        <v>105672.1102</v>
      </c>
      <c r="D56" s="601">
        <v>110116.49750639996</v>
      </c>
      <c r="E56" s="601">
        <v>103584.4053552</v>
      </c>
      <c r="F56" s="601">
        <v>87557.29</v>
      </c>
      <c r="G56" s="602">
        <v>86793.98</v>
      </c>
      <c r="H56" s="6"/>
      <c r="I56" s="6"/>
      <c r="J56" s="6"/>
      <c r="K56" s="6"/>
      <c r="L56" s="6"/>
      <c r="M56" s="6"/>
    </row>
    <row r="57" spans="1:13" s="20" customFormat="1" ht="13.5" x14ac:dyDescent="0.3">
      <c r="A57" s="1029"/>
      <c r="B57" s="430" t="s">
        <v>751</v>
      </c>
      <c r="C57" s="603">
        <f>SUM(C55:C56)</f>
        <v>204580.70152</v>
      </c>
      <c r="D57" s="603">
        <f t="shared" ref="D57:F57" si="4">SUM(D55:D56)</f>
        <v>206394.6340763999</v>
      </c>
      <c r="E57" s="603">
        <f t="shared" si="4"/>
        <v>169814.92374</v>
      </c>
      <c r="F57" s="603">
        <f t="shared" si="4"/>
        <v>149905.32</v>
      </c>
      <c r="G57" s="604">
        <f>SUM(G55:G56)</f>
        <v>161685.10999999999</v>
      </c>
      <c r="H57" s="131"/>
      <c r="I57" s="6"/>
      <c r="J57" s="6"/>
      <c r="K57" s="6"/>
      <c r="L57" s="6"/>
      <c r="M57" s="6"/>
    </row>
    <row r="58" spans="1:13" s="20" customFormat="1" ht="13.5" x14ac:dyDescent="0.3">
      <c r="A58" s="1027" t="s">
        <v>752</v>
      </c>
      <c r="B58" s="31" t="s">
        <v>124</v>
      </c>
      <c r="C58" s="594"/>
      <c r="D58" s="594"/>
      <c r="E58" s="594"/>
      <c r="F58" s="594"/>
      <c r="G58" s="600"/>
      <c r="H58" s="6"/>
      <c r="I58" s="6"/>
      <c r="J58" s="6"/>
      <c r="K58" s="6"/>
      <c r="L58" s="6"/>
      <c r="M58" s="6"/>
    </row>
    <row r="59" spans="1:13" s="20" customFormat="1" ht="13.5" x14ac:dyDescent="0.3">
      <c r="A59" s="1028"/>
      <c r="B59" s="893" t="s">
        <v>753</v>
      </c>
      <c r="C59" s="596">
        <v>764.35675509999999</v>
      </c>
      <c r="D59" s="596">
        <v>772.96447730880016</v>
      </c>
      <c r="E59" s="596" t="s">
        <v>164</v>
      </c>
      <c r="F59" s="596" t="s">
        <v>164</v>
      </c>
      <c r="G59" s="597" t="s">
        <v>164</v>
      </c>
      <c r="H59" s="6"/>
      <c r="I59" s="6"/>
      <c r="J59" s="6"/>
      <c r="K59" s="6"/>
      <c r="L59" s="6"/>
      <c r="M59" s="6"/>
    </row>
    <row r="60" spans="1:13" s="20" customFormat="1" ht="13.5" x14ac:dyDescent="0.3">
      <c r="A60" s="1028"/>
      <c r="B60" s="893" t="s">
        <v>26</v>
      </c>
      <c r="C60" s="596">
        <v>18843.301510000001</v>
      </c>
      <c r="D60" s="596">
        <v>13077.918000000001</v>
      </c>
      <c r="E60" s="596">
        <v>18292.662864000002</v>
      </c>
      <c r="F60" s="596">
        <v>15492.62</v>
      </c>
      <c r="G60" s="597">
        <v>18670.03</v>
      </c>
      <c r="H60" s="6"/>
      <c r="I60" s="6"/>
      <c r="J60" s="6"/>
      <c r="K60" s="6"/>
      <c r="L60" s="6"/>
      <c r="M60" s="6"/>
    </row>
    <row r="61" spans="1:13" s="20" customFormat="1" ht="13.5" x14ac:dyDescent="0.3">
      <c r="A61" s="1028"/>
      <c r="B61" s="893" t="s">
        <v>27</v>
      </c>
      <c r="C61" s="596">
        <v>235059.05429999999</v>
      </c>
      <c r="D61" s="596">
        <v>204127.75678181031</v>
      </c>
      <c r="E61" s="596">
        <v>207312</v>
      </c>
      <c r="F61" s="596">
        <v>183425.44</v>
      </c>
      <c r="G61" s="597">
        <v>227545.01</v>
      </c>
      <c r="H61" s="6"/>
      <c r="I61" s="6"/>
      <c r="J61" s="6"/>
      <c r="K61" s="6"/>
      <c r="L61" s="6"/>
      <c r="M61" s="6"/>
    </row>
    <row r="62" spans="1:13" s="20" customFormat="1" ht="13.5" x14ac:dyDescent="0.3">
      <c r="A62" s="1028"/>
      <c r="B62" s="425" t="s">
        <v>754</v>
      </c>
      <c r="C62" s="601">
        <v>5448.7265719999996</v>
      </c>
      <c r="D62" s="601">
        <v>4906.9195909776008</v>
      </c>
      <c r="E62" s="601" t="s">
        <v>164</v>
      </c>
      <c r="F62" s="601" t="s">
        <v>164</v>
      </c>
      <c r="G62" s="602" t="s">
        <v>164</v>
      </c>
      <c r="H62" s="201"/>
      <c r="I62" s="6"/>
      <c r="J62" s="6"/>
      <c r="K62" s="6"/>
      <c r="L62" s="6"/>
      <c r="M62" s="6"/>
    </row>
    <row r="63" spans="1:13" s="20" customFormat="1" ht="10.15" customHeight="1" x14ac:dyDescent="0.3">
      <c r="A63" s="1028"/>
      <c r="B63" s="31" t="s">
        <v>113</v>
      </c>
      <c r="C63" s="594"/>
      <c r="D63" s="594"/>
      <c r="E63" s="594"/>
      <c r="F63" s="594"/>
      <c r="G63" s="600"/>
      <c r="H63" s="6"/>
      <c r="I63" s="6"/>
      <c r="J63" s="6"/>
      <c r="K63" s="6"/>
      <c r="L63" s="6"/>
      <c r="M63" s="6"/>
    </row>
    <row r="64" spans="1:13" s="20" customFormat="1" ht="13.5" x14ac:dyDescent="0.3">
      <c r="A64" s="1028"/>
      <c r="B64" s="893" t="s">
        <v>759</v>
      </c>
      <c r="C64" s="596">
        <v>119098</v>
      </c>
      <c r="D64" s="596">
        <v>86745</v>
      </c>
      <c r="E64" s="596">
        <v>65954</v>
      </c>
      <c r="F64" s="596">
        <v>59243.94</v>
      </c>
      <c r="G64" s="597">
        <v>42169.440000000002</v>
      </c>
      <c r="H64" s="201"/>
      <c r="I64" s="6"/>
      <c r="J64" s="6"/>
      <c r="K64" s="6"/>
      <c r="L64" s="6"/>
      <c r="M64" s="6"/>
    </row>
    <row r="65" spans="1:13" s="20" customFormat="1" ht="13.5" x14ac:dyDescent="0.3">
      <c r="A65" s="1028"/>
      <c r="B65" s="436" t="s">
        <v>755</v>
      </c>
      <c r="C65" s="598">
        <v>21840.282449999999</v>
      </c>
      <c r="D65" s="598">
        <v>22513.05</v>
      </c>
      <c r="E65" s="598">
        <v>6674.78</v>
      </c>
      <c r="F65" s="598" t="s">
        <v>164</v>
      </c>
      <c r="G65" s="599" t="s">
        <v>164</v>
      </c>
      <c r="H65" s="201"/>
      <c r="I65" s="6"/>
      <c r="J65" s="6"/>
      <c r="K65" s="6"/>
      <c r="L65" s="6"/>
      <c r="M65" s="6"/>
    </row>
    <row r="66" spans="1:13" s="20" customFormat="1" ht="13.5" x14ac:dyDescent="0.3">
      <c r="A66" s="1029"/>
      <c r="B66" s="430" t="s">
        <v>756</v>
      </c>
      <c r="C66" s="603">
        <f>SUM(C59:C65)</f>
        <v>401053.72158710001</v>
      </c>
      <c r="D66" s="603">
        <f>SUM(D59:D65)</f>
        <v>332143.6088500967</v>
      </c>
      <c r="E66" s="603">
        <f>SUM(E59:E65)</f>
        <v>298233.44286400004</v>
      </c>
      <c r="F66" s="603">
        <f>SUM(F59:F65)</f>
        <v>258162</v>
      </c>
      <c r="G66" s="604">
        <f>SUM(G59:G65)</f>
        <v>288384.48</v>
      </c>
      <c r="H66" s="201"/>
      <c r="I66" s="6"/>
      <c r="J66" s="6"/>
      <c r="K66" s="6"/>
      <c r="L66" s="6"/>
      <c r="M66" s="6"/>
    </row>
    <row r="67" spans="1:13" s="20" customFormat="1" ht="10.15" customHeight="1" x14ac:dyDescent="0.3">
      <c r="A67" s="1027" t="s">
        <v>217</v>
      </c>
      <c r="B67" s="31" t="s">
        <v>217</v>
      </c>
      <c r="C67" s="594"/>
      <c r="D67" s="594"/>
      <c r="E67" s="594"/>
      <c r="F67" s="594"/>
      <c r="G67" s="600"/>
      <c r="H67" s="6"/>
      <c r="I67" s="6"/>
      <c r="J67" s="6"/>
      <c r="K67" s="6"/>
      <c r="L67" s="6"/>
      <c r="M67" s="6"/>
    </row>
    <row r="68" spans="1:13" s="20" customFormat="1" ht="13.5" x14ac:dyDescent="0.3">
      <c r="A68" s="1028"/>
      <c r="B68" s="893" t="s">
        <v>235</v>
      </c>
      <c r="C68" s="596">
        <v>21088.332269999999</v>
      </c>
      <c r="D68" s="596">
        <v>22136.273820424511</v>
      </c>
      <c r="E68" s="596">
        <v>15698</v>
      </c>
      <c r="F68" s="596">
        <v>8606.06</v>
      </c>
      <c r="G68" s="597">
        <v>11146.19</v>
      </c>
      <c r="H68" s="6"/>
      <c r="I68" s="6"/>
      <c r="J68" s="6"/>
      <c r="K68" s="6"/>
      <c r="L68" s="6"/>
      <c r="M68" s="6"/>
    </row>
    <row r="69" spans="1:13" s="20" customFormat="1" ht="13.5" x14ac:dyDescent="0.3">
      <c r="A69" s="1028"/>
      <c r="B69" s="893" t="s">
        <v>238</v>
      </c>
      <c r="C69" s="605">
        <v>0</v>
      </c>
      <c r="D69" s="605">
        <v>0</v>
      </c>
      <c r="E69" s="605">
        <v>0</v>
      </c>
      <c r="F69" s="605">
        <v>0</v>
      </c>
      <c r="G69" s="606">
        <v>0</v>
      </c>
      <c r="H69" s="201"/>
      <c r="I69" s="6"/>
      <c r="J69" s="6"/>
      <c r="K69" s="6"/>
      <c r="L69" s="6"/>
      <c r="M69" s="6"/>
    </row>
    <row r="70" spans="1:13" s="20" customFormat="1" ht="13.5" x14ac:dyDescent="0.3">
      <c r="A70" s="1028"/>
      <c r="B70" s="436" t="s">
        <v>25</v>
      </c>
      <c r="C70" s="598">
        <v>507.54734070000001</v>
      </c>
      <c r="D70" s="598">
        <v>447.25060000000002</v>
      </c>
      <c r="E70" s="598">
        <v>286.29592000000002</v>
      </c>
      <c r="F70" s="598">
        <v>315.10000000000002</v>
      </c>
      <c r="G70" s="599">
        <v>299.60000000000002</v>
      </c>
      <c r="H70" s="201"/>
      <c r="I70" s="6"/>
      <c r="J70" s="6"/>
      <c r="K70" s="6"/>
      <c r="L70" s="6"/>
      <c r="M70" s="6"/>
    </row>
    <row r="71" spans="1:13" s="20" customFormat="1" ht="13.5" x14ac:dyDescent="0.3">
      <c r="A71" s="1029"/>
      <c r="B71" s="430" t="s">
        <v>757</v>
      </c>
      <c r="C71" s="603">
        <f>SUM(C68:C70)</f>
        <v>21595.879610699998</v>
      </c>
      <c r="D71" s="603">
        <f t="shared" ref="D71:F71" si="5">SUM(D68:D70)</f>
        <v>22583.52442042451</v>
      </c>
      <c r="E71" s="603">
        <f t="shared" si="5"/>
        <v>15984.29592</v>
      </c>
      <c r="F71" s="603">
        <f t="shared" si="5"/>
        <v>8921.16</v>
      </c>
      <c r="G71" s="604">
        <f>SUM(G68:G70)</f>
        <v>11445.79</v>
      </c>
      <c r="H71" s="367"/>
      <c r="I71" s="6"/>
      <c r="J71" s="6"/>
      <c r="K71" s="6"/>
      <c r="L71" s="6"/>
      <c r="M71" s="6"/>
    </row>
    <row r="72" spans="1:13" s="20" customFormat="1" ht="5.0999999999999996" customHeight="1" x14ac:dyDescent="0.3">
      <c r="B72" s="373"/>
      <c r="C72" s="598"/>
      <c r="D72" s="598"/>
      <c r="E72" s="598"/>
      <c r="F72" s="598"/>
      <c r="G72" s="599"/>
      <c r="H72" s="367"/>
      <c r="I72" s="6"/>
      <c r="J72" s="6"/>
      <c r="K72" s="6"/>
      <c r="L72" s="6"/>
      <c r="M72" s="6"/>
    </row>
    <row r="73" spans="1:13" s="20" customFormat="1" ht="13.5" x14ac:dyDescent="0.3">
      <c r="A73" s="374" t="s">
        <v>760</v>
      </c>
      <c r="B73" s="375"/>
      <c r="C73" s="607">
        <f>+C71+C66+C57+C53</f>
        <v>3197643.1468147999</v>
      </c>
      <c r="D73" s="607">
        <f>+D71+D66+D57+D53</f>
        <v>3059859.2401829204</v>
      </c>
      <c r="E73" s="607">
        <f>+E71+E66+E57+E53</f>
        <v>2856130.8484169841</v>
      </c>
      <c r="F73" s="607">
        <f>+F71+F66+F57+F53</f>
        <v>2614154.5840659025</v>
      </c>
      <c r="G73" s="608">
        <f>+G71+G66+G57+G53</f>
        <v>2757462.5500000003</v>
      </c>
      <c r="H73" s="131"/>
      <c r="I73" s="6"/>
      <c r="J73" s="6"/>
      <c r="K73" s="6"/>
      <c r="L73" s="6"/>
      <c r="M73" s="6"/>
    </row>
    <row r="74" spans="1:13" s="20" customFormat="1" ht="13.5" x14ac:dyDescent="0.3">
      <c r="B74" s="369"/>
      <c r="C74" s="598"/>
      <c r="D74" s="598"/>
      <c r="E74" s="598"/>
      <c r="F74" s="598"/>
      <c r="G74" s="599"/>
      <c r="H74" s="6"/>
      <c r="I74" s="6"/>
      <c r="J74" s="6"/>
      <c r="K74" s="6"/>
      <c r="L74" s="6"/>
      <c r="M74" s="6"/>
    </row>
    <row r="75" spans="1:13" s="20" customFormat="1" ht="15" customHeight="1" x14ac:dyDescent="0.3">
      <c r="A75" s="127" t="s">
        <v>237</v>
      </c>
      <c r="B75" s="126"/>
      <c r="C75" s="609"/>
      <c r="D75" s="609"/>
      <c r="E75" s="609"/>
      <c r="F75" s="609"/>
      <c r="G75" s="610"/>
      <c r="H75" s="19"/>
      <c r="I75" s="177"/>
      <c r="J75" s="6"/>
      <c r="K75" s="6"/>
      <c r="L75" s="6"/>
      <c r="M75" s="6"/>
    </row>
    <row r="76" spans="1:13" s="20" customFormat="1" ht="13.5" x14ac:dyDescent="0.3">
      <c r="A76" s="376" t="s">
        <v>748</v>
      </c>
      <c r="B76" s="376"/>
      <c r="C76" s="596">
        <f>+C18+C53</f>
        <v>7210910.3709908649</v>
      </c>
      <c r="D76" s="596">
        <f>+D18+D53</f>
        <v>6884622.0719561204</v>
      </c>
      <c r="E76" s="596">
        <f>+E18+E53</f>
        <v>6281624.3708337583</v>
      </c>
      <c r="F76" s="596">
        <f>+F18+F53</f>
        <v>6452530.9940659022</v>
      </c>
      <c r="G76" s="597">
        <f>+G18+G53</f>
        <v>6866852.5999999996</v>
      </c>
      <c r="H76" s="41"/>
      <c r="I76" s="56"/>
      <c r="J76" s="6"/>
      <c r="K76" s="6"/>
      <c r="L76" s="6"/>
      <c r="M76" s="6"/>
    </row>
    <row r="77" spans="1:13" s="20" customFormat="1" ht="13.5" x14ac:dyDescent="0.3">
      <c r="A77" s="376" t="s">
        <v>750</v>
      </c>
      <c r="B77" s="376"/>
      <c r="C77" s="596">
        <f>+C22+C57</f>
        <v>265390.66840643634</v>
      </c>
      <c r="D77" s="596">
        <f>+D22+D57</f>
        <v>277774.7076967113</v>
      </c>
      <c r="E77" s="596">
        <f>+E22+E57</f>
        <v>221605.21384724806</v>
      </c>
      <c r="F77" s="596">
        <f>+F22+F57</f>
        <v>197313.5</v>
      </c>
      <c r="G77" s="597">
        <f>+G22+G57</f>
        <v>236324.25</v>
      </c>
      <c r="H77" s="41"/>
      <c r="I77" s="56"/>
      <c r="J77" s="6"/>
      <c r="K77" s="6"/>
      <c r="L77" s="6"/>
      <c r="M77" s="6"/>
    </row>
    <row r="78" spans="1:13" s="20" customFormat="1" ht="13.5" x14ac:dyDescent="0.3">
      <c r="A78" s="376" t="s">
        <v>752</v>
      </c>
      <c r="B78" s="376"/>
      <c r="C78" s="596">
        <f>+C31+C66</f>
        <v>643316.80353781453</v>
      </c>
      <c r="D78" s="596">
        <f>+D31+D66</f>
        <v>579316.00720130629</v>
      </c>
      <c r="E78" s="596">
        <f>+E31+E66</f>
        <v>545782.15593905281</v>
      </c>
      <c r="F78" s="596">
        <f>+F31+F66</f>
        <v>504865.92</v>
      </c>
      <c r="G78" s="597">
        <f>+G31+G66</f>
        <v>542968.66999999993</v>
      </c>
      <c r="H78" s="41"/>
      <c r="I78" s="41"/>
      <c r="J78" s="6"/>
      <c r="K78" s="6"/>
      <c r="L78" s="6"/>
      <c r="M78" s="6"/>
    </row>
    <row r="79" spans="1:13" s="20" customFormat="1" ht="13.5" x14ac:dyDescent="0.3">
      <c r="A79" s="377" t="s">
        <v>217</v>
      </c>
      <c r="B79" s="776"/>
      <c r="C79" s="598">
        <f>+C36+C71</f>
        <v>42745.172072519606</v>
      </c>
      <c r="D79" s="598">
        <f>+D36+D71</f>
        <v>47815.94730090486</v>
      </c>
      <c r="E79" s="598">
        <f>+E36+E71</f>
        <v>41417.446006355414</v>
      </c>
      <c r="F79" s="598">
        <f>+F36+F71</f>
        <v>35003.14</v>
      </c>
      <c r="G79" s="599">
        <f>+G36+G71</f>
        <v>39140.020000000004</v>
      </c>
      <c r="H79" s="41"/>
      <c r="I79" s="19"/>
      <c r="J79" s="6"/>
      <c r="K79" s="6"/>
      <c r="L79" s="6"/>
      <c r="M79" s="6"/>
    </row>
    <row r="80" spans="1:13" s="20" customFormat="1" ht="13.5" x14ac:dyDescent="0.3">
      <c r="A80" s="374" t="s">
        <v>761</v>
      </c>
      <c r="B80" s="378"/>
      <c r="C80" s="607">
        <f>SUM(C76:C79)</f>
        <v>8162363.0150076356</v>
      </c>
      <c r="D80" s="607">
        <f t="shared" ref="D80:F80" si="6">SUM(D76:D79)</f>
        <v>7789528.734155043</v>
      </c>
      <c r="E80" s="607">
        <f t="shared" si="6"/>
        <v>7090429.1866264148</v>
      </c>
      <c r="F80" s="607">
        <f t="shared" si="6"/>
        <v>7189713.5540659018</v>
      </c>
      <c r="G80" s="608">
        <f>SUM(G76:G79)</f>
        <v>7685285.5399999991</v>
      </c>
      <c r="H80" s="56"/>
      <c r="I80" s="19"/>
      <c r="J80" s="41"/>
      <c r="K80" s="6"/>
      <c r="L80" s="6"/>
      <c r="M80" s="6"/>
    </row>
    <row r="81" spans="1:13" s="20" customFormat="1" ht="13.5" x14ac:dyDescent="0.3">
      <c r="A81" s="379"/>
      <c r="C81" s="598"/>
      <c r="D81" s="598"/>
      <c r="E81" s="598"/>
      <c r="F81" s="598"/>
      <c r="G81" s="599"/>
      <c r="H81" s="56"/>
      <c r="I81" s="19"/>
      <c r="J81" s="41"/>
      <c r="K81" s="6"/>
      <c r="L81" s="6"/>
      <c r="M81" s="6"/>
    </row>
    <row r="82" spans="1:13" s="20" customFormat="1" ht="15" customHeight="1" x14ac:dyDescent="0.3">
      <c r="A82" s="126" t="s">
        <v>762</v>
      </c>
      <c r="B82" s="126"/>
      <c r="C82" s="609"/>
      <c r="D82" s="609"/>
      <c r="E82" s="609"/>
      <c r="F82" s="609"/>
      <c r="G82" s="610"/>
      <c r="H82" s="56"/>
      <c r="I82" s="19"/>
      <c r="J82" s="41"/>
      <c r="K82" s="6"/>
      <c r="L82" s="6"/>
      <c r="M82" s="6"/>
    </row>
    <row r="83" spans="1:13" s="20" customFormat="1" ht="13.5" x14ac:dyDescent="0.3">
      <c r="A83" s="374" t="s">
        <v>1331</v>
      </c>
      <c r="B83" s="178"/>
      <c r="C83" s="611">
        <v>750332</v>
      </c>
      <c r="D83" s="611">
        <v>692336</v>
      </c>
      <c r="E83" s="611">
        <v>1729251</v>
      </c>
      <c r="F83" s="612">
        <v>5179522</v>
      </c>
      <c r="G83" s="938">
        <v>5892373</v>
      </c>
      <c r="H83" s="56"/>
      <c r="I83" s="131"/>
      <c r="J83" s="41"/>
      <c r="K83" s="6"/>
      <c r="L83" s="6"/>
      <c r="M83" s="6"/>
    </row>
    <row r="84" spans="1:13" s="7" customFormat="1" ht="8.1" customHeight="1" x14ac:dyDescent="0.3">
      <c r="B84" s="182"/>
      <c r="C84" s="78"/>
      <c r="D84" s="78"/>
      <c r="E84" s="78"/>
      <c r="F84" s="78"/>
      <c r="G84" s="78"/>
      <c r="H84" s="1"/>
      <c r="I84" s="1"/>
      <c r="J84" s="1"/>
      <c r="K84" s="1"/>
      <c r="L84" s="1"/>
      <c r="M84" s="1"/>
    </row>
    <row r="85" spans="1:13" s="18" customFormat="1" ht="18" customHeight="1" x14ac:dyDescent="0.15">
      <c r="A85" s="1003" t="s">
        <v>1009</v>
      </c>
      <c r="B85" s="1003"/>
      <c r="C85" s="1003"/>
      <c r="D85" s="1003"/>
      <c r="E85" s="1003"/>
      <c r="F85" s="1003"/>
      <c r="G85" s="1003"/>
    </row>
    <row r="86" spans="1:13" s="18" customFormat="1" ht="7.15" customHeight="1" x14ac:dyDescent="0.15">
      <c r="A86" s="1003"/>
      <c r="B86" s="1003"/>
      <c r="C86" s="1003"/>
      <c r="D86" s="1003"/>
      <c r="E86" s="1003"/>
      <c r="F86" s="1003"/>
      <c r="G86" s="1003"/>
    </row>
    <row r="87" spans="1:13" s="18" customFormat="1" ht="59.45" customHeight="1" x14ac:dyDescent="0.15">
      <c r="A87" s="1003" t="s">
        <v>971</v>
      </c>
      <c r="B87" s="1003"/>
      <c r="C87" s="1003"/>
      <c r="D87" s="1003"/>
      <c r="E87" s="1003"/>
      <c r="F87" s="1003"/>
      <c r="G87" s="1003"/>
    </row>
    <row r="88" spans="1:13" s="18" customFormat="1" ht="25.9" customHeight="1" x14ac:dyDescent="0.15">
      <c r="A88" s="1003" t="s">
        <v>1010</v>
      </c>
      <c r="B88" s="1003"/>
      <c r="C88" s="1003"/>
      <c r="D88" s="1003"/>
      <c r="E88" s="1003"/>
      <c r="F88" s="1003"/>
      <c r="G88" s="1003"/>
    </row>
    <row r="89" spans="1:13" s="18" customFormat="1" ht="25.9" customHeight="1" x14ac:dyDescent="0.15">
      <c r="A89" s="1003" t="s">
        <v>1332</v>
      </c>
      <c r="B89" s="1003"/>
      <c r="C89" s="1003"/>
      <c r="D89" s="1003"/>
      <c r="E89" s="1003"/>
      <c r="F89" s="1003"/>
      <c r="G89" s="1003"/>
    </row>
    <row r="90" spans="1:13" s="18" customFormat="1" ht="27.6" customHeight="1" x14ac:dyDescent="0.15">
      <c r="A90" s="999" t="s">
        <v>686</v>
      </c>
      <c r="B90" s="999"/>
      <c r="C90" s="999"/>
      <c r="D90" s="999"/>
      <c r="E90" s="999"/>
      <c r="F90" s="999"/>
      <c r="G90" s="999"/>
    </row>
    <row r="91" spans="1:13" x14ac:dyDescent="0.3">
      <c r="A91" s="5"/>
      <c r="B91" s="95"/>
      <c r="C91" s="48"/>
      <c r="D91" s="48"/>
      <c r="E91" s="48"/>
      <c r="F91" s="48"/>
      <c r="G91" s="48"/>
      <c r="H91" s="5"/>
      <c r="I91" s="5"/>
      <c r="J91" s="5"/>
      <c r="K91" s="5"/>
      <c r="L91" s="5"/>
      <c r="M91" s="5"/>
    </row>
    <row r="92" spans="1:13" x14ac:dyDescent="0.3">
      <c r="A92" s="5"/>
      <c r="B92" s="95"/>
      <c r="C92" s="48"/>
      <c r="D92" s="48"/>
      <c r="E92" s="48"/>
      <c r="F92" s="48"/>
      <c r="G92" s="48"/>
      <c r="H92" s="5"/>
      <c r="I92" s="5"/>
      <c r="J92" s="5"/>
      <c r="K92" s="5"/>
      <c r="L92" s="5"/>
      <c r="M92" s="5"/>
    </row>
    <row r="93" spans="1:13" x14ac:dyDescent="0.3">
      <c r="A93" s="5"/>
      <c r="B93" s="95"/>
      <c r="C93" s="48"/>
      <c r="D93" s="48"/>
      <c r="E93" s="48"/>
      <c r="F93" s="48"/>
      <c r="G93" s="48"/>
      <c r="H93" s="5"/>
      <c r="I93" s="5"/>
      <c r="J93" s="5"/>
      <c r="K93" s="5"/>
      <c r="L93" s="5"/>
      <c r="M93" s="5"/>
    </row>
    <row r="94" spans="1:13" x14ac:dyDescent="0.3">
      <c r="A94" s="5"/>
      <c r="B94" s="95"/>
      <c r="C94" s="48"/>
      <c r="D94" s="48"/>
      <c r="E94" s="48"/>
      <c r="F94" s="48"/>
      <c r="G94" s="48"/>
      <c r="H94" s="5"/>
      <c r="I94" s="5"/>
      <c r="J94" s="5"/>
      <c r="K94" s="5"/>
      <c r="L94" s="5"/>
      <c r="M94" s="5"/>
    </row>
    <row r="95" spans="1:13" x14ac:dyDescent="0.3">
      <c r="A95" s="5"/>
      <c r="B95" s="95"/>
      <c r="C95" s="48"/>
      <c r="D95" s="48"/>
      <c r="E95" s="48"/>
      <c r="F95" s="48"/>
      <c r="G95" s="48"/>
      <c r="H95" s="5"/>
      <c r="I95" s="5"/>
      <c r="J95" s="5"/>
      <c r="K95" s="5"/>
      <c r="L95" s="5"/>
      <c r="M95" s="5"/>
    </row>
    <row r="96" spans="1:13" x14ac:dyDescent="0.3">
      <c r="A96" s="5"/>
      <c r="B96" s="95"/>
      <c r="C96" s="48"/>
      <c r="D96" s="48"/>
      <c r="E96" s="48"/>
      <c r="F96" s="48"/>
      <c r="G96" s="48"/>
      <c r="H96" s="5"/>
      <c r="I96" s="5"/>
      <c r="J96" s="5"/>
      <c r="K96" s="5"/>
      <c r="L96" s="5"/>
      <c r="M96" s="5"/>
    </row>
    <row r="97" spans="1:13" x14ac:dyDescent="0.3">
      <c r="A97" s="5"/>
      <c r="B97" s="95"/>
      <c r="C97" s="48"/>
      <c r="D97" s="48"/>
      <c r="E97" s="48"/>
      <c r="F97" s="48"/>
      <c r="G97" s="48"/>
      <c r="H97" s="5"/>
      <c r="I97" s="5"/>
      <c r="J97" s="5"/>
      <c r="K97" s="5"/>
      <c r="L97" s="5"/>
      <c r="M97" s="5"/>
    </row>
    <row r="98" spans="1:13" x14ac:dyDescent="0.3">
      <c r="A98" s="5"/>
      <c r="B98" s="95"/>
      <c r="C98" s="48"/>
      <c r="D98" s="48"/>
      <c r="E98" s="48"/>
      <c r="F98" s="48"/>
      <c r="G98" s="48"/>
      <c r="H98" s="5"/>
      <c r="I98" s="5"/>
      <c r="J98" s="5"/>
      <c r="K98" s="5"/>
      <c r="L98" s="5"/>
      <c r="M98" s="5"/>
    </row>
    <row r="99" spans="1:13" x14ac:dyDescent="0.3">
      <c r="A99" s="5"/>
      <c r="B99" s="95"/>
      <c r="C99" s="48"/>
      <c r="D99" s="48"/>
      <c r="E99" s="48"/>
      <c r="F99" s="48"/>
      <c r="G99" s="48"/>
      <c r="H99" s="5"/>
      <c r="I99" s="5"/>
      <c r="J99" s="5"/>
      <c r="K99" s="5"/>
      <c r="L99" s="5"/>
      <c r="M99" s="5"/>
    </row>
    <row r="100" spans="1:13" x14ac:dyDescent="0.3">
      <c r="A100" s="5"/>
      <c r="B100" s="95"/>
      <c r="C100" s="48"/>
      <c r="D100" s="48"/>
      <c r="E100" s="48"/>
      <c r="F100" s="48"/>
      <c r="G100" s="48"/>
      <c r="H100" s="5"/>
      <c r="I100" s="5"/>
      <c r="J100" s="5"/>
      <c r="K100" s="5"/>
      <c r="L100" s="5"/>
      <c r="M100" s="5"/>
    </row>
    <row r="101" spans="1:13" x14ac:dyDescent="0.3">
      <c r="A101" s="5"/>
      <c r="B101" s="95"/>
      <c r="C101" s="48"/>
      <c r="D101" s="48"/>
      <c r="E101" s="48"/>
      <c r="F101" s="48"/>
      <c r="G101" s="48"/>
      <c r="H101" s="5"/>
      <c r="I101" s="5"/>
      <c r="J101" s="5"/>
      <c r="K101" s="5"/>
      <c r="L101" s="5"/>
      <c r="M101" s="5"/>
    </row>
    <row r="102" spans="1:13" x14ac:dyDescent="0.3">
      <c r="A102" s="5"/>
      <c r="B102" s="95"/>
      <c r="C102" s="48"/>
      <c r="D102" s="48"/>
      <c r="E102" s="48"/>
      <c r="F102" s="48"/>
      <c r="G102" s="48"/>
      <c r="H102" s="5"/>
      <c r="I102" s="5"/>
      <c r="J102" s="5"/>
      <c r="K102" s="5"/>
      <c r="L102" s="5"/>
      <c r="M102" s="5"/>
    </row>
    <row r="103" spans="1:13" x14ac:dyDescent="0.3">
      <c r="A103" s="5"/>
      <c r="B103" s="95"/>
      <c r="C103" s="48"/>
      <c r="D103" s="48"/>
      <c r="E103" s="48"/>
      <c r="F103" s="48"/>
      <c r="G103" s="48"/>
      <c r="H103" s="5"/>
      <c r="I103" s="5"/>
      <c r="J103" s="5"/>
      <c r="K103" s="5"/>
      <c r="L103" s="5"/>
      <c r="M103" s="5"/>
    </row>
    <row r="104" spans="1:13" x14ac:dyDescent="0.3">
      <c r="A104" s="5"/>
      <c r="B104" s="95"/>
      <c r="C104" s="48"/>
      <c r="D104" s="48"/>
      <c r="E104" s="48"/>
      <c r="F104" s="48"/>
      <c r="G104" s="48"/>
      <c r="H104" s="5"/>
      <c r="I104" s="5"/>
      <c r="J104" s="5"/>
      <c r="K104" s="5"/>
      <c r="L104" s="5"/>
      <c r="M104" s="5"/>
    </row>
    <row r="105" spans="1:13" x14ac:dyDescent="0.3">
      <c r="A105" s="5"/>
      <c r="B105" s="95"/>
      <c r="C105" s="48"/>
      <c r="D105" s="48"/>
      <c r="E105" s="48"/>
      <c r="F105" s="48"/>
      <c r="G105" s="48"/>
      <c r="H105" s="5"/>
      <c r="I105" s="5"/>
      <c r="J105" s="5"/>
      <c r="K105" s="5"/>
      <c r="L105" s="5"/>
      <c r="M105" s="5"/>
    </row>
    <row r="106" spans="1:13" x14ac:dyDescent="0.3">
      <c r="A106" s="5"/>
      <c r="B106" s="95"/>
      <c r="C106" s="48"/>
      <c r="D106" s="48"/>
      <c r="E106" s="48"/>
      <c r="F106" s="48"/>
      <c r="G106" s="48"/>
      <c r="H106" s="5"/>
      <c r="I106" s="5"/>
      <c r="J106" s="5"/>
      <c r="K106" s="5"/>
      <c r="L106" s="5"/>
      <c r="M106" s="5"/>
    </row>
    <row r="107" spans="1:13" x14ac:dyDescent="0.3">
      <c r="A107" s="5"/>
      <c r="B107" s="95"/>
      <c r="C107" s="48"/>
      <c r="D107" s="48"/>
      <c r="E107" s="48"/>
      <c r="F107" s="48"/>
      <c r="G107" s="48"/>
      <c r="H107" s="5"/>
      <c r="I107" s="5"/>
      <c r="J107" s="5"/>
      <c r="K107" s="5"/>
      <c r="L107" s="5"/>
      <c r="M107" s="5"/>
    </row>
    <row r="108" spans="1:13" x14ac:dyDescent="0.3">
      <c r="A108" s="5"/>
      <c r="B108" s="95"/>
      <c r="C108" s="48"/>
      <c r="D108" s="48"/>
      <c r="E108" s="48"/>
      <c r="F108" s="48"/>
      <c r="G108" s="48"/>
      <c r="H108" s="5"/>
      <c r="I108" s="5"/>
      <c r="J108" s="5"/>
      <c r="K108" s="5"/>
      <c r="L108" s="5"/>
      <c r="M108" s="5"/>
    </row>
    <row r="109" spans="1:13" x14ac:dyDescent="0.3">
      <c r="A109" s="5"/>
      <c r="B109" s="95"/>
      <c r="C109" s="48"/>
      <c r="D109" s="48"/>
      <c r="E109" s="48"/>
      <c r="F109" s="48"/>
      <c r="G109" s="48"/>
      <c r="H109" s="5"/>
      <c r="I109" s="5"/>
      <c r="J109" s="5"/>
      <c r="K109" s="5"/>
      <c r="L109" s="5"/>
      <c r="M109" s="5"/>
    </row>
    <row r="110" spans="1:13" x14ac:dyDescent="0.3">
      <c r="A110" s="5"/>
      <c r="B110" s="95"/>
      <c r="C110" s="48"/>
      <c r="D110" s="48"/>
      <c r="E110" s="48"/>
      <c r="F110" s="48"/>
      <c r="G110" s="48"/>
      <c r="H110" s="5"/>
      <c r="I110" s="5"/>
      <c r="J110" s="5"/>
      <c r="K110" s="5"/>
      <c r="L110" s="5"/>
      <c r="M110" s="5"/>
    </row>
    <row r="111" spans="1:13" x14ac:dyDescent="0.3">
      <c r="A111" s="5"/>
      <c r="B111" s="95"/>
      <c r="C111" s="48"/>
      <c r="D111" s="48"/>
      <c r="E111" s="48"/>
      <c r="F111" s="48"/>
      <c r="G111" s="48"/>
      <c r="H111" s="5"/>
      <c r="I111" s="5"/>
      <c r="J111" s="5"/>
      <c r="K111" s="5"/>
      <c r="L111" s="5"/>
      <c r="M111" s="5"/>
    </row>
    <row r="112" spans="1:13" x14ac:dyDescent="0.3">
      <c r="A112" s="5"/>
      <c r="B112" s="95"/>
      <c r="C112" s="48"/>
      <c r="D112" s="48"/>
      <c r="E112" s="48"/>
      <c r="F112" s="48"/>
      <c r="G112" s="48"/>
      <c r="H112" s="5"/>
      <c r="I112" s="5"/>
      <c r="J112" s="5"/>
      <c r="K112" s="5"/>
      <c r="L112" s="5"/>
      <c r="M112" s="5"/>
    </row>
    <row r="113" spans="1:13" x14ac:dyDescent="0.3">
      <c r="A113" s="5"/>
      <c r="B113" s="95"/>
      <c r="C113" s="48"/>
      <c r="D113" s="48"/>
      <c r="E113" s="48"/>
      <c r="F113" s="48"/>
      <c r="G113" s="48"/>
      <c r="H113" s="5"/>
      <c r="I113" s="5"/>
      <c r="J113" s="5"/>
      <c r="K113" s="5"/>
      <c r="L113" s="5"/>
      <c r="M113" s="5"/>
    </row>
    <row r="114" spans="1:13" x14ac:dyDescent="0.3">
      <c r="A114" s="5"/>
      <c r="B114" s="95"/>
      <c r="C114" s="48"/>
      <c r="D114" s="48"/>
      <c r="E114" s="48"/>
      <c r="F114" s="48"/>
      <c r="G114" s="48"/>
      <c r="H114" s="5"/>
      <c r="I114" s="5"/>
      <c r="J114" s="5"/>
      <c r="K114" s="5"/>
      <c r="L114" s="5"/>
      <c r="M114" s="5"/>
    </row>
    <row r="115" spans="1:13" x14ac:dyDescent="0.3">
      <c r="A115" s="5"/>
      <c r="B115" s="95"/>
      <c r="C115" s="48"/>
      <c r="D115" s="48"/>
      <c r="E115" s="48"/>
      <c r="F115" s="48"/>
      <c r="G115" s="48"/>
      <c r="H115" s="5"/>
      <c r="I115" s="5"/>
      <c r="J115" s="5"/>
      <c r="K115" s="5"/>
      <c r="L115" s="5"/>
      <c r="M115" s="5"/>
    </row>
    <row r="116" spans="1:13" x14ac:dyDescent="0.3">
      <c r="A116" s="5"/>
      <c r="B116" s="95"/>
      <c r="C116" s="48"/>
      <c r="D116" s="48"/>
      <c r="E116" s="48"/>
      <c r="F116" s="48"/>
      <c r="G116" s="48"/>
      <c r="H116" s="5"/>
      <c r="I116" s="5"/>
      <c r="J116" s="5"/>
      <c r="K116" s="5"/>
      <c r="L116" s="5"/>
      <c r="M116" s="5"/>
    </row>
    <row r="117" spans="1:13" x14ac:dyDescent="0.3">
      <c r="A117" s="5"/>
      <c r="B117" s="95"/>
      <c r="C117" s="48"/>
      <c r="D117" s="48"/>
      <c r="E117" s="48"/>
      <c r="F117" s="48"/>
      <c r="G117" s="48"/>
      <c r="H117" s="5"/>
      <c r="I117" s="5"/>
      <c r="J117" s="5"/>
      <c r="K117" s="5"/>
      <c r="L117" s="5"/>
      <c r="M117" s="5"/>
    </row>
    <row r="118" spans="1:13" x14ac:dyDescent="0.3">
      <c r="A118" s="5"/>
      <c r="B118" s="95"/>
      <c r="C118" s="48"/>
      <c r="D118" s="48"/>
      <c r="E118" s="48"/>
      <c r="F118" s="48"/>
      <c r="G118" s="48"/>
      <c r="H118" s="5"/>
      <c r="I118" s="5"/>
      <c r="J118" s="5"/>
      <c r="K118" s="5"/>
      <c r="L118" s="5"/>
      <c r="M118" s="5"/>
    </row>
    <row r="119" spans="1:13" x14ac:dyDescent="0.3">
      <c r="A119" s="5"/>
      <c r="B119" s="95"/>
      <c r="C119" s="48"/>
      <c r="D119" s="48"/>
      <c r="E119" s="48"/>
      <c r="F119" s="48"/>
      <c r="G119" s="48"/>
      <c r="H119" s="5"/>
      <c r="I119" s="5"/>
      <c r="J119" s="5"/>
      <c r="K119" s="5"/>
      <c r="L119" s="5"/>
      <c r="M119" s="5"/>
    </row>
    <row r="120" spans="1:13" x14ac:dyDescent="0.3">
      <c r="A120" s="5"/>
      <c r="B120" s="95"/>
      <c r="C120" s="48"/>
      <c r="D120" s="48"/>
      <c r="E120" s="48"/>
      <c r="F120" s="48"/>
      <c r="G120" s="48"/>
      <c r="H120" s="5"/>
      <c r="I120" s="5"/>
      <c r="J120" s="5"/>
      <c r="K120" s="5"/>
      <c r="L120" s="5"/>
      <c r="M120" s="5"/>
    </row>
    <row r="121" spans="1:13" x14ac:dyDescent="0.3">
      <c r="A121" s="5"/>
      <c r="B121" s="95"/>
      <c r="C121" s="48"/>
      <c r="D121" s="48"/>
      <c r="E121" s="48"/>
      <c r="F121" s="48"/>
      <c r="G121" s="48"/>
      <c r="H121" s="5"/>
      <c r="I121" s="5"/>
      <c r="J121" s="5"/>
      <c r="K121" s="5"/>
      <c r="L121" s="5"/>
      <c r="M121" s="5"/>
    </row>
    <row r="122" spans="1:13" x14ac:dyDescent="0.3">
      <c r="A122" s="5"/>
      <c r="B122" s="95"/>
      <c r="C122" s="48"/>
      <c r="D122" s="48"/>
      <c r="E122" s="48"/>
      <c r="F122" s="48"/>
      <c r="G122" s="48"/>
      <c r="H122" s="5"/>
      <c r="I122" s="5"/>
      <c r="J122" s="5"/>
      <c r="K122" s="5"/>
      <c r="L122" s="5"/>
      <c r="M122" s="5"/>
    </row>
    <row r="123" spans="1:13" x14ac:dyDescent="0.3">
      <c r="A123" s="5"/>
      <c r="B123" s="95"/>
      <c r="C123" s="48"/>
      <c r="D123" s="48"/>
      <c r="E123" s="48"/>
      <c r="F123" s="48"/>
      <c r="G123" s="48"/>
      <c r="H123" s="5"/>
      <c r="I123" s="5"/>
      <c r="J123" s="5"/>
      <c r="K123" s="5"/>
      <c r="L123" s="5"/>
      <c r="M123" s="5"/>
    </row>
    <row r="124" spans="1:13" x14ac:dyDescent="0.3">
      <c r="A124" s="5"/>
      <c r="B124" s="95"/>
      <c r="C124" s="48"/>
      <c r="D124" s="48"/>
      <c r="E124" s="48"/>
      <c r="F124" s="48"/>
      <c r="G124" s="48"/>
      <c r="H124" s="5"/>
      <c r="I124" s="5"/>
      <c r="J124" s="5"/>
      <c r="K124" s="5"/>
      <c r="L124" s="5"/>
      <c r="M124" s="5"/>
    </row>
    <row r="125" spans="1:13" x14ac:dyDescent="0.3">
      <c r="A125" s="5"/>
      <c r="B125" s="95"/>
      <c r="C125" s="48"/>
      <c r="D125" s="48"/>
      <c r="E125" s="48"/>
      <c r="F125" s="48"/>
      <c r="G125" s="48"/>
      <c r="H125" s="5"/>
      <c r="I125" s="5"/>
      <c r="J125" s="5"/>
      <c r="K125" s="5"/>
      <c r="L125" s="5"/>
      <c r="M125" s="5"/>
    </row>
    <row r="126" spans="1:13" x14ac:dyDescent="0.3">
      <c r="B126" s="95"/>
      <c r="C126" s="48"/>
      <c r="D126" s="48"/>
      <c r="E126" s="48"/>
      <c r="F126" s="48"/>
      <c r="G126" s="48"/>
      <c r="H126" s="5"/>
      <c r="I126" s="5"/>
      <c r="J126" s="5"/>
      <c r="K126" s="5"/>
      <c r="L126" s="5"/>
      <c r="M126" s="5"/>
    </row>
    <row r="127" spans="1:13" x14ac:dyDescent="0.3">
      <c r="B127" s="95"/>
      <c r="C127" s="48"/>
      <c r="D127" s="48"/>
      <c r="E127" s="48"/>
      <c r="F127" s="48"/>
      <c r="G127" s="48"/>
      <c r="H127" s="5"/>
      <c r="I127" s="5"/>
      <c r="J127" s="5"/>
      <c r="K127" s="5"/>
      <c r="L127" s="5"/>
      <c r="M127" s="5"/>
    </row>
    <row r="128" spans="1:13" x14ac:dyDescent="0.3">
      <c r="B128" s="95"/>
      <c r="C128" s="48"/>
      <c r="D128" s="48"/>
      <c r="E128" s="48"/>
      <c r="F128" s="48"/>
      <c r="G128" s="48"/>
      <c r="H128" s="5"/>
      <c r="I128" s="5"/>
      <c r="J128" s="5"/>
      <c r="K128" s="5"/>
      <c r="L128" s="5"/>
      <c r="M128" s="5"/>
    </row>
    <row r="129" spans="2:13" x14ac:dyDescent="0.3">
      <c r="B129" s="95"/>
      <c r="C129" s="48"/>
      <c r="D129" s="48"/>
      <c r="E129" s="48"/>
      <c r="F129" s="48"/>
      <c r="G129" s="48"/>
      <c r="H129" s="5"/>
      <c r="I129" s="5"/>
      <c r="J129" s="5"/>
      <c r="K129" s="5"/>
      <c r="L129" s="5"/>
      <c r="M129" s="5"/>
    </row>
    <row r="130" spans="2:13" x14ac:dyDescent="0.3">
      <c r="B130" s="95"/>
      <c r="C130" s="48"/>
      <c r="D130" s="48"/>
      <c r="E130" s="48"/>
      <c r="F130" s="48"/>
      <c r="G130" s="48"/>
      <c r="H130" s="5"/>
      <c r="I130" s="5"/>
      <c r="J130" s="5"/>
      <c r="K130" s="5"/>
      <c r="L130" s="5"/>
      <c r="M130" s="5"/>
    </row>
    <row r="131" spans="2:13" x14ac:dyDescent="0.3">
      <c r="B131" s="95"/>
      <c r="C131" s="48"/>
      <c r="D131" s="48"/>
      <c r="E131" s="48"/>
      <c r="F131" s="48"/>
      <c r="G131" s="48"/>
      <c r="H131" s="5"/>
      <c r="I131" s="5"/>
      <c r="J131" s="5"/>
      <c r="K131" s="5"/>
      <c r="L131" s="5"/>
      <c r="M131" s="5"/>
    </row>
    <row r="132" spans="2:13" x14ac:dyDescent="0.3">
      <c r="B132" s="95"/>
      <c r="C132" s="48"/>
      <c r="D132" s="48"/>
      <c r="E132" s="48"/>
      <c r="F132" s="48"/>
      <c r="G132" s="48"/>
      <c r="H132" s="5"/>
      <c r="I132" s="5"/>
      <c r="J132" s="5"/>
      <c r="K132" s="5"/>
      <c r="L132" s="5"/>
      <c r="M132" s="5"/>
    </row>
    <row r="133" spans="2:13" x14ac:dyDescent="0.3">
      <c r="B133" s="95"/>
      <c r="C133" s="48"/>
      <c r="D133" s="48"/>
      <c r="E133" s="48"/>
      <c r="F133" s="48"/>
      <c r="G133" s="48"/>
      <c r="H133" s="5"/>
      <c r="I133" s="5"/>
      <c r="J133" s="5"/>
      <c r="K133" s="5"/>
      <c r="L133" s="5"/>
      <c r="M133" s="5"/>
    </row>
    <row r="134" spans="2:13" x14ac:dyDescent="0.3">
      <c r="B134" s="95"/>
      <c r="C134" s="48"/>
      <c r="D134" s="48"/>
      <c r="E134" s="48"/>
      <c r="F134" s="48"/>
      <c r="G134" s="48"/>
      <c r="H134" s="5"/>
      <c r="I134" s="5"/>
      <c r="J134" s="5"/>
      <c r="K134" s="5"/>
      <c r="L134" s="5"/>
      <c r="M134" s="5"/>
    </row>
    <row r="135" spans="2:13" x14ac:dyDescent="0.3">
      <c r="B135" s="95"/>
      <c r="C135" s="48"/>
      <c r="D135" s="48"/>
      <c r="E135" s="48"/>
      <c r="F135" s="48"/>
      <c r="G135" s="48"/>
      <c r="H135" s="5"/>
      <c r="I135" s="5"/>
      <c r="J135" s="5"/>
      <c r="K135" s="5"/>
      <c r="L135" s="5"/>
      <c r="M135" s="5"/>
    </row>
    <row r="136" spans="2:13" x14ac:dyDescent="0.3">
      <c r="B136" s="95"/>
      <c r="C136" s="48"/>
      <c r="D136" s="48"/>
      <c r="E136" s="48"/>
      <c r="F136" s="48"/>
      <c r="G136" s="48"/>
      <c r="H136" s="5"/>
      <c r="I136" s="5"/>
      <c r="J136" s="5"/>
      <c r="K136" s="5"/>
      <c r="L136" s="5"/>
      <c r="M136" s="5"/>
    </row>
    <row r="137" spans="2:13" x14ac:dyDescent="0.3">
      <c r="B137" s="95"/>
      <c r="C137" s="48"/>
      <c r="D137" s="48"/>
      <c r="E137" s="48"/>
      <c r="F137" s="48"/>
      <c r="G137" s="48"/>
      <c r="H137" s="5"/>
      <c r="I137" s="5"/>
      <c r="J137" s="5"/>
      <c r="K137" s="5"/>
      <c r="L137" s="5"/>
      <c r="M137" s="5"/>
    </row>
    <row r="138" spans="2:13" x14ac:dyDescent="0.3">
      <c r="B138" s="95"/>
      <c r="C138" s="48"/>
      <c r="D138" s="48"/>
      <c r="E138" s="48"/>
      <c r="F138" s="48"/>
      <c r="G138" s="48"/>
      <c r="H138" s="5"/>
      <c r="I138" s="5"/>
      <c r="J138" s="5"/>
      <c r="K138" s="5"/>
      <c r="L138" s="5"/>
      <c r="M138" s="5"/>
    </row>
    <row r="139" spans="2:13" x14ac:dyDescent="0.3">
      <c r="B139" s="95"/>
      <c r="C139" s="48"/>
      <c r="D139" s="48"/>
      <c r="E139" s="48"/>
      <c r="F139" s="48"/>
      <c r="G139" s="48"/>
      <c r="H139" s="5"/>
      <c r="I139" s="5"/>
      <c r="J139" s="5"/>
      <c r="K139" s="5"/>
      <c r="L139" s="5"/>
      <c r="M139" s="5"/>
    </row>
    <row r="140" spans="2:13" x14ac:dyDescent="0.3">
      <c r="B140" s="95"/>
      <c r="C140" s="48"/>
      <c r="D140" s="48"/>
      <c r="E140" s="48"/>
      <c r="F140" s="48"/>
      <c r="G140" s="48"/>
      <c r="H140" s="5"/>
      <c r="I140" s="5"/>
      <c r="J140" s="5"/>
      <c r="K140" s="5"/>
      <c r="L140" s="5"/>
      <c r="M140" s="5"/>
    </row>
    <row r="141" spans="2:13" x14ac:dyDescent="0.3">
      <c r="B141" s="95"/>
      <c r="C141" s="48"/>
      <c r="D141" s="48"/>
      <c r="E141" s="48"/>
      <c r="F141" s="48"/>
      <c r="G141" s="48"/>
      <c r="H141" s="5"/>
      <c r="I141" s="5"/>
      <c r="J141" s="5"/>
      <c r="K141" s="5"/>
      <c r="L141" s="5"/>
      <c r="M141" s="5"/>
    </row>
    <row r="142" spans="2:13" x14ac:dyDescent="0.3">
      <c r="B142" s="95"/>
      <c r="C142" s="48"/>
      <c r="D142" s="48"/>
      <c r="E142" s="48"/>
      <c r="F142" s="48"/>
      <c r="G142" s="48"/>
      <c r="H142" s="5"/>
      <c r="I142" s="5"/>
      <c r="J142" s="5"/>
      <c r="K142" s="5"/>
      <c r="L142" s="5"/>
      <c r="M142" s="5"/>
    </row>
    <row r="143" spans="2:13" x14ac:dyDescent="0.3">
      <c r="B143" s="95"/>
      <c r="C143" s="48"/>
      <c r="D143" s="48"/>
      <c r="E143" s="48"/>
      <c r="F143" s="48"/>
      <c r="G143" s="48"/>
      <c r="H143" s="5"/>
      <c r="I143" s="5"/>
      <c r="J143" s="5"/>
      <c r="K143" s="5"/>
      <c r="L143" s="5"/>
      <c r="M143" s="5"/>
    </row>
    <row r="144" spans="2:13" x14ac:dyDescent="0.3">
      <c r="B144" s="95"/>
      <c r="C144" s="48"/>
      <c r="D144" s="48"/>
      <c r="E144" s="48"/>
      <c r="F144" s="48"/>
      <c r="G144" s="48"/>
      <c r="H144" s="5"/>
      <c r="I144" s="5"/>
      <c r="J144" s="5"/>
      <c r="K144" s="5"/>
      <c r="L144" s="5"/>
      <c r="M144" s="5"/>
    </row>
    <row r="145" spans="2:13" x14ac:dyDescent="0.3">
      <c r="B145" s="95"/>
      <c r="C145" s="48"/>
      <c r="D145" s="48"/>
      <c r="E145" s="48"/>
      <c r="F145" s="48"/>
      <c r="G145" s="48"/>
      <c r="H145" s="5"/>
      <c r="I145" s="5"/>
      <c r="J145" s="5"/>
      <c r="K145" s="5"/>
      <c r="L145" s="5"/>
      <c r="M145" s="5"/>
    </row>
    <row r="146" spans="2:13" x14ac:dyDescent="0.3">
      <c r="B146" s="95"/>
      <c r="C146" s="48"/>
      <c r="D146" s="48"/>
      <c r="E146" s="48"/>
      <c r="F146" s="48"/>
      <c r="G146" s="48"/>
      <c r="H146" s="5"/>
      <c r="I146" s="5"/>
      <c r="J146" s="5"/>
      <c r="K146" s="5"/>
      <c r="L146" s="5"/>
      <c r="M146" s="5"/>
    </row>
    <row r="147" spans="2:13" x14ac:dyDescent="0.3">
      <c r="B147" s="95"/>
      <c r="C147" s="48"/>
      <c r="D147" s="48"/>
      <c r="E147" s="48"/>
      <c r="F147" s="48"/>
      <c r="G147" s="48"/>
      <c r="H147" s="5"/>
      <c r="I147" s="5"/>
      <c r="J147" s="5"/>
      <c r="K147" s="5"/>
      <c r="L147" s="5"/>
      <c r="M147" s="5"/>
    </row>
    <row r="148" spans="2:13" x14ac:dyDescent="0.3">
      <c r="B148" s="95"/>
      <c r="C148" s="48"/>
      <c r="D148" s="48"/>
      <c r="E148" s="48"/>
      <c r="F148" s="48"/>
      <c r="G148" s="48"/>
      <c r="H148" s="5"/>
      <c r="I148" s="5"/>
      <c r="J148" s="5"/>
      <c r="K148" s="5"/>
      <c r="L148" s="5"/>
      <c r="M148" s="5"/>
    </row>
    <row r="149" spans="2:13" x14ac:dyDescent="0.3">
      <c r="B149" s="95"/>
      <c r="C149" s="48"/>
      <c r="D149" s="48"/>
      <c r="E149" s="48"/>
      <c r="F149" s="48"/>
      <c r="G149" s="48"/>
      <c r="H149" s="5"/>
      <c r="I149" s="5"/>
      <c r="J149" s="5"/>
      <c r="K149" s="5"/>
      <c r="L149" s="5"/>
      <c r="M149" s="5"/>
    </row>
    <row r="150" spans="2:13" x14ac:dyDescent="0.3">
      <c r="B150" s="95"/>
      <c r="C150" s="48"/>
      <c r="D150" s="48"/>
      <c r="E150" s="48"/>
      <c r="F150" s="48"/>
      <c r="G150" s="48"/>
      <c r="H150" s="5"/>
      <c r="I150" s="5"/>
      <c r="J150" s="5"/>
      <c r="K150" s="5"/>
      <c r="L150" s="5"/>
      <c r="M150" s="5"/>
    </row>
    <row r="151" spans="2:13" x14ac:dyDescent="0.3">
      <c r="B151" s="95"/>
      <c r="C151" s="48"/>
      <c r="D151" s="48"/>
      <c r="E151" s="48"/>
      <c r="F151" s="48"/>
      <c r="G151" s="48"/>
      <c r="H151" s="5"/>
      <c r="I151" s="5"/>
      <c r="J151" s="5"/>
      <c r="K151" s="5"/>
      <c r="L151" s="5"/>
      <c r="M151" s="5"/>
    </row>
    <row r="152" spans="2:13" x14ac:dyDescent="0.3">
      <c r="B152" s="95"/>
      <c r="C152" s="48"/>
      <c r="D152" s="48"/>
      <c r="E152" s="48"/>
      <c r="F152" s="48"/>
      <c r="G152" s="48"/>
      <c r="H152" s="5"/>
      <c r="I152" s="5"/>
      <c r="J152" s="5"/>
      <c r="K152" s="5"/>
      <c r="L152" s="5"/>
      <c r="M152" s="5"/>
    </row>
    <row r="153" spans="2:13" x14ac:dyDescent="0.3">
      <c r="B153" s="95"/>
      <c r="C153" s="48"/>
      <c r="D153" s="48"/>
      <c r="E153" s="48"/>
      <c r="F153" s="48"/>
      <c r="G153" s="48"/>
      <c r="H153" s="5"/>
      <c r="I153" s="5"/>
      <c r="J153" s="5"/>
      <c r="K153" s="5"/>
      <c r="L153" s="5"/>
      <c r="M153" s="5"/>
    </row>
    <row r="154" spans="2:13" x14ac:dyDescent="0.3">
      <c r="B154" s="95"/>
      <c r="C154" s="48"/>
      <c r="D154" s="48"/>
      <c r="E154" s="48"/>
      <c r="F154" s="48"/>
      <c r="G154" s="48"/>
      <c r="H154" s="5"/>
      <c r="I154" s="5"/>
      <c r="J154" s="5"/>
      <c r="K154" s="5"/>
      <c r="L154" s="5"/>
      <c r="M154" s="5"/>
    </row>
    <row r="155" spans="2:13" x14ac:dyDescent="0.3">
      <c r="B155" s="95"/>
      <c r="C155" s="48"/>
      <c r="D155" s="48"/>
      <c r="E155" s="48"/>
      <c r="F155" s="48"/>
      <c r="G155" s="48"/>
      <c r="H155" s="5"/>
      <c r="I155" s="5"/>
      <c r="J155" s="5"/>
      <c r="K155" s="5"/>
      <c r="L155" s="5"/>
      <c r="M155" s="5"/>
    </row>
    <row r="156" spans="2:13" x14ac:dyDescent="0.3">
      <c r="B156" s="95"/>
      <c r="C156" s="48"/>
      <c r="D156" s="48"/>
      <c r="E156" s="48"/>
      <c r="F156" s="48"/>
      <c r="G156" s="48"/>
      <c r="H156" s="5"/>
      <c r="I156" s="5"/>
      <c r="J156" s="5"/>
      <c r="K156" s="5"/>
      <c r="L156" s="5"/>
      <c r="M156" s="5"/>
    </row>
    <row r="157" spans="2:13" x14ac:dyDescent="0.3">
      <c r="B157" s="95"/>
      <c r="C157" s="48"/>
      <c r="D157" s="48"/>
      <c r="E157" s="48"/>
      <c r="F157" s="48"/>
      <c r="G157" s="48"/>
      <c r="H157" s="5"/>
      <c r="I157" s="5"/>
      <c r="J157" s="5"/>
      <c r="K157" s="5"/>
      <c r="L157" s="5"/>
      <c r="M157" s="5"/>
    </row>
    <row r="158" spans="2:13" x14ac:dyDescent="0.3">
      <c r="B158" s="95"/>
      <c r="C158" s="48"/>
      <c r="D158" s="48"/>
      <c r="E158" s="48"/>
      <c r="F158" s="48"/>
      <c r="G158" s="48"/>
      <c r="H158" s="5"/>
      <c r="I158" s="5"/>
      <c r="J158" s="5"/>
      <c r="K158" s="5"/>
      <c r="L158" s="5"/>
      <c r="M158" s="5"/>
    </row>
    <row r="159" spans="2:13" x14ac:dyDescent="0.3">
      <c r="B159" s="95"/>
      <c r="C159" s="48"/>
      <c r="D159" s="48"/>
      <c r="E159" s="48"/>
      <c r="F159" s="48"/>
      <c r="G159" s="48"/>
      <c r="H159" s="5"/>
      <c r="I159" s="5"/>
      <c r="J159" s="5"/>
      <c r="K159" s="5"/>
      <c r="L159" s="5"/>
      <c r="M159" s="5"/>
    </row>
    <row r="160" spans="2:13" x14ac:dyDescent="0.3">
      <c r="B160" s="95"/>
      <c r="C160" s="48"/>
      <c r="D160" s="48"/>
      <c r="E160" s="48"/>
      <c r="F160" s="48"/>
      <c r="G160" s="48"/>
      <c r="H160" s="5"/>
      <c r="I160" s="5"/>
      <c r="J160" s="5"/>
      <c r="K160" s="5"/>
      <c r="L160" s="5"/>
      <c r="M160" s="5"/>
    </row>
    <row r="161" spans="2:13" x14ac:dyDescent="0.3">
      <c r="B161" s="95"/>
      <c r="C161" s="48"/>
      <c r="D161" s="48"/>
      <c r="E161" s="48"/>
      <c r="F161" s="48"/>
      <c r="G161" s="48"/>
      <c r="H161" s="5"/>
      <c r="I161" s="5"/>
      <c r="J161" s="5"/>
      <c r="K161" s="5"/>
      <c r="L161" s="5"/>
      <c r="M161" s="5"/>
    </row>
    <row r="162" spans="2:13" x14ac:dyDescent="0.3">
      <c r="B162" s="95"/>
      <c r="C162" s="48"/>
      <c r="D162" s="48"/>
      <c r="E162" s="48"/>
      <c r="F162" s="48"/>
      <c r="G162" s="48"/>
      <c r="H162" s="5"/>
      <c r="I162" s="5"/>
      <c r="J162" s="5"/>
      <c r="K162" s="5"/>
      <c r="L162" s="5"/>
      <c r="M162" s="5"/>
    </row>
    <row r="163" spans="2:13" x14ac:dyDescent="0.3">
      <c r="B163" s="95"/>
      <c r="C163" s="48"/>
      <c r="D163" s="48"/>
      <c r="E163" s="48"/>
      <c r="F163" s="48"/>
      <c r="G163" s="48"/>
      <c r="H163" s="5"/>
      <c r="I163" s="5"/>
      <c r="J163" s="5"/>
      <c r="K163" s="5"/>
      <c r="L163" s="5"/>
      <c r="M163" s="5"/>
    </row>
    <row r="164" spans="2:13" x14ac:dyDescent="0.3">
      <c r="B164" s="95"/>
      <c r="C164" s="48"/>
      <c r="D164" s="48"/>
      <c r="E164" s="48"/>
      <c r="F164" s="48"/>
      <c r="G164" s="48"/>
      <c r="H164" s="5"/>
      <c r="I164" s="5"/>
      <c r="J164" s="5"/>
      <c r="K164" s="5"/>
      <c r="L164" s="5"/>
      <c r="M164" s="5"/>
    </row>
    <row r="165" spans="2:13" x14ac:dyDescent="0.3">
      <c r="B165" s="95"/>
      <c r="C165" s="48"/>
      <c r="D165" s="48"/>
      <c r="E165" s="48"/>
      <c r="F165" s="48"/>
      <c r="G165" s="48"/>
      <c r="H165" s="5"/>
      <c r="I165" s="5"/>
      <c r="J165" s="5"/>
      <c r="K165" s="5"/>
      <c r="L165" s="5"/>
      <c r="M165" s="5"/>
    </row>
    <row r="166" spans="2:13" x14ac:dyDescent="0.3">
      <c r="B166" s="95"/>
      <c r="C166" s="48"/>
      <c r="D166" s="48"/>
      <c r="E166" s="48"/>
      <c r="F166" s="48"/>
      <c r="G166" s="48"/>
      <c r="H166" s="5"/>
      <c r="I166" s="5"/>
      <c r="J166" s="5"/>
      <c r="K166" s="5"/>
      <c r="L166" s="5"/>
      <c r="M166" s="5"/>
    </row>
    <row r="167" spans="2:13" x14ac:dyDescent="0.3">
      <c r="B167" s="95"/>
      <c r="C167" s="48"/>
      <c r="D167" s="48"/>
      <c r="E167" s="48"/>
      <c r="F167" s="48"/>
      <c r="G167" s="48"/>
      <c r="H167" s="5"/>
      <c r="I167" s="5"/>
      <c r="J167" s="5"/>
      <c r="K167" s="5"/>
      <c r="L167" s="5"/>
      <c r="M167" s="5"/>
    </row>
    <row r="168" spans="2:13" x14ac:dyDescent="0.3">
      <c r="B168" s="95"/>
      <c r="C168" s="48"/>
      <c r="D168" s="48"/>
      <c r="E168" s="48"/>
      <c r="F168" s="48"/>
      <c r="G168" s="48"/>
      <c r="H168" s="5"/>
      <c r="I168" s="5"/>
      <c r="J168" s="5"/>
      <c r="K168" s="5"/>
      <c r="L168" s="5"/>
      <c r="M168" s="5"/>
    </row>
    <row r="169" spans="2:13" x14ac:dyDescent="0.3">
      <c r="B169" s="95"/>
      <c r="C169" s="48"/>
      <c r="D169" s="48"/>
      <c r="E169" s="48"/>
      <c r="F169" s="48"/>
      <c r="G169" s="48"/>
      <c r="H169" s="5"/>
      <c r="I169" s="5"/>
      <c r="J169" s="5"/>
      <c r="K169" s="5"/>
      <c r="L169" s="5"/>
      <c r="M169" s="5"/>
    </row>
    <row r="170" spans="2:13" x14ac:dyDescent="0.3">
      <c r="B170" s="95"/>
      <c r="C170" s="48"/>
      <c r="D170" s="48"/>
      <c r="E170" s="48"/>
      <c r="F170" s="48"/>
      <c r="G170" s="48"/>
      <c r="H170" s="5"/>
      <c r="I170" s="5"/>
      <c r="J170" s="5"/>
      <c r="K170" s="5"/>
      <c r="L170" s="5"/>
      <c r="M170" s="5"/>
    </row>
    <row r="171" spans="2:13" x14ac:dyDescent="0.3">
      <c r="B171" s="95"/>
      <c r="C171" s="48"/>
      <c r="D171" s="48"/>
      <c r="E171" s="48"/>
      <c r="F171" s="48"/>
      <c r="G171" s="48"/>
      <c r="H171" s="5"/>
      <c r="I171" s="5"/>
      <c r="J171" s="5"/>
      <c r="K171" s="5"/>
      <c r="L171" s="5"/>
      <c r="M171" s="5"/>
    </row>
    <row r="172" spans="2:13" x14ac:dyDescent="0.3">
      <c r="B172" s="95"/>
      <c r="C172" s="48"/>
      <c r="D172" s="48"/>
      <c r="E172" s="48"/>
      <c r="F172" s="48"/>
      <c r="G172" s="48"/>
      <c r="H172" s="5"/>
      <c r="I172" s="5"/>
      <c r="J172" s="5"/>
      <c r="K172" s="5"/>
      <c r="L172" s="5"/>
      <c r="M172" s="5"/>
    </row>
    <row r="173" spans="2:13" x14ac:dyDescent="0.3">
      <c r="B173" s="95"/>
      <c r="C173" s="48"/>
      <c r="D173" s="48"/>
      <c r="E173" s="48"/>
      <c r="F173" s="48"/>
      <c r="G173" s="48"/>
      <c r="H173" s="5"/>
      <c r="I173" s="5"/>
      <c r="J173" s="5"/>
      <c r="K173" s="5"/>
      <c r="L173" s="5"/>
      <c r="M173" s="5"/>
    </row>
    <row r="174" spans="2:13" x14ac:dyDescent="0.3">
      <c r="B174" s="95"/>
      <c r="C174" s="48"/>
      <c r="D174" s="48"/>
      <c r="E174" s="48"/>
      <c r="F174" s="48"/>
      <c r="G174" s="48"/>
      <c r="H174" s="5"/>
      <c r="I174" s="5"/>
      <c r="J174" s="5"/>
      <c r="K174" s="5"/>
      <c r="L174" s="5"/>
      <c r="M174" s="5"/>
    </row>
    <row r="175" spans="2:13" x14ac:dyDescent="0.3">
      <c r="B175" s="95"/>
      <c r="C175" s="48"/>
      <c r="D175" s="48"/>
      <c r="E175" s="48"/>
      <c r="F175" s="48"/>
      <c r="G175" s="48"/>
      <c r="H175" s="5"/>
      <c r="I175" s="5"/>
      <c r="J175" s="5"/>
      <c r="K175" s="5"/>
      <c r="L175" s="5"/>
      <c r="M175" s="5"/>
    </row>
    <row r="176" spans="2:13" x14ac:dyDescent="0.3">
      <c r="B176" s="95"/>
      <c r="C176" s="48"/>
      <c r="D176" s="48"/>
      <c r="E176" s="48"/>
      <c r="F176" s="48"/>
      <c r="G176" s="48"/>
      <c r="H176" s="5"/>
      <c r="I176" s="5"/>
      <c r="J176" s="5"/>
      <c r="K176" s="5"/>
      <c r="L176" s="5"/>
      <c r="M176" s="5"/>
    </row>
    <row r="177" spans="2:13" x14ac:dyDescent="0.3">
      <c r="B177" s="95"/>
      <c r="C177" s="48"/>
      <c r="D177" s="48"/>
      <c r="E177" s="48"/>
      <c r="F177" s="48"/>
      <c r="G177" s="48"/>
      <c r="H177" s="5"/>
      <c r="I177" s="5"/>
      <c r="J177" s="5"/>
      <c r="K177" s="5"/>
      <c r="L177" s="5"/>
      <c r="M177" s="5"/>
    </row>
    <row r="178" spans="2:13" x14ac:dyDescent="0.3">
      <c r="B178" s="95"/>
      <c r="C178" s="48"/>
      <c r="D178" s="48"/>
      <c r="E178" s="48"/>
      <c r="F178" s="48"/>
      <c r="G178" s="48"/>
      <c r="H178" s="5"/>
      <c r="I178" s="5"/>
      <c r="J178" s="5"/>
      <c r="K178" s="5"/>
      <c r="L178" s="5"/>
      <c r="M178" s="5"/>
    </row>
    <row r="179" spans="2:13" x14ac:dyDescent="0.3">
      <c r="B179" s="95"/>
      <c r="C179" s="48"/>
      <c r="D179" s="48"/>
      <c r="E179" s="48"/>
      <c r="F179" s="48"/>
      <c r="G179" s="48"/>
      <c r="H179" s="5"/>
      <c r="I179" s="5"/>
      <c r="J179" s="5"/>
      <c r="K179" s="5"/>
      <c r="L179" s="5"/>
      <c r="M179" s="5"/>
    </row>
    <row r="180" spans="2:13" x14ac:dyDescent="0.3">
      <c r="B180" s="95"/>
      <c r="C180" s="48"/>
      <c r="D180" s="48"/>
      <c r="E180" s="48"/>
      <c r="F180" s="48"/>
      <c r="G180" s="48"/>
      <c r="H180" s="5"/>
      <c r="I180" s="5"/>
      <c r="J180" s="5"/>
      <c r="K180" s="5"/>
      <c r="L180" s="5"/>
      <c r="M180" s="5"/>
    </row>
    <row r="181" spans="2:13" x14ac:dyDescent="0.3">
      <c r="B181" s="95"/>
      <c r="C181" s="48"/>
      <c r="D181" s="48"/>
      <c r="E181" s="48"/>
      <c r="F181" s="48"/>
      <c r="G181" s="48"/>
      <c r="H181" s="5"/>
      <c r="I181" s="5"/>
      <c r="J181" s="5"/>
      <c r="K181" s="5"/>
      <c r="L181" s="5"/>
      <c r="M181" s="5"/>
    </row>
    <row r="182" spans="2:13" x14ac:dyDescent="0.3">
      <c r="B182" s="95"/>
      <c r="C182" s="48"/>
      <c r="D182" s="48"/>
      <c r="E182" s="48"/>
      <c r="F182" s="48"/>
      <c r="G182" s="48"/>
      <c r="H182" s="5"/>
      <c r="I182" s="5"/>
      <c r="J182" s="5"/>
      <c r="K182" s="5"/>
      <c r="L182" s="5"/>
      <c r="M182" s="5"/>
    </row>
    <row r="183" spans="2:13" x14ac:dyDescent="0.3">
      <c r="B183" s="95"/>
      <c r="C183" s="48"/>
      <c r="D183" s="48"/>
      <c r="E183" s="48"/>
      <c r="F183" s="48"/>
      <c r="G183" s="48"/>
      <c r="H183" s="5"/>
      <c r="I183" s="5"/>
      <c r="J183" s="5"/>
      <c r="K183" s="5"/>
      <c r="L183" s="5"/>
      <c r="M183" s="5"/>
    </row>
    <row r="184" spans="2:13" x14ac:dyDescent="0.3">
      <c r="B184" s="95"/>
      <c r="C184" s="48"/>
      <c r="D184" s="48"/>
      <c r="E184" s="48"/>
      <c r="F184" s="48"/>
      <c r="G184" s="48"/>
      <c r="H184" s="5"/>
      <c r="I184" s="5"/>
      <c r="J184" s="5"/>
      <c r="K184" s="5"/>
      <c r="L184" s="5"/>
      <c r="M184" s="5"/>
    </row>
    <row r="185" spans="2:13" x14ac:dyDescent="0.3">
      <c r="B185" s="95"/>
      <c r="C185" s="48"/>
      <c r="D185" s="48"/>
      <c r="E185" s="48"/>
      <c r="F185" s="48"/>
      <c r="G185" s="48"/>
      <c r="H185" s="5"/>
      <c r="I185" s="5"/>
      <c r="J185" s="5"/>
      <c r="K185" s="5"/>
      <c r="L185" s="5"/>
      <c r="M185" s="5"/>
    </row>
    <row r="186" spans="2:13" x14ac:dyDescent="0.3">
      <c r="B186" s="95"/>
      <c r="C186" s="48"/>
      <c r="D186" s="48"/>
      <c r="E186" s="48"/>
      <c r="F186" s="48"/>
      <c r="G186" s="48"/>
      <c r="H186" s="5"/>
      <c r="I186" s="5"/>
      <c r="J186" s="5"/>
      <c r="K186" s="5"/>
      <c r="L186" s="5"/>
      <c r="M186" s="5"/>
    </row>
    <row r="187" spans="2:13" x14ac:dyDescent="0.3">
      <c r="B187" s="95"/>
      <c r="C187" s="48"/>
      <c r="D187" s="48"/>
      <c r="E187" s="48"/>
      <c r="F187" s="48"/>
      <c r="G187" s="48"/>
      <c r="H187" s="5"/>
      <c r="I187" s="5"/>
      <c r="J187" s="5"/>
      <c r="K187" s="5"/>
      <c r="L187" s="5"/>
      <c r="M187" s="5"/>
    </row>
  </sheetData>
  <sheetProtection algorithmName="SHA-512" hashValue="79hyx+sM1V4vEr3ZLnqZ44Lfi5VwG4MNOu/lS2a1u4X81kpZj45vCEyJRL60NPcq+NeKtcbiJg59837P51f0Ig==" saltValue="r81f5y0f/yAAxyLG1h/9YQ==" spinCount="100000" sheet="1" objects="1" scenarios="1"/>
  <mergeCells count="15">
    <mergeCell ref="A38:B38"/>
    <mergeCell ref="A6:A18"/>
    <mergeCell ref="A19:A22"/>
    <mergeCell ref="A23:A31"/>
    <mergeCell ref="H28:H35"/>
    <mergeCell ref="A32:A36"/>
    <mergeCell ref="A88:G88"/>
    <mergeCell ref="A90:G90"/>
    <mergeCell ref="A41:A53"/>
    <mergeCell ref="A54:A57"/>
    <mergeCell ref="A58:A66"/>
    <mergeCell ref="A67:A71"/>
    <mergeCell ref="A85:G86"/>
    <mergeCell ref="A87:G87"/>
    <mergeCell ref="A89:G89"/>
  </mergeCells>
  <printOptions horizontalCentered="1"/>
  <pageMargins left="0.25" right="0.25" top="0.75" bottom="0.75" header="0.3" footer="0.3"/>
  <pageSetup scale="27" orientation="portrait" r:id="rId1"/>
  <headerFooter>
    <oddFooter>&amp;C&amp;"Century Gothic,Regular"&amp;9Page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7BAAB-87BE-4EE7-AC79-305AB45DF05F}">
  <sheetPr>
    <pageSetUpPr fitToPage="1"/>
  </sheetPr>
  <dimension ref="A1:L128"/>
  <sheetViews>
    <sheetView zoomScale="130" zoomScaleNormal="130" zoomScaleSheetLayoutView="115" workbookViewId="0">
      <pane ySplit="4" topLeftCell="A5" activePane="bottomLeft" state="frozen"/>
      <selection activeCell="C5" sqref="C5"/>
      <selection pane="bottomLeft" activeCell="B25" sqref="B25"/>
    </sheetView>
  </sheetViews>
  <sheetFormatPr baseColWidth="10" defaultColWidth="8.85546875" defaultRowHeight="15.75" x14ac:dyDescent="0.3"/>
  <cols>
    <col min="1" max="1" width="58.140625" style="7" customWidth="1"/>
    <col min="2" max="2" width="15.42578125" style="67" bestFit="1" customWidth="1"/>
    <col min="3" max="7" width="13.7109375" style="67" customWidth="1"/>
  </cols>
  <sheetData>
    <row r="1" spans="1:12" s="7" customFormat="1" ht="20.45" customHeight="1" x14ac:dyDescent="0.3">
      <c r="A1" s="89" t="s">
        <v>791</v>
      </c>
      <c r="B1" s="33"/>
      <c r="C1" s="33"/>
      <c r="D1" s="33"/>
      <c r="E1" s="33"/>
      <c r="F1" s="33"/>
      <c r="G1" s="34"/>
      <c r="H1" s="1"/>
      <c r="I1" s="1"/>
      <c r="J1" s="1"/>
      <c r="K1" s="1"/>
      <c r="L1" s="1"/>
    </row>
    <row r="2" spans="1:12" s="7" customFormat="1" ht="13.5" x14ac:dyDescent="0.3">
      <c r="A2" s="90" t="s">
        <v>35</v>
      </c>
      <c r="B2" s="35"/>
      <c r="C2" s="35"/>
      <c r="D2" s="35"/>
      <c r="E2" s="35"/>
      <c r="F2" s="36"/>
      <c r="G2" s="36"/>
      <c r="H2" s="1"/>
      <c r="I2" s="1"/>
      <c r="J2" s="1"/>
      <c r="K2" s="1"/>
      <c r="L2" s="1"/>
    </row>
    <row r="3" spans="1:12" s="7" customFormat="1" ht="13.5" x14ac:dyDescent="0.3">
      <c r="A3" s="91"/>
      <c r="B3" s="562" t="s">
        <v>641</v>
      </c>
      <c r="C3" s="562">
        <v>2019</v>
      </c>
      <c r="D3" s="562">
        <v>2020</v>
      </c>
      <c r="E3" s="562">
        <v>2021</v>
      </c>
      <c r="F3" s="563">
        <v>2022</v>
      </c>
      <c r="G3" s="563" t="s">
        <v>642</v>
      </c>
      <c r="H3" s="1"/>
      <c r="I3" s="1"/>
      <c r="J3" s="1"/>
      <c r="K3" s="1"/>
      <c r="L3" s="1"/>
    </row>
    <row r="4" spans="1:12" s="20" customFormat="1" ht="15" customHeight="1" x14ac:dyDescent="0.3">
      <c r="A4" s="256" t="s">
        <v>643</v>
      </c>
      <c r="B4" s="564"/>
      <c r="C4" s="565"/>
      <c r="D4" s="565"/>
      <c r="E4" s="565"/>
      <c r="F4" s="566"/>
      <c r="G4" s="579"/>
      <c r="H4" s="6"/>
      <c r="I4" s="6"/>
      <c r="J4" s="6"/>
      <c r="K4" s="6"/>
      <c r="L4" s="6"/>
    </row>
    <row r="5" spans="1:12" s="20" customFormat="1" ht="15" customHeight="1" x14ac:dyDescent="0.3">
      <c r="A5" s="257" t="s">
        <v>644</v>
      </c>
      <c r="B5" s="567"/>
      <c r="C5" s="568"/>
      <c r="D5" s="568"/>
      <c r="E5" s="568"/>
      <c r="F5" s="569"/>
      <c r="G5" s="580"/>
      <c r="H5" s="6"/>
      <c r="I5" s="5"/>
      <c r="J5" s="6"/>
      <c r="K5" s="6"/>
      <c r="L5" s="6"/>
    </row>
    <row r="6" spans="1:12" s="20" customFormat="1" x14ac:dyDescent="0.3">
      <c r="A6" s="29" t="s">
        <v>610</v>
      </c>
      <c r="B6" s="307">
        <v>3.72</v>
      </c>
      <c r="C6" s="306">
        <v>3.7</v>
      </c>
      <c r="D6" s="306">
        <v>3.81</v>
      </c>
      <c r="E6" s="306">
        <v>3.59</v>
      </c>
      <c r="F6" s="394">
        <v>3.63</v>
      </c>
      <c r="G6" s="308">
        <v>3.17</v>
      </c>
      <c r="H6" s="56"/>
      <c r="I6" s="5"/>
      <c r="J6" s="6"/>
      <c r="K6" s="6"/>
      <c r="L6" s="6"/>
    </row>
    <row r="7" spans="1:12" s="20" customFormat="1" x14ac:dyDescent="0.3">
      <c r="A7" s="29" t="s">
        <v>611</v>
      </c>
      <c r="B7" s="310">
        <v>4.76</v>
      </c>
      <c r="C7" s="309">
        <v>7.73</v>
      </c>
      <c r="D7" s="309">
        <v>5.4</v>
      </c>
      <c r="E7" s="324">
        <v>3.71</v>
      </c>
      <c r="F7" s="939">
        <v>3.52</v>
      </c>
      <c r="G7" s="311">
        <v>3.34</v>
      </c>
      <c r="H7" s="41"/>
      <c r="I7" s="5"/>
      <c r="J7" s="6"/>
      <c r="K7" s="6"/>
      <c r="L7" s="6"/>
    </row>
    <row r="8" spans="1:12" s="20" customFormat="1" ht="15" customHeight="1" x14ac:dyDescent="0.3">
      <c r="A8" s="257" t="s">
        <v>612</v>
      </c>
      <c r="B8" s="567"/>
      <c r="C8" s="568"/>
      <c r="D8" s="568"/>
      <c r="E8" s="568"/>
      <c r="F8" s="569"/>
      <c r="G8" s="580"/>
      <c r="H8" s="6"/>
      <c r="I8" s="5"/>
      <c r="J8" s="6"/>
      <c r="K8" s="6"/>
      <c r="L8" s="6"/>
    </row>
    <row r="9" spans="1:12" s="20" customFormat="1" x14ac:dyDescent="0.3">
      <c r="A9" s="29" t="s">
        <v>613</v>
      </c>
      <c r="B9" s="570">
        <v>176865</v>
      </c>
      <c r="C9" s="571">
        <v>146044</v>
      </c>
      <c r="D9" s="571">
        <v>126103</v>
      </c>
      <c r="E9" s="571">
        <v>112671</v>
      </c>
      <c r="F9" s="572">
        <v>89435.19</v>
      </c>
      <c r="G9" s="573">
        <v>88432</v>
      </c>
      <c r="H9" s="56"/>
      <c r="I9" s="5"/>
      <c r="J9" s="6"/>
      <c r="K9" s="6"/>
      <c r="L9" s="6"/>
    </row>
    <row r="10" spans="1:12" s="20" customFormat="1" x14ac:dyDescent="0.3">
      <c r="A10" s="29" t="s">
        <v>614</v>
      </c>
      <c r="B10" s="574">
        <v>308136</v>
      </c>
      <c r="C10" s="575">
        <v>325591</v>
      </c>
      <c r="D10" s="575">
        <v>263023</v>
      </c>
      <c r="E10" s="576">
        <v>232317</v>
      </c>
      <c r="F10" s="577">
        <v>275464.27</v>
      </c>
      <c r="G10" s="578">
        <v>200288</v>
      </c>
      <c r="H10" s="41"/>
      <c r="I10" s="5"/>
      <c r="J10" s="6"/>
      <c r="K10" s="6"/>
      <c r="L10" s="6"/>
    </row>
    <row r="11" spans="1:12" s="7" customFormat="1" ht="8.1" customHeight="1" x14ac:dyDescent="0.3">
      <c r="A11" s="182"/>
      <c r="B11" s="184"/>
      <c r="C11" s="184"/>
      <c r="D11" s="184"/>
      <c r="E11" s="184"/>
      <c r="F11" s="184"/>
      <c r="G11" s="184"/>
      <c r="H11" s="1"/>
      <c r="I11" s="5"/>
      <c r="J11" s="1"/>
      <c r="K11" s="1"/>
      <c r="L11" s="1"/>
    </row>
    <row r="12" spans="1:12" s="60" customFormat="1" ht="15" customHeight="1" x14ac:dyDescent="0.25">
      <c r="A12" s="999" t="s">
        <v>1021</v>
      </c>
      <c r="B12" s="999"/>
      <c r="C12" s="999"/>
      <c r="D12" s="999"/>
      <c r="E12" s="999"/>
      <c r="F12" s="999"/>
      <c r="G12" s="999"/>
      <c r="H12" s="59"/>
      <c r="I12" s="59"/>
      <c r="J12" s="59"/>
      <c r="K12" s="59"/>
      <c r="L12" s="59"/>
    </row>
    <row r="13" spans="1:12" s="60" customFormat="1" ht="15" customHeight="1" x14ac:dyDescent="0.25">
      <c r="A13" s="999"/>
      <c r="B13" s="999"/>
      <c r="C13" s="999"/>
      <c r="D13" s="999"/>
      <c r="E13" s="999"/>
      <c r="F13" s="999"/>
      <c r="G13" s="999"/>
      <c r="H13" s="59"/>
      <c r="I13" s="59"/>
      <c r="J13" s="59"/>
      <c r="K13" s="59"/>
      <c r="L13" s="59"/>
    </row>
    <row r="14" spans="1:12" s="60" customFormat="1" ht="15" customHeight="1" x14ac:dyDescent="0.25">
      <c r="A14" s="999" t="s">
        <v>1335</v>
      </c>
      <c r="B14" s="999"/>
      <c r="C14" s="999"/>
      <c r="D14" s="999"/>
      <c r="E14" s="999"/>
      <c r="F14" s="999"/>
      <c r="G14" s="999"/>
      <c r="H14" s="59"/>
      <c r="I14" s="59"/>
      <c r="J14" s="59"/>
      <c r="K14" s="59"/>
      <c r="L14" s="59"/>
    </row>
    <row r="15" spans="1:12" s="60" customFormat="1" ht="15" customHeight="1" x14ac:dyDescent="0.25">
      <c r="A15" s="999"/>
      <c r="B15" s="999"/>
      <c r="C15" s="999"/>
      <c r="D15" s="999"/>
      <c r="E15" s="999"/>
      <c r="F15" s="999"/>
      <c r="G15" s="999"/>
      <c r="H15" s="59"/>
      <c r="I15" s="59"/>
      <c r="J15" s="59"/>
      <c r="K15" s="59"/>
      <c r="L15" s="59"/>
    </row>
    <row r="16" spans="1:12" s="60" customFormat="1" ht="15" customHeight="1" x14ac:dyDescent="0.25">
      <c r="A16" s="999" t="s">
        <v>1333</v>
      </c>
      <c r="B16" s="999"/>
      <c r="C16" s="999"/>
      <c r="D16" s="999"/>
      <c r="E16" s="999"/>
      <c r="F16" s="999"/>
      <c r="G16" s="999"/>
      <c r="H16" s="59"/>
      <c r="I16" s="59"/>
      <c r="J16" s="59"/>
      <c r="K16" s="59"/>
      <c r="L16" s="59"/>
    </row>
    <row r="17" spans="1:12" s="60" customFormat="1" ht="15" customHeight="1" x14ac:dyDescent="0.25">
      <c r="A17" s="999"/>
      <c r="B17" s="999"/>
      <c r="C17" s="999"/>
      <c r="D17" s="999"/>
      <c r="E17" s="999"/>
      <c r="F17" s="999"/>
      <c r="G17" s="999"/>
      <c r="H17" s="59"/>
      <c r="I17" s="59"/>
      <c r="J17" s="59"/>
      <c r="K17" s="59"/>
      <c r="L17" s="59"/>
    </row>
    <row r="18" spans="1:12" s="60" customFormat="1" ht="15" customHeight="1" x14ac:dyDescent="0.25">
      <c r="A18" s="999"/>
      <c r="B18" s="999"/>
      <c r="C18" s="999"/>
      <c r="D18" s="999"/>
      <c r="E18" s="999"/>
      <c r="F18" s="999"/>
      <c r="G18" s="999"/>
      <c r="H18" s="59"/>
      <c r="I18" s="59"/>
      <c r="J18" s="59"/>
      <c r="K18" s="59"/>
      <c r="L18" s="59"/>
    </row>
    <row r="19" spans="1:12" s="60" customFormat="1" ht="15" customHeight="1" x14ac:dyDescent="0.25">
      <c r="A19" s="999"/>
      <c r="B19" s="999"/>
      <c r="C19" s="999"/>
      <c r="D19" s="999"/>
      <c r="E19" s="999"/>
      <c r="F19" s="999"/>
      <c r="G19" s="999"/>
      <c r="H19" s="59"/>
      <c r="I19" s="59"/>
      <c r="J19" s="59"/>
      <c r="K19" s="59"/>
      <c r="L19" s="59"/>
    </row>
    <row r="20" spans="1:12" ht="15" customHeight="1" x14ac:dyDescent="0.25">
      <c r="A20" s="999" t="s">
        <v>609</v>
      </c>
      <c r="B20" s="999"/>
      <c r="C20" s="999"/>
      <c r="D20" s="999"/>
      <c r="E20" s="999"/>
      <c r="F20" s="999"/>
      <c r="G20" s="999"/>
      <c r="H20" s="5"/>
      <c r="I20" s="5"/>
      <c r="J20" s="5"/>
      <c r="K20" s="5"/>
      <c r="L20" s="5"/>
    </row>
    <row r="21" spans="1:12" ht="15" customHeight="1" x14ac:dyDescent="0.25">
      <c r="A21" s="999" t="s">
        <v>1334</v>
      </c>
      <c r="B21" s="999"/>
      <c r="C21" s="999"/>
      <c r="D21" s="999"/>
      <c r="E21" s="999"/>
      <c r="F21" s="999"/>
      <c r="G21" s="999"/>
      <c r="H21" s="5"/>
      <c r="I21" s="5"/>
      <c r="J21" s="5"/>
      <c r="K21" s="5"/>
      <c r="L21" s="5"/>
    </row>
    <row r="22" spans="1:12" ht="15" customHeight="1" x14ac:dyDescent="0.25">
      <c r="A22" s="999"/>
      <c r="B22" s="999"/>
      <c r="C22" s="999"/>
      <c r="D22" s="999"/>
      <c r="E22" s="999"/>
      <c r="F22" s="999"/>
      <c r="G22" s="999"/>
      <c r="H22" s="5"/>
      <c r="I22" s="5"/>
      <c r="J22" s="5"/>
      <c r="K22" s="5"/>
      <c r="L22" s="5"/>
    </row>
    <row r="23" spans="1:12" ht="15" x14ac:dyDescent="0.25">
      <c r="A23" s="778"/>
      <c r="B23" s="778"/>
      <c r="C23" s="778"/>
      <c r="D23" s="778"/>
      <c r="E23" s="778"/>
      <c r="F23" s="778"/>
      <c r="G23" s="778"/>
      <c r="H23" s="5"/>
      <c r="I23" s="5"/>
      <c r="J23" s="5"/>
      <c r="K23" s="5"/>
      <c r="L23" s="5"/>
    </row>
    <row r="24" spans="1:12" x14ac:dyDescent="0.3">
      <c r="A24" s="1"/>
      <c r="B24" s="48"/>
      <c r="C24" s="48"/>
      <c r="D24" s="48"/>
      <c r="E24" s="48"/>
      <c r="F24" s="48"/>
      <c r="G24" s="48"/>
      <c r="H24" s="5"/>
      <c r="I24" s="5"/>
      <c r="J24" s="5"/>
      <c r="K24" s="5"/>
      <c r="L24" s="5"/>
    </row>
    <row r="25" spans="1:12" x14ac:dyDescent="0.3">
      <c r="A25" s="1"/>
      <c r="B25" s="48"/>
      <c r="C25" s="48"/>
      <c r="D25" s="48"/>
      <c r="E25" s="48"/>
      <c r="F25" s="48"/>
      <c r="G25" s="48"/>
      <c r="H25" s="5"/>
      <c r="I25" s="5"/>
      <c r="J25" s="5"/>
      <c r="K25" s="5"/>
      <c r="L25" s="5"/>
    </row>
    <row r="26" spans="1:12" x14ac:dyDescent="0.3">
      <c r="A26" s="1"/>
      <c r="B26" s="48"/>
      <c r="C26" s="48"/>
      <c r="D26" s="48"/>
      <c r="E26" s="48"/>
      <c r="F26" s="48"/>
      <c r="G26" s="48"/>
      <c r="H26" s="5"/>
      <c r="I26" s="5"/>
      <c r="J26" s="5"/>
      <c r="K26" s="5"/>
      <c r="L26" s="5"/>
    </row>
    <row r="27" spans="1:12" x14ac:dyDescent="0.3">
      <c r="A27" s="1"/>
      <c r="B27" s="48"/>
      <c r="C27" s="48"/>
      <c r="D27" s="48"/>
      <c r="E27" s="48"/>
      <c r="F27" s="48"/>
      <c r="G27" s="48"/>
      <c r="H27" s="5"/>
      <c r="I27" s="5"/>
      <c r="J27" s="5"/>
      <c r="K27" s="5"/>
      <c r="L27" s="5"/>
    </row>
    <row r="28" spans="1:12" x14ac:dyDescent="0.3">
      <c r="A28" s="1"/>
      <c r="B28" s="48"/>
      <c r="C28" s="48"/>
      <c r="D28" s="48"/>
      <c r="E28" s="48"/>
      <c r="F28" s="48"/>
      <c r="G28" s="48"/>
      <c r="H28" s="5"/>
      <c r="I28" s="5"/>
      <c r="J28" s="5"/>
      <c r="K28" s="5"/>
      <c r="L28" s="5"/>
    </row>
    <row r="29" spans="1:12" x14ac:dyDescent="0.3">
      <c r="A29" s="1"/>
      <c r="B29" s="48"/>
      <c r="C29" s="48"/>
      <c r="D29" s="48"/>
      <c r="E29" s="48"/>
      <c r="F29" s="48"/>
      <c r="G29" s="48"/>
      <c r="H29" s="5"/>
      <c r="I29" s="5"/>
      <c r="J29" s="5"/>
      <c r="K29" s="5"/>
      <c r="L29" s="5"/>
    </row>
    <row r="30" spans="1:12" x14ac:dyDescent="0.3">
      <c r="A30" s="1"/>
      <c r="B30" s="48"/>
      <c r="C30" s="48"/>
      <c r="D30" s="48"/>
      <c r="E30" s="48"/>
      <c r="F30" s="48"/>
      <c r="G30" s="48"/>
      <c r="H30" s="5"/>
      <c r="I30" s="5"/>
      <c r="J30" s="5"/>
      <c r="K30" s="5"/>
      <c r="L30" s="5"/>
    </row>
    <row r="31" spans="1:12" x14ac:dyDescent="0.3">
      <c r="A31" s="1"/>
      <c r="B31" s="48"/>
      <c r="C31" s="48"/>
      <c r="D31" s="48"/>
      <c r="E31" s="48"/>
      <c r="F31" s="48"/>
      <c r="G31" s="48"/>
      <c r="H31" s="5"/>
      <c r="I31" s="5"/>
      <c r="J31" s="5"/>
      <c r="K31" s="5"/>
      <c r="L31" s="5"/>
    </row>
    <row r="32" spans="1:12" x14ac:dyDescent="0.3">
      <c r="A32" s="1"/>
      <c r="B32" s="48"/>
      <c r="C32" s="48"/>
      <c r="D32" s="48"/>
      <c r="E32" s="48"/>
      <c r="F32" s="48"/>
      <c r="G32" s="48"/>
      <c r="H32" s="5"/>
      <c r="I32" s="5"/>
      <c r="J32" s="5"/>
      <c r="K32" s="5"/>
      <c r="L32" s="5"/>
    </row>
    <row r="33" spans="1:12" x14ac:dyDescent="0.3">
      <c r="A33" s="1"/>
      <c r="B33" s="48"/>
      <c r="C33" s="48"/>
      <c r="D33" s="48"/>
      <c r="E33" s="48"/>
      <c r="F33" s="48"/>
      <c r="G33" s="48"/>
      <c r="H33" s="5"/>
      <c r="I33" s="5"/>
      <c r="J33" s="5"/>
      <c r="K33" s="5"/>
      <c r="L33" s="5"/>
    </row>
    <row r="34" spans="1:12" x14ac:dyDescent="0.3">
      <c r="A34" s="1"/>
      <c r="B34" s="48"/>
      <c r="C34" s="48"/>
      <c r="D34" s="48"/>
      <c r="E34" s="48"/>
      <c r="F34" s="48"/>
      <c r="G34" s="48"/>
      <c r="H34" s="5"/>
      <c r="I34" s="5"/>
      <c r="J34" s="5"/>
      <c r="K34" s="5"/>
      <c r="L34" s="5"/>
    </row>
    <row r="35" spans="1:12" x14ac:dyDescent="0.3">
      <c r="A35" s="1"/>
      <c r="B35" s="48"/>
      <c r="C35" s="48"/>
      <c r="D35" s="48"/>
      <c r="E35" s="48"/>
      <c r="F35" s="48"/>
      <c r="G35" s="48"/>
      <c r="H35" s="5"/>
      <c r="I35" s="5"/>
      <c r="J35" s="5"/>
      <c r="K35" s="5"/>
      <c r="L35" s="5"/>
    </row>
    <row r="36" spans="1:12" x14ac:dyDescent="0.3">
      <c r="A36" s="1"/>
      <c r="B36" s="48"/>
      <c r="C36" s="48"/>
      <c r="D36" s="48"/>
      <c r="E36" s="48"/>
      <c r="F36" s="48"/>
      <c r="G36" s="48"/>
      <c r="H36" s="5"/>
      <c r="I36" s="5"/>
      <c r="J36" s="5"/>
      <c r="K36" s="5"/>
      <c r="L36" s="5"/>
    </row>
    <row r="37" spans="1:12" x14ac:dyDescent="0.3">
      <c r="A37" s="1"/>
      <c r="B37" s="48"/>
      <c r="C37" s="48"/>
      <c r="D37" s="48"/>
      <c r="E37" s="48"/>
      <c r="F37" s="48"/>
      <c r="G37" s="48"/>
      <c r="H37" s="5"/>
      <c r="I37" s="5"/>
      <c r="J37" s="5"/>
      <c r="K37" s="5"/>
      <c r="L37" s="5"/>
    </row>
    <row r="38" spans="1:12" x14ac:dyDescent="0.3">
      <c r="A38" s="1"/>
      <c r="B38" s="48"/>
      <c r="C38" s="48"/>
      <c r="D38" s="48"/>
      <c r="E38" s="48"/>
      <c r="F38" s="48"/>
      <c r="G38" s="48"/>
      <c r="H38" s="5"/>
      <c r="I38" s="5"/>
      <c r="J38" s="5"/>
      <c r="K38" s="5"/>
      <c r="L38" s="5"/>
    </row>
    <row r="39" spans="1:12" x14ac:dyDescent="0.3">
      <c r="A39" s="1"/>
      <c r="B39" s="48"/>
      <c r="C39" s="48"/>
      <c r="D39" s="48"/>
      <c r="E39" s="48"/>
      <c r="F39" s="48"/>
      <c r="G39" s="48"/>
      <c r="H39" s="5"/>
      <c r="I39" s="5"/>
      <c r="J39" s="5"/>
      <c r="K39" s="5"/>
      <c r="L39" s="5"/>
    </row>
    <row r="40" spans="1:12" x14ac:dyDescent="0.3">
      <c r="A40" s="1"/>
      <c r="B40" s="48"/>
      <c r="C40" s="48"/>
      <c r="D40" s="48"/>
      <c r="E40" s="48"/>
      <c r="F40" s="48"/>
      <c r="G40" s="48"/>
      <c r="H40" s="5"/>
      <c r="I40" s="5"/>
      <c r="J40" s="5"/>
      <c r="K40" s="5"/>
      <c r="L40" s="5"/>
    </row>
    <row r="41" spans="1:12" x14ac:dyDescent="0.3">
      <c r="A41" s="1"/>
      <c r="B41" s="48"/>
      <c r="C41" s="48"/>
      <c r="D41" s="48"/>
      <c r="E41" s="48"/>
      <c r="F41" s="48"/>
      <c r="G41" s="48"/>
      <c r="H41" s="5"/>
      <c r="I41" s="5"/>
      <c r="J41" s="5"/>
      <c r="K41" s="5"/>
      <c r="L41" s="5"/>
    </row>
    <row r="42" spans="1:12" x14ac:dyDescent="0.3">
      <c r="A42" s="1"/>
      <c r="B42" s="48"/>
      <c r="C42" s="48"/>
      <c r="D42" s="48"/>
      <c r="E42" s="48"/>
      <c r="F42" s="48"/>
      <c r="G42" s="48"/>
      <c r="H42" s="5"/>
      <c r="I42" s="5"/>
      <c r="J42" s="5"/>
      <c r="K42" s="5"/>
      <c r="L42" s="5"/>
    </row>
    <row r="43" spans="1:12" x14ac:dyDescent="0.3">
      <c r="A43" s="1"/>
      <c r="B43" s="48"/>
      <c r="C43" s="48"/>
      <c r="D43" s="48"/>
      <c r="E43" s="48"/>
      <c r="F43" s="48"/>
      <c r="G43" s="48"/>
      <c r="H43" s="5"/>
      <c r="I43" s="5"/>
      <c r="J43" s="5"/>
      <c r="K43" s="5"/>
      <c r="L43" s="5"/>
    </row>
    <row r="44" spans="1:12" x14ac:dyDescent="0.3">
      <c r="A44" s="1"/>
      <c r="B44" s="48"/>
      <c r="C44" s="48"/>
      <c r="D44" s="48"/>
      <c r="E44" s="48"/>
      <c r="F44" s="48"/>
      <c r="G44" s="48"/>
      <c r="H44" s="5"/>
      <c r="I44" s="5"/>
      <c r="J44" s="5"/>
      <c r="K44" s="5"/>
      <c r="L44" s="5"/>
    </row>
    <row r="45" spans="1:12" x14ac:dyDescent="0.3">
      <c r="A45" s="1"/>
      <c r="B45" s="48"/>
      <c r="C45" s="48"/>
      <c r="D45" s="48"/>
      <c r="E45" s="48"/>
      <c r="F45" s="48"/>
      <c r="G45" s="48"/>
      <c r="H45" s="5"/>
      <c r="I45" s="5"/>
      <c r="J45" s="5"/>
      <c r="K45" s="5"/>
      <c r="L45" s="5"/>
    </row>
    <row r="46" spans="1:12" x14ac:dyDescent="0.3">
      <c r="A46" s="1"/>
      <c r="B46" s="48"/>
      <c r="C46" s="48"/>
      <c r="D46" s="48"/>
      <c r="E46" s="48"/>
      <c r="F46" s="48"/>
      <c r="G46" s="48"/>
      <c r="H46" s="5"/>
      <c r="I46" s="5"/>
      <c r="J46" s="5"/>
      <c r="K46" s="5"/>
      <c r="L46" s="5"/>
    </row>
    <row r="47" spans="1:12" x14ac:dyDescent="0.3">
      <c r="A47" s="1"/>
      <c r="B47" s="48"/>
      <c r="C47" s="48"/>
      <c r="D47" s="48"/>
      <c r="E47" s="48"/>
      <c r="F47" s="48"/>
      <c r="G47" s="48"/>
      <c r="H47" s="5"/>
      <c r="I47" s="5"/>
      <c r="J47" s="5"/>
      <c r="K47" s="5"/>
      <c r="L47" s="5"/>
    </row>
    <row r="48" spans="1:12" x14ac:dyDescent="0.3">
      <c r="A48" s="1"/>
      <c r="B48" s="48"/>
      <c r="C48" s="48"/>
      <c r="D48" s="48"/>
      <c r="E48" s="48"/>
      <c r="F48" s="48"/>
      <c r="G48" s="48"/>
      <c r="H48" s="5"/>
      <c r="I48" s="5"/>
      <c r="J48" s="5"/>
      <c r="K48" s="5"/>
      <c r="L48" s="5"/>
    </row>
    <row r="49" spans="1:12" x14ac:dyDescent="0.3">
      <c r="A49" s="1"/>
      <c r="B49" s="48"/>
      <c r="C49" s="48"/>
      <c r="D49" s="48"/>
      <c r="E49" s="48"/>
      <c r="F49" s="48"/>
      <c r="G49" s="48"/>
      <c r="H49" s="5"/>
      <c r="I49" s="5"/>
      <c r="J49" s="5"/>
      <c r="K49" s="5"/>
      <c r="L49" s="5"/>
    </row>
    <row r="50" spans="1:12" x14ac:dyDescent="0.3">
      <c r="A50" s="1"/>
      <c r="B50" s="48"/>
      <c r="C50" s="48"/>
      <c r="D50" s="48"/>
      <c r="E50" s="48"/>
      <c r="F50" s="48"/>
      <c r="G50" s="48"/>
      <c r="H50" s="5"/>
      <c r="I50" s="5"/>
      <c r="J50" s="5"/>
      <c r="K50" s="5"/>
      <c r="L50" s="5"/>
    </row>
    <row r="51" spans="1:12" x14ac:dyDescent="0.3">
      <c r="A51" s="1"/>
      <c r="B51" s="48"/>
      <c r="C51" s="48"/>
      <c r="D51" s="48"/>
      <c r="E51" s="48"/>
      <c r="F51" s="48"/>
      <c r="G51" s="48"/>
      <c r="H51" s="5"/>
      <c r="I51" s="5"/>
      <c r="J51" s="5"/>
      <c r="K51" s="5"/>
      <c r="L51" s="5"/>
    </row>
    <row r="52" spans="1:12" x14ac:dyDescent="0.3">
      <c r="A52" s="1"/>
      <c r="B52" s="48"/>
      <c r="C52" s="48"/>
      <c r="D52" s="48"/>
      <c r="E52" s="48"/>
      <c r="F52" s="48"/>
      <c r="G52" s="48"/>
      <c r="H52" s="5"/>
      <c r="I52" s="5"/>
      <c r="J52" s="5"/>
      <c r="K52" s="5"/>
      <c r="L52" s="5"/>
    </row>
    <row r="53" spans="1:12" x14ac:dyDescent="0.3">
      <c r="A53" s="1"/>
      <c r="B53" s="48"/>
      <c r="C53" s="48"/>
      <c r="D53" s="48"/>
      <c r="E53" s="48"/>
      <c r="F53" s="48"/>
      <c r="G53" s="48"/>
      <c r="H53" s="5"/>
      <c r="I53" s="5"/>
      <c r="J53" s="5"/>
      <c r="K53" s="5"/>
      <c r="L53" s="5"/>
    </row>
    <row r="54" spans="1:12" x14ac:dyDescent="0.3">
      <c r="A54" s="1"/>
      <c r="B54" s="48"/>
      <c r="C54" s="48"/>
      <c r="D54" s="48"/>
      <c r="E54" s="48"/>
      <c r="F54" s="48"/>
      <c r="G54" s="48"/>
      <c r="H54" s="5"/>
      <c r="I54" s="5"/>
      <c r="J54" s="5"/>
      <c r="K54" s="5"/>
      <c r="L54" s="5"/>
    </row>
    <row r="55" spans="1:12" x14ac:dyDescent="0.3">
      <c r="A55" s="1"/>
      <c r="B55" s="48"/>
      <c r="C55" s="48"/>
      <c r="D55" s="48"/>
      <c r="E55" s="48"/>
      <c r="F55" s="48"/>
      <c r="G55" s="48"/>
      <c r="H55" s="5"/>
      <c r="I55" s="5"/>
      <c r="J55" s="5"/>
      <c r="K55" s="5"/>
      <c r="L55" s="5"/>
    </row>
    <row r="56" spans="1:12" x14ac:dyDescent="0.3">
      <c r="A56" s="1"/>
      <c r="B56" s="48"/>
      <c r="C56" s="48"/>
      <c r="D56" s="48"/>
      <c r="E56" s="48"/>
      <c r="F56" s="48"/>
      <c r="G56" s="48"/>
      <c r="H56" s="5"/>
      <c r="I56" s="5"/>
      <c r="J56" s="5"/>
      <c r="K56" s="5"/>
      <c r="L56" s="5"/>
    </row>
    <row r="57" spans="1:12" x14ac:dyDescent="0.3">
      <c r="A57" s="1"/>
      <c r="B57" s="48"/>
      <c r="C57" s="48"/>
      <c r="D57" s="48"/>
      <c r="E57" s="48"/>
      <c r="F57" s="48"/>
      <c r="G57" s="48"/>
      <c r="H57" s="5"/>
      <c r="I57" s="5"/>
      <c r="J57" s="5"/>
      <c r="K57" s="5"/>
      <c r="L57" s="5"/>
    </row>
    <row r="58" spans="1:12" x14ac:dyDescent="0.3">
      <c r="A58" s="1"/>
      <c r="B58" s="48"/>
      <c r="C58" s="48"/>
      <c r="D58" s="48"/>
      <c r="E58" s="48"/>
      <c r="F58" s="48"/>
      <c r="G58" s="48"/>
      <c r="H58" s="5"/>
      <c r="I58" s="5"/>
      <c r="J58" s="5"/>
      <c r="K58" s="5"/>
      <c r="L58" s="5"/>
    </row>
    <row r="59" spans="1:12" x14ac:dyDescent="0.3">
      <c r="A59" s="1"/>
      <c r="B59" s="48"/>
      <c r="C59" s="48"/>
      <c r="D59" s="48"/>
      <c r="E59" s="48"/>
      <c r="F59" s="48"/>
      <c r="G59" s="48"/>
      <c r="H59" s="5"/>
      <c r="I59" s="5"/>
      <c r="J59" s="5"/>
      <c r="K59" s="5"/>
      <c r="L59" s="5"/>
    </row>
    <row r="60" spans="1:12" x14ac:dyDescent="0.3">
      <c r="A60" s="1"/>
      <c r="B60" s="48"/>
      <c r="C60" s="48"/>
      <c r="D60" s="48"/>
      <c r="E60" s="48"/>
      <c r="F60" s="48"/>
      <c r="G60" s="48"/>
      <c r="H60" s="5"/>
      <c r="I60" s="5"/>
      <c r="J60" s="5"/>
      <c r="K60" s="5"/>
      <c r="L60" s="5"/>
    </row>
    <row r="61" spans="1:12" x14ac:dyDescent="0.3">
      <c r="A61" s="1"/>
      <c r="B61" s="48"/>
      <c r="C61" s="48"/>
      <c r="D61" s="48"/>
      <c r="E61" s="48"/>
      <c r="F61" s="48"/>
      <c r="G61" s="48"/>
      <c r="H61" s="5"/>
      <c r="I61" s="5"/>
      <c r="J61" s="5"/>
      <c r="K61" s="5"/>
      <c r="L61" s="5"/>
    </row>
    <row r="62" spans="1:12" x14ac:dyDescent="0.3">
      <c r="A62" s="1"/>
      <c r="B62" s="48"/>
      <c r="C62" s="48"/>
      <c r="D62" s="48"/>
      <c r="E62" s="48"/>
      <c r="F62" s="48"/>
      <c r="G62" s="48"/>
      <c r="H62" s="5"/>
      <c r="I62" s="5"/>
      <c r="J62" s="5"/>
      <c r="K62" s="5"/>
      <c r="L62" s="5"/>
    </row>
    <row r="63" spans="1:12" x14ac:dyDescent="0.3">
      <c r="A63" s="1"/>
      <c r="B63" s="48"/>
      <c r="C63" s="48"/>
      <c r="D63" s="48"/>
      <c r="E63" s="48"/>
      <c r="F63" s="48"/>
      <c r="G63" s="48"/>
      <c r="H63" s="5"/>
      <c r="I63" s="5"/>
      <c r="J63" s="5"/>
      <c r="K63" s="5"/>
      <c r="L63" s="5"/>
    </row>
    <row r="64" spans="1:12" x14ac:dyDescent="0.3">
      <c r="A64" s="1"/>
      <c r="B64" s="48"/>
      <c r="C64" s="48"/>
      <c r="D64" s="48"/>
      <c r="E64" s="48"/>
      <c r="F64" s="48"/>
      <c r="G64" s="48"/>
      <c r="H64" s="5"/>
      <c r="I64" s="5"/>
      <c r="J64" s="5"/>
      <c r="K64" s="5"/>
      <c r="L64" s="5"/>
    </row>
    <row r="65" spans="1:12" x14ac:dyDescent="0.3">
      <c r="A65" s="1"/>
      <c r="B65" s="48"/>
      <c r="C65" s="48"/>
      <c r="D65" s="48"/>
      <c r="E65" s="48"/>
      <c r="F65" s="48"/>
      <c r="G65" s="48"/>
      <c r="H65" s="5"/>
      <c r="I65" s="5"/>
      <c r="J65" s="5"/>
      <c r="K65" s="5"/>
      <c r="L65" s="5"/>
    </row>
    <row r="66" spans="1:12" x14ac:dyDescent="0.3">
      <c r="A66" s="1"/>
      <c r="B66" s="48"/>
      <c r="C66" s="48"/>
      <c r="D66" s="48"/>
      <c r="E66" s="48"/>
      <c r="F66" s="48"/>
      <c r="G66" s="48"/>
      <c r="H66" s="5"/>
      <c r="I66" s="5"/>
      <c r="J66" s="5"/>
      <c r="K66" s="5"/>
      <c r="L66" s="5"/>
    </row>
    <row r="67" spans="1:12" x14ac:dyDescent="0.3">
      <c r="A67" s="1"/>
      <c r="B67" s="48"/>
      <c r="C67" s="48"/>
      <c r="D67" s="48"/>
      <c r="E67" s="48"/>
      <c r="F67" s="48"/>
      <c r="G67" s="48"/>
      <c r="H67" s="5"/>
      <c r="I67" s="5"/>
      <c r="J67" s="5"/>
      <c r="K67" s="5"/>
      <c r="L67" s="5"/>
    </row>
    <row r="68" spans="1:12" x14ac:dyDescent="0.3">
      <c r="A68" s="1"/>
      <c r="B68" s="48"/>
      <c r="C68" s="48"/>
      <c r="D68" s="48"/>
      <c r="E68" s="48"/>
      <c r="F68" s="48"/>
      <c r="G68" s="48"/>
      <c r="H68" s="5"/>
      <c r="I68" s="5"/>
      <c r="J68" s="5"/>
      <c r="K68" s="5"/>
      <c r="L68" s="5"/>
    </row>
    <row r="69" spans="1:12" x14ac:dyDescent="0.3">
      <c r="A69" s="1"/>
      <c r="B69" s="48"/>
      <c r="C69" s="48"/>
      <c r="D69" s="48"/>
      <c r="E69" s="48"/>
      <c r="F69" s="48"/>
      <c r="G69" s="48"/>
      <c r="H69" s="5"/>
      <c r="I69" s="5"/>
      <c r="J69" s="5"/>
      <c r="K69" s="5"/>
      <c r="L69" s="5"/>
    </row>
    <row r="70" spans="1:12" x14ac:dyDescent="0.3">
      <c r="A70" s="1"/>
      <c r="B70" s="48"/>
      <c r="C70" s="48"/>
      <c r="D70" s="48"/>
      <c r="E70" s="48"/>
      <c r="F70" s="48"/>
      <c r="G70" s="48"/>
      <c r="H70" s="5"/>
      <c r="I70" s="5"/>
      <c r="J70" s="5"/>
      <c r="K70" s="5"/>
      <c r="L70" s="5"/>
    </row>
    <row r="71" spans="1:12" x14ac:dyDescent="0.3">
      <c r="A71" s="1"/>
      <c r="B71" s="48"/>
      <c r="C71" s="48"/>
      <c r="D71" s="48"/>
      <c r="E71" s="48"/>
      <c r="F71" s="48"/>
      <c r="G71" s="48"/>
      <c r="H71" s="5"/>
      <c r="I71" s="5"/>
      <c r="J71" s="5"/>
      <c r="K71" s="5"/>
      <c r="L71" s="5"/>
    </row>
    <row r="72" spans="1:12" x14ac:dyDescent="0.3">
      <c r="A72" s="1"/>
      <c r="B72" s="48"/>
      <c r="C72" s="48"/>
      <c r="D72" s="48"/>
      <c r="E72" s="48"/>
      <c r="F72" s="48"/>
      <c r="G72" s="48"/>
      <c r="H72" s="5"/>
      <c r="I72" s="5"/>
      <c r="J72" s="5"/>
      <c r="K72" s="5"/>
      <c r="L72" s="5"/>
    </row>
    <row r="73" spans="1:12" x14ac:dyDescent="0.3">
      <c r="A73" s="1"/>
      <c r="B73" s="48"/>
      <c r="C73" s="48"/>
      <c r="D73" s="48"/>
      <c r="E73" s="48"/>
      <c r="F73" s="48"/>
      <c r="G73" s="48"/>
      <c r="H73" s="5"/>
      <c r="I73" s="5"/>
      <c r="J73" s="5"/>
      <c r="K73" s="5"/>
      <c r="L73" s="5"/>
    </row>
    <row r="74" spans="1:12" x14ac:dyDescent="0.3">
      <c r="A74" s="1"/>
      <c r="B74" s="48"/>
      <c r="C74" s="48"/>
      <c r="D74" s="48"/>
      <c r="E74" s="48"/>
      <c r="F74" s="48"/>
      <c r="G74" s="48"/>
      <c r="H74" s="5"/>
      <c r="I74" s="5"/>
      <c r="J74" s="5"/>
      <c r="K74" s="5"/>
      <c r="L74" s="5"/>
    </row>
    <row r="75" spans="1:12" x14ac:dyDescent="0.3">
      <c r="A75" s="1"/>
      <c r="B75" s="48"/>
      <c r="C75" s="48"/>
      <c r="D75" s="48"/>
      <c r="E75" s="48"/>
      <c r="F75" s="48"/>
      <c r="G75" s="48"/>
      <c r="H75" s="5"/>
      <c r="I75" s="5"/>
      <c r="J75" s="5"/>
      <c r="K75" s="5"/>
      <c r="L75" s="5"/>
    </row>
    <row r="76" spans="1:12" x14ac:dyDescent="0.3">
      <c r="A76" s="1"/>
      <c r="B76" s="48"/>
      <c r="C76" s="48"/>
      <c r="D76" s="48"/>
      <c r="E76" s="48"/>
      <c r="F76" s="48"/>
      <c r="G76" s="48"/>
      <c r="H76" s="5"/>
      <c r="I76" s="5"/>
      <c r="J76" s="5"/>
      <c r="K76" s="5"/>
      <c r="L76" s="5"/>
    </row>
    <row r="77" spans="1:12" x14ac:dyDescent="0.3">
      <c r="A77" s="1"/>
      <c r="B77" s="48"/>
      <c r="C77" s="48"/>
      <c r="D77" s="48"/>
      <c r="E77" s="48"/>
      <c r="F77" s="48"/>
      <c r="G77" s="48"/>
      <c r="H77" s="5"/>
      <c r="I77" s="5"/>
      <c r="J77" s="5"/>
      <c r="K77" s="5"/>
      <c r="L77" s="5"/>
    </row>
    <row r="78" spans="1:12" x14ac:dyDescent="0.3">
      <c r="A78" s="1"/>
      <c r="B78" s="48"/>
      <c r="C78" s="48"/>
      <c r="D78" s="48"/>
      <c r="E78" s="48"/>
      <c r="F78" s="48"/>
      <c r="G78" s="48"/>
      <c r="H78" s="5"/>
      <c r="I78" s="5"/>
      <c r="J78" s="5"/>
      <c r="K78" s="5"/>
      <c r="L78" s="5"/>
    </row>
    <row r="79" spans="1:12" x14ac:dyDescent="0.3">
      <c r="A79" s="1"/>
      <c r="B79" s="48"/>
      <c r="C79" s="48"/>
      <c r="D79" s="48"/>
      <c r="E79" s="48"/>
      <c r="F79" s="48"/>
      <c r="G79" s="48"/>
      <c r="H79" s="5"/>
      <c r="I79" s="5"/>
      <c r="J79" s="5"/>
      <c r="K79" s="5"/>
      <c r="L79" s="5"/>
    </row>
    <row r="80" spans="1:12" x14ac:dyDescent="0.3">
      <c r="A80" s="1"/>
      <c r="B80" s="48"/>
      <c r="C80" s="48"/>
      <c r="D80" s="48"/>
      <c r="E80" s="48"/>
      <c r="F80" s="48"/>
      <c r="G80" s="48"/>
      <c r="H80" s="5"/>
      <c r="I80" s="5"/>
      <c r="J80" s="5"/>
      <c r="K80" s="5"/>
      <c r="L80" s="5"/>
    </row>
    <row r="81" spans="1:12" x14ac:dyDescent="0.3">
      <c r="A81" s="1"/>
      <c r="B81" s="48"/>
      <c r="C81" s="48"/>
      <c r="D81" s="48"/>
      <c r="E81" s="48"/>
      <c r="F81" s="48"/>
      <c r="G81" s="48"/>
      <c r="H81" s="5"/>
      <c r="I81" s="5"/>
      <c r="J81" s="5"/>
      <c r="K81" s="5"/>
      <c r="L81" s="5"/>
    </row>
    <row r="82" spans="1:12" x14ac:dyDescent="0.3">
      <c r="A82" s="1"/>
      <c r="B82" s="48"/>
      <c r="C82" s="48"/>
      <c r="D82" s="48"/>
      <c r="E82" s="48"/>
      <c r="F82" s="48"/>
      <c r="G82" s="48"/>
      <c r="H82" s="5"/>
      <c r="I82" s="5"/>
      <c r="J82" s="5"/>
      <c r="K82" s="5"/>
      <c r="L82" s="5"/>
    </row>
    <row r="83" spans="1:12" x14ac:dyDescent="0.3">
      <c r="A83" s="1"/>
      <c r="B83" s="48"/>
      <c r="C83" s="48"/>
      <c r="D83" s="48"/>
      <c r="E83" s="48"/>
      <c r="F83" s="48"/>
      <c r="G83" s="48"/>
      <c r="H83" s="5"/>
      <c r="I83" s="5"/>
      <c r="J83" s="5"/>
      <c r="K83" s="5"/>
      <c r="L83" s="5"/>
    </row>
    <row r="84" spans="1:12" x14ac:dyDescent="0.3">
      <c r="A84" s="1"/>
      <c r="B84" s="48"/>
      <c r="C84" s="48"/>
      <c r="D84" s="48"/>
      <c r="E84" s="48"/>
      <c r="F84" s="48"/>
      <c r="G84" s="48"/>
      <c r="H84" s="5"/>
      <c r="I84" s="5"/>
      <c r="J84" s="5"/>
      <c r="K84" s="5"/>
      <c r="L84" s="5"/>
    </row>
    <row r="85" spans="1:12" x14ac:dyDescent="0.3">
      <c r="A85" s="1"/>
      <c r="B85" s="48"/>
      <c r="C85" s="48"/>
      <c r="D85" s="48"/>
      <c r="E85" s="48"/>
      <c r="F85" s="48"/>
      <c r="G85" s="48"/>
      <c r="H85" s="5"/>
      <c r="I85" s="5"/>
      <c r="J85" s="5"/>
      <c r="K85" s="5"/>
      <c r="L85" s="5"/>
    </row>
    <row r="86" spans="1:12" x14ac:dyDescent="0.3">
      <c r="A86" s="1"/>
      <c r="B86" s="48"/>
      <c r="C86" s="48"/>
      <c r="D86" s="48"/>
      <c r="E86" s="48"/>
      <c r="F86" s="48"/>
      <c r="G86" s="48"/>
      <c r="H86" s="5"/>
      <c r="I86" s="5"/>
      <c r="J86" s="5"/>
      <c r="K86" s="5"/>
      <c r="L86" s="5"/>
    </row>
    <row r="87" spans="1:12" x14ac:dyDescent="0.3">
      <c r="A87" s="1"/>
      <c r="B87" s="48"/>
      <c r="C87" s="48"/>
      <c r="D87" s="48"/>
      <c r="E87" s="48"/>
      <c r="F87" s="48"/>
      <c r="G87" s="48"/>
      <c r="H87" s="5"/>
      <c r="I87" s="5"/>
      <c r="J87" s="5"/>
      <c r="K87" s="5"/>
      <c r="L87" s="5"/>
    </row>
    <row r="88" spans="1:12" x14ac:dyDescent="0.3">
      <c r="A88" s="1"/>
      <c r="B88" s="48"/>
      <c r="C88" s="48"/>
      <c r="D88" s="48"/>
      <c r="E88" s="48"/>
      <c r="F88" s="48"/>
      <c r="G88" s="48"/>
      <c r="H88" s="5"/>
      <c r="I88" s="5"/>
      <c r="J88" s="5"/>
      <c r="K88" s="5"/>
      <c r="L88" s="5"/>
    </row>
    <row r="89" spans="1:12" x14ac:dyDescent="0.3">
      <c r="A89" s="1"/>
      <c r="B89" s="48"/>
      <c r="C89" s="48"/>
      <c r="D89" s="48"/>
      <c r="E89" s="48"/>
      <c r="F89" s="48"/>
      <c r="G89" s="48"/>
      <c r="H89" s="5"/>
      <c r="I89" s="5"/>
      <c r="J89" s="5"/>
      <c r="K89" s="5"/>
      <c r="L89" s="5"/>
    </row>
    <row r="90" spans="1:12" x14ac:dyDescent="0.3">
      <c r="A90" s="1"/>
      <c r="B90" s="48"/>
      <c r="C90" s="48"/>
      <c r="D90" s="48"/>
      <c r="E90" s="48"/>
      <c r="F90" s="48"/>
      <c r="G90" s="48"/>
      <c r="H90" s="5"/>
      <c r="I90" s="5"/>
      <c r="J90" s="5"/>
      <c r="K90" s="5"/>
      <c r="L90" s="5"/>
    </row>
    <row r="91" spans="1:12" x14ac:dyDescent="0.3">
      <c r="A91" s="1"/>
      <c r="B91" s="48"/>
      <c r="C91" s="48"/>
      <c r="D91" s="48"/>
      <c r="E91" s="48"/>
      <c r="F91" s="48"/>
      <c r="G91" s="48"/>
      <c r="H91" s="5"/>
      <c r="I91" s="5"/>
      <c r="J91" s="5"/>
      <c r="K91" s="5"/>
      <c r="L91" s="5"/>
    </row>
    <row r="92" spans="1:12" x14ac:dyDescent="0.3">
      <c r="A92" s="1"/>
      <c r="B92" s="48"/>
      <c r="C92" s="48"/>
      <c r="D92" s="48"/>
      <c r="E92" s="48"/>
      <c r="F92" s="48"/>
      <c r="G92" s="48"/>
      <c r="H92" s="5"/>
      <c r="I92" s="5"/>
      <c r="J92" s="5"/>
      <c r="K92" s="5"/>
      <c r="L92" s="5"/>
    </row>
    <row r="93" spans="1:12" x14ac:dyDescent="0.3">
      <c r="A93" s="1"/>
      <c r="B93" s="48"/>
      <c r="C93" s="48"/>
      <c r="D93" s="48"/>
      <c r="E93" s="48"/>
      <c r="F93" s="48"/>
      <c r="G93" s="48"/>
      <c r="H93" s="5"/>
      <c r="I93" s="5"/>
      <c r="J93" s="5"/>
      <c r="K93" s="5"/>
      <c r="L93" s="5"/>
    </row>
    <row r="94" spans="1:12" x14ac:dyDescent="0.3">
      <c r="A94" s="1"/>
      <c r="B94" s="48"/>
      <c r="C94" s="48"/>
      <c r="D94" s="48"/>
      <c r="E94" s="48"/>
      <c r="F94" s="48"/>
      <c r="G94" s="48"/>
      <c r="H94" s="5"/>
      <c r="I94" s="5"/>
      <c r="J94" s="5"/>
      <c r="K94" s="5"/>
      <c r="L94" s="5"/>
    </row>
    <row r="95" spans="1:12" x14ac:dyDescent="0.3">
      <c r="A95" s="1"/>
      <c r="B95" s="48"/>
      <c r="C95" s="48"/>
      <c r="D95" s="48"/>
      <c r="E95" s="48"/>
      <c r="F95" s="48"/>
      <c r="G95" s="48"/>
      <c r="H95" s="5"/>
      <c r="I95" s="5"/>
      <c r="J95" s="5"/>
      <c r="K95" s="5"/>
      <c r="L95" s="5"/>
    </row>
    <row r="96" spans="1:12" x14ac:dyDescent="0.3">
      <c r="A96" s="1"/>
      <c r="B96" s="48"/>
      <c r="C96" s="48"/>
      <c r="D96" s="48"/>
      <c r="E96" s="48"/>
      <c r="F96" s="48"/>
      <c r="G96" s="48"/>
      <c r="H96" s="5"/>
      <c r="I96" s="5"/>
      <c r="J96" s="5"/>
      <c r="K96" s="5"/>
      <c r="L96" s="5"/>
    </row>
    <row r="97" spans="1:12" x14ac:dyDescent="0.3">
      <c r="A97" s="1"/>
      <c r="B97" s="48"/>
      <c r="C97" s="48"/>
      <c r="D97" s="48"/>
      <c r="E97" s="48"/>
      <c r="F97" s="48"/>
      <c r="G97" s="48"/>
      <c r="H97" s="5"/>
      <c r="I97" s="5"/>
      <c r="J97" s="5"/>
      <c r="K97" s="5"/>
      <c r="L97" s="5"/>
    </row>
    <row r="98" spans="1:12" x14ac:dyDescent="0.3">
      <c r="A98" s="1"/>
      <c r="B98" s="48"/>
      <c r="C98" s="48"/>
      <c r="D98" s="48"/>
      <c r="E98" s="48"/>
      <c r="F98" s="48"/>
      <c r="G98" s="48"/>
      <c r="H98" s="5"/>
      <c r="I98" s="5"/>
      <c r="J98" s="5"/>
      <c r="K98" s="5"/>
      <c r="L98" s="5"/>
    </row>
    <row r="99" spans="1:12" x14ac:dyDescent="0.3">
      <c r="A99" s="1"/>
      <c r="B99" s="48"/>
      <c r="C99" s="48"/>
      <c r="D99" s="48"/>
      <c r="E99" s="48"/>
      <c r="F99" s="48"/>
      <c r="G99" s="48"/>
      <c r="H99" s="5"/>
      <c r="I99" s="5"/>
      <c r="J99" s="5"/>
      <c r="K99" s="5"/>
      <c r="L99" s="5"/>
    </row>
    <row r="100" spans="1:12" x14ac:dyDescent="0.3">
      <c r="A100" s="1"/>
      <c r="B100" s="48"/>
      <c r="C100" s="48"/>
      <c r="D100" s="48"/>
      <c r="E100" s="48"/>
      <c r="F100" s="48"/>
      <c r="G100" s="48"/>
      <c r="H100" s="5"/>
      <c r="I100" s="5"/>
      <c r="J100" s="5"/>
      <c r="K100" s="5"/>
      <c r="L100" s="5"/>
    </row>
    <row r="101" spans="1:12" x14ac:dyDescent="0.3">
      <c r="A101" s="1"/>
      <c r="B101" s="48"/>
      <c r="C101" s="48"/>
      <c r="D101" s="48"/>
      <c r="E101" s="48"/>
      <c r="F101" s="48"/>
      <c r="G101" s="48"/>
      <c r="H101" s="5"/>
      <c r="I101" s="5"/>
      <c r="J101" s="5"/>
      <c r="K101" s="5"/>
      <c r="L101" s="5"/>
    </row>
    <row r="102" spans="1:12" x14ac:dyDescent="0.3">
      <c r="A102" s="1"/>
      <c r="B102" s="48"/>
      <c r="C102" s="48"/>
      <c r="D102" s="48"/>
      <c r="E102" s="48"/>
      <c r="F102" s="48"/>
      <c r="G102" s="48"/>
      <c r="H102" s="5"/>
      <c r="I102" s="5"/>
      <c r="J102" s="5"/>
      <c r="K102" s="5"/>
      <c r="L102" s="5"/>
    </row>
    <row r="103" spans="1:12" x14ac:dyDescent="0.3">
      <c r="A103" s="1"/>
      <c r="B103" s="48"/>
      <c r="C103" s="48"/>
      <c r="D103" s="48"/>
      <c r="E103" s="48"/>
      <c r="F103" s="48"/>
      <c r="G103" s="48"/>
      <c r="H103" s="5"/>
      <c r="I103" s="5"/>
      <c r="J103" s="5"/>
      <c r="K103" s="5"/>
      <c r="L103" s="5"/>
    </row>
    <row r="104" spans="1:12" x14ac:dyDescent="0.3">
      <c r="A104" s="1"/>
      <c r="B104" s="48"/>
      <c r="C104" s="48"/>
      <c r="D104" s="48"/>
      <c r="E104" s="48"/>
      <c r="F104" s="48"/>
      <c r="G104" s="48"/>
      <c r="H104" s="5"/>
      <c r="I104" s="5"/>
      <c r="J104" s="5"/>
      <c r="K104" s="5"/>
      <c r="L104" s="5"/>
    </row>
    <row r="105" spans="1:12" x14ac:dyDescent="0.3">
      <c r="A105" s="1"/>
      <c r="B105" s="48"/>
      <c r="C105" s="48"/>
      <c r="D105" s="48"/>
      <c r="E105" s="48"/>
      <c r="F105" s="48"/>
      <c r="G105" s="48"/>
      <c r="H105" s="5"/>
      <c r="I105" s="5"/>
      <c r="J105" s="5"/>
      <c r="K105" s="5"/>
      <c r="L105" s="5"/>
    </row>
    <row r="106" spans="1:12" x14ac:dyDescent="0.3">
      <c r="A106" s="1"/>
      <c r="B106" s="48"/>
      <c r="C106" s="48"/>
      <c r="D106" s="48"/>
      <c r="E106" s="48"/>
      <c r="F106" s="48"/>
      <c r="G106" s="48"/>
      <c r="H106" s="5"/>
      <c r="I106" s="5"/>
      <c r="J106" s="5"/>
      <c r="K106" s="5"/>
      <c r="L106" s="5"/>
    </row>
    <row r="107" spans="1:12" x14ac:dyDescent="0.3">
      <c r="A107" s="1"/>
      <c r="B107" s="48"/>
      <c r="C107" s="48"/>
      <c r="D107" s="48"/>
      <c r="E107" s="48"/>
      <c r="F107" s="48"/>
      <c r="G107" s="48"/>
      <c r="H107" s="5"/>
      <c r="I107" s="5"/>
      <c r="J107" s="5"/>
      <c r="K107" s="5"/>
      <c r="L107" s="5"/>
    </row>
    <row r="108" spans="1:12" x14ac:dyDescent="0.3">
      <c r="A108" s="1"/>
      <c r="B108" s="48"/>
      <c r="C108" s="48"/>
      <c r="D108" s="48"/>
      <c r="E108" s="48"/>
      <c r="F108" s="48"/>
      <c r="G108" s="48"/>
      <c r="H108" s="5"/>
      <c r="I108" s="5"/>
      <c r="J108" s="5"/>
      <c r="K108" s="5"/>
      <c r="L108" s="5"/>
    </row>
    <row r="109" spans="1:12" x14ac:dyDescent="0.3">
      <c r="A109" s="1"/>
      <c r="B109" s="48"/>
      <c r="C109" s="48"/>
      <c r="D109" s="48"/>
      <c r="E109" s="48"/>
      <c r="F109" s="48"/>
      <c r="G109" s="48"/>
      <c r="H109" s="5"/>
      <c r="I109" s="5"/>
      <c r="J109" s="5"/>
      <c r="K109" s="5"/>
      <c r="L109" s="5"/>
    </row>
    <row r="110" spans="1:12" x14ac:dyDescent="0.3">
      <c r="A110" s="1"/>
      <c r="B110" s="48"/>
      <c r="C110" s="48"/>
      <c r="D110" s="48"/>
      <c r="E110" s="48"/>
      <c r="F110" s="48"/>
      <c r="G110" s="48"/>
      <c r="H110" s="5"/>
      <c r="I110" s="5"/>
      <c r="J110" s="5"/>
      <c r="K110" s="5"/>
      <c r="L110" s="5"/>
    </row>
    <row r="111" spans="1:12" x14ac:dyDescent="0.3">
      <c r="A111" s="1"/>
      <c r="B111" s="48"/>
      <c r="C111" s="48"/>
      <c r="D111" s="48"/>
      <c r="E111" s="48"/>
      <c r="F111" s="48"/>
      <c r="G111" s="48"/>
      <c r="H111" s="5"/>
      <c r="I111" s="5"/>
      <c r="J111" s="5"/>
      <c r="K111" s="5"/>
      <c r="L111" s="5"/>
    </row>
    <row r="112" spans="1:12" x14ac:dyDescent="0.3">
      <c r="A112" s="1"/>
      <c r="B112" s="48"/>
      <c r="C112" s="48"/>
      <c r="D112" s="48"/>
      <c r="E112" s="48"/>
      <c r="F112" s="48"/>
      <c r="G112" s="48"/>
      <c r="H112" s="5"/>
      <c r="I112" s="5"/>
      <c r="J112" s="5"/>
      <c r="K112" s="5"/>
      <c r="L112" s="5"/>
    </row>
    <row r="113" spans="1:12" x14ac:dyDescent="0.3">
      <c r="A113" s="1"/>
      <c r="B113" s="48"/>
      <c r="C113" s="48"/>
      <c r="D113" s="48"/>
      <c r="E113" s="48"/>
      <c r="F113" s="48"/>
      <c r="G113" s="48"/>
      <c r="H113" s="5"/>
      <c r="I113" s="5"/>
      <c r="J113" s="5"/>
      <c r="K113" s="5"/>
      <c r="L113" s="5"/>
    </row>
    <row r="114" spans="1:12" x14ac:dyDescent="0.3">
      <c r="A114" s="1"/>
      <c r="B114" s="48"/>
      <c r="C114" s="48"/>
      <c r="D114" s="48"/>
      <c r="E114" s="48"/>
      <c r="F114" s="48"/>
      <c r="G114" s="48"/>
      <c r="H114" s="5"/>
      <c r="I114" s="5"/>
      <c r="J114" s="5"/>
      <c r="K114" s="5"/>
      <c r="L114" s="5"/>
    </row>
    <row r="115" spans="1:12" x14ac:dyDescent="0.3">
      <c r="A115" s="1"/>
      <c r="B115" s="48"/>
      <c r="C115" s="48"/>
      <c r="D115" s="48"/>
      <c r="E115" s="48"/>
      <c r="F115" s="48"/>
      <c r="G115" s="48"/>
      <c r="H115" s="5"/>
      <c r="I115" s="5"/>
      <c r="J115" s="5"/>
      <c r="K115" s="5"/>
      <c r="L115" s="5"/>
    </row>
    <row r="116" spans="1:12" x14ac:dyDescent="0.3">
      <c r="A116" s="1"/>
      <c r="B116" s="48"/>
      <c r="C116" s="48"/>
      <c r="D116" s="48"/>
      <c r="E116" s="48"/>
      <c r="F116" s="48"/>
      <c r="G116" s="48"/>
      <c r="H116" s="5"/>
      <c r="I116" s="5"/>
      <c r="J116" s="5"/>
      <c r="K116" s="5"/>
      <c r="L116" s="5"/>
    </row>
    <row r="117" spans="1:12" x14ac:dyDescent="0.3">
      <c r="A117" s="1"/>
      <c r="B117" s="48"/>
      <c r="C117" s="48"/>
      <c r="D117" s="48"/>
      <c r="E117" s="48"/>
      <c r="F117" s="48"/>
      <c r="G117" s="48"/>
      <c r="H117" s="5"/>
      <c r="I117" s="5"/>
      <c r="J117" s="5"/>
      <c r="K117" s="5"/>
      <c r="L117" s="5"/>
    </row>
    <row r="118" spans="1:12" x14ac:dyDescent="0.3">
      <c r="A118" s="1"/>
      <c r="B118" s="48"/>
      <c r="C118" s="48"/>
      <c r="D118" s="48"/>
      <c r="E118" s="48"/>
      <c r="F118" s="48"/>
      <c r="G118" s="48"/>
      <c r="H118" s="5"/>
      <c r="I118" s="5"/>
      <c r="J118" s="5"/>
      <c r="K118" s="5"/>
      <c r="L118" s="5"/>
    </row>
    <row r="119" spans="1:12" x14ac:dyDescent="0.3">
      <c r="A119" s="1"/>
      <c r="B119" s="48"/>
      <c r="C119" s="48"/>
      <c r="D119" s="48"/>
      <c r="E119" s="48"/>
      <c r="F119" s="48"/>
      <c r="G119" s="48"/>
      <c r="H119" s="5"/>
      <c r="I119" s="5"/>
      <c r="J119" s="5"/>
      <c r="K119" s="5"/>
      <c r="L119" s="5"/>
    </row>
    <row r="120" spans="1:12" x14ac:dyDescent="0.3">
      <c r="A120" s="1"/>
      <c r="B120" s="48"/>
      <c r="C120" s="48"/>
      <c r="D120" s="48"/>
      <c r="E120" s="48"/>
      <c r="F120" s="48"/>
      <c r="G120" s="48"/>
      <c r="H120" s="5"/>
      <c r="I120" s="5"/>
      <c r="J120" s="5"/>
      <c r="K120" s="5"/>
      <c r="L120" s="5"/>
    </row>
    <row r="121" spans="1:12" x14ac:dyDescent="0.3">
      <c r="A121" s="1"/>
      <c r="B121" s="48"/>
      <c r="C121" s="48"/>
      <c r="D121" s="48"/>
      <c r="E121" s="48"/>
      <c r="F121" s="48"/>
      <c r="G121" s="48"/>
      <c r="H121" s="5"/>
      <c r="I121" s="5"/>
      <c r="J121" s="5"/>
      <c r="K121" s="5"/>
      <c r="L121" s="5"/>
    </row>
    <row r="122" spans="1:12" x14ac:dyDescent="0.3">
      <c r="A122" s="1"/>
      <c r="B122" s="48"/>
      <c r="C122" s="48"/>
      <c r="D122" s="48"/>
      <c r="E122" s="48"/>
      <c r="F122" s="48"/>
      <c r="G122" s="48"/>
      <c r="H122" s="5"/>
      <c r="I122" s="5"/>
      <c r="J122" s="5"/>
      <c r="K122" s="5"/>
      <c r="L122" s="5"/>
    </row>
    <row r="123" spans="1:12" x14ac:dyDescent="0.3">
      <c r="A123" s="1"/>
      <c r="B123" s="48"/>
      <c r="C123" s="48"/>
      <c r="D123" s="48"/>
      <c r="E123" s="48"/>
      <c r="F123" s="48"/>
      <c r="G123" s="48"/>
      <c r="H123" s="5"/>
      <c r="I123" s="5"/>
      <c r="J123" s="5"/>
      <c r="K123" s="5"/>
      <c r="L123" s="5"/>
    </row>
    <row r="124" spans="1:12" x14ac:dyDescent="0.3">
      <c r="A124" s="1"/>
      <c r="B124" s="48"/>
      <c r="C124" s="48"/>
      <c r="D124" s="48"/>
      <c r="E124" s="48"/>
      <c r="F124" s="48"/>
      <c r="G124" s="48"/>
      <c r="H124" s="5"/>
      <c r="I124" s="5"/>
      <c r="J124" s="5"/>
      <c r="K124" s="5"/>
      <c r="L124" s="5"/>
    </row>
    <row r="125" spans="1:12" x14ac:dyDescent="0.3">
      <c r="A125" s="1"/>
      <c r="B125" s="48"/>
      <c r="C125" s="48"/>
      <c r="D125" s="48"/>
      <c r="E125" s="48"/>
      <c r="F125" s="48"/>
      <c r="G125" s="48"/>
      <c r="H125" s="5"/>
      <c r="I125" s="5"/>
      <c r="J125" s="5"/>
      <c r="K125" s="5"/>
      <c r="L125" s="5"/>
    </row>
    <row r="126" spans="1:12" x14ac:dyDescent="0.3">
      <c r="A126" s="1"/>
      <c r="B126" s="48"/>
      <c r="C126" s="48"/>
      <c r="D126" s="48"/>
      <c r="E126" s="48"/>
      <c r="F126" s="48"/>
      <c r="G126" s="48"/>
      <c r="H126" s="5"/>
      <c r="I126" s="5"/>
      <c r="J126" s="5"/>
      <c r="K126" s="5"/>
      <c r="L126" s="5"/>
    </row>
    <row r="127" spans="1:12" x14ac:dyDescent="0.3">
      <c r="A127" s="1"/>
      <c r="B127" s="48"/>
      <c r="C127" s="48"/>
      <c r="D127" s="48"/>
      <c r="E127" s="48"/>
      <c r="F127" s="48"/>
      <c r="G127" s="48"/>
      <c r="H127" s="5"/>
      <c r="I127" s="5"/>
      <c r="J127" s="5"/>
      <c r="K127" s="5"/>
      <c r="L127" s="5"/>
    </row>
    <row r="128" spans="1:12" x14ac:dyDescent="0.3">
      <c r="A128" s="1"/>
      <c r="B128" s="48"/>
      <c r="C128" s="48"/>
      <c r="D128" s="48"/>
      <c r="E128" s="48"/>
      <c r="F128" s="48"/>
      <c r="G128" s="48"/>
      <c r="H128" s="5"/>
      <c r="I128" s="5"/>
      <c r="J128" s="5"/>
      <c r="K128" s="5"/>
      <c r="L128" s="5"/>
    </row>
  </sheetData>
  <sheetProtection algorithmName="SHA-512" hashValue="am6ZgJ8fSE9t7f4vDdQd/tcieBVA8j3GfXbRvurlKQ8hNQM+rrp49Kurr+yaLb0oIm1VEk0GDOu11Hn/7uIRAQ==" saltValue="zhQjUN4zmry7b6C+rV5Clw==" spinCount="100000" sheet="1" objects="1" scenarios="1"/>
  <mergeCells count="5">
    <mergeCell ref="A20:G20"/>
    <mergeCell ref="A21:G22"/>
    <mergeCell ref="A12:G13"/>
    <mergeCell ref="A14:G15"/>
    <mergeCell ref="A16:G19"/>
  </mergeCells>
  <printOptions horizontalCentered="1"/>
  <pageMargins left="0.25" right="0.25" top="0.75" bottom="0.75" header="0.3" footer="0.3"/>
  <pageSetup scale="94" orientation="landscape" r:id="rId1"/>
  <headerFooter>
    <oddFooter>&amp;C&amp;"Century Gothic,Regular"&amp;9Page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DC95-0E8E-406E-A302-711C3CB9EC95}">
  <sheetPr>
    <pageSetUpPr fitToPage="1"/>
  </sheetPr>
  <dimension ref="A1:N153"/>
  <sheetViews>
    <sheetView zoomScale="130" zoomScaleNormal="130" zoomScaleSheetLayoutView="130" workbookViewId="0">
      <pane xSplit="1" ySplit="5" topLeftCell="B24" activePane="bottomRight" state="frozen"/>
      <selection activeCell="C5" sqref="C5"/>
      <selection pane="topRight" activeCell="C5" sqref="C5"/>
      <selection pane="bottomLeft" activeCell="C5" sqref="C5"/>
      <selection pane="bottomRight" activeCell="I44" sqref="I44"/>
    </sheetView>
  </sheetViews>
  <sheetFormatPr baseColWidth="10" defaultColWidth="9.140625" defaultRowHeight="15.75" x14ac:dyDescent="0.3"/>
  <cols>
    <col min="1" max="1" width="12.7109375" customWidth="1"/>
    <col min="2" max="2" width="35.7109375" style="7" customWidth="1"/>
    <col min="3" max="3" width="13.140625" style="404" customWidth="1"/>
    <col min="4" max="4" width="13.140625" style="7" customWidth="1"/>
    <col min="5" max="16384" width="9.140625" style="7"/>
  </cols>
  <sheetData>
    <row r="1" spans="1:14" ht="20.45" customHeight="1" x14ac:dyDescent="0.3">
      <c r="A1" s="89" t="s">
        <v>791</v>
      </c>
      <c r="B1" s="33"/>
      <c r="C1" s="33"/>
      <c r="D1" s="34"/>
      <c r="E1" s="5"/>
      <c r="F1" s="5"/>
      <c r="G1" s="5"/>
      <c r="H1" s="1"/>
      <c r="I1" s="1"/>
      <c r="J1" s="1"/>
      <c r="K1" s="1"/>
      <c r="L1" s="1"/>
    </row>
    <row r="2" spans="1:14" ht="15" customHeight="1" x14ac:dyDescent="0.3">
      <c r="A2" s="90" t="s">
        <v>35</v>
      </c>
      <c r="B2" s="329"/>
      <c r="C2" s="406"/>
      <c r="D2" s="762"/>
      <c r="E2" s="19"/>
      <c r="F2" s="5"/>
      <c r="G2" s="1"/>
      <c r="H2" s="1"/>
      <c r="I2" s="1"/>
      <c r="J2" s="1"/>
      <c r="K2" s="1"/>
      <c r="L2" s="1"/>
      <c r="M2" s="1"/>
      <c r="N2" s="1"/>
    </row>
    <row r="3" spans="1:14" ht="13.5" x14ac:dyDescent="0.3">
      <c r="A3" s="91"/>
      <c r="B3" s="12"/>
      <c r="C3" s="410"/>
      <c r="D3" s="763"/>
      <c r="E3" s="1"/>
      <c r="F3" s="1"/>
      <c r="G3" s="1"/>
      <c r="H3" s="1"/>
      <c r="I3" s="1"/>
      <c r="J3" s="1"/>
      <c r="K3" s="1"/>
      <c r="L3" s="1"/>
      <c r="M3" s="1"/>
      <c r="N3" s="1"/>
    </row>
    <row r="4" spans="1:14" s="20" customFormat="1" ht="15" customHeight="1" x14ac:dyDescent="0.3">
      <c r="A4" s="101" t="s">
        <v>685</v>
      </c>
      <c r="B4" s="37"/>
      <c r="C4" s="37"/>
      <c r="D4" s="38"/>
      <c r="E4" s="6"/>
      <c r="F4" s="6"/>
      <c r="G4" s="6"/>
      <c r="H4" s="6"/>
      <c r="I4" s="6"/>
      <c r="J4" s="6"/>
      <c r="K4" s="6"/>
      <c r="L4" s="6"/>
      <c r="M4" s="6"/>
      <c r="N4" s="6"/>
    </row>
    <row r="5" spans="1:14" s="20" customFormat="1" ht="15" customHeight="1" x14ac:dyDescent="0.3">
      <c r="A5" s="407" t="s">
        <v>771</v>
      </c>
      <c r="B5" s="408"/>
      <c r="C5" s="437" t="s">
        <v>773</v>
      </c>
      <c r="D5" s="764" t="s">
        <v>774</v>
      </c>
      <c r="E5" s="6"/>
      <c r="F5" s="6"/>
      <c r="G5" s="6"/>
      <c r="H5" s="6"/>
      <c r="I5" s="6"/>
      <c r="J5" s="6"/>
      <c r="K5" s="6"/>
      <c r="L5" s="6"/>
      <c r="M5" s="6"/>
      <c r="N5" s="6"/>
    </row>
    <row r="6" spans="1:14" s="20" customFormat="1" ht="13.5" x14ac:dyDescent="0.3">
      <c r="A6" s="1028" t="s">
        <v>748</v>
      </c>
      <c r="B6" s="419" t="s">
        <v>124</v>
      </c>
      <c r="C6" s="438"/>
      <c r="D6" s="402"/>
      <c r="E6" s="6"/>
      <c r="F6" s="6"/>
      <c r="G6" s="6"/>
      <c r="H6" s="6"/>
      <c r="I6" s="6"/>
      <c r="J6" s="6"/>
      <c r="K6" s="6"/>
      <c r="L6" s="6"/>
      <c r="M6" s="6"/>
      <c r="N6" s="6"/>
    </row>
    <row r="7" spans="1:14" s="20" customFormat="1" ht="13.5" x14ac:dyDescent="0.3">
      <c r="A7" s="1028"/>
      <c r="B7" s="420" t="s">
        <v>16</v>
      </c>
      <c r="C7" s="439">
        <v>171875</v>
      </c>
      <c r="D7" s="202">
        <v>159922.78</v>
      </c>
      <c r="E7" s="6"/>
      <c r="F7" s="6"/>
      <c r="G7" s="6"/>
      <c r="H7" s="6"/>
      <c r="I7" s="6"/>
      <c r="J7" s="6"/>
      <c r="K7" s="6"/>
      <c r="L7" s="6"/>
      <c r="M7" s="6"/>
      <c r="N7" s="6"/>
    </row>
    <row r="8" spans="1:14" s="20" customFormat="1" ht="13.5" x14ac:dyDescent="0.3">
      <c r="A8" s="1028"/>
      <c r="B8" s="420" t="s">
        <v>30</v>
      </c>
      <c r="C8" s="439">
        <v>176394.2</v>
      </c>
      <c r="D8" s="202">
        <v>145537.73000000001</v>
      </c>
      <c r="E8" s="6"/>
      <c r="F8" s="6"/>
      <c r="G8" s="6"/>
      <c r="H8" s="6"/>
      <c r="I8" s="6"/>
      <c r="J8" s="6"/>
      <c r="K8" s="6"/>
      <c r="L8" s="6"/>
      <c r="M8" s="6"/>
      <c r="N8" s="6"/>
    </row>
    <row r="9" spans="1:14" s="20" customFormat="1" ht="13.5" x14ac:dyDescent="0.3">
      <c r="A9" s="1028"/>
      <c r="B9" s="420" t="s">
        <v>17</v>
      </c>
      <c r="C9" s="439">
        <v>771091.39</v>
      </c>
      <c r="D9" s="202">
        <v>815734.09</v>
      </c>
      <c r="E9" s="6"/>
      <c r="F9" s="6"/>
      <c r="G9" s="6"/>
      <c r="H9" s="6"/>
      <c r="I9" s="6"/>
      <c r="J9" s="6"/>
      <c r="K9" s="6"/>
      <c r="L9" s="6"/>
      <c r="M9" s="6"/>
      <c r="N9" s="6"/>
    </row>
    <row r="10" spans="1:14" s="20" customFormat="1" ht="13.5" x14ac:dyDescent="0.3">
      <c r="A10" s="1028"/>
      <c r="B10" s="421" t="s">
        <v>29</v>
      </c>
      <c r="C10" s="439">
        <v>147993.62</v>
      </c>
      <c r="D10" s="202">
        <v>156530</v>
      </c>
      <c r="E10" s="6"/>
      <c r="F10" s="6"/>
      <c r="G10" s="6"/>
      <c r="H10" s="6"/>
      <c r="I10" s="6"/>
      <c r="J10" s="6"/>
      <c r="K10" s="6"/>
      <c r="L10" s="6"/>
      <c r="M10" s="6"/>
      <c r="N10" s="6"/>
    </row>
    <row r="11" spans="1:14" s="20" customFormat="1" ht="13.5" x14ac:dyDescent="0.3">
      <c r="A11" s="1028"/>
      <c r="B11" s="421" t="s">
        <v>18</v>
      </c>
      <c r="C11" s="439">
        <v>211029.11</v>
      </c>
      <c r="D11" s="202">
        <v>331758.32</v>
      </c>
      <c r="E11" s="6"/>
      <c r="F11" s="6"/>
      <c r="G11" s="6"/>
      <c r="H11" s="6"/>
      <c r="I11" s="6"/>
      <c r="J11" s="6"/>
      <c r="K11" s="6"/>
      <c r="L11" s="6"/>
      <c r="M11" s="6"/>
      <c r="N11" s="6"/>
    </row>
    <row r="12" spans="1:14" s="20" customFormat="1" ht="13.5" x14ac:dyDescent="0.3">
      <c r="A12" s="1028"/>
      <c r="B12" s="422" t="s">
        <v>21</v>
      </c>
      <c r="C12" s="440">
        <v>110453.47</v>
      </c>
      <c r="D12" s="327">
        <v>91193.33</v>
      </c>
      <c r="E12" s="6"/>
      <c r="F12" s="6"/>
      <c r="G12" s="6"/>
      <c r="H12" s="6"/>
      <c r="I12" s="6"/>
      <c r="J12" s="6"/>
      <c r="K12" s="6"/>
      <c r="L12" s="6"/>
      <c r="M12" s="6"/>
      <c r="N12" s="6"/>
    </row>
    <row r="13" spans="1:14" s="20" customFormat="1" ht="13.5" x14ac:dyDescent="0.3">
      <c r="A13" s="1028"/>
      <c r="B13" s="419" t="s">
        <v>111</v>
      </c>
      <c r="C13" s="441"/>
      <c r="D13" s="27"/>
      <c r="E13" s="6"/>
      <c r="F13" s="6"/>
      <c r="G13" s="6"/>
      <c r="H13" s="6"/>
      <c r="I13" s="6"/>
      <c r="J13" s="6"/>
      <c r="K13" s="6"/>
      <c r="L13" s="6"/>
      <c r="M13" s="6"/>
      <c r="N13" s="6"/>
    </row>
    <row r="14" spans="1:14" s="20" customFormat="1" ht="13.5" x14ac:dyDescent="0.3">
      <c r="A14" s="1028"/>
      <c r="B14" s="420" t="s">
        <v>23</v>
      </c>
      <c r="C14" s="439">
        <v>626393.04</v>
      </c>
      <c r="D14" s="202">
        <v>405709.55</v>
      </c>
      <c r="E14" s="6"/>
      <c r="F14" s="6"/>
      <c r="G14" s="6"/>
      <c r="H14" s="6"/>
      <c r="I14" s="6"/>
      <c r="J14" s="6"/>
      <c r="K14" s="6"/>
      <c r="L14" s="6"/>
      <c r="M14" s="6"/>
      <c r="N14" s="6"/>
    </row>
    <row r="15" spans="1:14" s="20" customFormat="1" ht="13.5" x14ac:dyDescent="0.3">
      <c r="A15" s="1028"/>
      <c r="B15" s="423" t="s">
        <v>22</v>
      </c>
      <c r="C15" s="440">
        <v>189561.37</v>
      </c>
      <c r="D15" s="327">
        <v>189561.37</v>
      </c>
      <c r="E15" s="6"/>
      <c r="F15" s="6"/>
      <c r="G15" s="6"/>
      <c r="H15" s="6"/>
      <c r="I15" s="6"/>
      <c r="J15" s="6"/>
      <c r="K15" s="6"/>
      <c r="L15" s="6"/>
      <c r="M15" s="6"/>
      <c r="N15" s="6"/>
    </row>
    <row r="16" spans="1:14" s="20" customFormat="1" ht="13.5" x14ac:dyDescent="0.3">
      <c r="A16" s="1028"/>
      <c r="B16" s="419" t="s">
        <v>112</v>
      </c>
      <c r="C16" s="441"/>
      <c r="D16" s="27"/>
      <c r="E16" s="6"/>
      <c r="F16" s="6"/>
      <c r="G16" s="6"/>
      <c r="H16" s="6"/>
      <c r="I16" s="6"/>
      <c r="J16" s="6"/>
      <c r="K16" s="6"/>
      <c r="L16" s="6"/>
      <c r="M16" s="6"/>
      <c r="N16" s="6"/>
    </row>
    <row r="17" spans="1:14" s="20" customFormat="1" ht="13.5" x14ac:dyDescent="0.3">
      <c r="A17" s="1028"/>
      <c r="B17" s="88" t="s">
        <v>772</v>
      </c>
      <c r="C17" s="441">
        <v>0</v>
      </c>
      <c r="D17" s="27">
        <v>0</v>
      </c>
      <c r="E17" s="6"/>
      <c r="F17" s="6"/>
      <c r="G17" s="6"/>
      <c r="H17" s="6"/>
      <c r="I17" s="6"/>
      <c r="J17" s="6"/>
      <c r="K17" s="6"/>
      <c r="L17" s="6"/>
      <c r="M17" s="6"/>
      <c r="N17" s="6"/>
    </row>
    <row r="18" spans="1:14" s="400" customFormat="1" ht="13.5" x14ac:dyDescent="0.3">
      <c r="A18" s="1028"/>
      <c r="B18" s="424" t="s">
        <v>749</v>
      </c>
      <c r="C18" s="364">
        <f>SUM(C7:C17)</f>
        <v>2404791.2000000002</v>
      </c>
      <c r="D18" s="365">
        <f>SUM(D7:D17)</f>
        <v>2295947.1700000004</v>
      </c>
      <c r="E18" s="399"/>
      <c r="F18" s="399"/>
      <c r="G18" s="399"/>
      <c r="H18" s="399"/>
      <c r="I18" s="399"/>
      <c r="J18" s="399"/>
      <c r="K18" s="399"/>
      <c r="L18" s="399"/>
      <c r="M18" s="399"/>
      <c r="N18" s="399"/>
    </row>
    <row r="19" spans="1:14" s="20" customFormat="1" ht="13.5" x14ac:dyDescent="0.3">
      <c r="A19" s="1027" t="s">
        <v>750</v>
      </c>
      <c r="B19" s="419" t="s">
        <v>124</v>
      </c>
      <c r="C19" s="28"/>
      <c r="D19" s="27"/>
      <c r="E19" s="6"/>
      <c r="F19" s="6"/>
      <c r="G19" s="6"/>
      <c r="H19" s="6"/>
      <c r="I19" s="6"/>
      <c r="J19" s="6"/>
      <c r="K19" s="6"/>
      <c r="L19" s="6"/>
      <c r="M19" s="6"/>
      <c r="N19" s="6"/>
    </row>
    <row r="20" spans="1:14" s="20" customFormat="1" ht="13.5" x14ac:dyDescent="0.3">
      <c r="A20" s="1028"/>
      <c r="B20" s="420" t="s">
        <v>19</v>
      </c>
      <c r="C20" s="198">
        <v>88436.1</v>
      </c>
      <c r="D20" s="202">
        <v>74891.13</v>
      </c>
      <c r="E20" s="41"/>
      <c r="F20" s="6"/>
      <c r="G20" s="6"/>
      <c r="H20" s="6"/>
      <c r="I20" s="6"/>
      <c r="J20" s="6"/>
      <c r="K20" s="6"/>
      <c r="L20" s="6"/>
      <c r="M20" s="6"/>
      <c r="N20" s="6"/>
    </row>
    <row r="21" spans="1:14" s="20" customFormat="1" ht="13.5" x14ac:dyDescent="0.3">
      <c r="A21" s="1028"/>
      <c r="B21" s="423" t="s">
        <v>20</v>
      </c>
      <c r="C21" s="198">
        <v>102491.72</v>
      </c>
      <c r="D21" s="202">
        <v>86793.98</v>
      </c>
      <c r="E21" s="6"/>
      <c r="F21" s="6"/>
      <c r="G21" s="6"/>
      <c r="H21" s="6"/>
      <c r="I21" s="6"/>
      <c r="J21" s="6"/>
      <c r="K21" s="6"/>
      <c r="L21" s="6"/>
      <c r="M21" s="6"/>
      <c r="N21" s="6"/>
    </row>
    <row r="22" spans="1:14" s="400" customFormat="1" ht="13.5" x14ac:dyDescent="0.3">
      <c r="A22" s="1029"/>
      <c r="B22" s="424" t="s">
        <v>751</v>
      </c>
      <c r="C22" s="364">
        <f>SUM(C20:C21)</f>
        <v>190927.82</v>
      </c>
      <c r="D22" s="365">
        <f>SUM(D20:D21)</f>
        <v>161685.10999999999</v>
      </c>
      <c r="E22" s="399"/>
      <c r="F22" s="399"/>
      <c r="G22" s="399"/>
      <c r="H22" s="399"/>
      <c r="I22" s="399"/>
      <c r="J22" s="399"/>
      <c r="K22" s="399"/>
      <c r="L22" s="399"/>
      <c r="M22" s="399"/>
      <c r="N22" s="399"/>
    </row>
    <row r="23" spans="1:14" s="20" customFormat="1" ht="10.9" customHeight="1" x14ac:dyDescent="0.3">
      <c r="A23" s="1027" t="s">
        <v>752</v>
      </c>
      <c r="B23" s="419" t="s">
        <v>124</v>
      </c>
      <c r="C23" s="28"/>
      <c r="D23" s="27"/>
      <c r="E23" s="6"/>
      <c r="F23" s="6"/>
      <c r="G23" s="6"/>
      <c r="H23" s="6"/>
      <c r="I23" s="6"/>
      <c r="J23" s="6"/>
      <c r="K23" s="6"/>
      <c r="L23" s="6"/>
      <c r="M23" s="6"/>
      <c r="N23" s="6"/>
    </row>
    <row r="24" spans="1:14" s="20" customFormat="1" ht="13.5" x14ac:dyDescent="0.3">
      <c r="A24" s="1028"/>
      <c r="B24" s="421" t="s">
        <v>26</v>
      </c>
      <c r="C24" s="198">
        <v>31065.27</v>
      </c>
      <c r="D24" s="202">
        <v>18670.03</v>
      </c>
      <c r="E24" s="6"/>
      <c r="F24" s="6"/>
      <c r="G24" s="6"/>
      <c r="H24" s="6"/>
      <c r="I24" s="6"/>
      <c r="J24" s="6"/>
      <c r="K24" s="6"/>
      <c r="L24" s="6"/>
      <c r="M24" s="6"/>
      <c r="N24" s="6"/>
    </row>
    <row r="25" spans="1:14" s="20" customFormat="1" ht="13.5" x14ac:dyDescent="0.3">
      <c r="A25" s="1028"/>
      <c r="B25" s="425" t="s">
        <v>27</v>
      </c>
      <c r="C25" s="318">
        <v>168738.14</v>
      </c>
      <c r="D25" s="327">
        <v>227545.01</v>
      </c>
      <c r="E25" s="6"/>
      <c r="F25" s="6"/>
      <c r="G25" s="6"/>
      <c r="H25" s="6"/>
      <c r="I25" s="6"/>
      <c r="J25" s="6"/>
      <c r="K25" s="6"/>
      <c r="L25" s="6"/>
      <c r="M25" s="6"/>
      <c r="N25" s="6"/>
    </row>
    <row r="26" spans="1:14" s="20" customFormat="1" ht="13.5" x14ac:dyDescent="0.3">
      <c r="A26" s="1028"/>
      <c r="B26" s="419" t="s">
        <v>113</v>
      </c>
      <c r="C26" s="28"/>
      <c r="D26" s="27"/>
      <c r="E26" s="6"/>
      <c r="F26" s="6"/>
      <c r="G26" s="6"/>
      <c r="H26" s="6"/>
      <c r="I26" s="6"/>
      <c r="J26" s="6"/>
      <c r="K26" s="6"/>
      <c r="L26" s="6"/>
      <c r="M26" s="6"/>
      <c r="N26" s="6"/>
    </row>
    <row r="27" spans="1:14" s="20" customFormat="1" ht="13.5" x14ac:dyDescent="0.3">
      <c r="A27" s="1028"/>
      <c r="B27" s="421" t="s">
        <v>28</v>
      </c>
      <c r="C27" s="198">
        <v>69379.39</v>
      </c>
      <c r="D27" s="202">
        <v>42169.440000000002</v>
      </c>
      <c r="E27" s="6"/>
      <c r="F27" s="6"/>
      <c r="G27" s="6"/>
      <c r="H27" s="6"/>
      <c r="I27" s="6"/>
      <c r="J27" s="6"/>
      <c r="K27" s="6"/>
      <c r="L27" s="6"/>
      <c r="M27" s="6"/>
      <c r="N27" s="6"/>
    </row>
    <row r="28" spans="1:14" s="400" customFormat="1" ht="13.5" x14ac:dyDescent="0.3">
      <c r="A28" s="1028"/>
      <c r="B28" s="424" t="s">
        <v>756</v>
      </c>
      <c r="C28" s="364">
        <f>SUM(C24:C27)</f>
        <v>269182.8</v>
      </c>
      <c r="D28" s="365">
        <f>SUM(D24:D27)</f>
        <v>288384.48</v>
      </c>
      <c r="E28" s="399"/>
      <c r="F28" s="399"/>
      <c r="G28" s="399"/>
      <c r="H28" s="399"/>
      <c r="I28" s="399"/>
      <c r="J28" s="399"/>
      <c r="K28" s="399"/>
      <c r="L28" s="399"/>
      <c r="M28" s="399"/>
      <c r="N28" s="399"/>
    </row>
    <row r="29" spans="1:14" s="20" customFormat="1" ht="13.5" x14ac:dyDescent="0.3">
      <c r="A29" s="1027" t="s">
        <v>217</v>
      </c>
      <c r="B29" s="419" t="s">
        <v>217</v>
      </c>
      <c r="C29" s="28"/>
      <c r="D29" s="27"/>
      <c r="E29" s="6"/>
      <c r="F29" s="6"/>
      <c r="G29" s="6"/>
      <c r="H29" s="6"/>
      <c r="I29" s="6"/>
      <c r="J29" s="6"/>
      <c r="K29" s="6"/>
      <c r="L29" s="6"/>
      <c r="M29" s="6"/>
      <c r="N29" s="6"/>
    </row>
    <row r="30" spans="1:14" s="20" customFormat="1" ht="13.5" x14ac:dyDescent="0.3">
      <c r="A30" s="1028"/>
      <c r="B30" s="421" t="s">
        <v>235</v>
      </c>
      <c r="C30" s="198">
        <v>11146.15</v>
      </c>
      <c r="D30" s="202">
        <v>11146.19</v>
      </c>
      <c r="E30" s="6"/>
      <c r="F30" s="6"/>
      <c r="G30" s="6"/>
      <c r="H30" s="6"/>
      <c r="I30" s="6"/>
      <c r="J30" s="6"/>
      <c r="K30" s="6"/>
      <c r="L30" s="6"/>
      <c r="M30" s="6"/>
      <c r="N30" s="6"/>
    </row>
    <row r="31" spans="1:14" s="20" customFormat="1" ht="13.5" x14ac:dyDescent="0.3">
      <c r="A31" s="1028"/>
      <c r="B31" s="426" t="s">
        <v>24</v>
      </c>
      <c r="C31" s="198">
        <v>5057.6899999999996</v>
      </c>
      <c r="D31" s="202">
        <v>0</v>
      </c>
      <c r="E31" s="6"/>
      <c r="F31" s="6"/>
      <c r="G31" s="6"/>
      <c r="H31" s="6"/>
      <c r="I31" s="6"/>
      <c r="J31" s="6"/>
      <c r="K31" s="6"/>
      <c r="L31" s="6"/>
      <c r="M31" s="6"/>
      <c r="N31" s="6"/>
    </row>
    <row r="32" spans="1:14" s="20" customFormat="1" ht="13.5" x14ac:dyDescent="0.3">
      <c r="A32" s="1028"/>
      <c r="B32" s="427" t="s">
        <v>25</v>
      </c>
      <c r="C32" s="28">
        <v>299.60000000000002</v>
      </c>
      <c r="D32" s="27">
        <v>299.60000000000002</v>
      </c>
      <c r="E32" s="6"/>
      <c r="F32" s="6"/>
      <c r="G32" s="6"/>
      <c r="H32" s="6"/>
      <c r="I32" s="6"/>
      <c r="J32" s="6"/>
      <c r="K32" s="6"/>
      <c r="L32" s="6"/>
      <c r="M32" s="6"/>
      <c r="N32" s="6"/>
    </row>
    <row r="33" spans="1:14" s="400" customFormat="1" ht="13.5" x14ac:dyDescent="0.3">
      <c r="A33" s="1029"/>
      <c r="B33" s="424" t="s">
        <v>757</v>
      </c>
      <c r="C33" s="364">
        <f>SUM(C30:C32)</f>
        <v>16503.439999999999</v>
      </c>
      <c r="D33" s="365">
        <f>SUM(D30:D32)</f>
        <v>11445.79</v>
      </c>
      <c r="E33" s="399"/>
      <c r="F33" s="399"/>
      <c r="G33" s="399"/>
      <c r="H33" s="399"/>
      <c r="I33" s="399"/>
      <c r="J33" s="399"/>
      <c r="K33" s="399"/>
      <c r="L33" s="399"/>
      <c r="M33" s="399"/>
      <c r="N33" s="399"/>
    </row>
    <row r="34" spans="1:14" s="20" customFormat="1" ht="5.0999999999999996" customHeight="1" x14ac:dyDescent="0.3">
      <c r="A34" s="412"/>
      <c r="B34" s="388"/>
      <c r="C34" s="203"/>
      <c r="D34" s="204"/>
      <c r="E34" s="6"/>
      <c r="F34" s="6"/>
      <c r="G34" s="6"/>
      <c r="H34" s="6"/>
      <c r="I34" s="6"/>
      <c r="J34" s="6"/>
      <c r="K34" s="6"/>
      <c r="L34" s="6"/>
      <c r="M34" s="6"/>
      <c r="N34" s="6"/>
    </row>
    <row r="35" spans="1:14" s="400" customFormat="1" ht="13.5" x14ac:dyDescent="0.3">
      <c r="A35" s="401" t="s">
        <v>201</v>
      </c>
      <c r="B35" s="401"/>
      <c r="C35" s="180">
        <f>C33+C28+C22+C18</f>
        <v>2881405.2600000002</v>
      </c>
      <c r="D35" s="411">
        <f>D33+D28+D22+D18</f>
        <v>2757462.5500000003</v>
      </c>
      <c r="E35" s="399"/>
      <c r="F35" s="399"/>
      <c r="G35" s="399"/>
      <c r="H35" s="399"/>
      <c r="I35" s="399"/>
      <c r="J35" s="399"/>
      <c r="K35" s="399"/>
      <c r="L35" s="399"/>
      <c r="M35" s="399"/>
      <c r="N35" s="399"/>
    </row>
    <row r="36" spans="1:14" s="1" customFormat="1" ht="8.1" customHeight="1" x14ac:dyDescent="0.3">
      <c r="A36" s="5"/>
      <c r="B36" s="5"/>
      <c r="C36" s="403"/>
      <c r="D36" s="78"/>
    </row>
    <row r="37" spans="1:14" s="60" customFormat="1" ht="10.9" customHeight="1" x14ac:dyDescent="0.25">
      <c r="A37" s="999" t="s">
        <v>682</v>
      </c>
      <c r="B37" s="999"/>
      <c r="C37" s="999"/>
      <c r="D37" s="999"/>
      <c r="E37" s="59"/>
      <c r="F37" s="59"/>
      <c r="G37" s="59"/>
      <c r="H37" s="59"/>
      <c r="I37" s="59"/>
      <c r="J37" s="59"/>
      <c r="K37" s="59"/>
      <c r="L37" s="59"/>
      <c r="M37" s="59"/>
      <c r="N37" s="59"/>
    </row>
    <row r="38" spans="1:14" s="60" customFormat="1" ht="10.9" customHeight="1" x14ac:dyDescent="0.25">
      <c r="A38" s="999"/>
      <c r="B38" s="999"/>
      <c r="C38" s="999"/>
      <c r="D38" s="999"/>
      <c r="E38" s="59"/>
      <c r="F38" s="59"/>
      <c r="G38" s="59"/>
      <c r="H38" s="59"/>
      <c r="I38" s="59"/>
      <c r="J38" s="59"/>
      <c r="K38" s="59"/>
      <c r="L38" s="59"/>
      <c r="M38" s="59"/>
      <c r="N38" s="59"/>
    </row>
    <row r="39" spans="1:14" customFormat="1" ht="14.45" customHeight="1" x14ac:dyDescent="0.25">
      <c r="A39" s="999" t="s">
        <v>646</v>
      </c>
      <c r="B39" s="999"/>
      <c r="C39" s="999"/>
      <c r="D39" s="999"/>
      <c r="E39" s="5"/>
      <c r="F39" s="5"/>
      <c r="G39" s="5"/>
      <c r="H39" s="5"/>
      <c r="I39" s="5"/>
      <c r="J39" s="5"/>
      <c r="K39" s="5"/>
      <c r="L39" s="5"/>
      <c r="M39" s="5"/>
      <c r="N39" s="5"/>
    </row>
    <row r="40" spans="1:14" customFormat="1" ht="15" x14ac:dyDescent="0.25">
      <c r="A40" s="999"/>
      <c r="B40" s="999"/>
      <c r="C40" s="999"/>
      <c r="D40" s="999"/>
      <c r="E40" s="5"/>
      <c r="F40" s="5"/>
      <c r="G40" s="5"/>
      <c r="H40" s="5"/>
      <c r="I40" s="5"/>
      <c r="J40" s="5"/>
      <c r="K40" s="5"/>
      <c r="L40" s="5"/>
      <c r="M40" s="5"/>
      <c r="N40" s="5"/>
    </row>
    <row r="41" spans="1:14" customFormat="1" ht="15" x14ac:dyDescent="0.25">
      <c r="A41" s="999"/>
      <c r="B41" s="999"/>
      <c r="C41" s="999"/>
      <c r="D41" s="999"/>
      <c r="E41" s="5"/>
      <c r="F41" s="5"/>
      <c r="G41" s="5"/>
      <c r="H41" s="5"/>
      <c r="I41" s="5"/>
      <c r="J41" s="5"/>
      <c r="K41" s="5"/>
      <c r="L41" s="5"/>
      <c r="M41" s="5"/>
      <c r="N41" s="5"/>
    </row>
    <row r="42" spans="1:14" customFormat="1" ht="15" x14ac:dyDescent="0.25">
      <c r="A42" s="999"/>
      <c r="B42" s="999"/>
      <c r="C42" s="999"/>
      <c r="D42" s="999"/>
      <c r="E42" s="5"/>
      <c r="F42" s="5"/>
      <c r="G42" s="5"/>
      <c r="H42" s="5"/>
      <c r="I42" s="5"/>
      <c r="J42" s="5"/>
      <c r="K42" s="5"/>
      <c r="L42" s="5"/>
      <c r="M42" s="5"/>
      <c r="N42" s="5"/>
    </row>
    <row r="43" spans="1:14" customFormat="1" ht="15" x14ac:dyDescent="0.25">
      <c r="A43" s="999"/>
      <c r="B43" s="999"/>
      <c r="C43" s="999"/>
      <c r="D43" s="999"/>
      <c r="E43" s="5"/>
      <c r="F43" s="5"/>
      <c r="G43" s="5"/>
      <c r="H43" s="5"/>
      <c r="I43" s="5"/>
      <c r="J43" s="5"/>
      <c r="K43" s="5"/>
      <c r="L43" s="5"/>
      <c r="M43" s="5"/>
      <c r="N43" s="5"/>
    </row>
    <row r="44" spans="1:14" s="60" customFormat="1" ht="13.5" x14ac:dyDescent="0.25">
      <c r="A44" s="337" t="s">
        <v>645</v>
      </c>
      <c r="B44" s="336"/>
      <c r="C44" s="409"/>
      <c r="D44" s="336"/>
      <c r="E44" s="59"/>
      <c r="F44" s="59"/>
      <c r="G44" s="59"/>
      <c r="H44" s="59"/>
      <c r="I44" s="59"/>
      <c r="J44" s="59"/>
      <c r="K44" s="59"/>
      <c r="L44" s="59"/>
      <c r="M44" s="59"/>
      <c r="N44" s="59"/>
    </row>
    <row r="45" spans="1:14" customFormat="1" ht="14.45" customHeight="1" x14ac:dyDescent="0.25">
      <c r="A45" s="1003" t="s">
        <v>686</v>
      </c>
      <c r="B45" s="1003"/>
      <c r="C45" s="1003"/>
      <c r="D45" s="1003"/>
      <c r="E45" s="5"/>
      <c r="F45" s="5"/>
      <c r="G45" s="5"/>
      <c r="H45" s="5"/>
      <c r="I45" s="5"/>
      <c r="J45" s="5"/>
      <c r="K45" s="5"/>
      <c r="L45" s="5"/>
      <c r="M45" s="5"/>
      <c r="N45" s="5"/>
    </row>
    <row r="46" spans="1:14" s="1" customFormat="1" ht="10.9" customHeight="1" x14ac:dyDescent="0.3">
      <c r="A46" s="1003"/>
      <c r="B46" s="1003"/>
      <c r="C46" s="1003"/>
      <c r="D46" s="1003"/>
    </row>
    <row r="47" spans="1:14" s="1" customFormat="1" ht="10.9" customHeight="1" x14ac:dyDescent="0.3">
      <c r="A47" s="1003"/>
      <c r="B47" s="1003"/>
      <c r="C47" s="1003"/>
      <c r="D47" s="1003"/>
    </row>
    <row r="48" spans="1:14" s="1" customFormat="1" x14ac:dyDescent="0.3">
      <c r="A48" s="5"/>
      <c r="C48" s="181"/>
    </row>
    <row r="49" spans="1:3" s="1" customFormat="1" x14ac:dyDescent="0.3">
      <c r="A49" s="5"/>
      <c r="C49" s="181"/>
    </row>
    <row r="50" spans="1:3" s="1" customFormat="1" x14ac:dyDescent="0.3">
      <c r="A50" s="5"/>
      <c r="C50" s="181"/>
    </row>
    <row r="51" spans="1:3" s="1" customFormat="1" x14ac:dyDescent="0.3">
      <c r="A51" s="5"/>
      <c r="C51" s="181"/>
    </row>
    <row r="52" spans="1:3" s="1" customFormat="1" x14ac:dyDescent="0.3">
      <c r="A52" s="5"/>
      <c r="C52" s="181"/>
    </row>
    <row r="53" spans="1:3" s="1" customFormat="1" x14ac:dyDescent="0.3">
      <c r="A53" s="5"/>
      <c r="C53" s="181"/>
    </row>
    <row r="54" spans="1:3" s="1" customFormat="1" x14ac:dyDescent="0.3">
      <c r="A54" s="5"/>
      <c r="C54" s="181"/>
    </row>
    <row r="55" spans="1:3" s="1" customFormat="1" x14ac:dyDescent="0.3">
      <c r="A55" s="5"/>
      <c r="C55" s="181"/>
    </row>
    <row r="56" spans="1:3" x14ac:dyDescent="0.3">
      <c r="A56" s="5"/>
      <c r="B56" s="1"/>
    </row>
    <row r="57" spans="1:3" x14ac:dyDescent="0.3">
      <c r="A57" s="5"/>
      <c r="B57" s="1"/>
    </row>
    <row r="58" spans="1:3" x14ac:dyDescent="0.3">
      <c r="A58" s="5"/>
      <c r="B58" s="1"/>
    </row>
    <row r="59" spans="1:3" x14ac:dyDescent="0.3">
      <c r="A59" s="5"/>
      <c r="B59" s="1"/>
    </row>
    <row r="60" spans="1:3" x14ac:dyDescent="0.3">
      <c r="A60" s="5"/>
      <c r="B60" s="1"/>
    </row>
    <row r="61" spans="1:3" x14ac:dyDescent="0.3">
      <c r="A61" s="5"/>
      <c r="B61" s="1"/>
    </row>
    <row r="62" spans="1:3" x14ac:dyDescent="0.3">
      <c r="A62" s="5"/>
      <c r="B62" s="1"/>
    </row>
    <row r="63" spans="1:3" x14ac:dyDescent="0.3">
      <c r="A63" s="5"/>
      <c r="B63" s="1"/>
    </row>
    <row r="64" spans="1:3" x14ac:dyDescent="0.3">
      <c r="A64" s="5"/>
      <c r="B64" s="1"/>
    </row>
    <row r="65" spans="1:2" x14ac:dyDescent="0.3">
      <c r="A65" s="5"/>
      <c r="B65" s="1"/>
    </row>
    <row r="66" spans="1:2" x14ac:dyDescent="0.3">
      <c r="A66" s="5"/>
      <c r="B66" s="1"/>
    </row>
    <row r="67" spans="1:2" x14ac:dyDescent="0.3">
      <c r="A67" s="5"/>
      <c r="B67" s="1"/>
    </row>
    <row r="68" spans="1:2" x14ac:dyDescent="0.3">
      <c r="A68" s="5"/>
      <c r="B68" s="1"/>
    </row>
    <row r="69" spans="1:2" x14ac:dyDescent="0.3">
      <c r="A69" s="5"/>
      <c r="B69" s="1"/>
    </row>
    <row r="70" spans="1:2" x14ac:dyDescent="0.3">
      <c r="A70" s="5"/>
      <c r="B70" s="1"/>
    </row>
    <row r="71" spans="1:2" x14ac:dyDescent="0.3">
      <c r="A71" s="5"/>
      <c r="B71" s="1"/>
    </row>
    <row r="72" spans="1:2" x14ac:dyDescent="0.3">
      <c r="A72" s="5"/>
      <c r="B72" s="1"/>
    </row>
    <row r="73" spans="1:2" x14ac:dyDescent="0.3">
      <c r="A73" s="5"/>
      <c r="B73" s="1"/>
    </row>
    <row r="74" spans="1:2" x14ac:dyDescent="0.3">
      <c r="A74" s="5"/>
      <c r="B74" s="1"/>
    </row>
    <row r="75" spans="1:2" x14ac:dyDescent="0.3">
      <c r="A75" s="5"/>
      <c r="B75" s="1"/>
    </row>
    <row r="76" spans="1:2" x14ac:dyDescent="0.3">
      <c r="A76" s="5"/>
      <c r="B76" s="1"/>
    </row>
    <row r="77" spans="1:2" x14ac:dyDescent="0.3">
      <c r="A77" s="5"/>
      <c r="B77" s="1"/>
    </row>
    <row r="78" spans="1:2" x14ac:dyDescent="0.3">
      <c r="A78" s="5"/>
      <c r="B78" s="1"/>
    </row>
    <row r="79" spans="1:2" x14ac:dyDescent="0.3">
      <c r="A79" s="5"/>
      <c r="B79" s="1"/>
    </row>
    <row r="80" spans="1:2" x14ac:dyDescent="0.3">
      <c r="A80" s="5"/>
      <c r="B80" s="1"/>
    </row>
    <row r="81" spans="1:2" x14ac:dyDescent="0.3">
      <c r="A81" s="5"/>
      <c r="B81" s="1"/>
    </row>
    <row r="82" spans="1:2" x14ac:dyDescent="0.3">
      <c r="A82" s="5"/>
      <c r="B82" s="1"/>
    </row>
    <row r="83" spans="1:2" x14ac:dyDescent="0.3">
      <c r="A83" s="5"/>
      <c r="B83" s="1"/>
    </row>
    <row r="84" spans="1:2" x14ac:dyDescent="0.3">
      <c r="A84" s="5"/>
      <c r="B84" s="1"/>
    </row>
    <row r="85" spans="1:2" x14ac:dyDescent="0.3">
      <c r="A85" s="5"/>
      <c r="B85" s="1"/>
    </row>
    <row r="86" spans="1:2" x14ac:dyDescent="0.3">
      <c r="A86" s="5"/>
      <c r="B86" s="1"/>
    </row>
    <row r="87" spans="1:2" x14ac:dyDescent="0.3">
      <c r="A87" s="5"/>
      <c r="B87" s="1"/>
    </row>
    <row r="88" spans="1:2" x14ac:dyDescent="0.3">
      <c r="A88" s="5"/>
      <c r="B88" s="1"/>
    </row>
    <row r="89" spans="1:2" x14ac:dyDescent="0.3">
      <c r="A89" s="5"/>
      <c r="B89" s="1"/>
    </row>
    <row r="90" spans="1:2" x14ac:dyDescent="0.3">
      <c r="A90" s="5"/>
      <c r="B90" s="1"/>
    </row>
    <row r="91" spans="1:2" x14ac:dyDescent="0.3">
      <c r="A91" s="5"/>
      <c r="B91" s="1"/>
    </row>
    <row r="92" spans="1:2" x14ac:dyDescent="0.3">
      <c r="A92" s="5"/>
      <c r="B92" s="1"/>
    </row>
    <row r="93" spans="1:2" x14ac:dyDescent="0.3">
      <c r="A93" s="5"/>
      <c r="B93" s="1"/>
    </row>
    <row r="94" spans="1:2" x14ac:dyDescent="0.3">
      <c r="A94" s="5"/>
      <c r="B94" s="1"/>
    </row>
    <row r="95" spans="1:2" x14ac:dyDescent="0.3">
      <c r="A95" s="5"/>
      <c r="B95" s="1"/>
    </row>
    <row r="96" spans="1:2" x14ac:dyDescent="0.3">
      <c r="A96" s="5"/>
      <c r="B96" s="1"/>
    </row>
    <row r="97" spans="1:2" x14ac:dyDescent="0.3">
      <c r="A97" s="5"/>
      <c r="B97" s="1"/>
    </row>
    <row r="98" spans="1:2" x14ac:dyDescent="0.3">
      <c r="A98" s="5"/>
      <c r="B98" s="1"/>
    </row>
    <row r="99" spans="1:2" x14ac:dyDescent="0.3">
      <c r="A99" s="5"/>
      <c r="B99" s="1"/>
    </row>
    <row r="100" spans="1:2" x14ac:dyDescent="0.3">
      <c r="A100" s="5"/>
      <c r="B100" s="1"/>
    </row>
    <row r="101" spans="1:2" x14ac:dyDescent="0.3">
      <c r="A101" s="5"/>
      <c r="B101" s="1"/>
    </row>
    <row r="102" spans="1:2" x14ac:dyDescent="0.3">
      <c r="A102" s="5"/>
      <c r="B102" s="1"/>
    </row>
    <row r="103" spans="1:2" x14ac:dyDescent="0.3">
      <c r="A103" s="5"/>
      <c r="B103" s="1"/>
    </row>
    <row r="104" spans="1:2" x14ac:dyDescent="0.3">
      <c r="A104" s="5"/>
      <c r="B104" s="1"/>
    </row>
    <row r="105" spans="1:2" x14ac:dyDescent="0.3">
      <c r="A105" s="5"/>
      <c r="B105" s="1"/>
    </row>
    <row r="106" spans="1:2" x14ac:dyDescent="0.3">
      <c r="A106" s="5"/>
      <c r="B106" s="1"/>
    </row>
    <row r="107" spans="1:2" x14ac:dyDescent="0.3">
      <c r="A107" s="5"/>
      <c r="B107" s="1"/>
    </row>
    <row r="108" spans="1:2" x14ac:dyDescent="0.3">
      <c r="A108" s="5"/>
      <c r="B108" s="1"/>
    </row>
    <row r="109" spans="1:2" x14ac:dyDescent="0.3">
      <c r="A109" s="5"/>
      <c r="B109" s="1"/>
    </row>
    <row r="110" spans="1:2" x14ac:dyDescent="0.3">
      <c r="A110" s="5"/>
      <c r="B110" s="1"/>
    </row>
    <row r="111" spans="1:2" x14ac:dyDescent="0.3">
      <c r="A111" s="5"/>
      <c r="B111" s="1"/>
    </row>
    <row r="112" spans="1:2" x14ac:dyDescent="0.3">
      <c r="A112" s="5"/>
      <c r="B112" s="1"/>
    </row>
    <row r="113" spans="1:2" x14ac:dyDescent="0.3">
      <c r="A113" s="5"/>
      <c r="B113" s="1"/>
    </row>
    <row r="114" spans="1:2" x14ac:dyDescent="0.3">
      <c r="A114" s="5"/>
      <c r="B114" s="1"/>
    </row>
    <row r="115" spans="1:2" x14ac:dyDescent="0.3">
      <c r="A115" s="5"/>
      <c r="B115" s="1"/>
    </row>
    <row r="116" spans="1:2" x14ac:dyDescent="0.3">
      <c r="A116" s="5"/>
      <c r="B116" s="1"/>
    </row>
    <row r="117" spans="1:2" x14ac:dyDescent="0.3">
      <c r="A117" s="5"/>
      <c r="B117" s="1"/>
    </row>
    <row r="118" spans="1:2" x14ac:dyDescent="0.3">
      <c r="A118" s="5"/>
      <c r="B118" s="1"/>
    </row>
    <row r="119" spans="1:2" x14ac:dyDescent="0.3">
      <c r="A119" s="5"/>
      <c r="B119" s="1"/>
    </row>
    <row r="120" spans="1:2" x14ac:dyDescent="0.3">
      <c r="A120" s="5"/>
      <c r="B120" s="1"/>
    </row>
    <row r="121" spans="1:2" x14ac:dyDescent="0.3">
      <c r="A121" s="5"/>
      <c r="B121" s="1"/>
    </row>
    <row r="122" spans="1:2" x14ac:dyDescent="0.3">
      <c r="A122" s="5"/>
      <c r="B122" s="1"/>
    </row>
    <row r="123" spans="1:2" x14ac:dyDescent="0.3">
      <c r="A123" s="5"/>
      <c r="B123" s="1"/>
    </row>
    <row r="124" spans="1:2" x14ac:dyDescent="0.3">
      <c r="A124" s="5"/>
      <c r="B124" s="1"/>
    </row>
    <row r="125" spans="1:2" x14ac:dyDescent="0.3">
      <c r="A125" s="5"/>
      <c r="B125" s="1"/>
    </row>
    <row r="126" spans="1:2" x14ac:dyDescent="0.3">
      <c r="A126" s="5"/>
      <c r="B126" s="1"/>
    </row>
    <row r="127" spans="1:2" x14ac:dyDescent="0.3">
      <c r="A127" s="5"/>
      <c r="B127" s="1"/>
    </row>
    <row r="128" spans="1:2" x14ac:dyDescent="0.3">
      <c r="A128" s="5"/>
      <c r="B128" s="1"/>
    </row>
    <row r="129" spans="1:2" x14ac:dyDescent="0.3">
      <c r="A129" s="5"/>
      <c r="B129" s="1"/>
    </row>
    <row r="130" spans="1:2" x14ac:dyDescent="0.3">
      <c r="A130" s="5"/>
      <c r="B130" s="1"/>
    </row>
    <row r="131" spans="1:2" x14ac:dyDescent="0.3">
      <c r="A131" s="5"/>
      <c r="B131" s="1"/>
    </row>
    <row r="132" spans="1:2" x14ac:dyDescent="0.3">
      <c r="A132" s="5"/>
      <c r="B132" s="1"/>
    </row>
    <row r="133" spans="1:2" x14ac:dyDescent="0.3">
      <c r="A133" s="5"/>
      <c r="B133" s="1"/>
    </row>
    <row r="134" spans="1:2" x14ac:dyDescent="0.3">
      <c r="A134" s="5"/>
      <c r="B134" s="1"/>
    </row>
    <row r="135" spans="1:2" x14ac:dyDescent="0.3">
      <c r="A135" s="5"/>
      <c r="B135" s="1"/>
    </row>
    <row r="136" spans="1:2" x14ac:dyDescent="0.3">
      <c r="A136" s="5"/>
      <c r="B136" s="1"/>
    </row>
    <row r="137" spans="1:2" x14ac:dyDescent="0.3">
      <c r="A137" s="5"/>
      <c r="B137" s="1"/>
    </row>
    <row r="138" spans="1:2" x14ac:dyDescent="0.3">
      <c r="A138" s="5"/>
      <c r="B138" s="1"/>
    </row>
    <row r="139" spans="1:2" x14ac:dyDescent="0.3">
      <c r="A139" s="5"/>
      <c r="B139" s="1"/>
    </row>
    <row r="140" spans="1:2" x14ac:dyDescent="0.3">
      <c r="A140" s="5"/>
      <c r="B140" s="1"/>
    </row>
    <row r="141" spans="1:2" x14ac:dyDescent="0.3">
      <c r="A141" s="5"/>
      <c r="B141" s="1"/>
    </row>
    <row r="142" spans="1:2" x14ac:dyDescent="0.3">
      <c r="A142" s="5"/>
      <c r="B142" s="1"/>
    </row>
    <row r="143" spans="1:2" x14ac:dyDescent="0.3">
      <c r="A143" s="5"/>
      <c r="B143" s="1"/>
    </row>
    <row r="144" spans="1:2" x14ac:dyDescent="0.3">
      <c r="A144" s="5"/>
      <c r="B144" s="1"/>
    </row>
    <row r="145" spans="1:2" x14ac:dyDescent="0.3">
      <c r="A145" s="5"/>
      <c r="B145" s="1"/>
    </row>
    <row r="146" spans="1:2" x14ac:dyDescent="0.3">
      <c r="A146" s="5"/>
    </row>
    <row r="147" spans="1:2" x14ac:dyDescent="0.3">
      <c r="A147" s="5"/>
    </row>
    <row r="148" spans="1:2" x14ac:dyDescent="0.3">
      <c r="A148" s="5"/>
    </row>
    <row r="149" spans="1:2" x14ac:dyDescent="0.3">
      <c r="A149" s="5"/>
    </row>
    <row r="150" spans="1:2" x14ac:dyDescent="0.3">
      <c r="A150" s="5"/>
    </row>
    <row r="151" spans="1:2" x14ac:dyDescent="0.3">
      <c r="A151" s="5"/>
    </row>
    <row r="152" spans="1:2" x14ac:dyDescent="0.3">
      <c r="A152" s="5"/>
    </row>
    <row r="153" spans="1:2" x14ac:dyDescent="0.3">
      <c r="A153" s="5"/>
    </row>
  </sheetData>
  <sheetProtection algorithmName="SHA-512" hashValue="ncu7FEuJ7ka6FuKzqL1/Y84Xu3ByL0yu34KxhvFvcLkPtBx+8VVbDFbS/4IpvfR1mwkJBCCjWp83C6c6skbLJQ==" saltValue="7X/IyeQNMh31xbBWQC+aZQ==" spinCount="100000" sheet="1" objects="1" scenarios="1"/>
  <mergeCells count="7">
    <mergeCell ref="A45:D47"/>
    <mergeCell ref="A29:A33"/>
    <mergeCell ref="A37:D38"/>
    <mergeCell ref="A39:D43"/>
    <mergeCell ref="A6:A18"/>
    <mergeCell ref="A19:A22"/>
    <mergeCell ref="A23:A28"/>
  </mergeCells>
  <printOptions horizontalCentered="1"/>
  <pageMargins left="0.25" right="0.25" top="0.75" bottom="0.75" header="0.3" footer="0.3"/>
  <pageSetup orientation="portrait" r:id="rId1"/>
  <headerFooter>
    <oddFooter>&amp;C&amp;"Century Gothic,Regular"&amp;9Page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96660-1C80-4411-B1BE-6F4EAF3327F0}">
  <sheetPr>
    <pageSetUpPr fitToPage="1"/>
  </sheetPr>
  <dimension ref="A1:K84"/>
  <sheetViews>
    <sheetView zoomScale="130" zoomScaleNormal="130" zoomScaleSheetLayoutView="130" workbookViewId="0">
      <pane ySplit="4" topLeftCell="A5" activePane="bottomLeft" state="frozen"/>
      <selection activeCell="C5" sqref="C5"/>
      <selection pane="bottomLeft" activeCell="E43" sqref="E43"/>
    </sheetView>
  </sheetViews>
  <sheetFormatPr baseColWidth="10" defaultColWidth="8.85546875" defaultRowHeight="17.25" x14ac:dyDescent="0.3"/>
  <cols>
    <col min="1" max="1" width="48.85546875" style="314" bestFit="1" customWidth="1"/>
    <col min="2" max="4" width="24.85546875" style="315" customWidth="1"/>
    <col min="5" max="5" width="20.28515625" style="315" customWidth="1"/>
    <col min="6" max="6" width="28.28515625" style="315" customWidth="1"/>
    <col min="7" max="11" width="8.85546875" style="312"/>
    <col min="12" max="16384" width="8.85546875" style="314"/>
  </cols>
  <sheetData>
    <row r="1" spans="1:11" customFormat="1" ht="20.65" customHeight="1" x14ac:dyDescent="0.3">
      <c r="A1" s="89" t="s">
        <v>791</v>
      </c>
      <c r="B1" s="33"/>
      <c r="C1" s="33"/>
      <c r="D1" s="34"/>
      <c r="E1" s="5"/>
      <c r="F1" s="5"/>
      <c r="G1" s="5"/>
      <c r="H1" s="5"/>
      <c r="I1" s="5"/>
      <c r="J1" s="1"/>
      <c r="K1" s="1"/>
    </row>
    <row r="2" spans="1:11" customFormat="1" ht="15" customHeight="1" x14ac:dyDescent="0.3">
      <c r="A2" s="90" t="s">
        <v>35</v>
      </c>
      <c r="B2" s="1039" t="s">
        <v>790</v>
      </c>
      <c r="C2" s="1039"/>
      <c r="D2" s="1040"/>
      <c r="E2" s="5"/>
      <c r="F2" s="5"/>
      <c r="G2" s="5"/>
      <c r="H2" s="5"/>
      <c r="I2" s="5"/>
      <c r="J2" s="1"/>
      <c r="K2" s="1"/>
    </row>
    <row r="3" spans="1:11" customFormat="1" ht="15" customHeight="1" x14ac:dyDescent="0.3">
      <c r="A3" s="4"/>
      <c r="B3" s="563" t="s">
        <v>615</v>
      </c>
      <c r="C3" s="563" t="s">
        <v>616</v>
      </c>
      <c r="D3" s="789" t="s">
        <v>696</v>
      </c>
      <c r="E3" s="1"/>
      <c r="F3" s="1"/>
      <c r="G3" s="1"/>
      <c r="H3" s="1"/>
      <c r="I3" s="1"/>
    </row>
    <row r="4" spans="1:11" s="317" customFormat="1" ht="27" x14ac:dyDescent="0.3">
      <c r="A4" s="786" t="s">
        <v>638</v>
      </c>
      <c r="B4" s="897" t="s">
        <v>639</v>
      </c>
      <c r="C4" s="897" t="s">
        <v>640</v>
      </c>
      <c r="D4" s="787" t="s">
        <v>1336</v>
      </c>
      <c r="E4" s="316"/>
      <c r="F4" s="316"/>
      <c r="G4" s="316"/>
      <c r="H4" s="316"/>
      <c r="I4" s="316"/>
    </row>
    <row r="5" spans="1:11" s="20" customFormat="1" ht="15.75" x14ac:dyDescent="0.3">
      <c r="A5" s="31" t="s">
        <v>1337</v>
      </c>
      <c r="B5" s="898"/>
      <c r="C5" s="898"/>
      <c r="D5" s="782"/>
      <c r="E5" s="5"/>
      <c r="F5" s="5"/>
      <c r="G5" s="6"/>
      <c r="H5" s="6"/>
      <c r="I5" s="6"/>
    </row>
    <row r="6" spans="1:11" s="7" customFormat="1" ht="15.75" x14ac:dyDescent="0.3">
      <c r="A6" s="16" t="s">
        <v>617</v>
      </c>
      <c r="B6" s="899">
        <v>323012</v>
      </c>
      <c r="C6" s="899">
        <v>2849703</v>
      </c>
      <c r="D6" s="785">
        <v>3087916</v>
      </c>
      <c r="E6" s="5"/>
      <c r="F6" s="1"/>
      <c r="G6" s="1"/>
      <c r="H6" s="1"/>
      <c r="I6" s="1"/>
    </row>
    <row r="7" spans="1:11" s="7" customFormat="1" ht="15.75" x14ac:dyDescent="0.3">
      <c r="A7" s="16" t="s">
        <v>618</v>
      </c>
      <c r="B7" s="899" t="s">
        <v>636</v>
      </c>
      <c r="C7" s="899" t="s">
        <v>619</v>
      </c>
      <c r="D7" s="785" t="s">
        <v>619</v>
      </c>
      <c r="E7" s="5"/>
      <c r="F7" s="1"/>
      <c r="G7" s="1"/>
      <c r="H7" s="1"/>
      <c r="I7" s="1"/>
    </row>
    <row r="8" spans="1:11" s="7" customFormat="1" ht="15.75" x14ac:dyDescent="0.3">
      <c r="A8" s="16" t="s">
        <v>637</v>
      </c>
      <c r="B8" s="899">
        <v>225358</v>
      </c>
      <c r="C8" s="899">
        <v>551616</v>
      </c>
      <c r="D8" s="785">
        <v>938832</v>
      </c>
      <c r="E8" s="5"/>
      <c r="F8" s="1"/>
      <c r="G8" s="1"/>
      <c r="H8" s="1"/>
      <c r="I8" s="1"/>
    </row>
    <row r="9" spans="1:11" s="7" customFormat="1" ht="15.75" x14ac:dyDescent="0.3">
      <c r="A9" s="16" t="s">
        <v>620</v>
      </c>
      <c r="B9" s="899" t="s">
        <v>636</v>
      </c>
      <c r="C9" s="899">
        <v>426360</v>
      </c>
      <c r="D9" s="785">
        <v>331996</v>
      </c>
      <c r="E9" s="5"/>
      <c r="F9" s="1"/>
      <c r="G9" s="1"/>
      <c r="H9" s="1"/>
      <c r="I9" s="1"/>
    </row>
    <row r="10" spans="1:11" s="7" customFormat="1" ht="15.75" x14ac:dyDescent="0.3">
      <c r="A10" s="16" t="s">
        <v>621</v>
      </c>
      <c r="B10" s="899" t="s">
        <v>622</v>
      </c>
      <c r="C10" s="899">
        <v>8665</v>
      </c>
      <c r="D10" s="785">
        <v>6254</v>
      </c>
      <c r="E10" s="5"/>
      <c r="F10" s="1"/>
      <c r="G10" s="1"/>
      <c r="H10" s="1"/>
      <c r="I10" s="1"/>
    </row>
    <row r="11" spans="1:11" s="7" customFormat="1" ht="15.75" x14ac:dyDescent="0.3">
      <c r="A11" s="16" t="s">
        <v>623</v>
      </c>
      <c r="B11" s="899">
        <v>1684</v>
      </c>
      <c r="C11" s="899">
        <v>1315</v>
      </c>
      <c r="D11" s="785">
        <v>4667</v>
      </c>
      <c r="E11" s="5"/>
      <c r="F11" s="1"/>
      <c r="G11" s="1"/>
      <c r="H11" s="1"/>
      <c r="I11" s="1"/>
    </row>
    <row r="12" spans="1:11" s="7" customFormat="1" ht="15.75" x14ac:dyDescent="0.3">
      <c r="A12" s="16" t="s">
        <v>624</v>
      </c>
      <c r="B12" s="899" t="s">
        <v>622</v>
      </c>
      <c r="C12" s="899">
        <v>14485</v>
      </c>
      <c r="D12" s="785">
        <v>12764</v>
      </c>
      <c r="E12" s="5"/>
      <c r="F12" s="1"/>
      <c r="G12" s="1"/>
      <c r="H12" s="1"/>
      <c r="I12" s="1"/>
    </row>
    <row r="13" spans="1:11" s="7" customFormat="1" ht="15.75" x14ac:dyDescent="0.3">
      <c r="A13" s="16" t="s">
        <v>625</v>
      </c>
      <c r="B13" s="900" t="s">
        <v>626</v>
      </c>
      <c r="C13" s="900" t="s">
        <v>626</v>
      </c>
      <c r="D13" s="896" t="s">
        <v>626</v>
      </c>
      <c r="E13" s="5"/>
      <c r="F13" s="1"/>
      <c r="G13" s="1"/>
      <c r="H13" s="1"/>
      <c r="I13" s="1"/>
    </row>
    <row r="14" spans="1:11" s="20" customFormat="1" ht="5.0999999999999996" customHeight="1" x14ac:dyDescent="0.3">
      <c r="A14" s="429"/>
      <c r="B14" s="901"/>
      <c r="C14" s="901"/>
      <c r="D14" s="783"/>
      <c r="E14" s="5"/>
      <c r="F14" s="6"/>
      <c r="G14" s="6"/>
      <c r="H14" s="6"/>
      <c r="I14" s="6"/>
    </row>
    <row r="15" spans="1:11" s="7" customFormat="1" ht="16.149999999999999" customHeight="1" x14ac:dyDescent="0.3">
      <c r="A15" s="31" t="s">
        <v>627</v>
      </c>
      <c r="B15" s="902"/>
      <c r="C15" s="902"/>
      <c r="D15" s="784"/>
      <c r="E15" s="5"/>
      <c r="F15" s="1"/>
      <c r="G15" s="1"/>
      <c r="H15" s="1"/>
      <c r="I15" s="1"/>
    </row>
    <row r="16" spans="1:11" s="7" customFormat="1" ht="27" x14ac:dyDescent="0.3">
      <c r="A16" s="16" t="s">
        <v>628</v>
      </c>
      <c r="B16" s="899">
        <v>336159</v>
      </c>
      <c r="C16" s="899">
        <v>442010</v>
      </c>
      <c r="D16" s="940">
        <v>399201</v>
      </c>
      <c r="E16" s="5"/>
      <c r="F16" s="1"/>
      <c r="G16" s="1"/>
      <c r="H16" s="1"/>
      <c r="I16" s="1"/>
    </row>
    <row r="17" spans="1:9" s="7" customFormat="1" ht="15.75" x14ac:dyDescent="0.3">
      <c r="A17" s="16" t="s">
        <v>629</v>
      </c>
      <c r="B17" s="899">
        <v>843038</v>
      </c>
      <c r="C17" s="899">
        <v>885367</v>
      </c>
      <c r="D17" s="940">
        <v>1110743</v>
      </c>
      <c r="E17" s="5"/>
      <c r="F17" s="1"/>
      <c r="G17" s="1"/>
      <c r="H17" s="1"/>
      <c r="I17" s="1"/>
    </row>
    <row r="18" spans="1:9" s="7" customFormat="1" ht="15.75" x14ac:dyDescent="0.3">
      <c r="A18" s="16" t="s">
        <v>630</v>
      </c>
      <c r="B18" s="899" t="s">
        <v>622</v>
      </c>
      <c r="C18" s="899" t="s">
        <v>622</v>
      </c>
      <c r="D18" s="785" t="s">
        <v>622</v>
      </c>
      <c r="E18" s="5"/>
      <c r="F18" s="1"/>
      <c r="G18" s="1"/>
      <c r="H18" s="1"/>
      <c r="I18" s="1"/>
    </row>
    <row r="19" spans="1:9" s="7" customFormat="1" ht="15.75" x14ac:dyDescent="0.3">
      <c r="A19" s="16" t="s">
        <v>631</v>
      </c>
      <c r="B19" s="899" t="s">
        <v>622</v>
      </c>
      <c r="C19" s="899" t="s">
        <v>622</v>
      </c>
      <c r="D19" s="785" t="s">
        <v>622</v>
      </c>
      <c r="E19" s="5"/>
      <c r="F19" s="1"/>
      <c r="G19" s="1"/>
      <c r="H19" s="1"/>
      <c r="I19" s="1"/>
    </row>
    <row r="20" spans="1:9" s="7" customFormat="1" ht="13.5" x14ac:dyDescent="0.3">
      <c r="A20" s="16" t="s">
        <v>632</v>
      </c>
      <c r="B20" s="899" t="s">
        <v>626</v>
      </c>
      <c r="C20" s="899" t="s">
        <v>626</v>
      </c>
      <c r="D20" s="785" t="s">
        <v>626</v>
      </c>
      <c r="E20" s="1"/>
      <c r="F20" s="1"/>
      <c r="G20" s="1"/>
      <c r="H20" s="1"/>
      <c r="I20" s="1"/>
    </row>
    <row r="21" spans="1:9" s="7" customFormat="1" ht="13.5" x14ac:dyDescent="0.3">
      <c r="A21" s="16" t="s">
        <v>633</v>
      </c>
      <c r="B21" s="899" t="s">
        <v>626</v>
      </c>
      <c r="C21" s="899" t="s">
        <v>626</v>
      </c>
      <c r="D21" s="785" t="s">
        <v>626</v>
      </c>
      <c r="E21" s="1"/>
      <c r="F21" s="1"/>
      <c r="G21" s="1"/>
      <c r="H21" s="1"/>
      <c r="I21" s="1"/>
    </row>
    <row r="22" spans="1:9" s="7" customFormat="1" ht="13.5" x14ac:dyDescent="0.3">
      <c r="A22" s="16" t="s">
        <v>634</v>
      </c>
      <c r="B22" s="899" t="s">
        <v>626</v>
      </c>
      <c r="C22" s="899" t="s">
        <v>626</v>
      </c>
      <c r="D22" s="785" t="s">
        <v>626</v>
      </c>
      <c r="E22" s="1"/>
      <c r="F22" s="1"/>
      <c r="G22" s="1"/>
      <c r="H22" s="1"/>
      <c r="I22" s="1"/>
    </row>
    <row r="23" spans="1:9" s="7" customFormat="1" ht="13.5" x14ac:dyDescent="0.3">
      <c r="A23" s="257" t="s">
        <v>635</v>
      </c>
      <c r="B23" s="777">
        <v>1729251</v>
      </c>
      <c r="C23" s="777">
        <v>5179522</v>
      </c>
      <c r="D23" s="941">
        <v>5892373</v>
      </c>
      <c r="E23" s="1"/>
      <c r="F23" s="1"/>
      <c r="G23" s="1"/>
      <c r="H23" s="1"/>
      <c r="I23" s="1"/>
    </row>
    <row r="24" spans="1:9" s="1" customFormat="1" ht="8.1" customHeight="1" x14ac:dyDescent="0.3">
      <c r="A24" s="5"/>
      <c r="B24" s="5"/>
      <c r="C24" s="403"/>
      <c r="D24" s="78"/>
    </row>
    <row r="25" spans="1:9" x14ac:dyDescent="0.3">
      <c r="A25" s="999" t="s">
        <v>1338</v>
      </c>
      <c r="B25" s="999"/>
      <c r="C25" s="999"/>
      <c r="D25" s="999"/>
      <c r="E25" s="778"/>
      <c r="F25" s="778"/>
    </row>
    <row r="26" spans="1:9" x14ac:dyDescent="0.3">
      <c r="A26" s="999"/>
      <c r="B26" s="999"/>
      <c r="C26" s="999"/>
      <c r="D26" s="999"/>
      <c r="E26" s="778"/>
      <c r="F26" s="778"/>
    </row>
    <row r="27" spans="1:9" ht="15" customHeight="1" x14ac:dyDescent="0.3">
      <c r="A27" s="999" t="s">
        <v>1339</v>
      </c>
      <c r="B27" s="999"/>
      <c r="C27" s="999"/>
      <c r="D27" s="999"/>
      <c r="E27" s="903"/>
      <c r="F27" s="903"/>
    </row>
    <row r="28" spans="1:9" x14ac:dyDescent="0.3">
      <c r="A28" s="999"/>
      <c r="B28" s="999"/>
      <c r="C28" s="999"/>
      <c r="D28" s="999"/>
      <c r="E28" s="903"/>
      <c r="F28" s="903"/>
    </row>
    <row r="29" spans="1:9" x14ac:dyDescent="0.3">
      <c r="A29" s="999"/>
      <c r="B29" s="999"/>
      <c r="C29" s="999"/>
      <c r="D29" s="999"/>
      <c r="E29" s="903"/>
      <c r="F29" s="903"/>
    </row>
    <row r="30" spans="1:9" x14ac:dyDescent="0.3">
      <c r="A30" s="999"/>
      <c r="B30" s="999"/>
      <c r="C30" s="999"/>
      <c r="D30" s="999"/>
      <c r="E30" s="903"/>
      <c r="F30" s="903"/>
    </row>
    <row r="31" spans="1:9" x14ac:dyDescent="0.3">
      <c r="A31" s="999"/>
      <c r="B31" s="999"/>
      <c r="C31" s="999"/>
      <c r="D31" s="999"/>
      <c r="E31" s="903"/>
      <c r="F31" s="903"/>
    </row>
    <row r="32" spans="1:9" s="312" customFormat="1" x14ac:dyDescent="0.3">
      <c r="A32" s="955" t="s">
        <v>1023</v>
      </c>
      <c r="B32" s="779"/>
      <c r="C32" s="779"/>
      <c r="D32" s="780"/>
      <c r="E32" s="313"/>
      <c r="F32" s="313"/>
    </row>
    <row r="33" spans="1:11" x14ac:dyDescent="0.3">
      <c r="A33" s="1041" t="s">
        <v>1340</v>
      </c>
      <c r="B33" s="999"/>
      <c r="C33" s="999"/>
      <c r="D33" s="1042"/>
      <c r="E33" s="778"/>
      <c r="F33" s="778"/>
    </row>
    <row r="34" spans="1:11" x14ac:dyDescent="0.3">
      <c r="A34" s="1041"/>
      <c r="B34" s="999"/>
      <c r="C34" s="999"/>
      <c r="D34" s="1042"/>
      <c r="E34" s="778"/>
      <c r="F34" s="778"/>
    </row>
    <row r="35" spans="1:11" x14ac:dyDescent="0.3">
      <c r="A35" s="1041"/>
      <c r="B35" s="999"/>
      <c r="C35" s="999"/>
      <c r="D35" s="1042"/>
      <c r="E35" s="778"/>
      <c r="F35" s="778"/>
    </row>
    <row r="36" spans="1:11" x14ac:dyDescent="0.3">
      <c r="A36" s="1041"/>
      <c r="B36" s="999"/>
      <c r="C36" s="999"/>
      <c r="D36" s="1042"/>
      <c r="E36" s="778"/>
      <c r="F36" s="778"/>
    </row>
    <row r="37" spans="1:11" s="7" customFormat="1" ht="13.5" x14ac:dyDescent="0.3">
      <c r="A37" s="321" t="s">
        <v>677</v>
      </c>
      <c r="B37" s="319"/>
      <c r="C37" s="319"/>
      <c r="D37" s="322"/>
      <c r="E37" s="319"/>
      <c r="F37" s="319"/>
      <c r="G37" s="1"/>
      <c r="H37" s="1"/>
      <c r="I37" s="1"/>
      <c r="J37" s="1"/>
      <c r="K37" s="1"/>
    </row>
    <row r="38" spans="1:11" s="7" customFormat="1" ht="13.5" x14ac:dyDescent="0.3">
      <c r="A38" s="321" t="s">
        <v>678</v>
      </c>
      <c r="B38" s="319"/>
      <c r="C38" s="319"/>
      <c r="D38" s="322"/>
      <c r="E38" s="319"/>
      <c r="F38" s="319"/>
      <c r="G38" s="1"/>
      <c r="H38" s="1"/>
      <c r="I38" s="1"/>
      <c r="J38" s="1"/>
      <c r="K38" s="1"/>
    </row>
    <row r="39" spans="1:11" s="7" customFormat="1" ht="13.5" x14ac:dyDescent="0.3">
      <c r="A39" s="321" t="s">
        <v>679</v>
      </c>
      <c r="B39" s="319"/>
      <c r="C39" s="319"/>
      <c r="D39" s="322"/>
      <c r="E39" s="319"/>
      <c r="F39" s="319"/>
      <c r="G39" s="1"/>
      <c r="H39" s="1"/>
      <c r="I39" s="1"/>
      <c r="J39" s="1"/>
      <c r="K39" s="1"/>
    </row>
    <row r="40" spans="1:11" s="7" customFormat="1" ht="13.5" x14ac:dyDescent="0.3">
      <c r="A40" s="321" t="s">
        <v>680</v>
      </c>
      <c r="B40" s="319"/>
      <c r="C40" s="319"/>
      <c r="D40" s="322"/>
      <c r="E40" s="319"/>
      <c r="F40" s="319"/>
      <c r="G40" s="1"/>
      <c r="H40" s="1"/>
      <c r="I40" s="1"/>
      <c r="J40" s="1"/>
      <c r="K40" s="1"/>
    </row>
    <row r="41" spans="1:11" s="7" customFormat="1" ht="13.5" x14ac:dyDescent="0.3">
      <c r="A41" s="321" t="s">
        <v>681</v>
      </c>
      <c r="B41" s="319"/>
      <c r="C41" s="319"/>
      <c r="D41" s="322"/>
      <c r="E41" s="319"/>
      <c r="F41" s="319"/>
      <c r="G41" s="1"/>
      <c r="H41" s="1"/>
      <c r="I41" s="1"/>
      <c r="J41" s="1"/>
      <c r="K41" s="1"/>
    </row>
    <row r="42" spans="1:11" s="7" customFormat="1" ht="13.5" x14ac:dyDescent="0.3">
      <c r="A42" s="323"/>
      <c r="B42" s="319"/>
      <c r="C42" s="319"/>
      <c r="D42" s="322"/>
      <c r="E42" s="319"/>
      <c r="F42" s="319"/>
      <c r="G42" s="1"/>
      <c r="H42" s="1"/>
      <c r="I42" s="1"/>
      <c r="J42" s="1"/>
      <c r="K42" s="1"/>
    </row>
    <row r="43" spans="1:11" s="7" customFormat="1" ht="16.899999999999999" customHeight="1" x14ac:dyDescent="0.3">
      <c r="A43" s="1043" t="s">
        <v>1341</v>
      </c>
      <c r="B43" s="1044"/>
      <c r="C43" s="1044"/>
      <c r="D43" s="1045"/>
      <c r="E43" s="781"/>
      <c r="F43" s="781"/>
      <c r="G43" s="1"/>
      <c r="H43" s="1"/>
      <c r="I43" s="1"/>
      <c r="J43" s="1"/>
      <c r="K43" s="1"/>
    </row>
    <row r="44" spans="1:11" s="7" customFormat="1" ht="11.45" customHeight="1" x14ac:dyDescent="0.3">
      <c r="A44" s="1043"/>
      <c r="B44" s="1044"/>
      <c r="C44" s="1044"/>
      <c r="D44" s="1045"/>
      <c r="E44" s="319"/>
      <c r="F44" s="319"/>
      <c r="G44" s="1"/>
      <c r="H44" s="1"/>
      <c r="I44" s="1"/>
      <c r="J44" s="1"/>
      <c r="K44" s="1"/>
    </row>
    <row r="45" spans="1:11" s="7" customFormat="1" ht="10.9" customHeight="1" x14ac:dyDescent="0.3">
      <c r="A45" s="1043"/>
      <c r="B45" s="1044"/>
      <c r="C45" s="1044"/>
      <c r="D45" s="1045"/>
      <c r="E45" s="319"/>
      <c r="F45" s="319"/>
      <c r="G45" s="1"/>
      <c r="H45" s="1"/>
      <c r="I45" s="1"/>
      <c r="J45" s="1"/>
      <c r="K45" s="1"/>
    </row>
    <row r="46" spans="1:11" x14ac:dyDescent="0.3">
      <c r="A46" s="1043"/>
      <c r="B46" s="1044"/>
      <c r="C46" s="1044"/>
      <c r="D46" s="1045"/>
      <c r="E46" s="313"/>
      <c r="F46" s="313"/>
    </row>
    <row r="47" spans="1:11" x14ac:dyDescent="0.3">
      <c r="A47" s="1043"/>
      <c r="B47" s="1044"/>
      <c r="C47" s="1044"/>
      <c r="D47" s="1045"/>
      <c r="E47" s="313"/>
      <c r="F47" s="313"/>
    </row>
    <row r="48" spans="1:11" x14ac:dyDescent="0.3">
      <c r="A48" s="1043"/>
      <c r="B48" s="1044"/>
      <c r="C48" s="1044"/>
      <c r="D48" s="1045"/>
      <c r="E48" s="313"/>
      <c r="F48" s="313"/>
    </row>
    <row r="49" spans="1:6" x14ac:dyDescent="0.3">
      <c r="A49" s="1046"/>
      <c r="B49" s="1047"/>
      <c r="C49" s="1047"/>
      <c r="D49" s="1048"/>
      <c r="E49" s="313"/>
      <c r="F49" s="313"/>
    </row>
    <row r="50" spans="1:6" x14ac:dyDescent="0.3">
      <c r="A50" s="904"/>
      <c r="B50" s="904"/>
      <c r="C50" s="904"/>
      <c r="D50" s="904"/>
      <c r="E50" s="313"/>
      <c r="F50" s="313"/>
    </row>
    <row r="51" spans="1:6" x14ac:dyDescent="0.3">
      <c r="A51" s="904"/>
      <c r="B51" s="904"/>
      <c r="C51" s="904"/>
      <c r="D51" s="904"/>
      <c r="E51" s="313"/>
      <c r="F51" s="313"/>
    </row>
    <row r="52" spans="1:6" x14ac:dyDescent="0.3">
      <c r="A52" s="904"/>
      <c r="B52" s="904"/>
      <c r="C52" s="904"/>
      <c r="D52" s="904"/>
      <c r="E52" s="313"/>
      <c r="F52" s="313"/>
    </row>
    <row r="53" spans="1:6" x14ac:dyDescent="0.3">
      <c r="A53" s="312"/>
      <c r="B53" s="313"/>
      <c r="C53" s="313"/>
      <c r="D53" s="313"/>
      <c r="E53" s="313"/>
      <c r="F53" s="313"/>
    </row>
    <row r="54" spans="1:6" x14ac:dyDescent="0.3">
      <c r="A54" s="312"/>
      <c r="B54" s="313"/>
      <c r="C54" s="313"/>
      <c r="D54" s="313"/>
      <c r="E54" s="313"/>
      <c r="F54" s="313"/>
    </row>
    <row r="55" spans="1:6" x14ac:dyDescent="0.3">
      <c r="A55" s="312"/>
      <c r="B55" s="313"/>
      <c r="C55" s="313"/>
      <c r="D55" s="313"/>
      <c r="E55" s="313"/>
      <c r="F55" s="313"/>
    </row>
    <row r="56" spans="1:6" x14ac:dyDescent="0.3">
      <c r="A56" s="312"/>
      <c r="B56" s="313"/>
      <c r="C56" s="313"/>
      <c r="D56" s="313"/>
      <c r="E56" s="313"/>
      <c r="F56" s="313"/>
    </row>
    <row r="57" spans="1:6" x14ac:dyDescent="0.3">
      <c r="A57" s="312"/>
      <c r="B57" s="313"/>
      <c r="C57" s="313"/>
      <c r="D57" s="313"/>
      <c r="E57" s="313"/>
      <c r="F57" s="313"/>
    </row>
    <row r="58" spans="1:6" x14ac:dyDescent="0.3">
      <c r="A58" s="312"/>
      <c r="B58" s="313"/>
      <c r="C58" s="313"/>
      <c r="D58" s="313"/>
      <c r="E58" s="313"/>
      <c r="F58" s="313"/>
    </row>
    <row r="59" spans="1:6" x14ac:dyDescent="0.3">
      <c r="A59" s="312"/>
      <c r="B59" s="313"/>
      <c r="C59" s="313"/>
      <c r="D59" s="313"/>
      <c r="E59" s="313"/>
      <c r="F59" s="313"/>
    </row>
    <row r="60" spans="1:6" x14ac:dyDescent="0.3">
      <c r="A60" s="312"/>
      <c r="B60" s="313"/>
      <c r="C60" s="313"/>
      <c r="D60" s="313"/>
      <c r="E60" s="313"/>
      <c r="F60" s="313"/>
    </row>
    <row r="61" spans="1:6" x14ac:dyDescent="0.3">
      <c r="A61" s="312"/>
      <c r="B61" s="313"/>
      <c r="C61" s="313"/>
      <c r="D61" s="313"/>
      <c r="E61" s="313"/>
      <c r="F61" s="313"/>
    </row>
    <row r="62" spans="1:6" x14ac:dyDescent="0.3">
      <c r="A62" s="312"/>
      <c r="B62" s="313"/>
      <c r="C62" s="313"/>
      <c r="D62" s="313"/>
      <c r="E62" s="313"/>
      <c r="F62" s="313"/>
    </row>
    <row r="63" spans="1:6" x14ac:dyDescent="0.3">
      <c r="A63" s="312"/>
      <c r="B63" s="313"/>
      <c r="C63" s="313"/>
      <c r="D63" s="313"/>
      <c r="E63" s="313"/>
      <c r="F63" s="313"/>
    </row>
    <row r="64" spans="1:6" x14ac:dyDescent="0.3">
      <c r="A64" s="312"/>
      <c r="B64" s="313"/>
      <c r="C64" s="313"/>
      <c r="D64" s="313"/>
      <c r="E64" s="313"/>
      <c r="F64" s="313"/>
    </row>
    <row r="65" spans="1:6" x14ac:dyDescent="0.3">
      <c r="A65" s="312"/>
      <c r="B65" s="313"/>
      <c r="C65" s="313"/>
      <c r="D65" s="313"/>
      <c r="E65" s="313"/>
      <c r="F65" s="313"/>
    </row>
    <row r="66" spans="1:6" x14ac:dyDescent="0.3">
      <c r="A66" s="312"/>
      <c r="B66" s="313"/>
      <c r="C66" s="313"/>
      <c r="D66" s="313"/>
      <c r="E66" s="313"/>
      <c r="F66" s="313"/>
    </row>
    <row r="67" spans="1:6" x14ac:dyDescent="0.3">
      <c r="A67" s="312"/>
      <c r="B67" s="313"/>
      <c r="C67" s="313"/>
      <c r="D67" s="313"/>
      <c r="E67" s="313"/>
      <c r="F67" s="313"/>
    </row>
    <row r="68" spans="1:6" x14ac:dyDescent="0.3">
      <c r="A68" s="312"/>
      <c r="B68" s="313"/>
      <c r="C68" s="313"/>
      <c r="D68" s="313"/>
      <c r="E68" s="313"/>
      <c r="F68" s="313"/>
    </row>
    <row r="69" spans="1:6" x14ac:dyDescent="0.3">
      <c r="A69" s="312"/>
      <c r="B69" s="313"/>
      <c r="C69" s="313"/>
      <c r="D69" s="313"/>
      <c r="E69" s="313"/>
      <c r="F69" s="313"/>
    </row>
    <row r="70" spans="1:6" x14ac:dyDescent="0.3">
      <c r="A70" s="312"/>
      <c r="B70" s="313"/>
      <c r="C70" s="313"/>
      <c r="D70" s="313"/>
      <c r="E70" s="313"/>
      <c r="F70" s="313"/>
    </row>
    <row r="71" spans="1:6" x14ac:dyDescent="0.3">
      <c r="A71" s="312"/>
      <c r="B71" s="313"/>
      <c r="C71" s="313"/>
      <c r="D71" s="313"/>
      <c r="E71" s="313"/>
      <c r="F71" s="313"/>
    </row>
    <row r="72" spans="1:6" x14ac:dyDescent="0.3">
      <c r="A72" s="312"/>
      <c r="B72" s="313"/>
      <c r="C72" s="313"/>
      <c r="D72" s="313"/>
      <c r="E72" s="313"/>
      <c r="F72" s="313"/>
    </row>
    <row r="73" spans="1:6" x14ac:dyDescent="0.3">
      <c r="A73" s="312"/>
      <c r="B73" s="313"/>
      <c r="C73" s="313"/>
      <c r="D73" s="313"/>
      <c r="E73" s="313"/>
      <c r="F73" s="313"/>
    </row>
    <row r="74" spans="1:6" x14ac:dyDescent="0.3">
      <c r="A74" s="312"/>
      <c r="B74" s="313"/>
      <c r="C74" s="313"/>
      <c r="D74" s="313"/>
      <c r="E74" s="313"/>
      <c r="F74" s="313"/>
    </row>
    <row r="75" spans="1:6" x14ac:dyDescent="0.3">
      <c r="A75" s="312"/>
      <c r="B75" s="313"/>
      <c r="C75" s="313"/>
      <c r="D75" s="313"/>
      <c r="E75" s="313"/>
      <c r="F75" s="313"/>
    </row>
    <row r="76" spans="1:6" x14ac:dyDescent="0.3">
      <c r="A76" s="312"/>
      <c r="B76" s="313"/>
      <c r="C76" s="313"/>
      <c r="D76" s="313"/>
      <c r="E76" s="313"/>
      <c r="F76" s="313"/>
    </row>
    <row r="77" spans="1:6" x14ac:dyDescent="0.3">
      <c r="A77" s="312"/>
      <c r="B77" s="313"/>
      <c r="C77" s="313"/>
      <c r="D77" s="313"/>
      <c r="E77" s="313"/>
      <c r="F77" s="313"/>
    </row>
    <row r="78" spans="1:6" x14ac:dyDescent="0.3">
      <c r="A78" s="312"/>
      <c r="B78" s="313"/>
      <c r="C78" s="313"/>
      <c r="D78" s="313"/>
      <c r="E78" s="313"/>
      <c r="F78" s="313"/>
    </row>
    <row r="79" spans="1:6" x14ac:dyDescent="0.3">
      <c r="A79" s="312"/>
      <c r="B79" s="313"/>
      <c r="C79" s="313"/>
      <c r="D79" s="313"/>
      <c r="E79" s="313"/>
      <c r="F79" s="313"/>
    </row>
    <row r="80" spans="1:6" x14ac:dyDescent="0.3">
      <c r="A80" s="312"/>
      <c r="B80" s="313"/>
      <c r="C80" s="313"/>
      <c r="D80" s="313"/>
      <c r="E80" s="313"/>
      <c r="F80" s="313"/>
    </row>
    <row r="81" spans="1:6" x14ac:dyDescent="0.3">
      <c r="A81" s="312"/>
      <c r="B81" s="313"/>
      <c r="C81" s="313"/>
      <c r="D81" s="313"/>
      <c r="E81" s="313"/>
      <c r="F81" s="313"/>
    </row>
    <row r="82" spans="1:6" x14ac:dyDescent="0.3">
      <c r="A82" s="312"/>
      <c r="B82" s="313"/>
      <c r="C82" s="313"/>
      <c r="D82" s="313"/>
      <c r="E82" s="313"/>
      <c r="F82" s="313"/>
    </row>
    <row r="83" spans="1:6" x14ac:dyDescent="0.3">
      <c r="A83" s="312"/>
      <c r="B83" s="313"/>
      <c r="C83" s="313"/>
      <c r="D83" s="313"/>
      <c r="E83" s="313"/>
      <c r="F83" s="313"/>
    </row>
    <row r="84" spans="1:6" x14ac:dyDescent="0.3">
      <c r="A84" s="312"/>
      <c r="B84" s="313"/>
      <c r="C84" s="313"/>
      <c r="D84" s="313"/>
      <c r="E84" s="313"/>
      <c r="F84" s="313"/>
    </row>
  </sheetData>
  <sheetProtection algorithmName="SHA-512" hashValue="M6HpfOg2blRfybIXBSIxMOCWWzzDnVd3ZK5co3Tjade3PdEEEcVikmZJwvJDAopSWFfKym6bz8eJbWbHyvvPBA==" saltValue="kARGm9MWaZeGEFJIaPwtEg==" spinCount="100000" sheet="1" objects="1" scenarios="1"/>
  <mergeCells count="5">
    <mergeCell ref="B2:D2"/>
    <mergeCell ref="A25:D26"/>
    <mergeCell ref="A27:D31"/>
    <mergeCell ref="A33:D36"/>
    <mergeCell ref="A43:D49"/>
  </mergeCells>
  <pageMargins left="0.7" right="0.7" top="0.75" bottom="0.75" header="0.3" footer="0.3"/>
  <pageSetup paperSize="5" scale="73"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69CDA-D78A-4A03-8A07-EA49DC61C4B4}">
  <sheetPr codeName="Sheet11">
    <pageSetUpPr fitToPage="1"/>
  </sheetPr>
  <dimension ref="A1:L97"/>
  <sheetViews>
    <sheetView zoomScale="130" zoomScaleNormal="130" zoomScaleSheetLayoutView="160" workbookViewId="0">
      <pane ySplit="4" topLeftCell="A5" activePane="bottomLeft" state="frozen"/>
      <selection activeCell="C5" sqref="C5"/>
      <selection pane="bottomLeft" activeCell="A5" sqref="A5"/>
    </sheetView>
  </sheetViews>
  <sheetFormatPr baseColWidth="10" defaultColWidth="9.140625" defaultRowHeight="15" x14ac:dyDescent="0.25"/>
  <cols>
    <col min="1" max="1" width="45.7109375" customWidth="1"/>
    <col min="2" max="6" width="13.7109375" customWidth="1"/>
    <col min="7" max="7" width="45.28515625" customWidth="1"/>
  </cols>
  <sheetData>
    <row r="1" spans="1:12" ht="20.65" customHeight="1" x14ac:dyDescent="0.3">
      <c r="A1" s="89" t="s">
        <v>791</v>
      </c>
      <c r="B1" s="33"/>
      <c r="C1" s="33"/>
      <c r="D1" s="33"/>
      <c r="E1" s="33"/>
      <c r="F1" s="34"/>
      <c r="G1" s="1"/>
      <c r="H1" s="1"/>
      <c r="I1" s="1"/>
      <c r="J1" s="1"/>
      <c r="K1" s="1"/>
      <c r="L1" s="1"/>
    </row>
    <row r="2" spans="1:12" ht="15" customHeight="1" x14ac:dyDescent="0.3">
      <c r="A2" s="90" t="s">
        <v>35</v>
      </c>
      <c r="B2" s="35"/>
      <c r="C2" s="35"/>
      <c r="D2" s="35"/>
      <c r="E2" s="35"/>
      <c r="F2" s="36"/>
      <c r="G2" s="1"/>
      <c r="H2" s="1"/>
      <c r="I2" s="1"/>
      <c r="J2" s="1"/>
      <c r="K2" s="1"/>
      <c r="L2" s="1"/>
    </row>
    <row r="3" spans="1:12" ht="15" customHeight="1" x14ac:dyDescent="0.3">
      <c r="A3" s="4"/>
      <c r="B3" s="442">
        <v>2018</v>
      </c>
      <c r="C3" s="442">
        <v>2019</v>
      </c>
      <c r="D3" s="442">
        <v>2020</v>
      </c>
      <c r="E3" s="442">
        <v>2021</v>
      </c>
      <c r="F3" s="443">
        <v>2022</v>
      </c>
      <c r="G3" s="1"/>
      <c r="H3" s="1"/>
      <c r="I3" s="1"/>
      <c r="J3" s="1"/>
      <c r="K3" s="1"/>
      <c r="L3" s="1"/>
    </row>
    <row r="4" spans="1:12" ht="15" customHeight="1" x14ac:dyDescent="0.3">
      <c r="A4" s="92" t="s">
        <v>102</v>
      </c>
      <c r="B4" s="444"/>
      <c r="C4" s="444"/>
      <c r="D4" s="444"/>
      <c r="E4" s="444"/>
      <c r="F4" s="445"/>
      <c r="G4" s="6"/>
      <c r="H4" s="6"/>
      <c r="I4" s="6"/>
      <c r="J4" s="6"/>
      <c r="K4" s="6"/>
      <c r="L4" s="6"/>
    </row>
    <row r="5" spans="1:12" ht="15.75" x14ac:dyDescent="0.3">
      <c r="A5" s="104" t="s">
        <v>836</v>
      </c>
      <c r="B5" s="459">
        <v>109.7</v>
      </c>
      <c r="C5" s="459">
        <v>117.6</v>
      </c>
      <c r="D5" s="459">
        <v>98.183999999999997</v>
      </c>
      <c r="E5" s="459">
        <v>96.147050000000007</v>
      </c>
      <c r="F5" s="460">
        <v>38.378610000000002</v>
      </c>
      <c r="G5" s="39"/>
      <c r="H5" s="6"/>
      <c r="I5" s="6"/>
      <c r="J5" s="6"/>
      <c r="K5" s="6"/>
      <c r="L5" s="6"/>
    </row>
    <row r="6" spans="1:12" ht="15.75" x14ac:dyDescent="0.3">
      <c r="A6" s="104" t="s">
        <v>103</v>
      </c>
      <c r="B6" s="459">
        <v>41.527200000000001</v>
      </c>
      <c r="C6" s="459">
        <v>47.883989999999997</v>
      </c>
      <c r="D6" s="459">
        <v>39.884459999999997</v>
      </c>
      <c r="E6" s="459">
        <v>47.458109999999998</v>
      </c>
      <c r="F6" s="460">
        <v>49.72766</v>
      </c>
      <c r="G6" s="39"/>
      <c r="H6" s="6"/>
      <c r="I6" s="6"/>
      <c r="J6" s="6"/>
      <c r="K6" s="6"/>
      <c r="L6" s="6"/>
    </row>
    <row r="7" spans="1:12" ht="15.75" x14ac:dyDescent="0.3">
      <c r="A7" s="104" t="s">
        <v>104</v>
      </c>
      <c r="B7" s="459">
        <v>12.245209999999998</v>
      </c>
      <c r="C7" s="459">
        <v>7.1691400000000005</v>
      </c>
      <c r="D7" s="459">
        <v>7.2745200000000008</v>
      </c>
      <c r="E7" s="459">
        <v>6.9878500000000008</v>
      </c>
      <c r="F7" s="460">
        <v>6.8811499999999999</v>
      </c>
      <c r="G7" s="39"/>
      <c r="H7" s="6"/>
      <c r="I7" s="6"/>
      <c r="J7" s="6"/>
      <c r="K7" s="1"/>
      <c r="L7" s="1"/>
    </row>
    <row r="8" spans="1:12" ht="15.75" x14ac:dyDescent="0.3">
      <c r="A8" s="104" t="s">
        <v>105</v>
      </c>
      <c r="B8" s="459">
        <v>17.256619999999998</v>
      </c>
      <c r="C8" s="459">
        <v>14.197569999999999</v>
      </c>
      <c r="D8" s="459">
        <v>13.083170000000001</v>
      </c>
      <c r="E8" s="459">
        <v>13.024520000000001</v>
      </c>
      <c r="F8" s="460">
        <v>14.647399999999999</v>
      </c>
      <c r="G8" s="39"/>
      <c r="H8" s="6"/>
      <c r="I8" s="6"/>
      <c r="J8" s="6"/>
      <c r="K8" s="1"/>
      <c r="L8" s="1"/>
    </row>
    <row r="9" spans="1:12" ht="15.75" x14ac:dyDescent="0.3">
      <c r="A9" s="104" t="s">
        <v>106</v>
      </c>
      <c r="B9" s="545">
        <v>5.9999999999999995E-5</v>
      </c>
      <c r="C9" s="545">
        <v>1E-4</v>
      </c>
      <c r="D9" s="545">
        <v>5.9999999999999995E-5</v>
      </c>
      <c r="E9" s="545">
        <v>1.4000000000000001E-4</v>
      </c>
      <c r="F9" s="546">
        <v>1.4999999999999999E-4</v>
      </c>
      <c r="G9" s="81"/>
      <c r="H9" s="6"/>
      <c r="I9" s="6"/>
      <c r="J9" s="1"/>
      <c r="K9" s="1"/>
      <c r="L9" s="1"/>
    </row>
    <row r="10" spans="1:12" ht="15.75" x14ac:dyDescent="0.3">
      <c r="A10" s="104" t="s">
        <v>107</v>
      </c>
      <c r="B10" s="547">
        <v>2.7789999999999999E-2</v>
      </c>
      <c r="C10" s="547">
        <v>2.0059999999999998E-2</v>
      </c>
      <c r="D10" s="547">
        <v>1.9620000000000002E-2</v>
      </c>
      <c r="E10" s="547">
        <v>1.1550000000000001E-2</v>
      </c>
      <c r="F10" s="548">
        <v>1.217E-2</v>
      </c>
      <c r="G10" s="81"/>
      <c r="H10" s="6"/>
      <c r="I10" s="6"/>
      <c r="J10" s="6"/>
      <c r="K10" s="1"/>
      <c r="L10" s="1"/>
    </row>
    <row r="11" spans="1:12" ht="15.75" x14ac:dyDescent="0.3">
      <c r="A11" s="104" t="s">
        <v>835</v>
      </c>
      <c r="B11" s="549">
        <v>9.4</v>
      </c>
      <c r="C11" s="549">
        <v>10.132190000000001</v>
      </c>
      <c r="D11" s="549">
        <v>8.3268799999999992</v>
      </c>
      <c r="E11" s="549">
        <v>8.4909599999999994</v>
      </c>
      <c r="F11" s="550">
        <v>4.2141400000000004</v>
      </c>
      <c r="G11" s="81"/>
      <c r="H11" s="6"/>
      <c r="I11" s="6"/>
      <c r="J11" s="6"/>
      <c r="K11" s="1"/>
      <c r="L11" s="1"/>
    </row>
    <row r="12" spans="1:12" ht="15.75" x14ac:dyDescent="0.3">
      <c r="A12" s="104" t="s">
        <v>108</v>
      </c>
      <c r="B12" s="551">
        <v>8.0000000000000007E-5</v>
      </c>
      <c r="C12" s="551">
        <v>2.0000000000000002E-5</v>
      </c>
      <c r="D12" s="551">
        <v>2.0000000000000002E-5</v>
      </c>
      <c r="E12" s="551">
        <v>2.0000000000000002E-5</v>
      </c>
      <c r="F12" s="552">
        <v>1.0000000000000001E-5</v>
      </c>
      <c r="G12" s="81"/>
      <c r="H12" s="6"/>
      <c r="I12" s="6"/>
      <c r="J12" s="6"/>
      <c r="K12" s="1"/>
      <c r="L12" s="1"/>
    </row>
    <row r="13" spans="1:12" s="1" customFormat="1" ht="8.1" customHeight="1" x14ac:dyDescent="0.3">
      <c r="A13" s="5"/>
      <c r="B13" s="5"/>
    </row>
    <row r="14" spans="1:12" s="314" customFormat="1" ht="17.25" x14ac:dyDescent="0.3">
      <c r="A14" s="999" t="s">
        <v>849</v>
      </c>
      <c r="B14" s="999"/>
      <c r="C14" s="999"/>
      <c r="D14" s="999"/>
      <c r="E14" s="999"/>
      <c r="F14" s="999"/>
      <c r="G14" s="312"/>
      <c r="H14" s="312"/>
      <c r="I14" s="312"/>
      <c r="J14" s="312"/>
      <c r="K14" s="312"/>
    </row>
    <row r="15" spans="1:12" ht="15.75" x14ac:dyDescent="0.3">
      <c r="A15" s="999"/>
      <c r="B15" s="999"/>
      <c r="C15" s="999"/>
      <c r="D15" s="999"/>
      <c r="E15" s="999"/>
      <c r="F15" s="999"/>
      <c r="G15" s="1"/>
      <c r="H15" s="1"/>
      <c r="I15" s="1"/>
      <c r="J15" s="1"/>
      <c r="K15" s="1"/>
      <c r="L15" s="1"/>
    </row>
    <row r="16" spans="1:12" ht="15.75" x14ac:dyDescent="0.3">
      <c r="A16" s="1"/>
      <c r="B16" s="48"/>
      <c r="C16" s="48"/>
      <c r="D16" s="48"/>
      <c r="E16" s="48"/>
      <c r="F16" s="48"/>
      <c r="G16" s="5"/>
      <c r="H16" s="5"/>
      <c r="I16" s="5"/>
      <c r="J16" s="5"/>
      <c r="K16" s="5"/>
      <c r="L16" s="5"/>
    </row>
    <row r="17" spans="1:12" ht="15.75" x14ac:dyDescent="0.3">
      <c r="A17" s="39"/>
      <c r="B17" s="48"/>
      <c r="C17" s="48"/>
      <c r="D17" s="48"/>
      <c r="E17" s="48"/>
      <c r="F17" s="48"/>
      <c r="G17" s="5"/>
      <c r="H17" s="5"/>
      <c r="I17" s="5"/>
      <c r="J17" s="5"/>
      <c r="K17" s="5"/>
      <c r="L17" s="5"/>
    </row>
    <row r="18" spans="1:12" ht="15.75" x14ac:dyDescent="0.3">
      <c r="A18" s="1"/>
      <c r="B18" s="48"/>
      <c r="C18" s="48"/>
      <c r="D18" s="48"/>
      <c r="E18" s="48"/>
      <c r="F18" s="48"/>
      <c r="G18" s="5"/>
      <c r="H18" s="5"/>
      <c r="I18" s="5"/>
      <c r="J18" s="5"/>
      <c r="K18" s="5"/>
      <c r="L18" s="5"/>
    </row>
    <row r="19" spans="1:12" ht="15.75" x14ac:dyDescent="0.3">
      <c r="A19" s="1"/>
      <c r="B19" s="48"/>
      <c r="C19" s="48"/>
      <c r="D19" s="48"/>
      <c r="E19" s="48"/>
      <c r="F19" s="48"/>
      <c r="G19" s="5"/>
      <c r="H19" s="5"/>
      <c r="I19" s="5"/>
      <c r="J19" s="5"/>
      <c r="K19" s="5"/>
      <c r="L19" s="5"/>
    </row>
    <row r="20" spans="1:12" ht="15.75" x14ac:dyDescent="0.3">
      <c r="A20" s="1"/>
      <c r="B20" s="48"/>
      <c r="C20" s="48"/>
      <c r="D20" s="48"/>
      <c r="E20" s="48"/>
      <c r="F20" s="48"/>
      <c r="G20" s="5"/>
      <c r="H20" s="5"/>
      <c r="I20" s="5"/>
      <c r="J20" s="5"/>
      <c r="K20" s="5"/>
      <c r="L20" s="5"/>
    </row>
    <row r="21" spans="1:12" ht="15.75" x14ac:dyDescent="0.3">
      <c r="A21" s="1"/>
      <c r="B21" s="48"/>
      <c r="C21" s="48"/>
      <c r="D21" s="48"/>
      <c r="E21" s="48"/>
      <c r="F21" s="48"/>
      <c r="G21" s="5"/>
      <c r="H21" s="5"/>
      <c r="I21" s="5"/>
      <c r="J21" s="5"/>
      <c r="K21" s="5"/>
      <c r="L21" s="5"/>
    </row>
    <row r="22" spans="1:12" ht="15.75" x14ac:dyDescent="0.3">
      <c r="A22" s="1"/>
      <c r="B22" s="48"/>
      <c r="C22" s="48"/>
      <c r="D22" s="48"/>
      <c r="E22" s="48"/>
      <c r="F22" s="48"/>
      <c r="G22" s="5"/>
      <c r="H22" s="5"/>
      <c r="I22" s="5"/>
      <c r="J22" s="5"/>
      <c r="K22" s="5"/>
      <c r="L22" s="5"/>
    </row>
    <row r="23" spans="1:12" ht="15.75" x14ac:dyDescent="0.3">
      <c r="A23" s="1"/>
      <c r="B23" s="48"/>
      <c r="C23" s="48"/>
      <c r="D23" s="48"/>
      <c r="E23" s="48"/>
      <c r="F23" s="48"/>
      <c r="G23" s="5"/>
      <c r="H23" s="5"/>
      <c r="I23" s="5"/>
      <c r="J23" s="5"/>
      <c r="K23" s="5"/>
      <c r="L23" s="5"/>
    </row>
    <row r="24" spans="1:12" ht="15.75" x14ac:dyDescent="0.3">
      <c r="A24" s="1"/>
      <c r="B24" s="48"/>
      <c r="C24" s="48"/>
      <c r="D24" s="48"/>
      <c r="E24" s="48"/>
      <c r="F24" s="48"/>
      <c r="G24" s="5"/>
      <c r="H24" s="5"/>
      <c r="I24" s="5"/>
      <c r="J24" s="5"/>
      <c r="K24" s="5"/>
      <c r="L24" s="5"/>
    </row>
    <row r="25" spans="1:12" ht="15.75" x14ac:dyDescent="0.3">
      <c r="A25" s="1"/>
      <c r="B25" s="48"/>
      <c r="C25" s="48"/>
      <c r="D25" s="48"/>
      <c r="E25" s="48"/>
      <c r="F25" s="48"/>
      <c r="G25" s="5"/>
      <c r="H25" s="5"/>
      <c r="I25" s="5"/>
      <c r="J25" s="5"/>
      <c r="K25" s="5"/>
      <c r="L25" s="5"/>
    </row>
    <row r="26" spans="1:12" ht="15.75" x14ac:dyDescent="0.3">
      <c r="A26" s="1"/>
      <c r="B26" s="48"/>
      <c r="C26" s="48"/>
      <c r="D26" s="48"/>
      <c r="E26" s="48"/>
      <c r="F26" s="48"/>
      <c r="G26" s="5"/>
      <c r="H26" s="5"/>
      <c r="I26" s="5"/>
      <c r="J26" s="5"/>
      <c r="K26" s="5"/>
      <c r="L26" s="5"/>
    </row>
    <row r="27" spans="1:12" ht="15.75" x14ac:dyDescent="0.3">
      <c r="A27" s="1"/>
      <c r="B27" s="48"/>
      <c r="C27" s="48"/>
      <c r="D27" s="48"/>
      <c r="E27" s="48"/>
      <c r="F27" s="48"/>
      <c r="G27" s="5"/>
      <c r="H27" s="5"/>
      <c r="I27" s="5"/>
      <c r="J27" s="5"/>
      <c r="K27" s="5"/>
      <c r="L27" s="5"/>
    </row>
    <row r="28" spans="1:12" ht="15.75" x14ac:dyDescent="0.3">
      <c r="A28" s="1"/>
      <c r="B28" s="48"/>
      <c r="C28" s="48"/>
      <c r="D28" s="48"/>
      <c r="E28" s="48"/>
      <c r="F28" s="48"/>
      <c r="G28" s="5"/>
      <c r="H28" s="5"/>
      <c r="I28" s="5"/>
      <c r="J28" s="5"/>
      <c r="K28" s="5"/>
      <c r="L28" s="5"/>
    </row>
    <row r="29" spans="1:12" ht="15.75" x14ac:dyDescent="0.3">
      <c r="A29" s="1"/>
      <c r="B29" s="48"/>
      <c r="C29" s="48"/>
      <c r="D29" s="48"/>
      <c r="E29" s="48"/>
      <c r="F29" s="48"/>
      <c r="G29" s="5"/>
      <c r="H29" s="5"/>
      <c r="I29" s="5"/>
      <c r="J29" s="5"/>
      <c r="K29" s="5"/>
      <c r="L29" s="5"/>
    </row>
    <row r="30" spans="1:12" ht="15.75" x14ac:dyDescent="0.3">
      <c r="A30" s="1"/>
      <c r="B30" s="48"/>
      <c r="C30" s="48"/>
      <c r="D30" s="48"/>
      <c r="E30" s="48"/>
      <c r="F30" s="48"/>
      <c r="G30" s="5"/>
      <c r="H30" s="5"/>
      <c r="I30" s="5"/>
      <c r="J30" s="5"/>
      <c r="K30" s="5"/>
      <c r="L30" s="5"/>
    </row>
    <row r="31" spans="1:12" ht="15.75" x14ac:dyDescent="0.3">
      <c r="A31" s="1"/>
      <c r="B31" s="48"/>
      <c r="C31" s="48"/>
      <c r="D31" s="48"/>
      <c r="E31" s="48"/>
      <c r="F31" s="48"/>
      <c r="G31" s="5"/>
      <c r="H31" s="5"/>
      <c r="I31" s="5"/>
      <c r="J31" s="5"/>
      <c r="K31" s="5"/>
      <c r="L31" s="5"/>
    </row>
    <row r="32" spans="1:12" ht="15.75" x14ac:dyDescent="0.3">
      <c r="A32" s="1"/>
      <c r="B32" s="48"/>
      <c r="C32" s="48"/>
      <c r="D32" s="48"/>
      <c r="E32" s="48"/>
      <c r="F32" s="48"/>
      <c r="G32" s="5"/>
      <c r="H32" s="5"/>
      <c r="I32" s="5"/>
      <c r="J32" s="5"/>
      <c r="K32" s="5"/>
      <c r="L32" s="5"/>
    </row>
    <row r="33" spans="1:12" ht="15.75" x14ac:dyDescent="0.3">
      <c r="A33" s="1"/>
      <c r="B33" s="48"/>
      <c r="C33" s="48"/>
      <c r="D33" s="48"/>
      <c r="E33" s="48"/>
      <c r="F33" s="48"/>
      <c r="G33" s="5"/>
      <c r="H33" s="5"/>
      <c r="I33" s="5"/>
      <c r="J33" s="5"/>
      <c r="K33" s="5"/>
      <c r="L33" s="5"/>
    </row>
    <row r="34" spans="1:12" ht="15.75" x14ac:dyDescent="0.3">
      <c r="A34" s="1"/>
      <c r="B34" s="48"/>
      <c r="C34" s="48"/>
      <c r="D34" s="48"/>
      <c r="E34" s="48"/>
      <c r="F34" s="48"/>
      <c r="G34" s="5"/>
      <c r="H34" s="5"/>
      <c r="I34" s="5"/>
      <c r="J34" s="5"/>
      <c r="K34" s="5"/>
      <c r="L34" s="5"/>
    </row>
    <row r="35" spans="1:12" ht="15.75" x14ac:dyDescent="0.3">
      <c r="A35" s="1"/>
      <c r="B35" s="48"/>
      <c r="C35" s="48"/>
      <c r="D35" s="48"/>
      <c r="E35" s="48"/>
      <c r="F35" s="48"/>
      <c r="G35" s="5"/>
      <c r="H35" s="5"/>
      <c r="I35" s="5"/>
      <c r="J35" s="5"/>
      <c r="K35" s="5"/>
      <c r="L35" s="5"/>
    </row>
    <row r="36" spans="1:12" ht="15.75" x14ac:dyDescent="0.3">
      <c r="A36" s="1"/>
      <c r="B36" s="48"/>
      <c r="C36" s="48"/>
      <c r="D36" s="48"/>
      <c r="E36" s="48"/>
      <c r="F36" s="48"/>
      <c r="G36" s="5"/>
      <c r="H36" s="5"/>
      <c r="I36" s="5"/>
      <c r="J36" s="5"/>
      <c r="K36" s="5"/>
      <c r="L36" s="5"/>
    </row>
    <row r="37" spans="1:12" ht="15.75" x14ac:dyDescent="0.3">
      <c r="A37" s="1"/>
      <c r="B37" s="48"/>
      <c r="C37" s="48"/>
      <c r="D37" s="48"/>
      <c r="E37" s="48"/>
      <c r="F37" s="48"/>
      <c r="G37" s="5"/>
      <c r="H37" s="5"/>
      <c r="I37" s="5"/>
      <c r="J37" s="5"/>
      <c r="K37" s="5"/>
      <c r="L37" s="5"/>
    </row>
    <row r="38" spans="1:12" ht="15.75" x14ac:dyDescent="0.3">
      <c r="A38" s="1"/>
      <c r="B38" s="48"/>
      <c r="C38" s="48"/>
      <c r="D38" s="48"/>
      <c r="E38" s="48"/>
      <c r="F38" s="48"/>
      <c r="G38" s="5"/>
      <c r="H38" s="5"/>
      <c r="I38" s="5"/>
      <c r="J38" s="5"/>
      <c r="K38" s="5"/>
      <c r="L38" s="5"/>
    </row>
    <row r="39" spans="1:12" ht="15.75" x14ac:dyDescent="0.3">
      <c r="A39" s="1"/>
      <c r="B39" s="48"/>
      <c r="C39" s="48"/>
      <c r="D39" s="48"/>
      <c r="E39" s="48"/>
      <c r="F39" s="48"/>
      <c r="G39" s="5"/>
      <c r="H39" s="5"/>
      <c r="I39" s="5"/>
      <c r="J39" s="5"/>
      <c r="K39" s="5"/>
      <c r="L39" s="5"/>
    </row>
    <row r="40" spans="1:12" ht="15.75" x14ac:dyDescent="0.3">
      <c r="A40" s="1"/>
      <c r="B40" s="48"/>
      <c r="C40" s="48"/>
      <c r="D40" s="48"/>
      <c r="E40" s="48"/>
      <c r="F40" s="48"/>
      <c r="G40" s="5"/>
      <c r="H40" s="5"/>
      <c r="I40" s="5"/>
      <c r="J40" s="5"/>
      <c r="K40" s="5"/>
      <c r="L40" s="5"/>
    </row>
    <row r="41" spans="1:12" ht="15.75" x14ac:dyDescent="0.3">
      <c r="A41" s="1"/>
      <c r="B41" s="48"/>
      <c r="C41" s="48"/>
      <c r="D41" s="48"/>
      <c r="E41" s="48"/>
      <c r="F41" s="48"/>
      <c r="G41" s="5"/>
      <c r="H41" s="5"/>
      <c r="I41" s="5"/>
      <c r="J41" s="5"/>
      <c r="K41" s="5"/>
      <c r="L41" s="5"/>
    </row>
    <row r="42" spans="1:12" ht="15.75" x14ac:dyDescent="0.3">
      <c r="A42" s="1"/>
      <c r="B42" s="48"/>
      <c r="C42" s="48"/>
      <c r="D42" s="48"/>
      <c r="E42" s="48"/>
      <c r="F42" s="48"/>
      <c r="G42" s="5"/>
      <c r="H42" s="5"/>
      <c r="I42" s="5"/>
      <c r="J42" s="5"/>
      <c r="K42" s="5"/>
      <c r="L42" s="5"/>
    </row>
    <row r="43" spans="1:12" ht="15.75" x14ac:dyDescent="0.3">
      <c r="A43" s="1"/>
      <c r="B43" s="48"/>
      <c r="C43" s="48"/>
      <c r="D43" s="48"/>
      <c r="E43" s="48"/>
      <c r="F43" s="48"/>
      <c r="G43" s="5"/>
      <c r="H43" s="5"/>
      <c r="I43" s="5"/>
      <c r="J43" s="5"/>
      <c r="K43" s="5"/>
      <c r="L43" s="5"/>
    </row>
    <row r="44" spans="1:12" ht="15.75" x14ac:dyDescent="0.3">
      <c r="A44" s="1"/>
      <c r="B44" s="48"/>
      <c r="C44" s="48"/>
      <c r="D44" s="48"/>
      <c r="E44" s="48"/>
      <c r="F44" s="48"/>
      <c r="G44" s="5"/>
      <c r="H44" s="5"/>
      <c r="I44" s="5"/>
      <c r="J44" s="5"/>
      <c r="K44" s="5"/>
      <c r="L44" s="5"/>
    </row>
    <row r="45" spans="1:12" ht="15.75" x14ac:dyDescent="0.3">
      <c r="A45" s="1"/>
      <c r="B45" s="48"/>
      <c r="C45" s="48"/>
      <c r="D45" s="48"/>
      <c r="E45" s="48"/>
      <c r="F45" s="48"/>
      <c r="G45" s="5"/>
      <c r="H45" s="5"/>
      <c r="I45" s="5"/>
      <c r="J45" s="5"/>
      <c r="K45" s="5"/>
      <c r="L45" s="5"/>
    </row>
    <row r="46" spans="1:12" ht="15.75" x14ac:dyDescent="0.3">
      <c r="A46" s="1"/>
      <c r="B46" s="48"/>
      <c r="C46" s="48"/>
      <c r="D46" s="48"/>
      <c r="E46" s="48"/>
      <c r="F46" s="48"/>
      <c r="G46" s="5"/>
      <c r="H46" s="5"/>
      <c r="I46" s="5"/>
      <c r="J46" s="5"/>
      <c r="K46" s="5"/>
      <c r="L46" s="5"/>
    </row>
    <row r="47" spans="1:12" ht="15.75" x14ac:dyDescent="0.3">
      <c r="A47" s="1"/>
      <c r="B47" s="48"/>
      <c r="C47" s="48"/>
      <c r="D47" s="48"/>
      <c r="E47" s="48"/>
      <c r="F47" s="48"/>
      <c r="G47" s="5"/>
      <c r="H47" s="5"/>
      <c r="I47" s="5"/>
      <c r="J47" s="5"/>
      <c r="K47" s="5"/>
      <c r="L47" s="5"/>
    </row>
    <row r="48" spans="1:12" ht="15.75" x14ac:dyDescent="0.3">
      <c r="A48" s="1"/>
      <c r="B48" s="48"/>
      <c r="C48" s="48"/>
      <c r="D48" s="48"/>
      <c r="E48" s="48"/>
      <c r="F48" s="48"/>
      <c r="G48" s="5"/>
      <c r="H48" s="5"/>
      <c r="I48" s="5"/>
      <c r="J48" s="5"/>
      <c r="K48" s="5"/>
      <c r="L48" s="5"/>
    </row>
    <row r="49" spans="1:12" ht="15.75" x14ac:dyDescent="0.3">
      <c r="A49" s="1"/>
      <c r="B49" s="48"/>
      <c r="C49" s="48"/>
      <c r="D49" s="48"/>
      <c r="E49" s="48"/>
      <c r="F49" s="48"/>
      <c r="G49" s="5"/>
      <c r="H49" s="5"/>
      <c r="I49" s="5"/>
      <c r="J49" s="5"/>
      <c r="K49" s="5"/>
      <c r="L49" s="5"/>
    </row>
    <row r="50" spans="1:12" ht="15.75" x14ac:dyDescent="0.3">
      <c r="A50" s="1"/>
      <c r="B50" s="48"/>
      <c r="C50" s="48"/>
      <c r="D50" s="48"/>
      <c r="E50" s="48"/>
      <c r="F50" s="48"/>
      <c r="G50" s="5"/>
      <c r="H50" s="5"/>
      <c r="I50" s="5"/>
      <c r="J50" s="5"/>
      <c r="K50" s="5"/>
      <c r="L50" s="5"/>
    </row>
    <row r="51" spans="1:12" ht="15.75" x14ac:dyDescent="0.3">
      <c r="A51" s="1"/>
      <c r="B51" s="48"/>
      <c r="C51" s="48"/>
      <c r="D51" s="48"/>
      <c r="E51" s="48"/>
      <c r="F51" s="48"/>
      <c r="G51" s="5"/>
      <c r="H51" s="5"/>
      <c r="I51" s="5"/>
      <c r="J51" s="5"/>
      <c r="K51" s="5"/>
      <c r="L51" s="5"/>
    </row>
    <row r="52" spans="1:12" ht="15.75" x14ac:dyDescent="0.3">
      <c r="A52" s="1"/>
      <c r="B52" s="48"/>
      <c r="C52" s="48"/>
      <c r="D52" s="48"/>
      <c r="E52" s="48"/>
      <c r="F52" s="48"/>
      <c r="G52" s="5"/>
      <c r="H52" s="5"/>
      <c r="I52" s="5"/>
      <c r="J52" s="5"/>
      <c r="K52" s="5"/>
      <c r="L52" s="5"/>
    </row>
    <row r="53" spans="1:12" ht="15.75" x14ac:dyDescent="0.3">
      <c r="A53" s="1"/>
      <c r="B53" s="48"/>
      <c r="C53" s="48"/>
      <c r="D53" s="48"/>
      <c r="E53" s="48"/>
      <c r="F53" s="48"/>
      <c r="G53" s="5"/>
      <c r="H53" s="5"/>
      <c r="I53" s="5"/>
      <c r="J53" s="5"/>
      <c r="K53" s="5"/>
      <c r="L53" s="5"/>
    </row>
    <row r="54" spans="1:12" ht="15.75" x14ac:dyDescent="0.3">
      <c r="A54" s="1"/>
      <c r="B54" s="48"/>
      <c r="C54" s="48"/>
      <c r="D54" s="48"/>
      <c r="E54" s="48"/>
      <c r="F54" s="48"/>
      <c r="G54" s="5"/>
      <c r="H54" s="5"/>
      <c r="I54" s="5"/>
      <c r="J54" s="5"/>
      <c r="K54" s="5"/>
      <c r="L54" s="5"/>
    </row>
    <row r="55" spans="1:12" ht="15.75" x14ac:dyDescent="0.3">
      <c r="A55" s="1"/>
      <c r="B55" s="48"/>
      <c r="C55" s="48"/>
      <c r="D55" s="48"/>
      <c r="E55" s="48"/>
      <c r="F55" s="48"/>
      <c r="G55" s="5"/>
      <c r="H55" s="5"/>
      <c r="I55" s="5"/>
      <c r="J55" s="5"/>
      <c r="K55" s="5"/>
      <c r="L55" s="5"/>
    </row>
    <row r="56" spans="1:12" ht="15.75" x14ac:dyDescent="0.3">
      <c r="A56" s="1"/>
      <c r="B56" s="48"/>
      <c r="C56" s="48"/>
      <c r="D56" s="48"/>
      <c r="E56" s="48"/>
      <c r="F56" s="48"/>
      <c r="G56" s="5"/>
      <c r="H56" s="5"/>
      <c r="I56" s="5"/>
      <c r="J56" s="5"/>
      <c r="K56" s="5"/>
      <c r="L56" s="5"/>
    </row>
    <row r="57" spans="1:12" ht="15.75" x14ac:dyDescent="0.3">
      <c r="A57" s="1"/>
      <c r="B57" s="48"/>
      <c r="C57" s="48"/>
      <c r="D57" s="48"/>
      <c r="E57" s="48"/>
      <c r="F57" s="48"/>
      <c r="G57" s="5"/>
      <c r="H57" s="5"/>
      <c r="I57" s="5"/>
      <c r="J57" s="5"/>
      <c r="K57" s="5"/>
      <c r="L57" s="5"/>
    </row>
    <row r="58" spans="1:12" ht="15.75" x14ac:dyDescent="0.3">
      <c r="A58" s="1"/>
      <c r="B58" s="48"/>
      <c r="C58" s="48"/>
      <c r="D58" s="48"/>
      <c r="E58" s="48"/>
      <c r="F58" s="48"/>
      <c r="G58" s="5"/>
      <c r="H58" s="5"/>
      <c r="I58" s="5"/>
      <c r="J58" s="5"/>
      <c r="K58" s="5"/>
      <c r="L58" s="5"/>
    </row>
    <row r="59" spans="1:12" ht="15.75" x14ac:dyDescent="0.3">
      <c r="A59" s="1"/>
      <c r="B59" s="48"/>
      <c r="C59" s="48"/>
      <c r="D59" s="48"/>
      <c r="E59" s="48"/>
      <c r="F59" s="48"/>
      <c r="G59" s="5"/>
      <c r="H59" s="5"/>
      <c r="I59" s="5"/>
      <c r="J59" s="5"/>
      <c r="K59" s="5"/>
      <c r="L59" s="5"/>
    </row>
    <row r="60" spans="1:12" ht="15.75" x14ac:dyDescent="0.3">
      <c r="A60" s="1"/>
      <c r="B60" s="48"/>
      <c r="C60" s="48"/>
      <c r="D60" s="48"/>
      <c r="E60" s="48"/>
      <c r="F60" s="48"/>
      <c r="G60" s="5"/>
      <c r="H60" s="5"/>
      <c r="I60" s="5"/>
      <c r="J60" s="5"/>
      <c r="K60" s="5"/>
      <c r="L60" s="5"/>
    </row>
    <row r="61" spans="1:12" ht="15.75" x14ac:dyDescent="0.3">
      <c r="A61" s="1"/>
      <c r="B61" s="48"/>
      <c r="C61" s="48"/>
      <c r="D61" s="48"/>
      <c r="E61" s="48"/>
      <c r="F61" s="48"/>
      <c r="G61" s="5"/>
      <c r="H61" s="5"/>
      <c r="I61" s="5"/>
      <c r="J61" s="5"/>
      <c r="K61" s="5"/>
      <c r="L61" s="5"/>
    </row>
    <row r="62" spans="1:12" ht="15.75" x14ac:dyDescent="0.3">
      <c r="A62" s="1"/>
      <c r="B62" s="48"/>
      <c r="C62" s="48"/>
      <c r="D62" s="48"/>
      <c r="E62" s="48"/>
      <c r="F62" s="48"/>
      <c r="G62" s="5"/>
      <c r="H62" s="5"/>
      <c r="I62" s="5"/>
      <c r="J62" s="5"/>
      <c r="K62" s="5"/>
      <c r="L62" s="5"/>
    </row>
    <row r="63" spans="1:12" ht="15.75" x14ac:dyDescent="0.3">
      <c r="A63" s="1"/>
      <c r="B63" s="48"/>
      <c r="C63" s="48"/>
      <c r="D63" s="48"/>
      <c r="E63" s="48"/>
      <c r="F63" s="48"/>
      <c r="G63" s="5"/>
      <c r="H63" s="5"/>
      <c r="I63" s="5"/>
      <c r="J63" s="5"/>
      <c r="K63" s="5"/>
      <c r="L63" s="5"/>
    </row>
    <row r="64" spans="1:12" ht="15.75" x14ac:dyDescent="0.3">
      <c r="A64" s="1"/>
      <c r="B64" s="48"/>
      <c r="C64" s="48"/>
      <c r="D64" s="48"/>
      <c r="E64" s="48"/>
      <c r="F64" s="48"/>
      <c r="G64" s="5"/>
      <c r="H64" s="5"/>
      <c r="I64" s="5"/>
      <c r="J64" s="5"/>
      <c r="K64" s="5"/>
      <c r="L64" s="5"/>
    </row>
    <row r="65" spans="1:12" ht="15.75" x14ac:dyDescent="0.3">
      <c r="A65" s="1"/>
      <c r="B65" s="48"/>
      <c r="C65" s="48"/>
      <c r="D65" s="48"/>
      <c r="E65" s="48"/>
      <c r="F65" s="48"/>
      <c r="G65" s="5"/>
      <c r="H65" s="5"/>
      <c r="I65" s="5"/>
      <c r="J65" s="5"/>
      <c r="K65" s="5"/>
      <c r="L65" s="5"/>
    </row>
    <row r="66" spans="1:12" ht="15.75" x14ac:dyDescent="0.3">
      <c r="A66" s="1"/>
      <c r="B66" s="48"/>
      <c r="C66" s="48"/>
      <c r="D66" s="48"/>
      <c r="E66" s="48"/>
      <c r="F66" s="48"/>
      <c r="G66" s="5"/>
      <c r="H66" s="5"/>
      <c r="I66" s="5"/>
      <c r="J66" s="5"/>
      <c r="K66" s="5"/>
      <c r="L66" s="5"/>
    </row>
    <row r="67" spans="1:12" ht="15.75" x14ac:dyDescent="0.3">
      <c r="A67" s="1"/>
      <c r="B67" s="48"/>
      <c r="C67" s="48"/>
      <c r="D67" s="48"/>
      <c r="E67" s="48"/>
      <c r="F67" s="48"/>
      <c r="G67" s="5"/>
      <c r="H67" s="5"/>
      <c r="I67" s="5"/>
      <c r="J67" s="5"/>
      <c r="K67" s="5"/>
      <c r="L67" s="5"/>
    </row>
    <row r="68" spans="1:12" ht="15.75" x14ac:dyDescent="0.3">
      <c r="A68" s="1"/>
      <c r="B68" s="48"/>
      <c r="C68" s="48"/>
      <c r="D68" s="48"/>
      <c r="E68" s="48"/>
      <c r="F68" s="48"/>
      <c r="G68" s="5"/>
      <c r="H68" s="5"/>
      <c r="I68" s="5"/>
      <c r="J68" s="5"/>
      <c r="K68" s="5"/>
      <c r="L68" s="5"/>
    </row>
    <row r="69" spans="1:12" ht="15.75" x14ac:dyDescent="0.3">
      <c r="A69" s="1"/>
      <c r="B69" s="48"/>
      <c r="C69" s="48"/>
      <c r="D69" s="48"/>
      <c r="E69" s="48"/>
      <c r="F69" s="48"/>
      <c r="G69" s="5"/>
      <c r="H69" s="5"/>
      <c r="I69" s="5"/>
      <c r="J69" s="5"/>
      <c r="K69" s="5"/>
      <c r="L69" s="5"/>
    </row>
    <row r="70" spans="1:12" ht="15.75" x14ac:dyDescent="0.3">
      <c r="A70" s="1"/>
      <c r="B70" s="48"/>
      <c r="C70" s="48"/>
      <c r="D70" s="48"/>
      <c r="E70" s="48"/>
      <c r="F70" s="48"/>
      <c r="G70" s="5"/>
      <c r="H70" s="5"/>
      <c r="I70" s="5"/>
      <c r="J70" s="5"/>
      <c r="K70" s="5"/>
      <c r="L70" s="5"/>
    </row>
    <row r="71" spans="1:12" ht="15.75" x14ac:dyDescent="0.3">
      <c r="A71" s="1"/>
      <c r="B71" s="48"/>
      <c r="C71" s="48"/>
      <c r="D71" s="48"/>
      <c r="E71" s="48"/>
      <c r="F71" s="48"/>
      <c r="G71" s="5"/>
      <c r="H71" s="5"/>
      <c r="I71" s="5"/>
      <c r="J71" s="5"/>
      <c r="K71" s="5"/>
      <c r="L71" s="5"/>
    </row>
    <row r="72" spans="1:12" ht="15.75" x14ac:dyDescent="0.3">
      <c r="A72" s="1"/>
      <c r="B72" s="48"/>
      <c r="C72" s="48"/>
      <c r="D72" s="48"/>
      <c r="E72" s="48"/>
      <c r="F72" s="48"/>
      <c r="G72" s="5"/>
      <c r="H72" s="5"/>
      <c r="I72" s="5"/>
      <c r="J72" s="5"/>
      <c r="K72" s="5"/>
      <c r="L72" s="5"/>
    </row>
    <row r="73" spans="1:12" ht="15.75" x14ac:dyDescent="0.3">
      <c r="A73" s="1"/>
      <c r="B73" s="48"/>
      <c r="C73" s="48"/>
      <c r="D73" s="48"/>
      <c r="E73" s="48"/>
      <c r="F73" s="48"/>
      <c r="G73" s="5"/>
      <c r="H73" s="5"/>
      <c r="I73" s="5"/>
      <c r="J73" s="5"/>
      <c r="K73" s="5"/>
      <c r="L73" s="5"/>
    </row>
    <row r="74" spans="1:12" ht="15.75" x14ac:dyDescent="0.3">
      <c r="A74" s="1"/>
      <c r="B74" s="48"/>
      <c r="C74" s="48"/>
      <c r="D74" s="48"/>
      <c r="E74" s="48"/>
      <c r="F74" s="48"/>
      <c r="G74" s="5"/>
      <c r="H74" s="5"/>
      <c r="I74" s="5"/>
      <c r="J74" s="5"/>
      <c r="K74" s="5"/>
      <c r="L74" s="5"/>
    </row>
    <row r="75" spans="1:12" ht="15.75" x14ac:dyDescent="0.3">
      <c r="A75" s="1"/>
      <c r="B75" s="48"/>
      <c r="C75" s="48"/>
      <c r="D75" s="48"/>
      <c r="E75" s="48"/>
      <c r="F75" s="48"/>
      <c r="G75" s="5"/>
      <c r="H75" s="5"/>
      <c r="I75" s="5"/>
      <c r="J75" s="5"/>
      <c r="K75" s="5"/>
      <c r="L75" s="5"/>
    </row>
    <row r="76" spans="1:12" ht="15.75" x14ac:dyDescent="0.3">
      <c r="A76" s="1"/>
      <c r="B76" s="48"/>
      <c r="C76" s="48"/>
      <c r="D76" s="48"/>
      <c r="E76" s="48"/>
      <c r="F76" s="48"/>
      <c r="G76" s="5"/>
      <c r="H76" s="5"/>
      <c r="I76" s="5"/>
      <c r="J76" s="5"/>
      <c r="K76" s="5"/>
      <c r="L76" s="5"/>
    </row>
    <row r="77" spans="1:12" ht="15.75" x14ac:dyDescent="0.3">
      <c r="A77" s="1"/>
      <c r="B77" s="48"/>
      <c r="C77" s="48"/>
      <c r="D77" s="48"/>
      <c r="E77" s="48"/>
      <c r="F77" s="48"/>
      <c r="G77" s="5"/>
      <c r="H77" s="5"/>
      <c r="I77" s="5"/>
      <c r="J77" s="5"/>
      <c r="K77" s="5"/>
      <c r="L77" s="5"/>
    </row>
    <row r="78" spans="1:12" ht="15.75" x14ac:dyDescent="0.3">
      <c r="A78" s="1"/>
      <c r="B78" s="48"/>
      <c r="C78" s="48"/>
      <c r="D78" s="48"/>
      <c r="E78" s="48"/>
      <c r="F78" s="48"/>
      <c r="G78" s="5"/>
      <c r="H78" s="5"/>
      <c r="I78" s="5"/>
      <c r="J78" s="5"/>
      <c r="K78" s="5"/>
      <c r="L78" s="5"/>
    </row>
    <row r="79" spans="1:12" ht="15.75" x14ac:dyDescent="0.3">
      <c r="A79" s="1"/>
      <c r="B79" s="48"/>
      <c r="C79" s="48"/>
      <c r="D79" s="48"/>
      <c r="E79" s="48"/>
      <c r="F79" s="48"/>
      <c r="G79" s="5"/>
      <c r="H79" s="5"/>
      <c r="I79" s="5"/>
      <c r="J79" s="5"/>
      <c r="K79" s="5"/>
      <c r="L79" s="5"/>
    </row>
    <row r="80" spans="1:12" ht="15.75" x14ac:dyDescent="0.3">
      <c r="A80" s="1"/>
      <c r="B80" s="48"/>
      <c r="C80" s="48"/>
      <c r="D80" s="48"/>
      <c r="E80" s="48"/>
      <c r="F80" s="48"/>
      <c r="G80" s="5"/>
      <c r="H80" s="5"/>
      <c r="I80" s="5"/>
      <c r="J80" s="5"/>
      <c r="K80" s="5"/>
      <c r="L80" s="5"/>
    </row>
    <row r="81" spans="1:12" ht="15.75" x14ac:dyDescent="0.3">
      <c r="A81" s="1"/>
      <c r="B81" s="48"/>
      <c r="C81" s="48"/>
      <c r="D81" s="48"/>
      <c r="E81" s="48"/>
      <c r="F81" s="48"/>
      <c r="G81" s="5"/>
      <c r="H81" s="5"/>
      <c r="I81" s="5"/>
      <c r="J81" s="5"/>
      <c r="K81" s="5"/>
      <c r="L81" s="5"/>
    </row>
    <row r="82" spans="1:12" ht="15.75" x14ac:dyDescent="0.3">
      <c r="A82" s="1"/>
      <c r="B82" s="48"/>
      <c r="C82" s="48"/>
      <c r="D82" s="48"/>
      <c r="E82" s="48"/>
      <c r="F82" s="48"/>
      <c r="G82" s="5"/>
      <c r="H82" s="5"/>
      <c r="I82" s="5"/>
      <c r="J82" s="5"/>
      <c r="K82" s="5"/>
      <c r="L82" s="5"/>
    </row>
    <row r="83" spans="1:12" ht="15.75" x14ac:dyDescent="0.3">
      <c r="A83" s="1"/>
      <c r="B83" s="48"/>
      <c r="C83" s="48"/>
      <c r="D83" s="48"/>
      <c r="E83" s="48"/>
      <c r="F83" s="48"/>
      <c r="G83" s="5"/>
      <c r="H83" s="5"/>
      <c r="I83" s="5"/>
      <c r="J83" s="5"/>
      <c r="K83" s="5"/>
      <c r="L83" s="5"/>
    </row>
    <row r="84" spans="1:12" ht="15.75" x14ac:dyDescent="0.3">
      <c r="A84" s="1"/>
      <c r="B84" s="48"/>
      <c r="C84" s="48"/>
      <c r="D84" s="48"/>
      <c r="E84" s="48"/>
      <c r="F84" s="48"/>
      <c r="G84" s="5"/>
      <c r="H84" s="5"/>
      <c r="I84" s="5"/>
      <c r="J84" s="5"/>
      <c r="K84" s="5"/>
      <c r="L84" s="5"/>
    </row>
    <row r="85" spans="1:12" ht="15.75" x14ac:dyDescent="0.3">
      <c r="A85" s="1"/>
      <c r="B85" s="48"/>
      <c r="C85" s="48"/>
      <c r="D85" s="48"/>
      <c r="E85" s="48"/>
      <c r="F85" s="48"/>
      <c r="G85" s="5"/>
      <c r="H85" s="5"/>
      <c r="I85" s="5"/>
      <c r="J85" s="5"/>
      <c r="K85" s="5"/>
      <c r="L85" s="5"/>
    </row>
    <row r="86" spans="1:12" ht="15.75" x14ac:dyDescent="0.3">
      <c r="A86" s="1"/>
      <c r="B86" s="48"/>
      <c r="C86" s="48"/>
      <c r="D86" s="48"/>
      <c r="E86" s="48"/>
      <c r="F86" s="48"/>
      <c r="G86" s="5"/>
      <c r="H86" s="5"/>
      <c r="I86" s="5"/>
      <c r="J86" s="5"/>
      <c r="K86" s="5"/>
      <c r="L86" s="5"/>
    </row>
    <row r="87" spans="1:12" ht="15.75" x14ac:dyDescent="0.3">
      <c r="A87" s="1"/>
      <c r="B87" s="48"/>
      <c r="C87" s="48"/>
      <c r="D87" s="48"/>
      <c r="E87" s="48"/>
      <c r="F87" s="48"/>
      <c r="G87" s="5"/>
      <c r="H87" s="5"/>
      <c r="I87" s="5"/>
      <c r="J87" s="5"/>
      <c r="K87" s="5"/>
      <c r="L87" s="5"/>
    </row>
    <row r="88" spans="1:12" ht="15.75" x14ac:dyDescent="0.3">
      <c r="A88" s="1"/>
      <c r="B88" s="48"/>
      <c r="C88" s="48"/>
      <c r="D88" s="48"/>
      <c r="E88" s="48"/>
      <c r="F88" s="48"/>
      <c r="G88" s="5"/>
      <c r="H88" s="5"/>
      <c r="I88" s="5"/>
      <c r="J88" s="5"/>
      <c r="K88" s="5"/>
      <c r="L88" s="5"/>
    </row>
    <row r="89" spans="1:12" ht="15.75" x14ac:dyDescent="0.3">
      <c r="A89" s="1"/>
      <c r="B89" s="48"/>
      <c r="C89" s="48"/>
      <c r="D89" s="48"/>
      <c r="E89" s="48"/>
      <c r="F89" s="48"/>
      <c r="G89" s="5"/>
      <c r="H89" s="5"/>
      <c r="I89" s="5"/>
      <c r="J89" s="5"/>
      <c r="K89" s="5"/>
      <c r="L89" s="5"/>
    </row>
    <row r="90" spans="1:12" ht="15.75" x14ac:dyDescent="0.3">
      <c r="A90" s="1"/>
      <c r="B90" s="48"/>
      <c r="C90" s="48"/>
      <c r="D90" s="48"/>
      <c r="E90" s="48"/>
      <c r="F90" s="48"/>
      <c r="G90" s="5"/>
      <c r="H90" s="5"/>
      <c r="I90" s="5"/>
      <c r="J90" s="5"/>
      <c r="K90" s="5"/>
      <c r="L90" s="5"/>
    </row>
    <row r="91" spans="1:12" ht="15.75" x14ac:dyDescent="0.3">
      <c r="A91" s="1"/>
      <c r="B91" s="48"/>
      <c r="C91" s="48"/>
      <c r="D91" s="48"/>
      <c r="E91" s="48"/>
      <c r="F91" s="48"/>
      <c r="G91" s="5"/>
      <c r="H91" s="5"/>
      <c r="I91" s="5"/>
      <c r="J91" s="5"/>
      <c r="K91" s="5"/>
      <c r="L91" s="5"/>
    </row>
    <row r="92" spans="1:12" ht="15.75" x14ac:dyDescent="0.3">
      <c r="A92" s="1"/>
      <c r="B92" s="48"/>
      <c r="C92" s="48"/>
      <c r="D92" s="48"/>
      <c r="E92" s="48"/>
      <c r="F92" s="48"/>
      <c r="G92" s="5"/>
      <c r="H92" s="5"/>
      <c r="I92" s="5"/>
      <c r="J92" s="5"/>
      <c r="K92" s="5"/>
      <c r="L92" s="5"/>
    </row>
    <row r="93" spans="1:12" ht="15.75" x14ac:dyDescent="0.3">
      <c r="A93" s="1"/>
      <c r="B93" s="48"/>
      <c r="C93" s="48"/>
      <c r="D93" s="48"/>
      <c r="E93" s="48"/>
      <c r="F93" s="48"/>
      <c r="G93" s="5"/>
      <c r="H93" s="5"/>
      <c r="I93" s="5"/>
      <c r="J93" s="5"/>
      <c r="K93" s="5"/>
      <c r="L93" s="5"/>
    </row>
    <row r="94" spans="1:12" ht="15.75" x14ac:dyDescent="0.3">
      <c r="A94" s="1"/>
      <c r="B94" s="48"/>
      <c r="C94" s="48"/>
      <c r="D94" s="48"/>
      <c r="E94" s="48"/>
      <c r="F94" s="48"/>
      <c r="G94" s="5"/>
      <c r="H94" s="5"/>
      <c r="I94" s="5"/>
      <c r="J94" s="5"/>
      <c r="K94" s="5"/>
      <c r="L94" s="5"/>
    </row>
    <row r="95" spans="1:12" ht="15.75" x14ac:dyDescent="0.3">
      <c r="A95" s="1"/>
      <c r="B95" s="48"/>
      <c r="C95" s="48"/>
      <c r="D95" s="48"/>
      <c r="E95" s="48"/>
      <c r="F95" s="48"/>
      <c r="G95" s="5"/>
      <c r="H95" s="5"/>
      <c r="I95" s="5"/>
      <c r="J95" s="5"/>
      <c r="K95" s="5"/>
      <c r="L95" s="5"/>
    </row>
    <row r="96" spans="1:12" ht="15.75" x14ac:dyDescent="0.3">
      <c r="A96" s="1"/>
      <c r="B96" s="48"/>
      <c r="C96" s="48"/>
      <c r="D96" s="48"/>
      <c r="E96" s="48"/>
      <c r="F96" s="48"/>
      <c r="G96" s="5"/>
      <c r="H96" s="5"/>
      <c r="I96" s="5"/>
      <c r="J96" s="5"/>
      <c r="K96" s="5"/>
      <c r="L96" s="5"/>
    </row>
    <row r="97" spans="1:12" ht="15.75" x14ac:dyDescent="0.3">
      <c r="A97" s="1"/>
      <c r="B97" s="48"/>
      <c r="C97" s="48"/>
      <c r="D97" s="48"/>
      <c r="E97" s="48"/>
      <c r="F97" s="48"/>
      <c r="G97" s="5"/>
      <c r="H97" s="5"/>
      <c r="I97" s="5"/>
      <c r="J97" s="5"/>
      <c r="K97" s="5"/>
      <c r="L97" s="5"/>
    </row>
  </sheetData>
  <sheetProtection algorithmName="SHA-512" hashValue="KCNA0j/Y9n7ENo/L17HY9CGzK03LdtfY2W9/h7Q1Giik0Xzsujj8/Zh6yzaxMda/8T0CQJKQbT/evqe+4O1tvQ==" saltValue="TfgsCW8h6XSKlrWu6Aal2A==" spinCount="100000" sheet="1" objects="1" scenarios="1"/>
  <mergeCells count="1">
    <mergeCell ref="A14:F15"/>
  </mergeCells>
  <printOptions horizontalCentered="1"/>
  <pageMargins left="0.25" right="0.25" top="0.75" bottom="0.75" header="0.3" footer="0.3"/>
  <pageSetup orientation="landscape" r:id="rId1"/>
  <headerFooter>
    <oddFooter>&amp;C&amp;"Century Gothic,Regular"&amp;9Page &amp;P of &amp;N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D619F-C476-44CA-82B0-20229E684176}">
  <sheetPr>
    <pageSetUpPr fitToPage="1"/>
  </sheetPr>
  <dimension ref="A1:M199"/>
  <sheetViews>
    <sheetView zoomScale="130" zoomScaleNormal="130" zoomScaleSheetLayoutView="130" workbookViewId="0">
      <pane xSplit="2" ySplit="3" topLeftCell="C4" activePane="bottomRight" state="frozen"/>
      <selection activeCell="C5" sqref="C5"/>
      <selection pane="topRight" activeCell="C5" sqref="C5"/>
      <selection pane="bottomLeft" activeCell="C5" sqref="C5"/>
      <selection pane="bottomRight" activeCell="C4" sqref="C4"/>
    </sheetView>
  </sheetViews>
  <sheetFormatPr baseColWidth="10" defaultColWidth="8.85546875" defaultRowHeight="15.75" x14ac:dyDescent="0.3"/>
  <cols>
    <col min="1" max="1" width="12.7109375" customWidth="1"/>
    <col min="2" max="2" width="35.7109375" style="7" customWidth="1"/>
    <col min="3" max="7" width="13.7109375" style="67" customWidth="1"/>
    <col min="8" max="8" width="45.140625" customWidth="1"/>
  </cols>
  <sheetData>
    <row r="1" spans="1:13" s="7" customFormat="1" ht="20.45" customHeight="1" x14ac:dyDescent="0.3">
      <c r="A1" s="89" t="s">
        <v>791</v>
      </c>
      <c r="B1" s="89"/>
      <c r="C1" s="33"/>
      <c r="D1" s="33"/>
      <c r="E1" s="33"/>
      <c r="F1" s="33"/>
      <c r="G1" s="34"/>
      <c r="H1" s="1"/>
      <c r="I1" s="1"/>
      <c r="J1" s="1"/>
      <c r="K1" s="1"/>
      <c r="L1" s="1"/>
      <c r="M1" s="1"/>
    </row>
    <row r="2" spans="1:13" s="7" customFormat="1" ht="15" customHeight="1" x14ac:dyDescent="0.3">
      <c r="A2" s="90" t="s">
        <v>35</v>
      </c>
      <c r="B2" s="329"/>
      <c r="C2" s="35"/>
      <c r="D2" s="35"/>
      <c r="E2" s="35"/>
      <c r="F2" s="35"/>
      <c r="G2" s="36"/>
      <c r="H2" s="1"/>
      <c r="I2" s="1"/>
      <c r="J2" s="1"/>
      <c r="K2" s="1"/>
      <c r="L2" s="1"/>
      <c r="M2" s="1"/>
    </row>
    <row r="3" spans="1:13" s="7" customFormat="1" ht="15" customHeight="1" x14ac:dyDescent="0.3">
      <c r="A3" s="91"/>
      <c r="B3" s="363"/>
      <c r="C3" s="442">
        <v>2018</v>
      </c>
      <c r="D3" s="442">
        <v>2019</v>
      </c>
      <c r="E3" s="442">
        <v>2020</v>
      </c>
      <c r="F3" s="442">
        <v>2021</v>
      </c>
      <c r="G3" s="443">
        <v>2022</v>
      </c>
      <c r="H3" s="1"/>
      <c r="I3" s="1"/>
      <c r="J3" s="1"/>
      <c r="K3" s="1"/>
      <c r="L3" s="1"/>
      <c r="M3" s="1"/>
    </row>
    <row r="4" spans="1:13" s="20" customFormat="1" ht="15.75" customHeight="1" x14ac:dyDescent="0.3">
      <c r="A4" s="92" t="s">
        <v>198</v>
      </c>
      <c r="B4" s="92"/>
      <c r="C4" s="444"/>
      <c r="D4" s="444"/>
      <c r="E4" s="444"/>
      <c r="F4" s="483"/>
      <c r="G4" s="445"/>
      <c r="H4" s="6"/>
      <c r="I4" s="6"/>
      <c r="J4" s="6"/>
      <c r="K4" s="6"/>
      <c r="L4" s="6"/>
      <c r="M4" s="6"/>
    </row>
    <row r="5" spans="1:13" s="20" customFormat="1" ht="15" customHeight="1" x14ac:dyDescent="0.3">
      <c r="A5" s="126" t="s">
        <v>359</v>
      </c>
      <c r="B5" s="126"/>
      <c r="C5" s="541"/>
      <c r="D5" s="541"/>
      <c r="E5" s="541"/>
      <c r="F5" s="541"/>
      <c r="G5" s="542"/>
      <c r="H5" s="6"/>
      <c r="I5" s="6"/>
      <c r="J5" s="6"/>
      <c r="K5" s="6"/>
      <c r="L5" s="6"/>
      <c r="M5" s="6"/>
    </row>
    <row r="6" spans="1:13" s="20" customFormat="1" ht="13.5" x14ac:dyDescent="0.3">
      <c r="A6" s="1028" t="s">
        <v>748</v>
      </c>
      <c r="B6" s="419" t="s">
        <v>124</v>
      </c>
      <c r="C6" s="196"/>
      <c r="D6" s="196"/>
      <c r="E6" s="196"/>
      <c r="F6" s="196"/>
      <c r="G6" s="197"/>
      <c r="H6" s="6"/>
      <c r="I6" s="6"/>
      <c r="J6" s="6"/>
      <c r="K6" s="6"/>
      <c r="L6" s="6"/>
      <c r="M6" s="6"/>
    </row>
    <row r="7" spans="1:13" s="20" customFormat="1" ht="13.5" x14ac:dyDescent="0.3">
      <c r="A7" s="1028"/>
      <c r="B7" s="420" t="s">
        <v>16</v>
      </c>
      <c r="C7" s="198">
        <v>1873</v>
      </c>
      <c r="D7" s="198">
        <v>2031</v>
      </c>
      <c r="E7" s="198">
        <v>2077</v>
      </c>
      <c r="F7" s="198">
        <v>2024.4</v>
      </c>
      <c r="G7" s="202">
        <v>2235</v>
      </c>
      <c r="H7" s="6"/>
      <c r="I7" s="6"/>
      <c r="J7" s="6"/>
      <c r="K7" s="6"/>
      <c r="L7" s="6"/>
      <c r="M7" s="6"/>
    </row>
    <row r="8" spans="1:13" s="20" customFormat="1" ht="13.5" x14ac:dyDescent="0.3">
      <c r="A8" s="1028"/>
      <c r="B8" s="420" t="s">
        <v>30</v>
      </c>
      <c r="C8" s="198">
        <v>2131</v>
      </c>
      <c r="D8" s="198">
        <v>1803</v>
      </c>
      <c r="E8" s="198">
        <v>706</v>
      </c>
      <c r="F8" s="198">
        <v>1473.7</v>
      </c>
      <c r="G8" s="202">
        <v>1108</v>
      </c>
      <c r="H8" s="6"/>
      <c r="I8" s="6"/>
      <c r="J8" s="6"/>
      <c r="K8" s="6"/>
      <c r="L8" s="6"/>
      <c r="M8" s="6"/>
    </row>
    <row r="9" spans="1:13" s="20" customFormat="1" ht="13.5" x14ac:dyDescent="0.3">
      <c r="A9" s="1028"/>
      <c r="B9" s="420" t="s">
        <v>17</v>
      </c>
      <c r="C9" s="198">
        <v>7938</v>
      </c>
      <c r="D9" s="198">
        <v>8749</v>
      </c>
      <c r="E9" s="198">
        <v>8088</v>
      </c>
      <c r="F9" s="198">
        <v>7975.25</v>
      </c>
      <c r="G9" s="202">
        <v>8295</v>
      </c>
      <c r="H9" s="6"/>
      <c r="I9" s="6"/>
      <c r="J9" s="6"/>
      <c r="K9" s="6"/>
      <c r="L9" s="6"/>
      <c r="M9" s="6"/>
    </row>
    <row r="10" spans="1:13" s="20" customFormat="1" ht="13.5" x14ac:dyDescent="0.3">
      <c r="A10" s="1028"/>
      <c r="B10" s="421" t="s">
        <v>29</v>
      </c>
      <c r="C10" s="198">
        <v>1262</v>
      </c>
      <c r="D10" s="198">
        <v>1667</v>
      </c>
      <c r="E10" s="198">
        <v>2008</v>
      </c>
      <c r="F10" s="198">
        <v>2244.0300000000002</v>
      </c>
      <c r="G10" s="202">
        <v>2491</v>
      </c>
      <c r="H10" s="19"/>
      <c r="I10" s="6"/>
      <c r="J10" s="6"/>
      <c r="K10" s="6"/>
      <c r="L10" s="6"/>
      <c r="M10" s="6"/>
    </row>
    <row r="11" spans="1:13" s="20" customFormat="1" ht="13.5" x14ac:dyDescent="0.3">
      <c r="A11" s="1028"/>
      <c r="B11" s="421" t="s">
        <v>18</v>
      </c>
      <c r="C11" s="198">
        <v>1699</v>
      </c>
      <c r="D11" s="198">
        <v>1924</v>
      </c>
      <c r="E11" s="198">
        <v>1513</v>
      </c>
      <c r="F11" s="198">
        <v>1954.8799999999997</v>
      </c>
      <c r="G11" s="202">
        <v>1850</v>
      </c>
      <c r="H11" s="6"/>
      <c r="I11" s="6"/>
      <c r="J11" s="6"/>
      <c r="K11" s="6"/>
      <c r="L11" s="6"/>
      <c r="M11" s="6"/>
    </row>
    <row r="12" spans="1:13" s="20" customFormat="1" ht="13.5" x14ac:dyDescent="0.3">
      <c r="A12" s="1028"/>
      <c r="B12" s="422" t="s">
        <v>21</v>
      </c>
      <c r="C12" s="28">
        <v>443</v>
      </c>
      <c r="D12" s="28">
        <v>456</v>
      </c>
      <c r="E12" s="28">
        <v>515</v>
      </c>
      <c r="F12" s="28">
        <v>501.65000000000009</v>
      </c>
      <c r="G12" s="27">
        <v>571</v>
      </c>
      <c r="H12" s="6"/>
      <c r="I12" s="6"/>
      <c r="J12" s="6"/>
      <c r="K12" s="6"/>
      <c r="L12" s="6"/>
      <c r="M12" s="6"/>
    </row>
    <row r="13" spans="1:13" s="20" customFormat="1" ht="13.5" x14ac:dyDescent="0.3">
      <c r="A13" s="1028"/>
      <c r="B13" s="419" t="s">
        <v>111</v>
      </c>
      <c r="C13" s="196"/>
      <c r="D13" s="196"/>
      <c r="E13" s="196"/>
      <c r="F13" s="196"/>
      <c r="G13" s="197"/>
      <c r="H13" s="6"/>
      <c r="I13" s="6"/>
      <c r="J13" s="6"/>
      <c r="K13" s="6"/>
      <c r="L13" s="6"/>
      <c r="M13" s="6"/>
    </row>
    <row r="14" spans="1:13" s="20" customFormat="1" ht="13.5" x14ac:dyDescent="0.3">
      <c r="A14" s="1028"/>
      <c r="B14" s="420" t="s">
        <v>23</v>
      </c>
      <c r="C14" s="198">
        <v>7193</v>
      </c>
      <c r="D14" s="198">
        <v>7946</v>
      </c>
      <c r="E14" s="198">
        <v>7093</v>
      </c>
      <c r="F14" s="198">
        <v>7980.659999999998</v>
      </c>
      <c r="G14" s="202">
        <v>8339</v>
      </c>
      <c r="H14" s="6"/>
      <c r="I14" s="6"/>
      <c r="J14" s="6"/>
      <c r="K14" s="6"/>
      <c r="L14" s="6"/>
      <c r="M14" s="6"/>
    </row>
    <row r="15" spans="1:13" s="20" customFormat="1" ht="13.5" x14ac:dyDescent="0.3">
      <c r="A15" s="1028"/>
      <c r="B15" s="423" t="s">
        <v>226</v>
      </c>
      <c r="C15" s="318">
        <v>1676</v>
      </c>
      <c r="D15" s="318">
        <v>1767</v>
      </c>
      <c r="E15" s="318">
        <v>1031</v>
      </c>
      <c r="F15" s="318">
        <v>756.89</v>
      </c>
      <c r="G15" s="327">
        <v>1031</v>
      </c>
      <c r="H15" s="6"/>
      <c r="I15" s="6"/>
      <c r="J15" s="6"/>
      <c r="K15" s="6"/>
      <c r="L15" s="6"/>
      <c r="M15" s="6"/>
    </row>
    <row r="16" spans="1:13" s="20" customFormat="1" ht="13.5" x14ac:dyDescent="0.3">
      <c r="A16" s="1028"/>
      <c r="B16" s="419" t="s">
        <v>112</v>
      </c>
      <c r="C16" s="196"/>
      <c r="D16" s="196"/>
      <c r="E16" s="196"/>
      <c r="F16" s="196"/>
      <c r="G16" s="197"/>
      <c r="H16" s="6"/>
      <c r="I16" s="6"/>
      <c r="J16" s="6"/>
      <c r="K16" s="6"/>
      <c r="L16" s="6"/>
      <c r="M16" s="6"/>
    </row>
    <row r="17" spans="1:13" s="20" customFormat="1" ht="13.5" x14ac:dyDescent="0.3">
      <c r="A17" s="1028"/>
      <c r="B17" s="88" t="s">
        <v>197</v>
      </c>
      <c r="C17" s="28">
        <v>31357</v>
      </c>
      <c r="D17" s="28">
        <v>26066</v>
      </c>
      <c r="E17" s="28">
        <v>24217</v>
      </c>
      <c r="F17" s="28">
        <v>26422.23</v>
      </c>
      <c r="G17" s="27">
        <v>28854.1</v>
      </c>
      <c r="H17" s="6"/>
      <c r="I17" s="6"/>
      <c r="J17" s="6"/>
      <c r="K17" s="6"/>
      <c r="L17" s="6"/>
      <c r="M17" s="6"/>
    </row>
    <row r="18" spans="1:13" s="20" customFormat="1" ht="13.5" x14ac:dyDescent="0.3">
      <c r="A18" s="1029"/>
      <c r="B18" s="430" t="s">
        <v>749</v>
      </c>
      <c r="C18" s="364">
        <f>SUM(C7:C17)</f>
        <v>55572</v>
      </c>
      <c r="D18" s="364">
        <f t="shared" ref="D18:F18" si="0">SUM(D7:D17)</f>
        <v>52409</v>
      </c>
      <c r="E18" s="364">
        <f t="shared" si="0"/>
        <v>47248</v>
      </c>
      <c r="F18" s="364">
        <f t="shared" si="0"/>
        <v>51333.69</v>
      </c>
      <c r="G18" s="365">
        <f>SUM(G7:G17)</f>
        <v>54774.1</v>
      </c>
      <c r="H18" s="131"/>
      <c r="I18" s="6"/>
      <c r="J18" s="6"/>
      <c r="K18" s="6"/>
      <c r="L18" s="6"/>
      <c r="M18" s="6"/>
    </row>
    <row r="19" spans="1:13" s="20" customFormat="1" ht="13.5" x14ac:dyDescent="0.3">
      <c r="A19" s="1027" t="s">
        <v>750</v>
      </c>
      <c r="B19" s="419" t="s">
        <v>124</v>
      </c>
      <c r="C19" s="196"/>
      <c r="D19" s="196"/>
      <c r="E19" s="196"/>
      <c r="F19" s="196"/>
      <c r="G19" s="197"/>
      <c r="H19" s="6"/>
      <c r="I19" s="6"/>
      <c r="J19" s="6"/>
      <c r="K19" s="6"/>
      <c r="L19" s="6"/>
      <c r="M19" s="6"/>
    </row>
    <row r="20" spans="1:13" s="20" customFormat="1" ht="13.5" x14ac:dyDescent="0.3">
      <c r="A20" s="1028"/>
      <c r="B20" s="420" t="s">
        <v>19</v>
      </c>
      <c r="C20" s="198">
        <v>584</v>
      </c>
      <c r="D20" s="198">
        <v>694</v>
      </c>
      <c r="E20" s="198">
        <v>497</v>
      </c>
      <c r="F20" s="198">
        <v>424.49</v>
      </c>
      <c r="G20" s="202">
        <v>779</v>
      </c>
      <c r="H20" s="6"/>
      <c r="I20" s="6"/>
      <c r="J20" s="6"/>
      <c r="K20" s="6"/>
      <c r="L20" s="6"/>
      <c r="M20" s="6"/>
    </row>
    <row r="21" spans="1:13" s="20" customFormat="1" ht="13.5" x14ac:dyDescent="0.3">
      <c r="A21" s="1028"/>
      <c r="B21" s="423" t="s">
        <v>20</v>
      </c>
      <c r="C21" s="318">
        <v>319</v>
      </c>
      <c r="D21" s="318">
        <v>324</v>
      </c>
      <c r="E21" s="318">
        <v>325</v>
      </c>
      <c r="F21" s="318">
        <v>332.88</v>
      </c>
      <c r="G21" s="327">
        <v>319</v>
      </c>
      <c r="H21" s="6"/>
      <c r="I21" s="6"/>
      <c r="J21" s="6"/>
      <c r="K21" s="6"/>
      <c r="L21" s="6"/>
      <c r="M21" s="6"/>
    </row>
    <row r="22" spans="1:13" s="20" customFormat="1" ht="13.5" x14ac:dyDescent="0.3">
      <c r="A22" s="1029"/>
      <c r="B22" s="430" t="s">
        <v>751</v>
      </c>
      <c r="C22" s="364">
        <f>SUM(C20:C21)</f>
        <v>903</v>
      </c>
      <c r="D22" s="364">
        <f t="shared" ref="D22:F22" si="1">SUM(D20:D21)</f>
        <v>1018</v>
      </c>
      <c r="E22" s="364">
        <f t="shared" si="1"/>
        <v>822</v>
      </c>
      <c r="F22" s="364">
        <f t="shared" si="1"/>
        <v>757.37</v>
      </c>
      <c r="G22" s="365">
        <f>SUM(G20:G21)</f>
        <v>1098</v>
      </c>
      <c r="H22" s="131"/>
      <c r="I22" s="6"/>
      <c r="J22" s="6"/>
      <c r="K22" s="6"/>
      <c r="L22" s="6"/>
      <c r="M22" s="6"/>
    </row>
    <row r="23" spans="1:13" s="20" customFormat="1" ht="13.5" x14ac:dyDescent="0.3">
      <c r="A23" s="1027" t="s">
        <v>752</v>
      </c>
      <c r="B23" s="419" t="s">
        <v>124</v>
      </c>
      <c r="C23" s="196"/>
      <c r="D23" s="196"/>
      <c r="E23" s="196"/>
      <c r="F23" s="196"/>
      <c r="G23" s="197"/>
      <c r="H23" s="6"/>
      <c r="I23" s="6"/>
      <c r="J23" s="6"/>
      <c r="K23" s="6"/>
      <c r="L23" s="6"/>
      <c r="M23" s="6"/>
    </row>
    <row r="24" spans="1:13" s="20" customFormat="1" ht="13.5" x14ac:dyDescent="0.3">
      <c r="A24" s="1028"/>
      <c r="B24" s="421" t="s">
        <v>194</v>
      </c>
      <c r="C24" s="198">
        <v>22</v>
      </c>
      <c r="D24" s="198">
        <v>18</v>
      </c>
      <c r="E24" s="198" t="s">
        <v>164</v>
      </c>
      <c r="F24" s="198" t="s">
        <v>164</v>
      </c>
      <c r="G24" s="202" t="s">
        <v>164</v>
      </c>
      <c r="H24" s="6"/>
      <c r="I24" s="6"/>
      <c r="J24" s="6"/>
      <c r="K24" s="6"/>
      <c r="L24" s="6"/>
      <c r="M24" s="6"/>
    </row>
    <row r="25" spans="1:13" s="20" customFormat="1" ht="13.5" x14ac:dyDescent="0.3">
      <c r="A25" s="1028"/>
      <c r="B25" s="421" t="s">
        <v>26</v>
      </c>
      <c r="C25" s="198">
        <v>1197</v>
      </c>
      <c r="D25" s="198">
        <v>1408</v>
      </c>
      <c r="E25" s="198">
        <v>1694</v>
      </c>
      <c r="F25" s="198">
        <v>1981.3899999999999</v>
      </c>
      <c r="G25" s="202">
        <v>2184</v>
      </c>
      <c r="H25" s="6"/>
      <c r="I25" s="6"/>
      <c r="J25" s="6"/>
      <c r="K25" s="6"/>
      <c r="L25" s="6"/>
      <c r="M25" s="6"/>
    </row>
    <row r="26" spans="1:13" s="20" customFormat="1" ht="13.5" x14ac:dyDescent="0.3">
      <c r="A26" s="1028"/>
      <c r="B26" s="421" t="s">
        <v>27</v>
      </c>
      <c r="C26" s="198">
        <v>1921</v>
      </c>
      <c r="D26" s="198">
        <v>1795</v>
      </c>
      <c r="E26" s="198">
        <v>1910</v>
      </c>
      <c r="F26" s="198">
        <v>1790.38</v>
      </c>
      <c r="G26" s="202">
        <v>1869</v>
      </c>
      <c r="H26" s="6"/>
      <c r="I26" s="6"/>
      <c r="J26" s="6"/>
      <c r="K26" s="6"/>
      <c r="L26" s="6"/>
      <c r="M26" s="6"/>
    </row>
    <row r="27" spans="1:13" s="20" customFormat="1" ht="13.5" x14ac:dyDescent="0.3">
      <c r="A27" s="1028"/>
      <c r="B27" s="422" t="s">
        <v>763</v>
      </c>
      <c r="C27" s="318">
        <v>366</v>
      </c>
      <c r="D27" s="318">
        <v>351</v>
      </c>
      <c r="E27" s="318" t="s">
        <v>164</v>
      </c>
      <c r="F27" s="318" t="s">
        <v>164</v>
      </c>
      <c r="G27" s="327" t="s">
        <v>164</v>
      </c>
      <c r="H27" s="201"/>
      <c r="I27" s="6"/>
      <c r="J27" s="6"/>
      <c r="K27" s="6"/>
      <c r="L27" s="6"/>
      <c r="M27" s="6"/>
    </row>
    <row r="28" spans="1:13" s="20" customFormat="1" ht="10.15" customHeight="1" x14ac:dyDescent="0.3">
      <c r="A28" s="1028"/>
      <c r="B28" s="419" t="s">
        <v>113</v>
      </c>
      <c r="C28" s="196"/>
      <c r="D28" s="196"/>
      <c r="E28" s="196"/>
      <c r="F28" s="196"/>
      <c r="G28" s="197"/>
      <c r="H28" s="1038"/>
      <c r="I28" s="6"/>
      <c r="J28" s="6"/>
      <c r="K28" s="6"/>
      <c r="L28" s="6"/>
      <c r="M28" s="6"/>
    </row>
    <row r="29" spans="1:13" s="20" customFormat="1" ht="13.5" x14ac:dyDescent="0.3">
      <c r="A29" s="1028"/>
      <c r="B29" s="421" t="s">
        <v>28</v>
      </c>
      <c r="C29" s="198">
        <v>846</v>
      </c>
      <c r="D29" s="198">
        <v>874</v>
      </c>
      <c r="E29" s="198">
        <v>895</v>
      </c>
      <c r="F29" s="198">
        <v>800.19</v>
      </c>
      <c r="G29" s="202">
        <v>725</v>
      </c>
      <c r="H29" s="1038"/>
      <c r="I29" s="6"/>
      <c r="J29" s="6"/>
      <c r="K29" s="6"/>
      <c r="L29" s="6"/>
      <c r="M29" s="6"/>
    </row>
    <row r="30" spans="1:13" s="20" customFormat="1" ht="13.5" x14ac:dyDescent="0.3">
      <c r="A30" s="1028"/>
      <c r="B30" s="427" t="s">
        <v>195</v>
      </c>
      <c r="C30" s="28">
        <v>78</v>
      </c>
      <c r="D30" s="28">
        <v>71</v>
      </c>
      <c r="E30" s="28">
        <v>53</v>
      </c>
      <c r="F30" s="28" t="s">
        <v>164</v>
      </c>
      <c r="G30" s="27" t="s">
        <v>164</v>
      </c>
      <c r="H30" s="1038"/>
      <c r="I30" s="6"/>
      <c r="J30" s="6"/>
      <c r="K30" s="6"/>
      <c r="L30" s="6"/>
      <c r="M30" s="6"/>
    </row>
    <row r="31" spans="1:13" s="20" customFormat="1" ht="13.5" x14ac:dyDescent="0.3">
      <c r="A31" s="1029"/>
      <c r="B31" s="430" t="s">
        <v>756</v>
      </c>
      <c r="C31" s="364">
        <f>SUM(C24:C30)</f>
        <v>4430</v>
      </c>
      <c r="D31" s="364">
        <f>SUM(D24:D30)</f>
        <v>4517</v>
      </c>
      <c r="E31" s="364">
        <f>SUM(E24:E30)</f>
        <v>4552</v>
      </c>
      <c r="F31" s="364">
        <f>SUM(F24:F30)</f>
        <v>4571.96</v>
      </c>
      <c r="G31" s="365">
        <f>SUM(G24:G30)</f>
        <v>4778</v>
      </c>
      <c r="H31" s="1038"/>
      <c r="I31" s="6"/>
      <c r="J31" s="6"/>
      <c r="K31" s="6"/>
      <c r="L31" s="6"/>
      <c r="M31" s="6"/>
    </row>
    <row r="32" spans="1:13" s="20" customFormat="1" ht="10.15" customHeight="1" x14ac:dyDescent="0.3">
      <c r="A32" s="1027" t="s">
        <v>217</v>
      </c>
      <c r="B32" s="419" t="s">
        <v>217</v>
      </c>
      <c r="C32" s="196"/>
      <c r="D32" s="196"/>
      <c r="E32" s="196"/>
      <c r="F32" s="196"/>
      <c r="G32" s="197"/>
      <c r="H32" s="1038"/>
      <c r="I32" s="6"/>
      <c r="J32" s="6"/>
      <c r="K32" s="6"/>
      <c r="L32" s="6"/>
      <c r="M32" s="6"/>
    </row>
    <row r="33" spans="1:13" s="20" customFormat="1" ht="13.5" x14ac:dyDescent="0.3">
      <c r="A33" s="1028"/>
      <c r="B33" s="421" t="s">
        <v>235</v>
      </c>
      <c r="C33" s="198">
        <v>276</v>
      </c>
      <c r="D33" s="198">
        <v>325</v>
      </c>
      <c r="E33" s="198">
        <v>339</v>
      </c>
      <c r="F33" s="198">
        <v>327.47000000000003</v>
      </c>
      <c r="G33" s="202">
        <v>393</v>
      </c>
      <c r="H33" s="1038"/>
      <c r="I33" s="6"/>
      <c r="J33" s="6"/>
      <c r="K33" s="6"/>
      <c r="L33" s="6"/>
      <c r="M33" s="6"/>
    </row>
    <row r="34" spans="1:13" s="20" customFormat="1" ht="13.5" x14ac:dyDescent="0.3">
      <c r="A34" s="1028"/>
      <c r="B34" s="426" t="s">
        <v>24</v>
      </c>
      <c r="C34" s="366">
        <v>137</v>
      </c>
      <c r="D34" s="366">
        <v>164</v>
      </c>
      <c r="E34" s="366">
        <v>163</v>
      </c>
      <c r="F34" s="366">
        <v>184.73000000000002</v>
      </c>
      <c r="G34" s="372">
        <v>153</v>
      </c>
      <c r="H34" s="1038"/>
      <c r="I34" s="6"/>
      <c r="J34" s="6"/>
      <c r="K34" s="6"/>
      <c r="L34" s="6"/>
      <c r="M34" s="6"/>
    </row>
    <row r="35" spans="1:13" s="20" customFormat="1" ht="13.5" x14ac:dyDescent="0.3">
      <c r="A35" s="1028"/>
      <c r="B35" s="427" t="s">
        <v>25</v>
      </c>
      <c r="C35" s="28">
        <v>2</v>
      </c>
      <c r="D35" s="28">
        <v>2</v>
      </c>
      <c r="E35" s="28">
        <v>1</v>
      </c>
      <c r="F35" s="28">
        <v>1.5600000000000005</v>
      </c>
      <c r="G35" s="27">
        <v>1</v>
      </c>
      <c r="H35" s="1038"/>
      <c r="I35" s="6"/>
      <c r="J35" s="6"/>
      <c r="K35" s="6"/>
      <c r="L35" s="6"/>
      <c r="M35" s="6"/>
    </row>
    <row r="36" spans="1:13" s="20" customFormat="1" ht="13.5" x14ac:dyDescent="0.3">
      <c r="A36" s="1029"/>
      <c r="B36" s="430" t="s">
        <v>757</v>
      </c>
      <c r="C36" s="364">
        <f>SUM(C33:C35)</f>
        <v>415</v>
      </c>
      <c r="D36" s="364">
        <f t="shared" ref="D36:F36" si="2">SUM(D33:D35)</f>
        <v>491</v>
      </c>
      <c r="E36" s="364">
        <f t="shared" si="2"/>
        <v>503</v>
      </c>
      <c r="F36" s="364">
        <f t="shared" si="2"/>
        <v>513.76</v>
      </c>
      <c r="G36" s="365">
        <f>SUM(G33:G35)</f>
        <v>547</v>
      </c>
      <c r="H36" s="367"/>
      <c r="I36" s="6"/>
      <c r="J36" s="6"/>
      <c r="K36" s="6"/>
      <c r="L36" s="6"/>
      <c r="M36" s="6"/>
    </row>
    <row r="37" spans="1:13" s="20" customFormat="1" ht="5.0999999999999996" customHeight="1" x14ac:dyDescent="0.3">
      <c r="A37" s="905"/>
      <c r="B37" s="368"/>
      <c r="C37" s="906"/>
      <c r="D37" s="906"/>
      <c r="E37" s="906"/>
      <c r="F37" s="906"/>
      <c r="G37" s="907"/>
      <c r="H37" s="367"/>
      <c r="I37" s="6"/>
      <c r="J37" s="6"/>
      <c r="K37" s="6"/>
      <c r="L37" s="6"/>
      <c r="M37" s="6"/>
    </row>
    <row r="38" spans="1:13" s="20" customFormat="1" ht="13.5" x14ac:dyDescent="0.3">
      <c r="A38" s="1036" t="s">
        <v>199</v>
      </c>
      <c r="B38" s="1037"/>
      <c r="C38" s="199">
        <v>61318</v>
      </c>
      <c r="D38" s="199">
        <v>58436</v>
      </c>
      <c r="E38" s="199">
        <v>53127</v>
      </c>
      <c r="F38" s="199">
        <v>57177</v>
      </c>
      <c r="G38" s="200">
        <f>+G36+G31+G22+G18</f>
        <v>61197.1</v>
      </c>
      <c r="H38" s="131"/>
      <c r="I38" s="6"/>
      <c r="J38" s="6"/>
      <c r="K38" s="6"/>
      <c r="L38" s="6"/>
      <c r="M38" s="6"/>
    </row>
    <row r="39" spans="1:13" s="20" customFormat="1" ht="13.5" x14ac:dyDescent="0.3">
      <c r="B39" s="369"/>
      <c r="C39" s="28"/>
      <c r="D39" s="28"/>
      <c r="E39" s="28"/>
      <c r="F39" s="28"/>
      <c r="G39" s="27"/>
      <c r="H39" s="6"/>
      <c r="I39" s="6"/>
      <c r="J39" s="6"/>
      <c r="K39" s="6"/>
      <c r="L39" s="6"/>
      <c r="M39" s="6"/>
    </row>
    <row r="40" spans="1:13" s="20" customFormat="1" ht="15" customHeight="1" x14ac:dyDescent="0.3">
      <c r="A40" s="126" t="s">
        <v>360</v>
      </c>
      <c r="B40" s="126"/>
      <c r="C40" s="543"/>
      <c r="D40" s="543"/>
      <c r="E40" s="543"/>
      <c r="F40" s="543"/>
      <c r="G40" s="544"/>
      <c r="H40" s="6"/>
      <c r="I40" s="6"/>
      <c r="J40" s="6"/>
      <c r="K40" s="6"/>
      <c r="L40" s="6"/>
      <c r="M40" s="6"/>
    </row>
    <row r="41" spans="1:13" s="20" customFormat="1" ht="13.5" x14ac:dyDescent="0.3">
      <c r="A41" s="1027" t="s">
        <v>748</v>
      </c>
      <c r="B41" s="419" t="s">
        <v>124</v>
      </c>
      <c r="C41" s="196"/>
      <c r="D41" s="196"/>
      <c r="E41" s="196"/>
      <c r="F41" s="196"/>
      <c r="G41" s="197"/>
      <c r="H41" s="6"/>
      <c r="I41" s="6"/>
      <c r="J41" s="6"/>
      <c r="K41" s="6"/>
      <c r="L41" s="6"/>
      <c r="M41" s="6"/>
    </row>
    <row r="42" spans="1:13" s="20" customFormat="1" ht="13.5" x14ac:dyDescent="0.3">
      <c r="A42" s="1028"/>
      <c r="B42" s="420" t="s">
        <v>16</v>
      </c>
      <c r="C42" s="198">
        <v>2072</v>
      </c>
      <c r="D42" s="198">
        <v>2080</v>
      </c>
      <c r="E42" s="198">
        <v>2088</v>
      </c>
      <c r="F42" s="198">
        <v>1852.77</v>
      </c>
      <c r="G42" s="202">
        <v>1871</v>
      </c>
      <c r="H42" s="6"/>
      <c r="I42" s="6"/>
      <c r="J42" s="6"/>
      <c r="K42" s="6"/>
      <c r="L42" s="6"/>
      <c r="M42" s="6"/>
    </row>
    <row r="43" spans="1:13" s="20" customFormat="1" ht="13.5" x14ac:dyDescent="0.3">
      <c r="A43" s="1028"/>
      <c r="B43" s="420" t="s">
        <v>30</v>
      </c>
      <c r="C43" s="198">
        <v>1724</v>
      </c>
      <c r="D43" s="198">
        <v>1641</v>
      </c>
      <c r="E43" s="198">
        <v>886</v>
      </c>
      <c r="F43" s="198">
        <v>1067.8599999999999</v>
      </c>
      <c r="G43" s="202">
        <v>1225</v>
      </c>
      <c r="H43" s="6"/>
      <c r="I43" s="6"/>
      <c r="J43" s="6"/>
      <c r="K43" s="6"/>
      <c r="L43" s="6"/>
      <c r="M43" s="6"/>
    </row>
    <row r="44" spans="1:13" s="20" customFormat="1" ht="13.5" x14ac:dyDescent="0.3">
      <c r="A44" s="1028"/>
      <c r="B44" s="420" t="s">
        <v>17</v>
      </c>
      <c r="C44" s="198">
        <v>8608</v>
      </c>
      <c r="D44" s="198">
        <v>8521</v>
      </c>
      <c r="E44" s="198">
        <v>8251</v>
      </c>
      <c r="F44" s="198">
        <v>7844.26</v>
      </c>
      <c r="G44" s="202">
        <v>8393</v>
      </c>
      <c r="H44" s="6"/>
      <c r="I44" s="6"/>
      <c r="J44" s="6"/>
      <c r="K44" s="6"/>
      <c r="L44" s="6"/>
      <c r="M44" s="6"/>
    </row>
    <row r="45" spans="1:13" s="20" customFormat="1" ht="13.5" x14ac:dyDescent="0.3">
      <c r="A45" s="1028"/>
      <c r="B45" s="421" t="s">
        <v>29</v>
      </c>
      <c r="C45" s="198">
        <v>775</v>
      </c>
      <c r="D45" s="198">
        <v>863</v>
      </c>
      <c r="E45" s="198">
        <v>1203</v>
      </c>
      <c r="F45" s="198">
        <v>1610.82</v>
      </c>
      <c r="G45" s="202">
        <v>1611</v>
      </c>
      <c r="H45" s="19"/>
      <c r="I45" s="6"/>
      <c r="J45" s="6"/>
      <c r="K45" s="6"/>
      <c r="L45" s="6"/>
      <c r="M45" s="6"/>
    </row>
    <row r="46" spans="1:13" s="20" customFormat="1" ht="13.5" x14ac:dyDescent="0.3">
      <c r="A46" s="1028"/>
      <c r="B46" s="421" t="s">
        <v>18</v>
      </c>
      <c r="C46" s="198">
        <v>2067</v>
      </c>
      <c r="D46" s="198">
        <v>1996</v>
      </c>
      <c r="E46" s="198">
        <v>2315</v>
      </c>
      <c r="F46" s="198">
        <v>2178.98</v>
      </c>
      <c r="G46" s="202">
        <v>2297</v>
      </c>
      <c r="H46" s="6"/>
      <c r="I46" s="6"/>
      <c r="J46" s="6"/>
      <c r="K46" s="6"/>
      <c r="L46" s="6"/>
      <c r="M46" s="6"/>
    </row>
    <row r="47" spans="1:13" s="20" customFormat="1" ht="13.5" x14ac:dyDescent="0.3">
      <c r="A47" s="1028"/>
      <c r="B47" s="422" t="s">
        <v>21</v>
      </c>
      <c r="C47" s="28">
        <v>755</v>
      </c>
      <c r="D47" s="28">
        <v>771</v>
      </c>
      <c r="E47" s="28">
        <v>715</v>
      </c>
      <c r="F47" s="28">
        <v>749.5</v>
      </c>
      <c r="G47" s="27">
        <v>767</v>
      </c>
      <c r="H47" s="6"/>
      <c r="I47" s="6"/>
      <c r="J47" s="6"/>
      <c r="K47" s="6"/>
      <c r="L47" s="6"/>
      <c r="M47" s="6"/>
    </row>
    <row r="48" spans="1:13" s="20" customFormat="1" ht="13.5" x14ac:dyDescent="0.3">
      <c r="A48" s="1028"/>
      <c r="B48" s="419" t="s">
        <v>111</v>
      </c>
      <c r="C48" s="196"/>
      <c r="D48" s="196"/>
      <c r="E48" s="196"/>
      <c r="F48" s="196"/>
      <c r="G48" s="197"/>
      <c r="H48" s="6"/>
      <c r="I48" s="6"/>
      <c r="J48" s="6"/>
      <c r="K48" s="6"/>
      <c r="L48" s="6"/>
      <c r="M48" s="6"/>
    </row>
    <row r="49" spans="1:13" s="20" customFormat="1" ht="13.5" x14ac:dyDescent="0.3">
      <c r="A49" s="1028"/>
      <c r="B49" s="420" t="s">
        <v>23</v>
      </c>
      <c r="C49" s="198">
        <v>12731</v>
      </c>
      <c r="D49" s="198">
        <v>12868</v>
      </c>
      <c r="E49" s="198">
        <v>11005</v>
      </c>
      <c r="F49" s="198">
        <v>12457.78</v>
      </c>
      <c r="G49" s="202">
        <v>13111</v>
      </c>
      <c r="H49" s="6"/>
      <c r="I49" s="6"/>
      <c r="J49" s="6"/>
      <c r="K49" s="6"/>
      <c r="L49" s="6"/>
      <c r="M49" s="6"/>
    </row>
    <row r="50" spans="1:13" s="20" customFormat="1" ht="13.5" x14ac:dyDescent="0.3">
      <c r="A50" s="1028"/>
      <c r="B50" s="423" t="s">
        <v>226</v>
      </c>
      <c r="C50" s="318">
        <v>2233</v>
      </c>
      <c r="D50" s="318">
        <v>2119</v>
      </c>
      <c r="E50" s="318">
        <v>1988</v>
      </c>
      <c r="F50" s="318">
        <v>2052.29</v>
      </c>
      <c r="G50" s="327">
        <v>2270</v>
      </c>
      <c r="H50" s="6"/>
      <c r="I50" s="6"/>
      <c r="J50" s="6"/>
      <c r="K50" s="6"/>
      <c r="L50" s="6"/>
      <c r="M50" s="6"/>
    </row>
    <row r="51" spans="1:13" s="20" customFormat="1" ht="13.5" x14ac:dyDescent="0.3">
      <c r="A51" s="1028"/>
      <c r="B51" s="419" t="s">
        <v>112</v>
      </c>
      <c r="C51" s="196"/>
      <c r="D51" s="196"/>
      <c r="E51" s="196"/>
      <c r="F51" s="196"/>
      <c r="G51" s="197"/>
      <c r="H51" s="6"/>
      <c r="I51" s="6"/>
      <c r="J51" s="6"/>
      <c r="K51" s="6"/>
      <c r="L51" s="6"/>
      <c r="M51" s="6"/>
    </row>
    <row r="52" spans="1:13" s="20" customFormat="1" ht="13.5" x14ac:dyDescent="0.3">
      <c r="A52" s="1028"/>
      <c r="B52" s="88" t="s">
        <v>758</v>
      </c>
      <c r="C52" s="28">
        <v>0</v>
      </c>
      <c r="D52" s="28">
        <v>0</v>
      </c>
      <c r="E52" s="28">
        <v>0</v>
      </c>
      <c r="F52" s="28">
        <v>0</v>
      </c>
      <c r="G52" s="27">
        <v>0</v>
      </c>
      <c r="H52" s="6"/>
      <c r="I52" s="6"/>
      <c r="J52" s="6"/>
      <c r="K52" s="6"/>
      <c r="L52" s="6"/>
      <c r="M52" s="6"/>
    </row>
    <row r="53" spans="1:13" s="20" customFormat="1" ht="13.5" x14ac:dyDescent="0.3">
      <c r="A53" s="1029"/>
      <c r="B53" s="430" t="s">
        <v>749</v>
      </c>
      <c r="C53" s="364">
        <f>SUM(C42:C52)</f>
        <v>30965</v>
      </c>
      <c r="D53" s="364">
        <f t="shared" ref="D53:F53" si="3">SUM(D42:D52)</f>
        <v>30859</v>
      </c>
      <c r="E53" s="364">
        <f t="shared" si="3"/>
        <v>28451</v>
      </c>
      <c r="F53" s="364">
        <f t="shared" si="3"/>
        <v>29814.260000000002</v>
      </c>
      <c r="G53" s="365">
        <f>SUM(G42:G52)</f>
        <v>31545</v>
      </c>
      <c r="H53" s="131"/>
      <c r="I53" s="6"/>
      <c r="J53" s="6"/>
      <c r="K53" s="6"/>
      <c r="L53" s="6"/>
      <c r="M53" s="6"/>
    </row>
    <row r="54" spans="1:13" s="20" customFormat="1" ht="13.5" x14ac:dyDescent="0.3">
      <c r="A54" s="1027" t="s">
        <v>750</v>
      </c>
      <c r="B54" s="419" t="s">
        <v>124</v>
      </c>
      <c r="C54" s="196"/>
      <c r="D54" s="196"/>
      <c r="E54" s="196"/>
      <c r="F54" s="196"/>
      <c r="G54" s="197"/>
      <c r="H54" s="6"/>
      <c r="I54" s="6"/>
      <c r="J54" s="6"/>
      <c r="K54" s="6"/>
      <c r="L54" s="6"/>
      <c r="M54" s="6"/>
    </row>
    <row r="55" spans="1:13" s="20" customFormat="1" ht="13.5" x14ac:dyDescent="0.3">
      <c r="A55" s="1028"/>
      <c r="B55" s="420" t="s">
        <v>19</v>
      </c>
      <c r="C55" s="198">
        <v>644</v>
      </c>
      <c r="D55" s="198">
        <v>674</v>
      </c>
      <c r="E55" s="198">
        <v>464</v>
      </c>
      <c r="F55" s="198">
        <v>472.53</v>
      </c>
      <c r="G55" s="202">
        <v>572</v>
      </c>
      <c r="H55" s="6"/>
      <c r="I55" s="6"/>
      <c r="J55" s="6"/>
      <c r="K55" s="6"/>
      <c r="L55" s="6"/>
      <c r="M55" s="6"/>
    </row>
    <row r="56" spans="1:13" s="20" customFormat="1" ht="13.5" x14ac:dyDescent="0.3">
      <c r="A56" s="1028"/>
      <c r="B56" s="423" t="s">
        <v>20</v>
      </c>
      <c r="C56" s="318">
        <v>689</v>
      </c>
      <c r="D56" s="318">
        <v>771</v>
      </c>
      <c r="E56" s="318">
        <v>726</v>
      </c>
      <c r="F56" s="318">
        <v>663.59</v>
      </c>
      <c r="G56" s="327">
        <v>663</v>
      </c>
      <c r="H56" s="6"/>
      <c r="I56" s="6"/>
      <c r="J56" s="6"/>
      <c r="K56" s="6"/>
      <c r="L56" s="6"/>
      <c r="M56" s="6"/>
    </row>
    <row r="57" spans="1:13" s="20" customFormat="1" ht="13.5" x14ac:dyDescent="0.3">
      <c r="A57" s="1029"/>
      <c r="B57" s="430" t="s">
        <v>751</v>
      </c>
      <c r="C57" s="364">
        <f>SUM(C55:C56)</f>
        <v>1333</v>
      </c>
      <c r="D57" s="364">
        <f t="shared" ref="D57:F57" si="4">SUM(D55:D56)</f>
        <v>1445</v>
      </c>
      <c r="E57" s="364">
        <f t="shared" si="4"/>
        <v>1190</v>
      </c>
      <c r="F57" s="364">
        <f t="shared" si="4"/>
        <v>1136.1199999999999</v>
      </c>
      <c r="G57" s="365">
        <f>SUM(G55:G56)</f>
        <v>1235</v>
      </c>
      <c r="H57" s="131"/>
      <c r="I57" s="6"/>
      <c r="J57" s="6"/>
      <c r="K57" s="6"/>
      <c r="L57" s="6"/>
      <c r="M57" s="6"/>
    </row>
    <row r="58" spans="1:13" s="20" customFormat="1" ht="13.5" x14ac:dyDescent="0.3">
      <c r="A58" s="1027" t="s">
        <v>752</v>
      </c>
      <c r="B58" s="419" t="s">
        <v>124</v>
      </c>
      <c r="C58" s="196"/>
      <c r="D58" s="196"/>
      <c r="E58" s="196"/>
      <c r="F58" s="196"/>
      <c r="G58" s="197"/>
      <c r="H58" s="6"/>
      <c r="I58" s="6"/>
      <c r="J58" s="6"/>
      <c r="K58" s="6"/>
      <c r="L58" s="6"/>
      <c r="M58" s="6"/>
    </row>
    <row r="59" spans="1:13" s="20" customFormat="1" ht="13.5" x14ac:dyDescent="0.3">
      <c r="A59" s="1028"/>
      <c r="B59" s="421" t="s">
        <v>194</v>
      </c>
      <c r="C59" s="198">
        <v>12</v>
      </c>
      <c r="D59" s="198">
        <v>12</v>
      </c>
      <c r="E59" s="198" t="s">
        <v>164</v>
      </c>
      <c r="F59" s="198" t="s">
        <v>164</v>
      </c>
      <c r="G59" s="202" t="s">
        <v>164</v>
      </c>
      <c r="H59" s="6"/>
      <c r="I59" s="6"/>
      <c r="J59" s="6"/>
      <c r="K59" s="6"/>
      <c r="L59" s="6"/>
      <c r="M59" s="6"/>
    </row>
    <row r="60" spans="1:13" s="20" customFormat="1" ht="13.5" x14ac:dyDescent="0.3">
      <c r="A60" s="1028"/>
      <c r="B60" s="421" t="s">
        <v>26</v>
      </c>
      <c r="C60" s="198">
        <v>278</v>
      </c>
      <c r="D60" s="198">
        <v>191</v>
      </c>
      <c r="E60" s="198">
        <v>269</v>
      </c>
      <c r="F60" s="198">
        <v>240.4</v>
      </c>
      <c r="G60" s="202">
        <v>286</v>
      </c>
      <c r="H60" s="6"/>
      <c r="I60" s="6"/>
      <c r="J60" s="6"/>
      <c r="K60" s="6"/>
      <c r="L60" s="6"/>
      <c r="M60" s="6"/>
    </row>
    <row r="61" spans="1:13" s="20" customFormat="1" ht="13.5" x14ac:dyDescent="0.3">
      <c r="A61" s="1028"/>
      <c r="B61" s="421" t="s">
        <v>27</v>
      </c>
      <c r="C61" s="198">
        <v>1917</v>
      </c>
      <c r="D61" s="198">
        <v>1729</v>
      </c>
      <c r="E61" s="198">
        <v>1889</v>
      </c>
      <c r="F61" s="198">
        <v>1665.34</v>
      </c>
      <c r="G61" s="202">
        <v>1837</v>
      </c>
      <c r="H61" s="6"/>
      <c r="I61" s="6"/>
      <c r="J61" s="6"/>
      <c r="K61" s="6"/>
      <c r="L61" s="6"/>
      <c r="M61" s="6"/>
    </row>
    <row r="62" spans="1:13" s="20" customFormat="1" ht="13.5" x14ac:dyDescent="0.3">
      <c r="A62" s="1028"/>
      <c r="B62" s="422" t="s">
        <v>763</v>
      </c>
      <c r="C62" s="318">
        <v>85</v>
      </c>
      <c r="D62" s="318">
        <v>76</v>
      </c>
      <c r="E62" s="318" t="s">
        <v>164</v>
      </c>
      <c r="F62" s="318" t="s">
        <v>164</v>
      </c>
      <c r="G62" s="327" t="s">
        <v>164</v>
      </c>
      <c r="H62" s="201"/>
      <c r="I62" s="6"/>
      <c r="J62" s="6"/>
      <c r="K62" s="6"/>
      <c r="L62" s="6"/>
      <c r="M62" s="6"/>
    </row>
    <row r="63" spans="1:13" s="20" customFormat="1" ht="10.15" customHeight="1" x14ac:dyDescent="0.3">
      <c r="A63" s="1028"/>
      <c r="B63" s="419" t="s">
        <v>113</v>
      </c>
      <c r="C63" s="196"/>
      <c r="D63" s="196"/>
      <c r="E63" s="196"/>
      <c r="F63" s="196"/>
      <c r="G63" s="197"/>
      <c r="H63" s="1038"/>
      <c r="I63" s="6"/>
      <c r="J63" s="6"/>
      <c r="K63" s="6"/>
      <c r="L63" s="6"/>
      <c r="M63" s="6"/>
    </row>
    <row r="64" spans="1:13" s="20" customFormat="1" ht="13.5" x14ac:dyDescent="0.3">
      <c r="A64" s="1028"/>
      <c r="B64" s="421" t="s">
        <v>28</v>
      </c>
      <c r="C64" s="198">
        <v>1046</v>
      </c>
      <c r="D64" s="198">
        <v>1007</v>
      </c>
      <c r="E64" s="198">
        <v>1032</v>
      </c>
      <c r="F64" s="198">
        <v>1015.61</v>
      </c>
      <c r="G64" s="202">
        <v>804</v>
      </c>
      <c r="H64" s="1038"/>
      <c r="I64" s="6"/>
      <c r="J64" s="6"/>
      <c r="K64" s="6"/>
      <c r="L64" s="6"/>
      <c r="M64" s="6"/>
    </row>
    <row r="65" spans="1:13" s="20" customFormat="1" ht="13.5" x14ac:dyDescent="0.3">
      <c r="A65" s="1028"/>
      <c r="B65" s="427" t="s">
        <v>195</v>
      </c>
      <c r="C65" s="28">
        <v>321</v>
      </c>
      <c r="D65" s="28">
        <v>331</v>
      </c>
      <c r="E65" s="28">
        <v>98</v>
      </c>
      <c r="F65" s="28" t="s">
        <v>164</v>
      </c>
      <c r="G65" s="27" t="s">
        <v>164</v>
      </c>
      <c r="H65" s="1038"/>
      <c r="I65" s="6"/>
      <c r="J65" s="6"/>
      <c r="K65" s="6"/>
      <c r="L65" s="6"/>
      <c r="M65" s="6"/>
    </row>
    <row r="66" spans="1:13" s="20" customFormat="1" ht="13.5" x14ac:dyDescent="0.3">
      <c r="A66" s="1029"/>
      <c r="B66" s="430" t="s">
        <v>756</v>
      </c>
      <c r="C66" s="364">
        <f>SUM(C59:C65)</f>
        <v>3659</v>
      </c>
      <c r="D66" s="364">
        <f>SUM(D59:D65)</f>
        <v>3346</v>
      </c>
      <c r="E66" s="364">
        <f>SUM(E59:E65)</f>
        <v>3288</v>
      </c>
      <c r="F66" s="364">
        <f>SUM(F59:F65)</f>
        <v>2921.35</v>
      </c>
      <c r="G66" s="365">
        <f>SUM(G59:G65)</f>
        <v>2927</v>
      </c>
      <c r="H66" s="1038"/>
      <c r="I66" s="6"/>
      <c r="J66" s="6"/>
      <c r="K66" s="6"/>
      <c r="L66" s="6"/>
      <c r="M66" s="6"/>
    </row>
    <row r="67" spans="1:13" s="20" customFormat="1" ht="10.15" customHeight="1" x14ac:dyDescent="0.3">
      <c r="A67" s="1027" t="s">
        <v>217</v>
      </c>
      <c r="B67" s="419" t="s">
        <v>217</v>
      </c>
      <c r="C67" s="196"/>
      <c r="D67" s="196"/>
      <c r="E67" s="196"/>
      <c r="F67" s="196"/>
      <c r="G67" s="197"/>
      <c r="H67" s="1038"/>
      <c r="I67" s="6"/>
      <c r="J67" s="6"/>
      <c r="K67" s="6"/>
      <c r="L67" s="6"/>
      <c r="M67" s="6"/>
    </row>
    <row r="68" spans="1:13" s="20" customFormat="1" ht="13.5" x14ac:dyDescent="0.3">
      <c r="A68" s="1028"/>
      <c r="B68" s="421" t="s">
        <v>235</v>
      </c>
      <c r="C68" s="198">
        <v>155</v>
      </c>
      <c r="D68" s="198">
        <v>163</v>
      </c>
      <c r="E68" s="198">
        <v>145</v>
      </c>
      <c r="F68" s="198">
        <v>110.79</v>
      </c>
      <c r="G68" s="202">
        <v>114</v>
      </c>
      <c r="H68" s="1038"/>
      <c r="I68" s="6"/>
      <c r="J68" s="6"/>
      <c r="K68" s="6"/>
      <c r="L68" s="6"/>
      <c r="M68" s="6"/>
    </row>
    <row r="69" spans="1:13" s="20" customFormat="1" ht="13.5" x14ac:dyDescent="0.3">
      <c r="A69" s="1028"/>
      <c r="B69" s="426" t="s">
        <v>24</v>
      </c>
      <c r="C69" s="366">
        <v>64</v>
      </c>
      <c r="D69" s="366">
        <v>61</v>
      </c>
      <c r="E69" s="366">
        <v>46</v>
      </c>
      <c r="F69" s="366">
        <v>47.07</v>
      </c>
      <c r="G69" s="372">
        <v>49</v>
      </c>
      <c r="H69" s="1038"/>
      <c r="I69" s="6"/>
      <c r="J69" s="6"/>
      <c r="K69" s="6"/>
      <c r="L69" s="6"/>
      <c r="M69" s="6"/>
    </row>
    <row r="70" spans="1:13" s="20" customFormat="1" ht="13.5" x14ac:dyDescent="0.3">
      <c r="A70" s="1028"/>
      <c r="B70" s="427" t="s">
        <v>25</v>
      </c>
      <c r="C70" s="28">
        <v>6</v>
      </c>
      <c r="D70" s="28">
        <v>6</v>
      </c>
      <c r="E70" s="28">
        <v>4</v>
      </c>
      <c r="F70" s="28">
        <v>5.34</v>
      </c>
      <c r="G70" s="27">
        <v>5</v>
      </c>
      <c r="H70" s="1038"/>
      <c r="I70" s="6"/>
      <c r="J70" s="6"/>
      <c r="K70" s="6"/>
      <c r="L70" s="6"/>
      <c r="M70" s="6"/>
    </row>
    <row r="71" spans="1:13" s="20" customFormat="1" ht="13.5" x14ac:dyDescent="0.3">
      <c r="A71" s="1029"/>
      <c r="B71" s="430" t="s">
        <v>757</v>
      </c>
      <c r="C71" s="364">
        <f>SUM(C68:C70)</f>
        <v>225</v>
      </c>
      <c r="D71" s="364">
        <f t="shared" ref="D71:F71" si="5">SUM(D68:D70)</f>
        <v>230</v>
      </c>
      <c r="E71" s="364">
        <f t="shared" si="5"/>
        <v>195</v>
      </c>
      <c r="F71" s="364">
        <f t="shared" si="5"/>
        <v>163.20000000000002</v>
      </c>
      <c r="G71" s="365">
        <f>SUM(G68:G70)</f>
        <v>168</v>
      </c>
      <c r="H71" s="367"/>
      <c r="I71" s="6"/>
      <c r="J71" s="6"/>
      <c r="K71" s="6"/>
      <c r="L71" s="6"/>
      <c r="M71" s="6"/>
    </row>
    <row r="72" spans="1:13" s="20" customFormat="1" ht="5.0999999999999996" customHeight="1" x14ac:dyDescent="0.3">
      <c r="A72" s="905"/>
      <c r="B72" s="431"/>
      <c r="C72" s="906"/>
      <c r="D72" s="906"/>
      <c r="E72" s="906"/>
      <c r="F72" s="906"/>
      <c r="G72" s="907"/>
      <c r="H72" s="367"/>
      <c r="I72" s="6"/>
      <c r="J72" s="6"/>
      <c r="K72" s="6"/>
      <c r="L72" s="6"/>
      <c r="M72" s="6"/>
    </row>
    <row r="73" spans="1:13" s="20" customFormat="1" ht="13.5" x14ac:dyDescent="0.3">
      <c r="A73" s="1036" t="s">
        <v>200</v>
      </c>
      <c r="B73" s="1037"/>
      <c r="C73" s="199">
        <v>36182</v>
      </c>
      <c r="D73" s="199">
        <v>35881</v>
      </c>
      <c r="E73" s="199">
        <v>33125</v>
      </c>
      <c r="F73" s="199">
        <v>34034.93</v>
      </c>
      <c r="G73" s="200">
        <f>+G71+G66+G57+G53</f>
        <v>35875</v>
      </c>
      <c r="H73" s="131"/>
      <c r="I73" s="6"/>
      <c r="J73" s="6"/>
      <c r="K73" s="6"/>
      <c r="L73" s="6"/>
      <c r="M73" s="6"/>
    </row>
    <row r="74" spans="1:13" s="20" customFormat="1" ht="13.5" x14ac:dyDescent="0.3">
      <c r="B74" s="369"/>
      <c r="C74" s="28"/>
      <c r="D74" s="28"/>
      <c r="E74" s="28"/>
      <c r="F74" s="28"/>
      <c r="G74" s="27"/>
      <c r="H74" s="19"/>
      <c r="I74" s="6"/>
      <c r="J74" s="6"/>
      <c r="K74" s="6"/>
      <c r="L74" s="6"/>
      <c r="M74" s="6"/>
    </row>
    <row r="75" spans="1:13" s="20" customFormat="1" ht="15" customHeight="1" x14ac:dyDescent="0.3">
      <c r="A75" s="127" t="s">
        <v>361</v>
      </c>
      <c r="B75" s="380"/>
      <c r="C75" s="370"/>
      <c r="D75" s="370"/>
      <c r="E75" s="370"/>
      <c r="F75" s="370"/>
      <c r="G75" s="371"/>
      <c r="H75" s="19"/>
      <c r="I75" s="381"/>
      <c r="J75" s="6"/>
      <c r="K75" s="6"/>
      <c r="L75" s="6"/>
      <c r="M75" s="6"/>
    </row>
    <row r="76" spans="1:13" s="20" customFormat="1" ht="13.5" x14ac:dyDescent="0.3">
      <c r="A76" s="376" t="s">
        <v>748</v>
      </c>
      <c r="B76" s="382"/>
      <c r="C76" s="198">
        <f>+C18+C53</f>
        <v>86537</v>
      </c>
      <c r="D76" s="198">
        <f t="shared" ref="D76:F76" si="6">+D18+D53</f>
        <v>83268</v>
      </c>
      <c r="E76" s="198">
        <f t="shared" si="6"/>
        <v>75699</v>
      </c>
      <c r="F76" s="198">
        <f t="shared" si="6"/>
        <v>81147.950000000012</v>
      </c>
      <c r="G76" s="202">
        <f>+G18+G53</f>
        <v>86319.1</v>
      </c>
      <c r="H76" s="384"/>
      <c r="I76" s="383"/>
      <c r="J76" s="6"/>
      <c r="K76" s="6"/>
      <c r="L76" s="6"/>
      <c r="M76" s="6"/>
    </row>
    <row r="77" spans="1:13" s="20" customFormat="1" ht="13.5" x14ac:dyDescent="0.3">
      <c r="A77" s="376" t="s">
        <v>750</v>
      </c>
      <c r="B77" s="382"/>
      <c r="C77" s="198">
        <f>+C22+C57</f>
        <v>2236</v>
      </c>
      <c r="D77" s="198">
        <f t="shared" ref="D77:F77" si="7">+D22+D57</f>
        <v>2463</v>
      </c>
      <c r="E77" s="198">
        <f t="shared" si="7"/>
        <v>2012</v>
      </c>
      <c r="F77" s="198">
        <f t="shared" si="7"/>
        <v>1893.4899999999998</v>
      </c>
      <c r="G77" s="372">
        <f>+G22+G57</f>
        <v>2333</v>
      </c>
      <c r="H77" s="384"/>
      <c r="I77" s="383"/>
      <c r="J77" s="6"/>
      <c r="K77" s="6"/>
      <c r="L77" s="6"/>
      <c r="M77" s="6"/>
    </row>
    <row r="78" spans="1:13" s="20" customFormat="1" ht="13.5" x14ac:dyDescent="0.3">
      <c r="A78" s="376" t="s">
        <v>752</v>
      </c>
      <c r="B78" s="382"/>
      <c r="C78" s="198">
        <f>+C31+C66</f>
        <v>8089</v>
      </c>
      <c r="D78" s="198">
        <f t="shared" ref="D78:F78" si="8">+D31+D66</f>
        <v>7863</v>
      </c>
      <c r="E78" s="198">
        <f t="shared" si="8"/>
        <v>7840</v>
      </c>
      <c r="F78" s="198">
        <f t="shared" si="8"/>
        <v>7493.3099999999995</v>
      </c>
      <c r="G78" s="372">
        <f>+G31+G66</f>
        <v>7705</v>
      </c>
      <c r="H78" s="384"/>
      <c r="I78" s="383"/>
      <c r="J78" s="6"/>
      <c r="K78" s="6"/>
      <c r="L78" s="6"/>
      <c r="M78" s="6"/>
    </row>
    <row r="79" spans="1:13" s="20" customFormat="1" ht="13.5" x14ac:dyDescent="0.3">
      <c r="A79" s="377" t="s">
        <v>217</v>
      </c>
      <c r="B79" s="385"/>
      <c r="C79" s="28">
        <f>+C36+C71</f>
        <v>640</v>
      </c>
      <c r="D79" s="28">
        <f t="shared" ref="D79:F79" si="9">+D36+D71</f>
        <v>721</v>
      </c>
      <c r="E79" s="28">
        <f t="shared" si="9"/>
        <v>698</v>
      </c>
      <c r="F79" s="28">
        <f t="shared" si="9"/>
        <v>676.96</v>
      </c>
      <c r="G79" s="327">
        <f>+G36+G71</f>
        <v>715</v>
      </c>
      <c r="H79" s="384"/>
      <c r="I79" s="384"/>
      <c r="J79" s="6"/>
      <c r="K79" s="6"/>
      <c r="L79" s="6"/>
      <c r="M79" s="6"/>
    </row>
    <row r="80" spans="1:13" s="20" customFormat="1" ht="13.5" x14ac:dyDescent="0.3">
      <c r="A80" s="386" t="s">
        <v>201</v>
      </c>
      <c r="B80" s="387"/>
      <c r="C80" s="364">
        <f>SUM(C76:C79)</f>
        <v>97502</v>
      </c>
      <c r="D80" s="364">
        <f t="shared" ref="D80:F80" si="10">SUM(D76:D79)</f>
        <v>94315</v>
      </c>
      <c r="E80" s="364">
        <f t="shared" si="10"/>
        <v>86249</v>
      </c>
      <c r="F80" s="364">
        <f t="shared" si="10"/>
        <v>91211.710000000021</v>
      </c>
      <c r="G80" s="365">
        <f>SUM(G76:G79)</f>
        <v>97072.1</v>
      </c>
      <c r="H80" s="19"/>
      <c r="I80" s="6"/>
      <c r="J80" s="6"/>
      <c r="K80" s="6"/>
      <c r="L80" s="6"/>
      <c r="M80" s="6"/>
    </row>
    <row r="81" spans="1:13" s="7" customFormat="1" ht="8.1" customHeight="1" x14ac:dyDescent="0.3">
      <c r="A81" s="77"/>
      <c r="B81" s="78"/>
      <c r="C81" s="78"/>
      <c r="D81" s="78"/>
      <c r="E81" s="78"/>
      <c r="F81" s="403"/>
      <c r="G81" s="403"/>
      <c r="H81" s="1"/>
      <c r="I81" s="1"/>
      <c r="J81" s="1"/>
      <c r="K81" s="1"/>
      <c r="L81" s="1"/>
      <c r="M81" s="1"/>
    </row>
    <row r="82" spans="1:13" s="7" customFormat="1" ht="11.45" customHeight="1" x14ac:dyDescent="0.3">
      <c r="A82" s="999" t="s">
        <v>687</v>
      </c>
      <c r="B82" s="999"/>
      <c r="C82" s="999"/>
      <c r="D82" s="999"/>
      <c r="E82" s="999"/>
      <c r="F82" s="999"/>
      <c r="G82" s="999"/>
      <c r="H82" s="1"/>
      <c r="I82" s="1"/>
      <c r="J82" s="1"/>
      <c r="K82" s="1"/>
      <c r="L82" s="1"/>
      <c r="M82" s="1"/>
    </row>
    <row r="83" spans="1:13" s="7" customFormat="1" ht="11.45" customHeight="1" x14ac:dyDescent="0.3">
      <c r="A83" s="999"/>
      <c r="B83" s="999"/>
      <c r="C83" s="999"/>
      <c r="D83" s="999"/>
      <c r="E83" s="999"/>
      <c r="F83" s="999"/>
      <c r="G83" s="999"/>
      <c r="H83" s="1"/>
      <c r="I83" s="1"/>
      <c r="J83" s="1"/>
      <c r="K83" s="1"/>
      <c r="L83" s="1"/>
      <c r="M83" s="1"/>
    </row>
    <row r="84" spans="1:13" s="7" customFormat="1" ht="13.5" x14ac:dyDescent="0.3">
      <c r="A84" s="1001" t="s">
        <v>253</v>
      </c>
      <c r="B84" s="1001"/>
      <c r="C84" s="1001"/>
      <c r="D84" s="1001"/>
      <c r="E84" s="1001"/>
      <c r="F84" s="1001"/>
      <c r="G84" s="1001"/>
      <c r="H84" s="1"/>
      <c r="I84" s="1"/>
      <c r="J84" s="1"/>
      <c r="K84" s="1"/>
      <c r="L84" s="1"/>
      <c r="M84" s="1"/>
    </row>
    <row r="85" spans="1:13" s="7" customFormat="1" ht="13.5" x14ac:dyDescent="0.3">
      <c r="A85" s="999" t="s">
        <v>1297</v>
      </c>
      <c r="B85" s="999"/>
      <c r="C85" s="999"/>
      <c r="D85" s="999"/>
      <c r="E85" s="999"/>
      <c r="F85" s="999"/>
      <c r="G85" s="999"/>
      <c r="H85" s="205"/>
      <c r="I85" s="1"/>
      <c r="J85" s="1"/>
      <c r="K85" s="1"/>
      <c r="L85" s="1"/>
      <c r="M85" s="1"/>
    </row>
    <row r="86" spans="1:13" ht="15" x14ac:dyDescent="0.25">
      <c r="A86" s="999"/>
      <c r="B86" s="999"/>
      <c r="C86" s="999"/>
      <c r="D86" s="999"/>
      <c r="E86" s="999"/>
      <c r="F86" s="999"/>
      <c r="G86" s="999"/>
      <c r="H86" s="5"/>
      <c r="I86" s="5"/>
      <c r="J86" s="5"/>
      <c r="K86" s="5"/>
      <c r="L86" s="5"/>
      <c r="M86" s="5"/>
    </row>
    <row r="87" spans="1:13" x14ac:dyDescent="0.3">
      <c r="A87" s="5"/>
      <c r="B87" s="1"/>
      <c r="C87" s="48"/>
      <c r="D87" s="48"/>
      <c r="E87" s="48"/>
      <c r="F87" s="48"/>
      <c r="G87" s="48"/>
      <c r="H87" s="5"/>
      <c r="I87" s="5"/>
      <c r="J87" s="5"/>
      <c r="K87" s="5"/>
      <c r="L87" s="5"/>
      <c r="M87" s="5"/>
    </row>
    <row r="88" spans="1:13" x14ac:dyDescent="0.3">
      <c r="A88" s="5"/>
      <c r="B88" s="1"/>
      <c r="C88" s="48"/>
      <c r="D88" s="48"/>
      <c r="E88" s="48"/>
      <c r="F88" s="48"/>
      <c r="G88" s="48"/>
      <c r="H88" s="5"/>
      <c r="I88" s="5"/>
      <c r="J88" s="5"/>
      <c r="K88" s="5"/>
      <c r="L88" s="5"/>
      <c r="M88" s="5"/>
    </row>
    <row r="89" spans="1:13" x14ac:dyDescent="0.3">
      <c r="A89" s="5"/>
      <c r="B89" s="1"/>
      <c r="C89" s="48"/>
      <c r="D89" s="48"/>
      <c r="E89" s="48"/>
      <c r="F89" s="48"/>
      <c r="G89" s="48"/>
      <c r="H89" s="5"/>
      <c r="I89" s="5"/>
      <c r="J89" s="5"/>
      <c r="K89" s="5"/>
      <c r="L89" s="5"/>
      <c r="M89" s="5"/>
    </row>
    <row r="90" spans="1:13" x14ac:dyDescent="0.3">
      <c r="A90" s="5"/>
      <c r="B90" s="1"/>
      <c r="C90" s="48"/>
      <c r="D90" s="48"/>
      <c r="E90" s="48"/>
      <c r="F90" s="48"/>
      <c r="G90" s="48"/>
      <c r="H90" s="5"/>
      <c r="I90" s="5"/>
      <c r="J90" s="5"/>
      <c r="K90" s="5"/>
      <c r="L90" s="5"/>
      <c r="M90" s="5"/>
    </row>
    <row r="91" spans="1:13" x14ac:dyDescent="0.3">
      <c r="A91" s="5"/>
      <c r="B91" s="1"/>
      <c r="C91" s="48"/>
      <c r="D91" s="48"/>
      <c r="E91" s="48"/>
      <c r="F91" s="48"/>
      <c r="G91" s="48"/>
      <c r="H91" s="5"/>
      <c r="I91" s="5"/>
      <c r="J91" s="5"/>
      <c r="K91" s="5"/>
      <c r="L91" s="5"/>
      <c r="M91" s="5"/>
    </row>
    <row r="92" spans="1:13" x14ac:dyDescent="0.3">
      <c r="A92" s="5"/>
      <c r="B92" s="1"/>
      <c r="C92" s="48"/>
      <c r="D92" s="48"/>
      <c r="E92" s="48"/>
      <c r="F92" s="48"/>
      <c r="G92" s="48"/>
      <c r="H92" s="5"/>
      <c r="I92" s="5"/>
      <c r="J92" s="5"/>
      <c r="K92" s="5"/>
      <c r="L92" s="5"/>
      <c r="M92" s="5"/>
    </row>
    <row r="93" spans="1:13" x14ac:dyDescent="0.3">
      <c r="A93" s="5"/>
      <c r="B93" s="1"/>
      <c r="C93" s="48"/>
      <c r="D93" s="48"/>
      <c r="E93" s="48"/>
      <c r="F93" s="48"/>
      <c r="G93" s="48"/>
      <c r="H93" s="5"/>
      <c r="I93" s="5"/>
      <c r="J93" s="5"/>
      <c r="K93" s="5"/>
      <c r="L93" s="5"/>
      <c r="M93" s="5"/>
    </row>
    <row r="94" spans="1:13" x14ac:dyDescent="0.3">
      <c r="A94" s="5"/>
      <c r="B94" s="1"/>
      <c r="C94" s="48"/>
      <c r="D94" s="48"/>
      <c r="E94" s="48"/>
      <c r="F94" s="48"/>
      <c r="G94" s="48"/>
      <c r="H94" s="5"/>
      <c r="I94" s="5"/>
      <c r="J94" s="5"/>
      <c r="K94" s="5"/>
      <c r="L94" s="5"/>
      <c r="M94" s="5"/>
    </row>
    <row r="95" spans="1:13" x14ac:dyDescent="0.3">
      <c r="A95" s="5"/>
      <c r="B95" s="1"/>
      <c r="C95" s="48"/>
      <c r="D95" s="48"/>
      <c r="E95" s="48"/>
      <c r="F95" s="48"/>
      <c r="G95" s="48"/>
      <c r="H95" s="5"/>
      <c r="I95" s="5"/>
      <c r="J95" s="5"/>
      <c r="K95" s="5"/>
      <c r="L95" s="5"/>
      <c r="M95" s="5"/>
    </row>
    <row r="96" spans="1:13" x14ac:dyDescent="0.3">
      <c r="A96" s="5"/>
      <c r="B96" s="1"/>
      <c r="C96" s="48"/>
      <c r="D96" s="48"/>
      <c r="E96" s="48"/>
      <c r="F96" s="48"/>
      <c r="G96" s="48"/>
      <c r="H96" s="5"/>
      <c r="I96" s="5"/>
      <c r="J96" s="5"/>
      <c r="K96" s="5"/>
      <c r="L96" s="5"/>
      <c r="M96" s="5"/>
    </row>
    <row r="97" spans="1:13" x14ac:dyDescent="0.3">
      <c r="A97" s="5"/>
      <c r="B97" s="1"/>
      <c r="C97" s="48"/>
      <c r="D97" s="48"/>
      <c r="E97" s="48"/>
      <c r="F97" s="48"/>
      <c r="G97" s="48"/>
      <c r="H97" s="5"/>
      <c r="I97" s="5"/>
      <c r="J97" s="5"/>
      <c r="K97" s="5"/>
      <c r="L97" s="5"/>
      <c r="M97" s="5"/>
    </row>
    <row r="98" spans="1:13" x14ac:dyDescent="0.3">
      <c r="A98" s="5"/>
      <c r="B98" s="1"/>
      <c r="C98" s="48"/>
      <c r="D98" s="48"/>
      <c r="E98" s="48"/>
      <c r="F98" s="48"/>
      <c r="G98" s="48"/>
      <c r="H98" s="5"/>
      <c r="I98" s="5"/>
      <c r="J98" s="5"/>
      <c r="K98" s="5"/>
      <c r="L98" s="5"/>
      <c r="M98" s="5"/>
    </row>
    <row r="99" spans="1:13" x14ac:dyDescent="0.3">
      <c r="A99" s="5"/>
      <c r="B99" s="1"/>
      <c r="C99" s="48"/>
      <c r="D99" s="48"/>
      <c r="E99" s="48"/>
      <c r="F99" s="48"/>
      <c r="G99" s="48"/>
      <c r="H99" s="5"/>
      <c r="I99" s="5"/>
      <c r="J99" s="5"/>
      <c r="K99" s="5"/>
      <c r="L99" s="5"/>
      <c r="M99" s="5"/>
    </row>
    <row r="100" spans="1:13" x14ac:dyDescent="0.3">
      <c r="A100" s="5"/>
      <c r="B100" s="1"/>
      <c r="C100" s="48"/>
      <c r="D100" s="48"/>
      <c r="E100" s="48"/>
      <c r="F100" s="48"/>
      <c r="G100" s="48"/>
      <c r="H100" s="5"/>
      <c r="I100" s="5"/>
      <c r="J100" s="5"/>
      <c r="K100" s="5"/>
      <c r="L100" s="5"/>
      <c r="M100" s="5"/>
    </row>
    <row r="101" spans="1:13" x14ac:dyDescent="0.3">
      <c r="A101" s="5"/>
      <c r="B101" s="1"/>
      <c r="C101" s="48"/>
      <c r="D101" s="48"/>
      <c r="E101" s="48"/>
      <c r="F101" s="48"/>
      <c r="G101" s="48"/>
      <c r="H101" s="5"/>
      <c r="I101" s="5"/>
      <c r="J101" s="5"/>
      <c r="K101" s="5"/>
      <c r="L101" s="5"/>
      <c r="M101" s="5"/>
    </row>
    <row r="102" spans="1:13" x14ac:dyDescent="0.3">
      <c r="A102" s="5"/>
      <c r="B102" s="1"/>
      <c r="C102" s="48"/>
      <c r="D102" s="48"/>
      <c r="E102" s="48"/>
      <c r="F102" s="48"/>
      <c r="G102" s="48"/>
      <c r="H102" s="5"/>
      <c r="I102" s="5"/>
      <c r="J102" s="5"/>
      <c r="K102" s="5"/>
      <c r="L102" s="5"/>
      <c r="M102" s="5"/>
    </row>
    <row r="103" spans="1:13" x14ac:dyDescent="0.3">
      <c r="A103" s="5"/>
      <c r="B103" s="1"/>
      <c r="C103" s="48"/>
      <c r="D103" s="48"/>
      <c r="E103" s="48"/>
      <c r="F103" s="48"/>
      <c r="G103" s="48"/>
      <c r="H103" s="5"/>
      <c r="I103" s="5"/>
      <c r="J103" s="5"/>
      <c r="K103" s="5"/>
      <c r="L103" s="5"/>
      <c r="M103" s="5"/>
    </row>
    <row r="104" spans="1:13" x14ac:dyDescent="0.3">
      <c r="A104" s="5"/>
      <c r="B104" s="1"/>
      <c r="C104" s="48"/>
      <c r="D104" s="48"/>
      <c r="E104" s="48"/>
      <c r="F104" s="48"/>
      <c r="G104" s="48"/>
      <c r="H104" s="5"/>
      <c r="I104" s="5"/>
      <c r="J104" s="5"/>
      <c r="K104" s="5"/>
      <c r="L104" s="5"/>
      <c r="M104" s="5"/>
    </row>
    <row r="105" spans="1:13" x14ac:dyDescent="0.3">
      <c r="A105" s="5"/>
      <c r="B105" s="1"/>
      <c r="C105" s="48"/>
      <c r="D105" s="48"/>
      <c r="E105" s="48"/>
      <c r="F105" s="48"/>
      <c r="G105" s="48"/>
      <c r="H105" s="5"/>
      <c r="I105" s="5"/>
      <c r="J105" s="5"/>
      <c r="K105" s="5"/>
      <c r="L105" s="5"/>
      <c r="M105" s="5"/>
    </row>
    <row r="106" spans="1:13" x14ac:dyDescent="0.3">
      <c r="A106" s="5"/>
      <c r="B106" s="1"/>
      <c r="C106" s="48"/>
      <c r="D106" s="48"/>
      <c r="E106" s="48"/>
      <c r="F106" s="48"/>
      <c r="G106" s="48"/>
      <c r="H106" s="5"/>
      <c r="I106" s="5"/>
      <c r="J106" s="5"/>
      <c r="K106" s="5"/>
      <c r="L106" s="5"/>
      <c r="M106" s="5"/>
    </row>
    <row r="107" spans="1:13" x14ac:dyDescent="0.3">
      <c r="A107" s="5"/>
      <c r="B107" s="1"/>
      <c r="C107" s="48"/>
      <c r="D107" s="48"/>
      <c r="E107" s="48"/>
      <c r="F107" s="48"/>
      <c r="G107" s="48"/>
      <c r="H107" s="5"/>
      <c r="I107" s="5"/>
      <c r="J107" s="5"/>
      <c r="K107" s="5"/>
      <c r="L107" s="5"/>
      <c r="M107" s="5"/>
    </row>
    <row r="108" spans="1:13" x14ac:dyDescent="0.3">
      <c r="A108" s="5"/>
      <c r="B108" s="1"/>
      <c r="C108" s="48"/>
      <c r="D108" s="48"/>
      <c r="E108" s="48"/>
      <c r="F108" s="48"/>
      <c r="G108" s="48"/>
      <c r="H108" s="5"/>
      <c r="I108" s="5"/>
      <c r="J108" s="5"/>
      <c r="K108" s="5"/>
      <c r="L108" s="5"/>
      <c r="M108" s="5"/>
    </row>
    <row r="109" spans="1:13" x14ac:dyDescent="0.3">
      <c r="A109" s="5"/>
      <c r="B109" s="1"/>
      <c r="C109" s="48"/>
      <c r="D109" s="48"/>
      <c r="E109" s="48"/>
      <c r="F109" s="48"/>
      <c r="G109" s="48"/>
      <c r="H109" s="5"/>
      <c r="I109" s="5"/>
      <c r="J109" s="5"/>
      <c r="K109" s="5"/>
      <c r="L109" s="5"/>
      <c r="M109" s="5"/>
    </row>
    <row r="110" spans="1:13" x14ac:dyDescent="0.3">
      <c r="A110" s="5"/>
      <c r="B110" s="1"/>
      <c r="C110" s="48"/>
      <c r="D110" s="48"/>
      <c r="E110" s="48"/>
      <c r="F110" s="48"/>
      <c r="G110" s="48"/>
      <c r="H110" s="5"/>
      <c r="I110" s="5"/>
      <c r="J110" s="5"/>
      <c r="K110" s="5"/>
      <c r="L110" s="5"/>
      <c r="M110" s="5"/>
    </row>
    <row r="111" spans="1:13" x14ac:dyDescent="0.3">
      <c r="A111" s="5"/>
      <c r="B111" s="1"/>
      <c r="C111" s="48"/>
      <c r="D111" s="48"/>
      <c r="E111" s="48"/>
      <c r="F111" s="48"/>
      <c r="G111" s="48"/>
      <c r="H111" s="5"/>
      <c r="I111" s="5"/>
      <c r="J111" s="5"/>
      <c r="K111" s="5"/>
      <c r="L111" s="5"/>
      <c r="M111" s="5"/>
    </row>
    <row r="112" spans="1:13" x14ac:dyDescent="0.3">
      <c r="A112" s="5"/>
      <c r="B112" s="1"/>
      <c r="C112" s="48"/>
      <c r="D112" s="48"/>
      <c r="E112" s="48"/>
      <c r="F112" s="48"/>
      <c r="G112" s="48"/>
      <c r="H112" s="5"/>
      <c r="I112" s="5"/>
      <c r="J112" s="5"/>
      <c r="K112" s="5"/>
      <c r="L112" s="5"/>
      <c r="M112" s="5"/>
    </row>
    <row r="113" spans="1:13" x14ac:dyDescent="0.3">
      <c r="A113" s="5"/>
      <c r="B113" s="1"/>
      <c r="C113" s="48"/>
      <c r="D113" s="48"/>
      <c r="E113" s="48"/>
      <c r="F113" s="48"/>
      <c r="G113" s="48"/>
      <c r="H113" s="5"/>
      <c r="I113" s="5"/>
      <c r="J113" s="5"/>
      <c r="K113" s="5"/>
      <c r="L113" s="5"/>
      <c r="M113" s="5"/>
    </row>
    <row r="114" spans="1:13" x14ac:dyDescent="0.3">
      <c r="A114" s="5"/>
      <c r="B114" s="1"/>
      <c r="C114" s="48"/>
      <c r="D114" s="48"/>
      <c r="E114" s="48"/>
      <c r="F114" s="48"/>
      <c r="G114" s="48"/>
      <c r="H114" s="5"/>
      <c r="I114" s="5"/>
      <c r="J114" s="5"/>
      <c r="K114" s="5"/>
      <c r="L114" s="5"/>
      <c r="M114" s="5"/>
    </row>
    <row r="115" spans="1:13" x14ac:dyDescent="0.3">
      <c r="A115" s="5"/>
      <c r="B115" s="1"/>
      <c r="C115" s="48"/>
      <c r="D115" s="48"/>
      <c r="E115" s="48"/>
      <c r="F115" s="48"/>
      <c r="G115" s="48"/>
      <c r="H115" s="5"/>
      <c r="I115" s="5"/>
      <c r="J115" s="5"/>
      <c r="K115" s="5"/>
      <c r="L115" s="5"/>
      <c r="M115" s="5"/>
    </row>
    <row r="116" spans="1:13" x14ac:dyDescent="0.3">
      <c r="A116" s="5"/>
      <c r="B116" s="1"/>
      <c r="C116" s="48"/>
      <c r="D116" s="48"/>
      <c r="E116" s="48"/>
      <c r="F116" s="48"/>
      <c r="G116" s="48"/>
      <c r="H116" s="5"/>
      <c r="I116" s="5"/>
      <c r="J116" s="5"/>
      <c r="K116" s="5"/>
      <c r="L116" s="5"/>
      <c r="M116" s="5"/>
    </row>
    <row r="117" spans="1:13" x14ac:dyDescent="0.3">
      <c r="A117" s="5"/>
      <c r="B117" s="1"/>
      <c r="C117" s="48"/>
      <c r="D117" s="48"/>
      <c r="E117" s="48"/>
      <c r="F117" s="48"/>
      <c r="G117" s="48"/>
      <c r="H117" s="5"/>
      <c r="I117" s="5"/>
      <c r="J117" s="5"/>
      <c r="K117" s="5"/>
      <c r="L117" s="5"/>
      <c r="M117" s="5"/>
    </row>
    <row r="118" spans="1:13" x14ac:dyDescent="0.3">
      <c r="A118" s="5"/>
      <c r="B118" s="1"/>
      <c r="C118" s="48"/>
      <c r="D118" s="48"/>
      <c r="E118" s="48"/>
      <c r="F118" s="48"/>
      <c r="G118" s="48"/>
      <c r="H118" s="5"/>
      <c r="I118" s="5"/>
      <c r="J118" s="5"/>
      <c r="K118" s="5"/>
      <c r="L118" s="5"/>
      <c r="M118" s="5"/>
    </row>
    <row r="119" spans="1:13" x14ac:dyDescent="0.3">
      <c r="A119" s="5"/>
      <c r="B119" s="1"/>
      <c r="C119" s="48"/>
      <c r="D119" s="48"/>
      <c r="E119" s="48"/>
      <c r="F119" s="48"/>
      <c r="G119" s="48"/>
      <c r="H119" s="5"/>
      <c r="I119" s="5"/>
      <c r="J119" s="5"/>
      <c r="K119" s="5"/>
      <c r="L119" s="5"/>
      <c r="M119" s="5"/>
    </row>
    <row r="120" spans="1:13" x14ac:dyDescent="0.3">
      <c r="A120" s="5"/>
      <c r="B120" s="1"/>
      <c r="C120" s="48"/>
      <c r="D120" s="48"/>
      <c r="E120" s="48"/>
      <c r="F120" s="48"/>
      <c r="G120" s="48"/>
      <c r="H120" s="5"/>
      <c r="I120" s="5"/>
      <c r="J120" s="5"/>
      <c r="K120" s="5"/>
      <c r="L120" s="5"/>
      <c r="M120" s="5"/>
    </row>
    <row r="121" spans="1:13" x14ac:dyDescent="0.3">
      <c r="A121" s="5"/>
      <c r="B121" s="1"/>
      <c r="C121" s="48"/>
      <c r="D121" s="48"/>
      <c r="E121" s="48"/>
      <c r="F121" s="48"/>
      <c r="G121" s="48"/>
      <c r="H121" s="5"/>
      <c r="I121" s="5"/>
      <c r="J121" s="5"/>
      <c r="K121" s="5"/>
      <c r="L121" s="5"/>
      <c r="M121" s="5"/>
    </row>
    <row r="122" spans="1:13" x14ac:dyDescent="0.3">
      <c r="A122" s="5"/>
      <c r="B122" s="1"/>
      <c r="C122" s="48"/>
      <c r="D122" s="48"/>
      <c r="E122" s="48"/>
      <c r="F122" s="48"/>
      <c r="G122" s="48"/>
      <c r="H122" s="5"/>
      <c r="I122" s="5"/>
      <c r="J122" s="5"/>
      <c r="K122" s="5"/>
      <c r="L122" s="5"/>
      <c r="M122" s="5"/>
    </row>
    <row r="123" spans="1:13" x14ac:dyDescent="0.3">
      <c r="A123" s="5"/>
      <c r="B123" s="1"/>
      <c r="C123" s="48"/>
      <c r="D123" s="48"/>
      <c r="E123" s="48"/>
      <c r="F123" s="48"/>
      <c r="G123" s="48"/>
      <c r="H123" s="5"/>
      <c r="I123" s="5"/>
      <c r="J123" s="5"/>
      <c r="K123" s="5"/>
      <c r="L123" s="5"/>
      <c r="M123" s="5"/>
    </row>
    <row r="124" spans="1:13" x14ac:dyDescent="0.3">
      <c r="A124" s="5"/>
      <c r="B124" s="1"/>
      <c r="C124" s="48"/>
      <c r="D124" s="48"/>
      <c r="E124" s="48"/>
      <c r="F124" s="48"/>
      <c r="G124" s="48"/>
      <c r="H124" s="5"/>
      <c r="I124" s="5"/>
      <c r="J124" s="5"/>
      <c r="K124" s="5"/>
      <c r="L124" s="5"/>
      <c r="M124" s="5"/>
    </row>
    <row r="125" spans="1:13" x14ac:dyDescent="0.3">
      <c r="A125" s="5"/>
      <c r="B125" s="1"/>
      <c r="C125" s="48"/>
      <c r="D125" s="48"/>
      <c r="E125" s="48"/>
      <c r="F125" s="48"/>
      <c r="G125" s="48"/>
      <c r="H125" s="5"/>
      <c r="I125" s="5"/>
      <c r="J125" s="5"/>
      <c r="K125" s="5"/>
      <c r="L125" s="5"/>
      <c r="M125" s="5"/>
    </row>
    <row r="126" spans="1:13" x14ac:dyDescent="0.3">
      <c r="A126" s="5"/>
      <c r="B126" s="1"/>
      <c r="C126" s="48"/>
      <c r="D126" s="48"/>
      <c r="E126" s="48"/>
      <c r="F126" s="48"/>
      <c r="G126" s="48"/>
      <c r="H126" s="5"/>
      <c r="I126" s="5"/>
      <c r="J126" s="5"/>
      <c r="K126" s="5"/>
      <c r="L126" s="5"/>
      <c r="M126" s="5"/>
    </row>
    <row r="127" spans="1:13" x14ac:dyDescent="0.3">
      <c r="A127" s="5"/>
      <c r="B127" s="1"/>
      <c r="C127" s="48"/>
      <c r="D127" s="48"/>
      <c r="E127" s="48"/>
      <c r="F127" s="48"/>
      <c r="G127" s="48"/>
      <c r="H127" s="5"/>
      <c r="I127" s="5"/>
      <c r="J127" s="5"/>
      <c r="K127" s="5"/>
      <c r="L127" s="5"/>
      <c r="M127" s="5"/>
    </row>
    <row r="128" spans="1:13" x14ac:dyDescent="0.3">
      <c r="A128" s="5"/>
      <c r="B128" s="1"/>
      <c r="C128" s="48"/>
      <c r="D128" s="48"/>
      <c r="E128" s="48"/>
      <c r="F128" s="48"/>
      <c r="G128" s="48"/>
      <c r="H128" s="5"/>
      <c r="I128" s="5"/>
      <c r="J128" s="5"/>
      <c r="K128" s="5"/>
      <c r="L128" s="5"/>
      <c r="M128" s="5"/>
    </row>
    <row r="129" spans="1:13" x14ac:dyDescent="0.3">
      <c r="A129" s="5"/>
      <c r="B129" s="1"/>
      <c r="C129" s="48"/>
      <c r="D129" s="48"/>
      <c r="E129" s="48"/>
      <c r="F129" s="48"/>
      <c r="G129" s="48"/>
      <c r="H129" s="5"/>
      <c r="I129" s="5"/>
      <c r="J129" s="5"/>
      <c r="K129" s="5"/>
      <c r="L129" s="5"/>
      <c r="M129" s="5"/>
    </row>
    <row r="130" spans="1:13" x14ac:dyDescent="0.3">
      <c r="A130" s="5"/>
      <c r="B130" s="1"/>
      <c r="C130" s="48"/>
      <c r="D130" s="48"/>
      <c r="E130" s="48"/>
      <c r="F130" s="48"/>
      <c r="G130" s="48"/>
      <c r="H130" s="5"/>
      <c r="I130" s="5"/>
      <c r="J130" s="5"/>
      <c r="K130" s="5"/>
      <c r="L130" s="5"/>
      <c r="M130" s="5"/>
    </row>
    <row r="131" spans="1:13" x14ac:dyDescent="0.3">
      <c r="A131" s="5"/>
      <c r="B131" s="1"/>
      <c r="C131" s="48"/>
      <c r="D131" s="48"/>
      <c r="E131" s="48"/>
      <c r="F131" s="48"/>
      <c r="G131" s="48"/>
      <c r="H131" s="5"/>
      <c r="I131" s="5"/>
      <c r="J131" s="5"/>
      <c r="K131" s="5"/>
      <c r="L131" s="5"/>
      <c r="M131" s="5"/>
    </row>
    <row r="132" spans="1:13" x14ac:dyDescent="0.3">
      <c r="A132" s="5"/>
      <c r="B132" s="1"/>
      <c r="C132" s="48"/>
      <c r="D132" s="48"/>
      <c r="E132" s="48"/>
      <c r="F132" s="48"/>
      <c r="G132" s="48"/>
      <c r="H132" s="5"/>
      <c r="I132" s="5"/>
      <c r="J132" s="5"/>
      <c r="K132" s="5"/>
      <c r="L132" s="5"/>
      <c r="M132" s="5"/>
    </row>
    <row r="133" spans="1:13" x14ac:dyDescent="0.3">
      <c r="A133" s="5"/>
      <c r="B133" s="1"/>
      <c r="C133" s="48"/>
      <c r="D133" s="48"/>
      <c r="E133" s="48"/>
      <c r="F133" s="48"/>
      <c r="G133" s="48"/>
      <c r="H133" s="5"/>
      <c r="I133" s="5"/>
      <c r="J133" s="5"/>
      <c r="K133" s="5"/>
      <c r="L133" s="5"/>
      <c r="M133" s="5"/>
    </row>
    <row r="134" spans="1:13" x14ac:dyDescent="0.3">
      <c r="A134" s="5"/>
      <c r="B134" s="1"/>
      <c r="C134" s="48"/>
      <c r="D134" s="48"/>
      <c r="E134" s="48"/>
      <c r="F134" s="48"/>
      <c r="G134" s="48"/>
      <c r="H134" s="5"/>
      <c r="I134" s="5"/>
      <c r="J134" s="5"/>
      <c r="K134" s="5"/>
      <c r="L134" s="5"/>
      <c r="M134" s="5"/>
    </row>
    <row r="135" spans="1:13" x14ac:dyDescent="0.3">
      <c r="A135" s="5"/>
      <c r="B135" s="1"/>
      <c r="C135" s="48"/>
      <c r="D135" s="48"/>
      <c r="E135" s="48"/>
      <c r="F135" s="48"/>
      <c r="G135" s="48"/>
      <c r="H135" s="5"/>
      <c r="I135" s="5"/>
      <c r="J135" s="5"/>
      <c r="K135" s="5"/>
      <c r="L135" s="5"/>
      <c r="M135" s="5"/>
    </row>
    <row r="136" spans="1:13" x14ac:dyDescent="0.3">
      <c r="A136" s="5"/>
      <c r="B136" s="1"/>
      <c r="C136" s="48"/>
      <c r="D136" s="48"/>
      <c r="E136" s="48"/>
      <c r="F136" s="48"/>
      <c r="G136" s="48"/>
      <c r="H136" s="5"/>
      <c r="I136" s="5"/>
      <c r="J136" s="5"/>
      <c r="K136" s="5"/>
      <c r="L136" s="5"/>
      <c r="M136" s="5"/>
    </row>
    <row r="137" spans="1:13" x14ac:dyDescent="0.3">
      <c r="A137" s="5"/>
      <c r="B137" s="1"/>
      <c r="C137" s="48"/>
      <c r="D137" s="48"/>
      <c r="E137" s="48"/>
      <c r="F137" s="48"/>
      <c r="G137" s="48"/>
      <c r="H137" s="5"/>
      <c r="I137" s="5"/>
      <c r="J137" s="5"/>
      <c r="K137" s="5"/>
      <c r="L137" s="5"/>
      <c r="M137" s="5"/>
    </row>
    <row r="138" spans="1:13" x14ac:dyDescent="0.3">
      <c r="A138" s="5"/>
      <c r="B138" s="1"/>
      <c r="C138" s="48"/>
      <c r="D138" s="48"/>
      <c r="E138" s="48"/>
      <c r="F138" s="48"/>
      <c r="G138" s="48"/>
      <c r="H138" s="5"/>
      <c r="I138" s="5"/>
      <c r="J138" s="5"/>
      <c r="K138" s="5"/>
      <c r="L138" s="5"/>
      <c r="M138" s="5"/>
    </row>
    <row r="139" spans="1:13" x14ac:dyDescent="0.3">
      <c r="A139" s="5"/>
      <c r="B139" s="1"/>
      <c r="C139" s="48"/>
      <c r="D139" s="48"/>
      <c r="E139" s="48"/>
      <c r="F139" s="48"/>
      <c r="G139" s="48"/>
      <c r="H139" s="5"/>
      <c r="I139" s="5"/>
      <c r="J139" s="5"/>
      <c r="K139" s="5"/>
      <c r="L139" s="5"/>
      <c r="M139" s="5"/>
    </row>
    <row r="140" spans="1:13" x14ac:dyDescent="0.3">
      <c r="A140" s="5"/>
      <c r="B140" s="1"/>
      <c r="C140" s="48"/>
      <c r="D140" s="48"/>
      <c r="E140" s="48"/>
      <c r="F140" s="48"/>
      <c r="G140" s="48"/>
      <c r="H140" s="5"/>
      <c r="I140" s="5"/>
      <c r="J140" s="5"/>
      <c r="K140" s="5"/>
      <c r="L140" s="5"/>
      <c r="M140" s="5"/>
    </row>
    <row r="141" spans="1:13" x14ac:dyDescent="0.3">
      <c r="A141" s="5"/>
      <c r="B141" s="1"/>
      <c r="C141" s="48"/>
      <c r="D141" s="48"/>
      <c r="E141" s="48"/>
      <c r="F141" s="48"/>
      <c r="G141" s="48"/>
      <c r="H141" s="5"/>
      <c r="I141" s="5"/>
      <c r="J141" s="5"/>
      <c r="K141" s="5"/>
      <c r="L141" s="5"/>
      <c r="M141" s="5"/>
    </row>
    <row r="142" spans="1:13" x14ac:dyDescent="0.3">
      <c r="A142" s="5"/>
      <c r="B142" s="1"/>
      <c r="C142" s="48"/>
      <c r="D142" s="48"/>
      <c r="E142" s="48"/>
      <c r="F142" s="48"/>
      <c r="G142" s="48"/>
      <c r="H142" s="5"/>
      <c r="I142" s="5"/>
      <c r="J142" s="5"/>
      <c r="K142" s="5"/>
      <c r="L142" s="5"/>
      <c r="M142" s="5"/>
    </row>
    <row r="143" spans="1:13" x14ac:dyDescent="0.3">
      <c r="A143" s="5"/>
      <c r="B143" s="1"/>
      <c r="C143" s="48"/>
      <c r="D143" s="48"/>
      <c r="E143" s="48"/>
      <c r="F143" s="48"/>
      <c r="G143" s="48"/>
      <c r="H143" s="5"/>
      <c r="I143" s="5"/>
      <c r="J143" s="5"/>
      <c r="K143" s="5"/>
      <c r="L143" s="5"/>
      <c r="M143" s="5"/>
    </row>
    <row r="144" spans="1:13" x14ac:dyDescent="0.3">
      <c r="A144" s="5"/>
      <c r="B144" s="1"/>
      <c r="C144" s="48"/>
      <c r="D144" s="48"/>
      <c r="E144" s="48"/>
      <c r="F144" s="48"/>
      <c r="G144" s="48"/>
      <c r="H144" s="5"/>
      <c r="I144" s="5"/>
      <c r="J144" s="5"/>
      <c r="K144" s="5"/>
      <c r="L144" s="5"/>
      <c r="M144" s="5"/>
    </row>
    <row r="145" spans="1:13" x14ac:dyDescent="0.3">
      <c r="A145" s="5"/>
      <c r="B145" s="1"/>
      <c r="C145" s="48"/>
      <c r="D145" s="48"/>
      <c r="E145" s="48"/>
      <c r="F145" s="48"/>
      <c r="G145" s="48"/>
      <c r="H145" s="5"/>
      <c r="I145" s="5"/>
      <c r="J145" s="5"/>
      <c r="K145" s="5"/>
      <c r="L145" s="5"/>
      <c r="M145" s="5"/>
    </row>
    <row r="146" spans="1:13" x14ac:dyDescent="0.3">
      <c r="A146" s="5"/>
      <c r="B146" s="1"/>
      <c r="C146" s="48"/>
      <c r="D146" s="48"/>
      <c r="E146" s="48"/>
      <c r="F146" s="48"/>
      <c r="G146" s="48"/>
      <c r="H146" s="5"/>
      <c r="I146" s="5"/>
      <c r="J146" s="5"/>
      <c r="K146" s="5"/>
      <c r="L146" s="5"/>
      <c r="M146" s="5"/>
    </row>
    <row r="147" spans="1:13" x14ac:dyDescent="0.3">
      <c r="A147" s="5"/>
      <c r="B147" s="1"/>
      <c r="C147" s="48"/>
      <c r="D147" s="48"/>
      <c r="E147" s="48"/>
      <c r="F147" s="48"/>
      <c r="G147" s="48"/>
      <c r="H147" s="5"/>
      <c r="I147" s="5"/>
      <c r="J147" s="5"/>
      <c r="K147" s="5"/>
      <c r="L147" s="5"/>
      <c r="M147" s="5"/>
    </row>
    <row r="148" spans="1:13" x14ac:dyDescent="0.3">
      <c r="A148" s="5"/>
      <c r="B148" s="1"/>
      <c r="C148" s="48"/>
      <c r="D148" s="48"/>
      <c r="E148" s="48"/>
      <c r="F148" s="48"/>
      <c r="G148" s="48"/>
      <c r="H148" s="5"/>
      <c r="I148" s="5"/>
      <c r="J148" s="5"/>
      <c r="K148" s="5"/>
      <c r="L148" s="5"/>
      <c r="M148" s="5"/>
    </row>
    <row r="149" spans="1:13" x14ac:dyDescent="0.3">
      <c r="A149" s="5"/>
      <c r="B149" s="1"/>
      <c r="C149" s="48"/>
      <c r="D149" s="48"/>
      <c r="E149" s="48"/>
      <c r="F149" s="48"/>
      <c r="G149" s="48"/>
      <c r="H149" s="5"/>
      <c r="I149" s="5"/>
      <c r="J149" s="5"/>
      <c r="K149" s="5"/>
      <c r="L149" s="5"/>
      <c r="M149" s="5"/>
    </row>
    <row r="150" spans="1:13" x14ac:dyDescent="0.3">
      <c r="A150" s="5"/>
      <c r="B150" s="1"/>
      <c r="C150" s="48"/>
      <c r="D150" s="48"/>
      <c r="E150" s="48"/>
      <c r="F150" s="48"/>
      <c r="G150" s="48"/>
      <c r="H150" s="5"/>
      <c r="I150" s="5"/>
      <c r="J150" s="5"/>
      <c r="K150" s="5"/>
      <c r="L150" s="5"/>
      <c r="M150" s="5"/>
    </row>
    <row r="151" spans="1:13" x14ac:dyDescent="0.3">
      <c r="A151" s="5"/>
      <c r="B151" s="1"/>
      <c r="C151" s="48"/>
      <c r="D151" s="48"/>
      <c r="E151" s="48"/>
      <c r="F151" s="48"/>
      <c r="G151" s="48"/>
      <c r="H151" s="5"/>
      <c r="I151" s="5"/>
      <c r="J151" s="5"/>
      <c r="K151" s="5"/>
      <c r="L151" s="5"/>
      <c r="M151" s="5"/>
    </row>
    <row r="152" spans="1:13" x14ac:dyDescent="0.3">
      <c r="A152" s="5"/>
      <c r="B152" s="1"/>
      <c r="C152" s="48"/>
      <c r="D152" s="48"/>
      <c r="E152" s="48"/>
      <c r="F152" s="48"/>
      <c r="G152" s="48"/>
      <c r="H152" s="5"/>
      <c r="I152" s="5"/>
      <c r="J152" s="5"/>
      <c r="K152" s="5"/>
      <c r="L152" s="5"/>
      <c r="M152" s="5"/>
    </row>
    <row r="153" spans="1:13" x14ac:dyDescent="0.3">
      <c r="A153" s="5"/>
      <c r="B153" s="1"/>
      <c r="C153" s="48"/>
      <c r="D153" s="48"/>
      <c r="E153" s="48"/>
      <c r="F153" s="48"/>
      <c r="G153" s="48"/>
      <c r="H153" s="5"/>
      <c r="I153" s="5"/>
      <c r="J153" s="5"/>
      <c r="K153" s="5"/>
      <c r="L153" s="5"/>
      <c r="M153" s="5"/>
    </row>
    <row r="154" spans="1:13" x14ac:dyDescent="0.3">
      <c r="A154" s="5"/>
      <c r="B154" s="1"/>
      <c r="C154" s="48"/>
      <c r="D154" s="48"/>
      <c r="E154" s="48"/>
      <c r="F154" s="48"/>
      <c r="G154" s="48"/>
      <c r="H154" s="5"/>
      <c r="I154" s="5"/>
      <c r="J154" s="5"/>
      <c r="K154" s="5"/>
      <c r="L154" s="5"/>
      <c r="M154" s="5"/>
    </row>
    <row r="155" spans="1:13" x14ac:dyDescent="0.3">
      <c r="A155" s="5"/>
      <c r="B155" s="1"/>
      <c r="C155" s="48"/>
      <c r="D155" s="48"/>
      <c r="E155" s="48"/>
      <c r="F155" s="48"/>
      <c r="G155" s="48"/>
      <c r="H155" s="5"/>
      <c r="I155" s="5"/>
      <c r="J155" s="5"/>
      <c r="K155" s="5"/>
      <c r="L155" s="5"/>
      <c r="M155" s="5"/>
    </row>
    <row r="156" spans="1:13" x14ac:dyDescent="0.3">
      <c r="A156" s="5"/>
      <c r="B156" s="1"/>
      <c r="C156" s="48"/>
      <c r="D156" s="48"/>
      <c r="E156" s="48"/>
      <c r="F156" s="48"/>
      <c r="G156" s="48"/>
      <c r="H156" s="5"/>
      <c r="I156" s="5"/>
      <c r="J156" s="5"/>
      <c r="K156" s="5"/>
      <c r="L156" s="5"/>
      <c r="M156" s="5"/>
    </row>
    <row r="157" spans="1:13" x14ac:dyDescent="0.3">
      <c r="A157" s="5"/>
      <c r="B157" s="1"/>
      <c r="C157" s="48"/>
      <c r="D157" s="48"/>
      <c r="E157" s="48"/>
      <c r="F157" s="48"/>
      <c r="G157" s="48"/>
      <c r="H157" s="5"/>
      <c r="I157" s="5"/>
      <c r="J157" s="5"/>
      <c r="K157" s="5"/>
      <c r="L157" s="5"/>
      <c r="M157" s="5"/>
    </row>
    <row r="158" spans="1:13" x14ac:dyDescent="0.3">
      <c r="A158" s="5"/>
      <c r="B158" s="1"/>
      <c r="C158" s="48"/>
      <c r="D158" s="48"/>
      <c r="E158" s="48"/>
      <c r="F158" s="48"/>
      <c r="G158" s="48"/>
      <c r="H158" s="5"/>
      <c r="I158" s="5"/>
      <c r="J158" s="5"/>
      <c r="K158" s="5"/>
      <c r="L158" s="5"/>
      <c r="M158" s="5"/>
    </row>
    <row r="159" spans="1:13" x14ac:dyDescent="0.3">
      <c r="A159" s="5"/>
      <c r="B159" s="1"/>
      <c r="C159" s="48"/>
      <c r="D159" s="48"/>
      <c r="E159" s="48"/>
      <c r="F159" s="48"/>
      <c r="G159" s="48"/>
      <c r="H159" s="5"/>
      <c r="I159" s="5"/>
      <c r="J159" s="5"/>
      <c r="K159" s="5"/>
      <c r="L159" s="5"/>
      <c r="M159" s="5"/>
    </row>
    <row r="160" spans="1:13" x14ac:dyDescent="0.3">
      <c r="A160" s="5"/>
      <c r="B160" s="1"/>
      <c r="C160" s="48"/>
      <c r="D160" s="48"/>
      <c r="E160" s="48"/>
      <c r="F160" s="48"/>
      <c r="G160" s="48"/>
      <c r="H160" s="5"/>
      <c r="I160" s="5"/>
      <c r="J160" s="5"/>
      <c r="K160" s="5"/>
      <c r="L160" s="5"/>
      <c r="M160" s="5"/>
    </row>
    <row r="161" spans="1:13" x14ac:dyDescent="0.3">
      <c r="A161" s="5"/>
      <c r="B161" s="1"/>
      <c r="C161" s="48"/>
      <c r="D161" s="48"/>
      <c r="E161" s="48"/>
      <c r="F161" s="48"/>
      <c r="G161" s="48"/>
      <c r="H161" s="5"/>
      <c r="I161" s="5"/>
      <c r="J161" s="5"/>
      <c r="K161" s="5"/>
      <c r="L161" s="5"/>
      <c r="M161" s="5"/>
    </row>
    <row r="162" spans="1:13" x14ac:dyDescent="0.3">
      <c r="A162" s="5"/>
      <c r="B162" s="1"/>
      <c r="C162" s="48"/>
      <c r="D162" s="48"/>
      <c r="E162" s="48"/>
      <c r="F162" s="48"/>
      <c r="G162" s="48"/>
      <c r="H162" s="5"/>
      <c r="I162" s="5"/>
      <c r="J162" s="5"/>
      <c r="K162" s="5"/>
      <c r="L162" s="5"/>
      <c r="M162" s="5"/>
    </row>
    <row r="163" spans="1:13" x14ac:dyDescent="0.3">
      <c r="A163" s="5"/>
      <c r="B163" s="1"/>
      <c r="C163" s="48"/>
      <c r="D163" s="48"/>
      <c r="E163" s="48"/>
      <c r="F163" s="48"/>
      <c r="G163" s="48"/>
      <c r="H163" s="5"/>
      <c r="I163" s="5"/>
      <c r="J163" s="5"/>
      <c r="K163" s="5"/>
      <c r="L163" s="5"/>
      <c r="M163" s="5"/>
    </row>
    <row r="164" spans="1:13" x14ac:dyDescent="0.3">
      <c r="A164" s="5"/>
      <c r="B164" s="1"/>
      <c r="C164" s="48"/>
      <c r="D164" s="48"/>
      <c r="E164" s="48"/>
      <c r="F164" s="48"/>
      <c r="G164" s="48"/>
      <c r="H164" s="5"/>
      <c r="I164" s="5"/>
      <c r="J164" s="5"/>
      <c r="K164" s="5"/>
      <c r="L164" s="5"/>
      <c r="M164" s="5"/>
    </row>
    <row r="165" spans="1:13" x14ac:dyDescent="0.3">
      <c r="A165" s="5"/>
      <c r="B165" s="1"/>
      <c r="C165" s="48"/>
      <c r="D165" s="48"/>
      <c r="E165" s="48"/>
      <c r="F165" s="48"/>
      <c r="G165" s="48"/>
      <c r="H165" s="5"/>
      <c r="I165" s="5"/>
      <c r="J165" s="5"/>
      <c r="K165" s="5"/>
      <c r="L165" s="5"/>
      <c r="M165" s="5"/>
    </row>
    <row r="166" spans="1:13" x14ac:dyDescent="0.3">
      <c r="A166" s="5"/>
      <c r="B166" s="1"/>
      <c r="C166" s="48"/>
      <c r="D166" s="48"/>
      <c r="E166" s="48"/>
      <c r="F166" s="48"/>
      <c r="G166" s="48"/>
      <c r="H166" s="5"/>
      <c r="I166" s="5"/>
      <c r="J166" s="5"/>
      <c r="K166" s="5"/>
      <c r="L166" s="5"/>
      <c r="M166" s="5"/>
    </row>
    <row r="167" spans="1:13" x14ac:dyDescent="0.3">
      <c r="A167" s="5"/>
      <c r="B167" s="1"/>
      <c r="C167" s="48"/>
      <c r="D167" s="48"/>
      <c r="E167" s="48"/>
      <c r="F167" s="48"/>
      <c r="G167" s="48"/>
      <c r="H167" s="5"/>
      <c r="I167" s="5"/>
      <c r="J167" s="5"/>
      <c r="K167" s="5"/>
      <c r="L167" s="5"/>
      <c r="M167" s="5"/>
    </row>
    <row r="168" spans="1:13" x14ac:dyDescent="0.3">
      <c r="A168" s="5"/>
      <c r="B168" s="1"/>
      <c r="C168" s="48"/>
      <c r="D168" s="48"/>
      <c r="E168" s="48"/>
      <c r="F168" s="48"/>
      <c r="G168" s="48"/>
      <c r="H168" s="5"/>
      <c r="I168" s="5"/>
      <c r="J168" s="5"/>
      <c r="K168" s="5"/>
      <c r="L168" s="5"/>
      <c r="M168" s="5"/>
    </row>
    <row r="169" spans="1:13" x14ac:dyDescent="0.3">
      <c r="A169" s="5"/>
      <c r="B169" s="1"/>
      <c r="C169" s="48"/>
      <c r="D169" s="48"/>
      <c r="E169" s="48"/>
      <c r="F169" s="48"/>
      <c r="G169" s="48"/>
      <c r="H169" s="5"/>
      <c r="I169" s="5"/>
      <c r="J169" s="5"/>
      <c r="K169" s="5"/>
      <c r="L169" s="5"/>
      <c r="M169" s="5"/>
    </row>
    <row r="170" spans="1:13" x14ac:dyDescent="0.3">
      <c r="A170" s="5"/>
      <c r="B170" s="1"/>
      <c r="C170" s="48"/>
      <c r="D170" s="48"/>
      <c r="E170" s="48"/>
      <c r="F170" s="48"/>
      <c r="G170" s="48"/>
      <c r="H170" s="5"/>
      <c r="I170" s="5"/>
      <c r="J170" s="5"/>
      <c r="K170" s="5"/>
      <c r="L170" s="5"/>
      <c r="M170" s="5"/>
    </row>
    <row r="171" spans="1:13" x14ac:dyDescent="0.3">
      <c r="A171" s="5"/>
      <c r="B171" s="1"/>
      <c r="C171" s="48"/>
      <c r="D171" s="48"/>
      <c r="E171" s="48"/>
      <c r="F171" s="48"/>
      <c r="G171" s="48"/>
      <c r="H171" s="5"/>
      <c r="I171" s="5"/>
      <c r="J171" s="5"/>
      <c r="K171" s="5"/>
      <c r="L171" s="5"/>
      <c r="M171" s="5"/>
    </row>
    <row r="172" spans="1:13" x14ac:dyDescent="0.3">
      <c r="A172" s="5"/>
      <c r="B172" s="1"/>
      <c r="C172" s="48"/>
      <c r="D172" s="48"/>
      <c r="E172" s="48"/>
      <c r="F172" s="48"/>
      <c r="G172" s="48"/>
      <c r="H172" s="5"/>
      <c r="I172" s="5"/>
      <c r="J172" s="5"/>
      <c r="K172" s="5"/>
      <c r="L172" s="5"/>
      <c r="M172" s="5"/>
    </row>
    <row r="173" spans="1:13" x14ac:dyDescent="0.3">
      <c r="A173" s="5"/>
      <c r="B173" s="1"/>
      <c r="C173" s="48"/>
      <c r="D173" s="48"/>
      <c r="E173" s="48"/>
      <c r="F173" s="48"/>
      <c r="G173" s="48"/>
      <c r="H173" s="5"/>
      <c r="I173" s="5"/>
      <c r="J173" s="5"/>
      <c r="K173" s="5"/>
      <c r="L173" s="5"/>
      <c r="M173" s="5"/>
    </row>
    <row r="174" spans="1:13" x14ac:dyDescent="0.3">
      <c r="A174" s="5"/>
      <c r="B174" s="1"/>
      <c r="C174" s="48"/>
      <c r="D174" s="48"/>
      <c r="E174" s="48"/>
      <c r="F174" s="48"/>
      <c r="G174" s="48"/>
      <c r="H174" s="5"/>
      <c r="I174" s="5"/>
      <c r="J174" s="5"/>
      <c r="K174" s="5"/>
      <c r="L174" s="5"/>
      <c r="M174" s="5"/>
    </row>
    <row r="175" spans="1:13" x14ac:dyDescent="0.3">
      <c r="A175" s="5"/>
      <c r="B175" s="1"/>
      <c r="C175" s="48"/>
      <c r="D175" s="48"/>
      <c r="E175" s="48"/>
      <c r="F175" s="48"/>
      <c r="G175" s="48"/>
      <c r="H175" s="5"/>
      <c r="I175" s="5"/>
      <c r="J175" s="5"/>
      <c r="K175" s="5"/>
      <c r="L175" s="5"/>
      <c r="M175" s="5"/>
    </row>
    <row r="176" spans="1:13" x14ac:dyDescent="0.3">
      <c r="A176" s="5"/>
      <c r="B176" s="1"/>
      <c r="C176" s="48"/>
      <c r="D176" s="48"/>
      <c r="E176" s="48"/>
      <c r="F176" s="48"/>
      <c r="G176" s="48"/>
      <c r="H176" s="5"/>
      <c r="I176" s="5"/>
      <c r="J176" s="5"/>
      <c r="K176" s="5"/>
      <c r="L176" s="5"/>
      <c r="M176" s="5"/>
    </row>
    <row r="177" spans="1:13" x14ac:dyDescent="0.3">
      <c r="A177" s="5"/>
      <c r="B177" s="1"/>
      <c r="C177" s="48"/>
      <c r="D177" s="48"/>
      <c r="E177" s="48"/>
      <c r="F177" s="48"/>
      <c r="G177" s="48"/>
      <c r="H177" s="5"/>
      <c r="I177" s="5"/>
      <c r="J177" s="5"/>
      <c r="K177" s="5"/>
      <c r="L177" s="5"/>
      <c r="M177" s="5"/>
    </row>
    <row r="178" spans="1:13" x14ac:dyDescent="0.3">
      <c r="A178" s="5"/>
      <c r="B178" s="1"/>
      <c r="C178" s="48"/>
      <c r="D178" s="48"/>
      <c r="E178" s="48"/>
      <c r="F178" s="48"/>
      <c r="G178" s="48"/>
      <c r="H178" s="5"/>
      <c r="I178" s="5"/>
      <c r="J178" s="5"/>
      <c r="K178" s="5"/>
      <c r="L178" s="5"/>
      <c r="M178" s="5"/>
    </row>
    <row r="179" spans="1:13" x14ac:dyDescent="0.3">
      <c r="A179" s="5"/>
      <c r="B179" s="1"/>
      <c r="C179" s="48"/>
      <c r="D179" s="48"/>
      <c r="E179" s="48"/>
      <c r="F179" s="48"/>
      <c r="G179" s="48"/>
      <c r="H179" s="5"/>
      <c r="I179" s="5"/>
      <c r="J179" s="5"/>
      <c r="K179" s="5"/>
      <c r="L179" s="5"/>
      <c r="M179" s="5"/>
    </row>
    <row r="180" spans="1:13" x14ac:dyDescent="0.3">
      <c r="A180" s="5"/>
      <c r="B180" s="1"/>
      <c r="C180" s="48"/>
      <c r="D180" s="48"/>
      <c r="E180" s="48"/>
      <c r="F180" s="48"/>
      <c r="G180" s="48"/>
      <c r="H180" s="5"/>
      <c r="I180" s="5"/>
      <c r="J180" s="5"/>
      <c r="K180" s="5"/>
      <c r="L180" s="5"/>
      <c r="M180" s="5"/>
    </row>
    <row r="181" spans="1:13" x14ac:dyDescent="0.3">
      <c r="A181" s="5"/>
      <c r="B181" s="1"/>
      <c r="C181" s="48"/>
      <c r="D181" s="48"/>
      <c r="E181" s="48"/>
      <c r="F181" s="48"/>
      <c r="G181" s="48"/>
      <c r="H181" s="5"/>
      <c r="I181" s="5"/>
      <c r="J181" s="5"/>
      <c r="K181" s="5"/>
      <c r="L181" s="5"/>
      <c r="M181" s="5"/>
    </row>
    <row r="182" spans="1:13" x14ac:dyDescent="0.3">
      <c r="A182" s="5"/>
      <c r="B182" s="1"/>
      <c r="C182" s="48"/>
      <c r="D182" s="48"/>
      <c r="E182" s="48"/>
      <c r="F182" s="48"/>
      <c r="G182" s="48"/>
      <c r="H182" s="5"/>
      <c r="I182" s="5"/>
      <c r="J182" s="5"/>
      <c r="K182" s="5"/>
      <c r="L182" s="5"/>
      <c r="M182" s="5"/>
    </row>
    <row r="183" spans="1:13" x14ac:dyDescent="0.3">
      <c r="A183" s="5"/>
      <c r="B183" s="1"/>
      <c r="C183" s="48"/>
      <c r="D183" s="48"/>
      <c r="E183" s="48"/>
      <c r="F183" s="48"/>
      <c r="G183" s="48"/>
      <c r="H183" s="5"/>
      <c r="I183" s="5"/>
      <c r="J183" s="5"/>
      <c r="K183" s="5"/>
      <c r="L183" s="5"/>
      <c r="M183" s="5"/>
    </row>
    <row r="184" spans="1:13" x14ac:dyDescent="0.3">
      <c r="A184" s="5"/>
      <c r="B184" s="1"/>
      <c r="C184" s="48"/>
      <c r="D184" s="48"/>
      <c r="E184" s="48"/>
      <c r="F184" s="48"/>
      <c r="G184" s="48"/>
      <c r="H184" s="5"/>
      <c r="I184" s="5"/>
      <c r="J184" s="5"/>
      <c r="K184" s="5"/>
      <c r="L184" s="5"/>
      <c r="M184" s="5"/>
    </row>
    <row r="185" spans="1:13" x14ac:dyDescent="0.3">
      <c r="A185" s="5"/>
      <c r="B185" s="1"/>
      <c r="C185" s="48"/>
      <c r="D185" s="48"/>
      <c r="E185" s="48"/>
      <c r="F185" s="48"/>
      <c r="G185" s="48"/>
      <c r="H185" s="5"/>
      <c r="I185" s="5"/>
      <c r="J185" s="5"/>
      <c r="K185" s="5"/>
      <c r="L185" s="5"/>
      <c r="M185" s="5"/>
    </row>
    <row r="186" spans="1:13" x14ac:dyDescent="0.3">
      <c r="A186" s="5"/>
      <c r="B186" s="1"/>
      <c r="C186" s="48"/>
      <c r="D186" s="48"/>
      <c r="E186" s="48"/>
      <c r="F186" s="48"/>
      <c r="G186" s="48"/>
      <c r="H186" s="5"/>
      <c r="I186" s="5"/>
      <c r="J186" s="5"/>
      <c r="K186" s="5"/>
      <c r="L186" s="5"/>
      <c r="M186" s="5"/>
    </row>
    <row r="187" spans="1:13" x14ac:dyDescent="0.3">
      <c r="A187" s="5"/>
      <c r="B187" s="1"/>
      <c r="C187" s="48"/>
      <c r="D187" s="48"/>
      <c r="E187" s="48"/>
      <c r="F187" s="48"/>
      <c r="G187" s="48"/>
      <c r="H187" s="5"/>
      <c r="I187" s="5"/>
      <c r="J187" s="5"/>
      <c r="K187" s="5"/>
      <c r="L187" s="5"/>
      <c r="M187" s="5"/>
    </row>
    <row r="188" spans="1:13" x14ac:dyDescent="0.3">
      <c r="A188" s="5"/>
      <c r="B188" s="1"/>
      <c r="C188" s="48"/>
      <c r="D188" s="48"/>
      <c r="E188" s="48"/>
      <c r="F188" s="48"/>
      <c r="G188" s="48"/>
      <c r="H188" s="5"/>
      <c r="I188" s="5"/>
      <c r="J188" s="5"/>
      <c r="K188" s="5"/>
      <c r="L188" s="5"/>
      <c r="M188" s="5"/>
    </row>
    <row r="189" spans="1:13" x14ac:dyDescent="0.3">
      <c r="A189" s="5"/>
      <c r="B189" s="1"/>
      <c r="C189" s="48"/>
      <c r="D189" s="48"/>
      <c r="E189" s="48"/>
      <c r="F189" s="48"/>
      <c r="G189" s="48"/>
      <c r="H189" s="5"/>
      <c r="I189" s="5"/>
      <c r="J189" s="5"/>
      <c r="K189" s="5"/>
      <c r="L189" s="5"/>
      <c r="M189" s="5"/>
    </row>
    <row r="190" spans="1:13" x14ac:dyDescent="0.3">
      <c r="A190" s="5"/>
      <c r="B190" s="1"/>
      <c r="C190" s="48"/>
      <c r="D190" s="48"/>
      <c r="E190" s="48"/>
      <c r="F190" s="48"/>
      <c r="G190" s="48"/>
      <c r="H190" s="5"/>
      <c r="I190" s="5"/>
      <c r="J190" s="5"/>
      <c r="K190" s="5"/>
      <c r="L190" s="5"/>
      <c r="M190" s="5"/>
    </row>
    <row r="191" spans="1:13" x14ac:dyDescent="0.3">
      <c r="A191" s="5"/>
      <c r="B191" s="1"/>
      <c r="C191" s="48"/>
      <c r="D191" s="48"/>
      <c r="E191" s="48"/>
      <c r="F191" s="48"/>
      <c r="G191" s="48"/>
      <c r="H191" s="5"/>
      <c r="I191" s="5"/>
      <c r="J191" s="5"/>
      <c r="K191" s="5"/>
      <c r="L191" s="5"/>
      <c r="M191" s="5"/>
    </row>
    <row r="192" spans="1:13" x14ac:dyDescent="0.3">
      <c r="A192" s="5"/>
    </row>
    <row r="193" spans="1:1" x14ac:dyDescent="0.3">
      <c r="A193" s="5"/>
    </row>
    <row r="194" spans="1:1" x14ac:dyDescent="0.3">
      <c r="A194" s="5"/>
    </row>
    <row r="195" spans="1:1" x14ac:dyDescent="0.3">
      <c r="A195" s="5"/>
    </row>
    <row r="196" spans="1:1" x14ac:dyDescent="0.3">
      <c r="A196" s="5"/>
    </row>
    <row r="197" spans="1:1" x14ac:dyDescent="0.3">
      <c r="A197" s="5"/>
    </row>
    <row r="198" spans="1:1" x14ac:dyDescent="0.3">
      <c r="A198" s="5"/>
    </row>
    <row r="199" spans="1:1" x14ac:dyDescent="0.3">
      <c r="A199" s="5"/>
    </row>
  </sheetData>
  <sheetProtection algorithmName="SHA-512" hashValue="sGz+PFeggIsplr7YCds+ql9tnIs8djiM4tQJokgNbtJXViscYix7a9uIDwBjPQxhggbwEVecdoYMnmYqWk+oqQ==" saltValue="o2lkEDWxUHtbSf8NQQRwNA==" spinCount="100000" sheet="1" objects="1" scenarios="1"/>
  <mergeCells count="15">
    <mergeCell ref="A85:G86"/>
    <mergeCell ref="H63:H70"/>
    <mergeCell ref="A67:A71"/>
    <mergeCell ref="A73:B73"/>
    <mergeCell ref="A6:A18"/>
    <mergeCell ref="A19:A22"/>
    <mergeCell ref="A23:A31"/>
    <mergeCell ref="H28:H35"/>
    <mergeCell ref="A32:A36"/>
    <mergeCell ref="A38:B38"/>
    <mergeCell ref="A84:G84"/>
    <mergeCell ref="A41:A53"/>
    <mergeCell ref="A54:A57"/>
    <mergeCell ref="A58:A66"/>
    <mergeCell ref="A82:G83"/>
  </mergeCells>
  <printOptions horizontalCentered="1"/>
  <pageMargins left="0.25" right="0.25" top="0.75" bottom="0.75" header="0.3" footer="0.3"/>
  <pageSetup scale="70" orientation="portrait" r:id="rId1"/>
  <headerFooter>
    <oddFooter>&amp;C&amp;"Century Gothic,Regular"&amp;9Page &amp;P of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380EE-38B5-44A6-B9F2-F5B37D66C61A}">
  <sheetPr>
    <pageSetUpPr fitToPage="1"/>
  </sheetPr>
  <dimension ref="A1:AB152"/>
  <sheetViews>
    <sheetView zoomScale="130" zoomScaleNormal="130" zoomScaleSheetLayoutView="130" workbookViewId="0">
      <pane xSplit="2" ySplit="3" topLeftCell="C4" activePane="bottomRight" state="frozen"/>
      <selection activeCell="C5" sqref="C5"/>
      <selection pane="topRight" activeCell="C5" sqref="C5"/>
      <selection pane="bottomLeft" activeCell="C5" sqref="C5"/>
      <selection pane="bottomRight" activeCell="C4" sqref="C4"/>
    </sheetView>
  </sheetViews>
  <sheetFormatPr baseColWidth="10" defaultColWidth="9.140625" defaultRowHeight="15.75" x14ac:dyDescent="0.3"/>
  <cols>
    <col min="1" max="1" width="12.7109375" customWidth="1"/>
    <col min="2" max="2" width="35.7109375" style="7" customWidth="1"/>
    <col min="3" max="12" width="13.140625" style="7" customWidth="1"/>
    <col min="13" max="16384" width="9.140625" style="7"/>
  </cols>
  <sheetData>
    <row r="1" spans="1:28" ht="20.45" customHeight="1" x14ac:dyDescent="0.3">
      <c r="A1" s="89" t="s">
        <v>791</v>
      </c>
      <c r="B1" s="89"/>
      <c r="C1" s="2"/>
      <c r="D1" s="2"/>
      <c r="E1" s="2"/>
      <c r="F1" s="2"/>
      <c r="G1" s="2"/>
      <c r="H1" s="2"/>
      <c r="I1" s="2"/>
      <c r="J1" s="2"/>
      <c r="K1" s="2"/>
      <c r="L1" s="2"/>
      <c r="M1" s="1"/>
      <c r="N1" s="1"/>
      <c r="O1" s="1"/>
      <c r="P1" s="1"/>
      <c r="Q1" s="1"/>
      <c r="R1" s="1"/>
      <c r="S1" s="1"/>
      <c r="T1" s="1"/>
      <c r="U1" s="1"/>
      <c r="V1" s="1"/>
      <c r="W1" s="1"/>
      <c r="X1" s="1"/>
      <c r="Y1" s="1"/>
      <c r="Z1" s="1"/>
      <c r="AA1" s="1"/>
      <c r="AB1" s="1"/>
    </row>
    <row r="2" spans="1:28" ht="15" customHeight="1" x14ac:dyDescent="0.3">
      <c r="A2" s="108" t="s">
        <v>688</v>
      </c>
      <c r="B2" s="788"/>
      <c r="C2" s="1033" t="s">
        <v>202</v>
      </c>
      <c r="D2" s="1034"/>
      <c r="E2" s="1035"/>
      <c r="F2" s="1033" t="s">
        <v>203</v>
      </c>
      <c r="G2" s="1034"/>
      <c r="H2" s="1035"/>
      <c r="I2" s="1033" t="s">
        <v>204</v>
      </c>
      <c r="J2" s="1034"/>
      <c r="K2" s="1034"/>
      <c r="L2" s="1049" t="s">
        <v>205</v>
      </c>
      <c r="M2" s="19"/>
      <c r="N2"/>
      <c r="O2"/>
      <c r="P2"/>
      <c r="Q2"/>
    </row>
    <row r="3" spans="1:28" ht="15" customHeight="1" x14ac:dyDescent="0.3">
      <c r="A3" s="255" t="s">
        <v>362</v>
      </c>
      <c r="B3" s="255"/>
      <c r="C3" s="731" t="s">
        <v>206</v>
      </c>
      <c r="D3" s="731" t="s">
        <v>207</v>
      </c>
      <c r="E3" s="523" t="s">
        <v>114</v>
      </c>
      <c r="F3" s="731" t="s">
        <v>206</v>
      </c>
      <c r="G3" s="731" t="s">
        <v>207</v>
      </c>
      <c r="H3" s="523" t="s">
        <v>114</v>
      </c>
      <c r="I3" s="731" t="s">
        <v>206</v>
      </c>
      <c r="J3" s="796" t="s">
        <v>207</v>
      </c>
      <c r="K3" s="797" t="s">
        <v>114</v>
      </c>
      <c r="L3" s="1050"/>
      <c r="M3" s="19"/>
      <c r="N3" s="1"/>
      <c r="O3" s="1"/>
      <c r="P3" s="1"/>
      <c r="Q3" s="1"/>
      <c r="R3" s="1"/>
      <c r="S3" s="1"/>
      <c r="T3" s="1"/>
      <c r="U3" s="1"/>
      <c r="V3" s="1"/>
      <c r="W3" s="1"/>
      <c r="X3" s="1"/>
      <c r="Y3" s="1"/>
      <c r="Z3" s="1"/>
      <c r="AA3" s="1"/>
      <c r="AB3" s="1"/>
    </row>
    <row r="4" spans="1:28" s="20" customFormat="1" ht="13.5" x14ac:dyDescent="0.3">
      <c r="A4" s="1028" t="s">
        <v>748</v>
      </c>
      <c r="B4" s="419" t="s">
        <v>124</v>
      </c>
      <c r="C4" s="467"/>
      <c r="D4" s="467"/>
      <c r="E4" s="524"/>
      <c r="F4" s="467"/>
      <c r="G4" s="467"/>
      <c r="H4" s="524"/>
      <c r="I4" s="467"/>
      <c r="J4" s="467"/>
      <c r="K4" s="524"/>
      <c r="L4" s="525"/>
      <c r="M4" s="6"/>
    </row>
    <row r="5" spans="1:28" s="20" customFormat="1" ht="13.5" x14ac:dyDescent="0.3">
      <c r="A5" s="1028"/>
      <c r="B5" s="420" t="s">
        <v>16</v>
      </c>
      <c r="C5" s="456">
        <v>0</v>
      </c>
      <c r="D5" s="456">
        <v>2235</v>
      </c>
      <c r="E5" s="526">
        <f>C5+D5</f>
        <v>2235</v>
      </c>
      <c r="F5" s="456">
        <v>450</v>
      </c>
      <c r="G5" s="456">
        <v>1421</v>
      </c>
      <c r="H5" s="526">
        <f>F5+G5</f>
        <v>1871</v>
      </c>
      <c r="I5" s="456">
        <v>450</v>
      </c>
      <c r="J5" s="456">
        <v>3655</v>
      </c>
      <c r="K5" s="526">
        <f>I5+J5</f>
        <v>4105</v>
      </c>
      <c r="L5" s="527">
        <f>I5/K5</f>
        <v>0.10962241169305725</v>
      </c>
      <c r="M5" s="6"/>
    </row>
    <row r="6" spans="1:28" s="20" customFormat="1" ht="13.5" x14ac:dyDescent="0.3">
      <c r="A6" s="1028"/>
      <c r="B6" s="420" t="s">
        <v>30</v>
      </c>
      <c r="C6" s="456">
        <v>0</v>
      </c>
      <c r="D6" s="456">
        <v>1108</v>
      </c>
      <c r="E6" s="526">
        <f t="shared" ref="E6:E13" si="0">C6+D6</f>
        <v>1108</v>
      </c>
      <c r="F6" s="456">
        <v>73</v>
      </c>
      <c r="G6" s="456">
        <v>1152</v>
      </c>
      <c r="H6" s="526">
        <f t="shared" ref="H6:H13" si="1">F6+G6</f>
        <v>1225</v>
      </c>
      <c r="I6" s="456">
        <v>73</v>
      </c>
      <c r="J6" s="456">
        <v>2260</v>
      </c>
      <c r="K6" s="526">
        <f t="shared" ref="K6:K13" si="2">I6+J6</f>
        <v>2333</v>
      </c>
      <c r="L6" s="527">
        <f t="shared" ref="L6:L16" si="3">I6/K6</f>
        <v>3.1290184312044576E-2</v>
      </c>
      <c r="M6" s="6"/>
    </row>
    <row r="7" spans="1:28" s="20" customFormat="1" ht="13.5" x14ac:dyDescent="0.3">
      <c r="A7" s="1028"/>
      <c r="B7" s="420" t="s">
        <v>17</v>
      </c>
      <c r="C7" s="456">
        <v>0</v>
      </c>
      <c r="D7" s="456">
        <v>8295</v>
      </c>
      <c r="E7" s="526">
        <f t="shared" si="0"/>
        <v>8295</v>
      </c>
      <c r="F7" s="456">
        <v>992</v>
      </c>
      <c r="G7" s="456">
        <v>7401</v>
      </c>
      <c r="H7" s="526">
        <f t="shared" si="1"/>
        <v>8393</v>
      </c>
      <c r="I7" s="456">
        <v>992</v>
      </c>
      <c r="J7" s="456">
        <v>15697</v>
      </c>
      <c r="K7" s="526">
        <f t="shared" si="2"/>
        <v>16689</v>
      </c>
      <c r="L7" s="527">
        <f t="shared" si="3"/>
        <v>5.9440349931092339E-2</v>
      </c>
      <c r="M7" s="6"/>
    </row>
    <row r="8" spans="1:28" s="20" customFormat="1" ht="13.5" x14ac:dyDescent="0.3">
      <c r="A8" s="1028"/>
      <c r="B8" s="421" t="s">
        <v>29</v>
      </c>
      <c r="C8" s="456">
        <v>0</v>
      </c>
      <c r="D8" s="456">
        <v>2491</v>
      </c>
      <c r="E8" s="526">
        <f t="shared" si="0"/>
        <v>2491</v>
      </c>
      <c r="F8" s="456">
        <v>191</v>
      </c>
      <c r="G8" s="456">
        <v>1420</v>
      </c>
      <c r="H8" s="526">
        <f t="shared" si="1"/>
        <v>1611</v>
      </c>
      <c r="I8" s="456">
        <v>191</v>
      </c>
      <c r="J8" s="456">
        <v>3911</v>
      </c>
      <c r="K8" s="526">
        <f t="shared" si="2"/>
        <v>4102</v>
      </c>
      <c r="L8" s="527">
        <f t="shared" si="3"/>
        <v>4.6562652364700148E-2</v>
      </c>
      <c r="M8" s="6"/>
    </row>
    <row r="9" spans="1:28" s="20" customFormat="1" ht="13.5" x14ac:dyDescent="0.3">
      <c r="A9" s="1028"/>
      <c r="B9" s="421" t="s">
        <v>18</v>
      </c>
      <c r="C9" s="456">
        <v>0</v>
      </c>
      <c r="D9" s="456">
        <v>1850</v>
      </c>
      <c r="E9" s="526">
        <f t="shared" si="0"/>
        <v>1850</v>
      </c>
      <c r="F9" s="456">
        <v>128</v>
      </c>
      <c r="G9" s="456">
        <v>2169</v>
      </c>
      <c r="H9" s="526">
        <f t="shared" si="1"/>
        <v>2297</v>
      </c>
      <c r="I9" s="456">
        <v>128</v>
      </c>
      <c r="J9" s="456">
        <v>4019</v>
      </c>
      <c r="K9" s="526">
        <f t="shared" si="2"/>
        <v>4147</v>
      </c>
      <c r="L9" s="527">
        <f t="shared" si="3"/>
        <v>3.0865686038099832E-2</v>
      </c>
      <c r="M9" s="6"/>
    </row>
    <row r="10" spans="1:28" s="20" customFormat="1" ht="13.5" x14ac:dyDescent="0.3">
      <c r="A10" s="1028"/>
      <c r="B10" s="422" t="s">
        <v>21</v>
      </c>
      <c r="C10" s="528">
        <v>0</v>
      </c>
      <c r="D10" s="528">
        <v>571</v>
      </c>
      <c r="E10" s="530">
        <f t="shared" si="0"/>
        <v>571</v>
      </c>
      <c r="F10" s="528">
        <v>46</v>
      </c>
      <c r="G10" s="528">
        <v>721</v>
      </c>
      <c r="H10" s="530">
        <f t="shared" si="1"/>
        <v>767</v>
      </c>
      <c r="I10" s="528">
        <v>46</v>
      </c>
      <c r="J10" s="528">
        <v>1292</v>
      </c>
      <c r="K10" s="530">
        <f t="shared" si="2"/>
        <v>1338</v>
      </c>
      <c r="L10" s="531">
        <f t="shared" si="3"/>
        <v>3.4379671150971597E-2</v>
      </c>
      <c r="M10" s="6"/>
    </row>
    <row r="11" spans="1:28" s="20" customFormat="1" ht="13.5" x14ac:dyDescent="0.3">
      <c r="A11" s="1028"/>
      <c r="B11" s="419" t="s">
        <v>111</v>
      </c>
      <c r="C11" s="529"/>
      <c r="D11" s="529"/>
      <c r="E11" s="532"/>
      <c r="F11" s="529"/>
      <c r="G11" s="529"/>
      <c r="H11" s="532"/>
      <c r="I11" s="529"/>
      <c r="J11" s="529"/>
      <c r="K11" s="532"/>
      <c r="L11" s="525"/>
      <c r="M11" s="6"/>
    </row>
    <row r="12" spans="1:28" s="20" customFormat="1" ht="13.5" x14ac:dyDescent="0.3">
      <c r="A12" s="1028"/>
      <c r="B12" s="420" t="s">
        <v>23</v>
      </c>
      <c r="C12" s="456">
        <v>416</v>
      </c>
      <c r="D12" s="456">
        <v>7924</v>
      </c>
      <c r="E12" s="526">
        <f t="shared" si="0"/>
        <v>8340</v>
      </c>
      <c r="F12" s="456">
        <v>9516</v>
      </c>
      <c r="G12" s="456">
        <v>3595</v>
      </c>
      <c r="H12" s="526">
        <f t="shared" si="1"/>
        <v>13111</v>
      </c>
      <c r="I12" s="456">
        <v>9931</v>
      </c>
      <c r="J12" s="456">
        <v>11519</v>
      </c>
      <c r="K12" s="526">
        <f t="shared" si="2"/>
        <v>21450</v>
      </c>
      <c r="L12" s="527">
        <f t="shared" si="3"/>
        <v>0.46298368298368298</v>
      </c>
      <c r="M12" s="6"/>
    </row>
    <row r="13" spans="1:28" s="20" customFormat="1" ht="13.5" x14ac:dyDescent="0.3">
      <c r="A13" s="1028"/>
      <c r="B13" s="423" t="s">
        <v>22</v>
      </c>
      <c r="C13" s="528">
        <v>0</v>
      </c>
      <c r="D13" s="528">
        <v>1031</v>
      </c>
      <c r="E13" s="530">
        <f t="shared" si="0"/>
        <v>1031</v>
      </c>
      <c r="F13" s="528">
        <v>1249</v>
      </c>
      <c r="G13" s="528">
        <v>1022</v>
      </c>
      <c r="H13" s="530">
        <f t="shared" si="1"/>
        <v>2271</v>
      </c>
      <c r="I13" s="528">
        <v>1249</v>
      </c>
      <c r="J13" s="528">
        <v>2052</v>
      </c>
      <c r="K13" s="530">
        <f t="shared" si="2"/>
        <v>3301</v>
      </c>
      <c r="L13" s="531">
        <f t="shared" si="3"/>
        <v>0.37837019085125717</v>
      </c>
      <c r="M13" s="6"/>
    </row>
    <row r="14" spans="1:28" s="20" customFormat="1" ht="13.5" x14ac:dyDescent="0.3">
      <c r="A14" s="1028"/>
      <c r="B14" s="419" t="s">
        <v>112</v>
      </c>
      <c r="C14" s="529"/>
      <c r="D14" s="529"/>
      <c r="E14" s="532"/>
      <c r="F14" s="529"/>
      <c r="G14" s="529"/>
      <c r="H14" s="532"/>
      <c r="I14" s="529"/>
      <c r="J14" s="529"/>
      <c r="K14" s="532"/>
      <c r="L14" s="525"/>
      <c r="M14" s="6"/>
    </row>
    <row r="15" spans="1:28" s="20" customFormat="1" ht="13.5" x14ac:dyDescent="0.3">
      <c r="A15" s="1028"/>
      <c r="B15" s="88" t="s">
        <v>197</v>
      </c>
      <c r="C15" s="529">
        <v>129</v>
      </c>
      <c r="D15" s="529">
        <v>28725.23</v>
      </c>
      <c r="E15" s="532">
        <f>C15+D15</f>
        <v>28854.23</v>
      </c>
      <c r="F15" s="529">
        <v>0</v>
      </c>
      <c r="G15" s="529">
        <v>0</v>
      </c>
      <c r="H15" s="532"/>
      <c r="I15" s="529">
        <v>129</v>
      </c>
      <c r="J15" s="529">
        <v>28725.23</v>
      </c>
      <c r="K15" s="532">
        <f t="shared" ref="K15" si="4">I15+J15</f>
        <v>28854.23</v>
      </c>
      <c r="L15" s="525">
        <f t="shared" ref="L15" si="5">I15/K15</f>
        <v>4.4707483096932408E-3</v>
      </c>
      <c r="M15" s="6"/>
    </row>
    <row r="16" spans="1:28" s="20" customFormat="1" ht="13.5" x14ac:dyDescent="0.3">
      <c r="A16" s="1028"/>
      <c r="B16" s="430" t="s">
        <v>749</v>
      </c>
      <c r="C16" s="533">
        <f t="shared" ref="C16:K16" si="6">SUM(C5:C15)</f>
        <v>545</v>
      </c>
      <c r="D16" s="533">
        <f t="shared" si="6"/>
        <v>54230.229999999996</v>
      </c>
      <c r="E16" s="534">
        <f t="shared" si="6"/>
        <v>54775.229999999996</v>
      </c>
      <c r="F16" s="533">
        <f t="shared" si="6"/>
        <v>12645</v>
      </c>
      <c r="G16" s="533">
        <f t="shared" si="6"/>
        <v>18901</v>
      </c>
      <c r="H16" s="534">
        <f t="shared" si="6"/>
        <v>31546</v>
      </c>
      <c r="I16" s="533">
        <f t="shared" si="6"/>
        <v>13189</v>
      </c>
      <c r="J16" s="533">
        <f t="shared" si="6"/>
        <v>73130.23</v>
      </c>
      <c r="K16" s="534">
        <f t="shared" si="6"/>
        <v>86319.23</v>
      </c>
      <c r="L16" s="535">
        <f t="shared" si="3"/>
        <v>0.1527932999402335</v>
      </c>
      <c r="M16" s="6"/>
    </row>
    <row r="17" spans="1:13" s="20" customFormat="1" ht="13.5" x14ac:dyDescent="0.3">
      <c r="A17" s="1027" t="s">
        <v>750</v>
      </c>
      <c r="B17" s="419" t="s">
        <v>124</v>
      </c>
      <c r="C17" s="467"/>
      <c r="D17" s="467"/>
      <c r="E17" s="524"/>
      <c r="F17" s="467"/>
      <c r="G17" s="467"/>
      <c r="H17" s="524"/>
      <c r="I17" s="467"/>
      <c r="J17" s="467"/>
      <c r="K17" s="524"/>
      <c r="L17" s="525"/>
      <c r="M17" s="6"/>
    </row>
    <row r="18" spans="1:13" s="20" customFormat="1" ht="13.5" x14ac:dyDescent="0.3">
      <c r="A18" s="1028"/>
      <c r="B18" s="420" t="s">
        <v>19</v>
      </c>
      <c r="C18" s="456">
        <v>0</v>
      </c>
      <c r="D18" s="456">
        <v>779</v>
      </c>
      <c r="E18" s="526">
        <f t="shared" ref="E18:E25" si="7">C18+D18</f>
        <v>779</v>
      </c>
      <c r="F18" s="456">
        <v>223</v>
      </c>
      <c r="G18" s="456">
        <v>349</v>
      </c>
      <c r="H18" s="526">
        <f t="shared" ref="H18:H20" si="8">F18+G18</f>
        <v>572</v>
      </c>
      <c r="I18" s="456">
        <v>223</v>
      </c>
      <c r="J18" s="456">
        <v>1128</v>
      </c>
      <c r="K18" s="526">
        <f t="shared" ref="K18:K20" si="9">I18+J18</f>
        <v>1351</v>
      </c>
      <c r="L18" s="527">
        <f t="shared" ref="L18:L33" si="10">I18/K18</f>
        <v>0.16506291635825315</v>
      </c>
      <c r="M18" s="41"/>
    </row>
    <row r="19" spans="1:13" s="20" customFormat="1" ht="13.5" x14ac:dyDescent="0.3">
      <c r="A19" s="1028"/>
      <c r="B19" s="423" t="s">
        <v>20</v>
      </c>
      <c r="C19" s="456">
        <v>11</v>
      </c>
      <c r="D19" s="456">
        <v>307</v>
      </c>
      <c r="E19" s="526">
        <f t="shared" si="7"/>
        <v>318</v>
      </c>
      <c r="F19" s="456">
        <v>259</v>
      </c>
      <c r="G19" s="456">
        <v>404</v>
      </c>
      <c r="H19" s="526">
        <f t="shared" si="8"/>
        <v>663</v>
      </c>
      <c r="I19" s="456">
        <v>270</v>
      </c>
      <c r="J19" s="456">
        <v>711</v>
      </c>
      <c r="K19" s="526">
        <f t="shared" si="9"/>
        <v>981</v>
      </c>
      <c r="L19" s="527">
        <f t="shared" si="10"/>
        <v>0.27522935779816515</v>
      </c>
      <c r="M19" s="6"/>
    </row>
    <row r="20" spans="1:13" s="20" customFormat="1" ht="13.5" x14ac:dyDescent="0.3">
      <c r="A20" s="1029"/>
      <c r="B20" s="430" t="s">
        <v>751</v>
      </c>
      <c r="C20" s="533">
        <f>C18+C19</f>
        <v>11</v>
      </c>
      <c r="D20" s="533">
        <f>D18+D19</f>
        <v>1086</v>
      </c>
      <c r="E20" s="534">
        <f t="shared" si="7"/>
        <v>1097</v>
      </c>
      <c r="F20" s="533">
        <f>F18+F19</f>
        <v>482</v>
      </c>
      <c r="G20" s="533">
        <f>G18+G19</f>
        <v>753</v>
      </c>
      <c r="H20" s="534">
        <f t="shared" si="8"/>
        <v>1235</v>
      </c>
      <c r="I20" s="533">
        <f>I18+I19</f>
        <v>493</v>
      </c>
      <c r="J20" s="533">
        <f>J18+J19</f>
        <v>1839</v>
      </c>
      <c r="K20" s="534">
        <f t="shared" si="9"/>
        <v>2332</v>
      </c>
      <c r="L20" s="535">
        <f t="shared" si="10"/>
        <v>0.21140651801029159</v>
      </c>
      <c r="M20" s="6"/>
    </row>
    <row r="21" spans="1:13" s="20" customFormat="1" ht="10.9" customHeight="1" x14ac:dyDescent="0.3">
      <c r="A21" s="1027" t="s">
        <v>752</v>
      </c>
      <c r="B21" s="419" t="s">
        <v>124</v>
      </c>
      <c r="C21" s="467"/>
      <c r="D21" s="467"/>
      <c r="E21" s="524"/>
      <c r="F21" s="467"/>
      <c r="G21" s="467"/>
      <c r="H21" s="524"/>
      <c r="I21" s="467"/>
      <c r="J21" s="467"/>
      <c r="K21" s="524"/>
      <c r="L21" s="525"/>
      <c r="M21" s="6"/>
    </row>
    <row r="22" spans="1:13" s="20" customFormat="1" ht="13.5" x14ac:dyDescent="0.3">
      <c r="A22" s="1028"/>
      <c r="B22" s="421" t="s">
        <v>26</v>
      </c>
      <c r="C22" s="456">
        <v>0</v>
      </c>
      <c r="D22" s="456">
        <v>2184</v>
      </c>
      <c r="E22" s="526">
        <f t="shared" si="7"/>
        <v>2184</v>
      </c>
      <c r="F22" s="456">
        <v>8</v>
      </c>
      <c r="G22" s="456">
        <v>278</v>
      </c>
      <c r="H22" s="526">
        <f t="shared" ref="H22:H23" si="11">F22+G22</f>
        <v>286</v>
      </c>
      <c r="I22" s="456">
        <v>8</v>
      </c>
      <c r="J22" s="456">
        <v>2462</v>
      </c>
      <c r="K22" s="526">
        <f t="shared" ref="K22:K23" si="12">I22+J22</f>
        <v>2470</v>
      </c>
      <c r="L22" s="527">
        <f t="shared" si="10"/>
        <v>3.2388663967611335E-3</v>
      </c>
      <c r="M22" s="6"/>
    </row>
    <row r="23" spans="1:13" s="20" customFormat="1" ht="13.5" x14ac:dyDescent="0.3">
      <c r="A23" s="1028"/>
      <c r="B23" s="425" t="s">
        <v>27</v>
      </c>
      <c r="C23" s="528">
        <v>0</v>
      </c>
      <c r="D23" s="528">
        <v>1869</v>
      </c>
      <c r="E23" s="530">
        <f t="shared" si="7"/>
        <v>1869</v>
      </c>
      <c r="F23" s="528">
        <v>290</v>
      </c>
      <c r="G23" s="528">
        <v>1547</v>
      </c>
      <c r="H23" s="530">
        <f t="shared" si="11"/>
        <v>1837</v>
      </c>
      <c r="I23" s="528">
        <v>290</v>
      </c>
      <c r="J23" s="528">
        <v>3416</v>
      </c>
      <c r="K23" s="530">
        <f t="shared" si="12"/>
        <v>3706</v>
      </c>
      <c r="L23" s="531">
        <f t="shared" si="10"/>
        <v>7.8251484079870481E-2</v>
      </c>
      <c r="M23" s="6"/>
    </row>
    <row r="24" spans="1:13" s="20" customFormat="1" ht="13.5" x14ac:dyDescent="0.3">
      <c r="A24" s="1028"/>
      <c r="B24" s="419" t="s">
        <v>113</v>
      </c>
      <c r="C24" s="529"/>
      <c r="D24" s="529"/>
      <c r="E24" s="532"/>
      <c r="F24" s="529"/>
      <c r="G24" s="529"/>
      <c r="H24" s="532"/>
      <c r="I24" s="529"/>
      <c r="J24" s="529"/>
      <c r="K24" s="532"/>
      <c r="L24" s="525"/>
      <c r="M24" s="6"/>
    </row>
    <row r="25" spans="1:13" s="20" customFormat="1" ht="13.5" x14ac:dyDescent="0.3">
      <c r="A25" s="1028"/>
      <c r="B25" s="421" t="s">
        <v>28</v>
      </c>
      <c r="C25" s="456">
        <v>0</v>
      </c>
      <c r="D25" s="456">
        <v>725</v>
      </c>
      <c r="E25" s="526">
        <f t="shared" si="7"/>
        <v>725</v>
      </c>
      <c r="F25" s="456">
        <v>363</v>
      </c>
      <c r="G25" s="456">
        <v>441</v>
      </c>
      <c r="H25" s="526">
        <f t="shared" ref="H25" si="13">F25+G25</f>
        <v>804</v>
      </c>
      <c r="I25" s="456">
        <v>363</v>
      </c>
      <c r="J25" s="456">
        <v>1167</v>
      </c>
      <c r="K25" s="526">
        <f t="shared" ref="K25" si="14">I25+J25</f>
        <v>1530</v>
      </c>
      <c r="L25" s="527">
        <f t="shared" si="10"/>
        <v>0.2372549019607843</v>
      </c>
      <c r="M25" s="6"/>
    </row>
    <row r="26" spans="1:13" s="20" customFormat="1" ht="13.5" x14ac:dyDescent="0.3">
      <c r="A26" s="1028"/>
      <c r="B26" s="430" t="s">
        <v>756</v>
      </c>
      <c r="C26" s="533">
        <f t="shared" ref="C26:K26" si="15">SUM(C22:C25)</f>
        <v>0</v>
      </c>
      <c r="D26" s="533">
        <f t="shared" si="15"/>
        <v>4778</v>
      </c>
      <c r="E26" s="534">
        <f t="shared" si="15"/>
        <v>4778</v>
      </c>
      <c r="F26" s="533">
        <f t="shared" si="15"/>
        <v>661</v>
      </c>
      <c r="G26" s="533">
        <f t="shared" si="15"/>
        <v>2266</v>
      </c>
      <c r="H26" s="534">
        <f t="shared" si="15"/>
        <v>2927</v>
      </c>
      <c r="I26" s="533">
        <f t="shared" si="15"/>
        <v>661</v>
      </c>
      <c r="J26" s="533">
        <f t="shared" si="15"/>
        <v>7045</v>
      </c>
      <c r="K26" s="534">
        <f t="shared" si="15"/>
        <v>7706</v>
      </c>
      <c r="L26" s="535">
        <f t="shared" si="10"/>
        <v>8.5777316376849211E-2</v>
      </c>
      <c r="M26" s="6"/>
    </row>
    <row r="27" spans="1:13" s="20" customFormat="1" ht="13.5" x14ac:dyDescent="0.3">
      <c r="A27" s="1027" t="s">
        <v>217</v>
      </c>
      <c r="B27" s="419" t="s">
        <v>217</v>
      </c>
      <c r="C27" s="467"/>
      <c r="D27" s="467"/>
      <c r="E27" s="524"/>
      <c r="F27" s="467"/>
      <c r="G27" s="467"/>
      <c r="H27" s="524"/>
      <c r="I27" s="467"/>
      <c r="J27" s="467"/>
      <c r="K27" s="524"/>
      <c r="L27" s="536"/>
      <c r="M27" s="6"/>
    </row>
    <row r="28" spans="1:13" s="20" customFormat="1" ht="13.5" x14ac:dyDescent="0.3">
      <c r="A28" s="1028"/>
      <c r="B28" s="421" t="s">
        <v>235</v>
      </c>
      <c r="C28" s="456">
        <v>0</v>
      </c>
      <c r="D28" s="456">
        <v>393</v>
      </c>
      <c r="E28" s="526">
        <f t="shared" ref="E28:E30" si="16">C28+D28</f>
        <v>393</v>
      </c>
      <c r="F28" s="456">
        <v>65</v>
      </c>
      <c r="G28" s="456">
        <v>49</v>
      </c>
      <c r="H28" s="526">
        <f t="shared" ref="H28:H30" si="17">F28+G28</f>
        <v>114</v>
      </c>
      <c r="I28" s="456">
        <v>65</v>
      </c>
      <c r="J28" s="456">
        <v>442</v>
      </c>
      <c r="K28" s="526">
        <f t="shared" ref="K28:K30" si="18">I28+J28</f>
        <v>507</v>
      </c>
      <c r="L28" s="527">
        <f t="shared" si="10"/>
        <v>0.12820512820512819</v>
      </c>
      <c r="M28" s="6"/>
    </row>
    <row r="29" spans="1:13" s="20" customFormat="1" ht="13.5" x14ac:dyDescent="0.3">
      <c r="A29" s="1028"/>
      <c r="B29" s="426" t="s">
        <v>24</v>
      </c>
      <c r="C29" s="456">
        <v>0</v>
      </c>
      <c r="D29" s="456">
        <v>153</v>
      </c>
      <c r="E29" s="526">
        <f t="shared" si="16"/>
        <v>153</v>
      </c>
      <c r="F29" s="456">
        <v>49</v>
      </c>
      <c r="G29" s="456">
        <v>0</v>
      </c>
      <c r="H29" s="526">
        <f t="shared" si="17"/>
        <v>49</v>
      </c>
      <c r="I29" s="456">
        <v>49</v>
      </c>
      <c r="J29" s="456">
        <v>153</v>
      </c>
      <c r="K29" s="526">
        <f t="shared" si="18"/>
        <v>202</v>
      </c>
      <c r="L29" s="527">
        <f t="shared" si="10"/>
        <v>0.24257425742574257</v>
      </c>
      <c r="M29" s="6"/>
    </row>
    <row r="30" spans="1:13" s="20" customFormat="1" ht="13.5" x14ac:dyDescent="0.3">
      <c r="A30" s="1028"/>
      <c r="B30" s="427" t="s">
        <v>25</v>
      </c>
      <c r="C30" s="529">
        <v>0</v>
      </c>
      <c r="D30" s="529">
        <v>1</v>
      </c>
      <c r="E30" s="526">
        <f t="shared" si="16"/>
        <v>1</v>
      </c>
      <c r="F30" s="529">
        <v>2</v>
      </c>
      <c r="G30" s="529">
        <v>3</v>
      </c>
      <c r="H30" s="526">
        <f t="shared" si="17"/>
        <v>5</v>
      </c>
      <c r="I30" s="529">
        <v>2</v>
      </c>
      <c r="J30" s="529">
        <v>5</v>
      </c>
      <c r="K30" s="526">
        <f t="shared" si="18"/>
        <v>7</v>
      </c>
      <c r="L30" s="527">
        <f t="shared" si="10"/>
        <v>0.2857142857142857</v>
      </c>
      <c r="M30" s="6"/>
    </row>
    <row r="31" spans="1:13" s="20" customFormat="1" ht="13.5" x14ac:dyDescent="0.3">
      <c r="A31" s="1029"/>
      <c r="B31" s="908" t="s">
        <v>757</v>
      </c>
      <c r="C31" s="909">
        <f>SUM(C28:C30)</f>
        <v>0</v>
      </c>
      <c r="D31" s="909">
        <f t="shared" ref="D31:K31" si="19">SUM(D28:D30)</f>
        <v>547</v>
      </c>
      <c r="E31" s="530">
        <f t="shared" si="19"/>
        <v>547</v>
      </c>
      <c r="F31" s="909">
        <f t="shared" si="19"/>
        <v>116</v>
      </c>
      <c r="G31" s="909">
        <f t="shared" si="19"/>
        <v>52</v>
      </c>
      <c r="H31" s="530">
        <f t="shared" si="19"/>
        <v>168</v>
      </c>
      <c r="I31" s="909">
        <f t="shared" si="19"/>
        <v>116</v>
      </c>
      <c r="J31" s="909">
        <f t="shared" si="19"/>
        <v>600</v>
      </c>
      <c r="K31" s="530">
        <f t="shared" si="19"/>
        <v>716</v>
      </c>
      <c r="L31" s="910">
        <f t="shared" si="10"/>
        <v>0.16201117318435754</v>
      </c>
      <c r="M31" s="6"/>
    </row>
    <row r="32" spans="1:13" s="20" customFormat="1" ht="5.0999999999999996" customHeight="1" x14ac:dyDescent="0.3">
      <c r="A32" s="912"/>
      <c r="B32" s="388"/>
      <c r="C32" s="537"/>
      <c r="D32" s="537"/>
      <c r="E32" s="538"/>
      <c r="F32" s="537"/>
      <c r="G32" s="537"/>
      <c r="H32" s="538"/>
      <c r="I32" s="537"/>
      <c r="J32" s="537"/>
      <c r="K32" s="538"/>
      <c r="L32" s="539"/>
      <c r="M32" s="6"/>
    </row>
    <row r="33" spans="1:13" s="20" customFormat="1" ht="13.5" x14ac:dyDescent="0.3">
      <c r="A33" s="389" t="s">
        <v>201</v>
      </c>
      <c r="B33" s="389"/>
      <c r="C33" s="471">
        <f t="shared" ref="C33:J33" si="20">C31+C26+C20+C16</f>
        <v>556</v>
      </c>
      <c r="D33" s="471">
        <f>D31+D26+D20+D16</f>
        <v>60641.229999999996</v>
      </c>
      <c r="E33" s="538">
        <f t="shared" si="20"/>
        <v>61197.229999999996</v>
      </c>
      <c r="F33" s="471">
        <f t="shared" si="20"/>
        <v>13904</v>
      </c>
      <c r="G33" s="471">
        <f t="shared" si="20"/>
        <v>21972</v>
      </c>
      <c r="H33" s="538">
        <f t="shared" si="20"/>
        <v>35876</v>
      </c>
      <c r="I33" s="471">
        <f t="shared" si="20"/>
        <v>14459</v>
      </c>
      <c r="J33" s="471">
        <f t="shared" si="20"/>
        <v>82614.23</v>
      </c>
      <c r="K33" s="538">
        <v>97072</v>
      </c>
      <c r="L33" s="540">
        <f t="shared" si="10"/>
        <v>0.14895129388495137</v>
      </c>
      <c r="M33" s="6"/>
    </row>
    <row r="34" spans="1:13" s="1" customFormat="1" ht="8.1" customHeight="1" x14ac:dyDescent="0.3">
      <c r="A34" s="5"/>
      <c r="B34" s="5"/>
      <c r="C34" s="911"/>
      <c r="D34" s="911"/>
      <c r="E34" s="911"/>
      <c r="F34" s="911"/>
      <c r="G34" s="911"/>
    </row>
    <row r="35" spans="1:13" s="1" customFormat="1" x14ac:dyDescent="0.3">
      <c r="A35" s="5"/>
      <c r="B35" s="5"/>
    </row>
    <row r="36" spans="1:13" s="1" customFormat="1" ht="13.5" x14ac:dyDescent="0.3"/>
    <row r="37" spans="1:13" s="1" customFormat="1" ht="13.5" x14ac:dyDescent="0.3"/>
    <row r="38" spans="1:13" s="1" customFormat="1" ht="13.5" x14ac:dyDescent="0.3"/>
    <row r="39" spans="1:13" s="1" customFormat="1" x14ac:dyDescent="0.3">
      <c r="A39" s="5"/>
      <c r="B39" s="179"/>
    </row>
    <row r="40" spans="1:13" s="1" customFormat="1" x14ac:dyDescent="0.3">
      <c r="A40" s="5"/>
    </row>
    <row r="41" spans="1:13" s="1" customFormat="1" x14ac:dyDescent="0.3">
      <c r="A41" s="5"/>
    </row>
    <row r="42" spans="1:13" s="1" customFormat="1" x14ac:dyDescent="0.3">
      <c r="A42" s="5"/>
    </row>
    <row r="43" spans="1:13" s="1" customFormat="1" x14ac:dyDescent="0.3">
      <c r="A43" s="5"/>
    </row>
    <row r="44" spans="1:13" s="1" customFormat="1" x14ac:dyDescent="0.3">
      <c r="A44" s="5"/>
    </row>
    <row r="45" spans="1:13" s="1" customFormat="1" x14ac:dyDescent="0.3">
      <c r="A45" s="5"/>
    </row>
    <row r="46" spans="1:13" s="1" customFormat="1" x14ac:dyDescent="0.3">
      <c r="A46" s="5"/>
    </row>
    <row r="47" spans="1:13" s="1" customFormat="1" x14ac:dyDescent="0.3">
      <c r="A47" s="5"/>
    </row>
    <row r="48" spans="1:13" s="1" customFormat="1" x14ac:dyDescent="0.3">
      <c r="A48" s="5"/>
    </row>
    <row r="49" spans="1:2" s="1" customFormat="1" x14ac:dyDescent="0.3">
      <c r="A49" s="5"/>
    </row>
    <row r="50" spans="1:2" s="1" customFormat="1" x14ac:dyDescent="0.3">
      <c r="A50" s="5"/>
    </row>
    <row r="51" spans="1:2" s="1" customFormat="1" x14ac:dyDescent="0.3">
      <c r="A51" s="5"/>
    </row>
    <row r="52" spans="1:2" s="1" customFormat="1" x14ac:dyDescent="0.3">
      <c r="A52" s="5"/>
    </row>
    <row r="53" spans="1:2" s="1" customFormat="1" x14ac:dyDescent="0.3">
      <c r="A53" s="5"/>
    </row>
    <row r="54" spans="1:2" s="1" customFormat="1" x14ac:dyDescent="0.3">
      <c r="A54" s="5"/>
    </row>
    <row r="55" spans="1:2" x14ac:dyDescent="0.3">
      <c r="A55" s="5"/>
      <c r="B55" s="1"/>
    </row>
    <row r="56" spans="1:2" x14ac:dyDescent="0.3">
      <c r="A56" s="5"/>
      <c r="B56" s="1"/>
    </row>
    <row r="57" spans="1:2" x14ac:dyDescent="0.3">
      <c r="A57" s="5"/>
      <c r="B57" s="1"/>
    </row>
    <row r="58" spans="1:2" x14ac:dyDescent="0.3">
      <c r="A58" s="5"/>
      <c r="B58" s="1"/>
    </row>
    <row r="59" spans="1:2" x14ac:dyDescent="0.3">
      <c r="A59" s="5"/>
      <c r="B59" s="1"/>
    </row>
    <row r="60" spans="1:2" x14ac:dyDescent="0.3">
      <c r="A60" s="5"/>
      <c r="B60" s="1"/>
    </row>
    <row r="61" spans="1:2" x14ac:dyDescent="0.3">
      <c r="A61" s="5"/>
      <c r="B61" s="1"/>
    </row>
    <row r="62" spans="1:2" x14ac:dyDescent="0.3">
      <c r="A62" s="5"/>
      <c r="B62" s="1"/>
    </row>
    <row r="63" spans="1:2" x14ac:dyDescent="0.3">
      <c r="A63" s="5"/>
      <c r="B63" s="1"/>
    </row>
    <row r="64" spans="1:2" x14ac:dyDescent="0.3">
      <c r="A64" s="5"/>
      <c r="B64" s="1"/>
    </row>
    <row r="65" spans="1:2" x14ac:dyDescent="0.3">
      <c r="A65" s="5"/>
      <c r="B65" s="1"/>
    </row>
    <row r="66" spans="1:2" x14ac:dyDescent="0.3">
      <c r="A66" s="5"/>
      <c r="B66" s="1"/>
    </row>
    <row r="67" spans="1:2" x14ac:dyDescent="0.3">
      <c r="A67" s="5"/>
      <c r="B67" s="1"/>
    </row>
    <row r="68" spans="1:2" x14ac:dyDescent="0.3">
      <c r="A68" s="5"/>
      <c r="B68" s="1"/>
    </row>
    <row r="69" spans="1:2" x14ac:dyDescent="0.3">
      <c r="A69" s="5"/>
      <c r="B69" s="1"/>
    </row>
    <row r="70" spans="1:2" x14ac:dyDescent="0.3">
      <c r="A70" s="5"/>
      <c r="B70" s="1"/>
    </row>
    <row r="71" spans="1:2" x14ac:dyDescent="0.3">
      <c r="A71" s="5"/>
      <c r="B71" s="1"/>
    </row>
    <row r="72" spans="1:2" x14ac:dyDescent="0.3">
      <c r="A72" s="5"/>
      <c r="B72" s="1"/>
    </row>
    <row r="73" spans="1:2" x14ac:dyDescent="0.3">
      <c r="A73" s="5"/>
      <c r="B73" s="1"/>
    </row>
    <row r="74" spans="1:2" x14ac:dyDescent="0.3">
      <c r="A74" s="5"/>
      <c r="B74" s="1"/>
    </row>
    <row r="75" spans="1:2" x14ac:dyDescent="0.3">
      <c r="A75" s="5"/>
      <c r="B75" s="1"/>
    </row>
    <row r="76" spans="1:2" x14ac:dyDescent="0.3">
      <c r="A76" s="5"/>
      <c r="B76" s="1"/>
    </row>
    <row r="77" spans="1:2" x14ac:dyDescent="0.3">
      <c r="A77" s="5"/>
      <c r="B77" s="1"/>
    </row>
    <row r="78" spans="1:2" x14ac:dyDescent="0.3">
      <c r="A78" s="5"/>
      <c r="B78" s="1"/>
    </row>
    <row r="79" spans="1:2" x14ac:dyDescent="0.3">
      <c r="A79" s="5"/>
      <c r="B79" s="1"/>
    </row>
    <row r="80" spans="1:2" x14ac:dyDescent="0.3">
      <c r="A80" s="5"/>
      <c r="B80" s="1"/>
    </row>
    <row r="81" spans="1:2" x14ac:dyDescent="0.3">
      <c r="A81" s="5"/>
      <c r="B81" s="1"/>
    </row>
    <row r="82" spans="1:2" x14ac:dyDescent="0.3">
      <c r="A82" s="5"/>
      <c r="B82" s="1"/>
    </row>
    <row r="83" spans="1:2" x14ac:dyDescent="0.3">
      <c r="A83" s="5"/>
      <c r="B83" s="1"/>
    </row>
    <row r="84" spans="1:2" x14ac:dyDescent="0.3">
      <c r="A84" s="5"/>
      <c r="B84" s="1"/>
    </row>
    <row r="85" spans="1:2" x14ac:dyDescent="0.3">
      <c r="A85" s="5"/>
      <c r="B85" s="1"/>
    </row>
    <row r="86" spans="1:2" x14ac:dyDescent="0.3">
      <c r="A86" s="5"/>
      <c r="B86" s="1"/>
    </row>
    <row r="87" spans="1:2" x14ac:dyDescent="0.3">
      <c r="A87" s="5"/>
      <c r="B87" s="1"/>
    </row>
    <row r="88" spans="1:2" x14ac:dyDescent="0.3">
      <c r="A88" s="5"/>
      <c r="B88" s="1"/>
    </row>
    <row r="89" spans="1:2" x14ac:dyDescent="0.3">
      <c r="A89" s="5"/>
      <c r="B89" s="1"/>
    </row>
    <row r="90" spans="1:2" x14ac:dyDescent="0.3">
      <c r="A90" s="5"/>
      <c r="B90" s="1"/>
    </row>
    <row r="91" spans="1:2" x14ac:dyDescent="0.3">
      <c r="A91" s="5"/>
      <c r="B91" s="1"/>
    </row>
    <row r="92" spans="1:2" x14ac:dyDescent="0.3">
      <c r="A92" s="5"/>
      <c r="B92" s="1"/>
    </row>
    <row r="93" spans="1:2" x14ac:dyDescent="0.3">
      <c r="A93" s="5"/>
      <c r="B93" s="1"/>
    </row>
    <row r="94" spans="1:2" x14ac:dyDescent="0.3">
      <c r="A94" s="5"/>
      <c r="B94" s="1"/>
    </row>
    <row r="95" spans="1:2" x14ac:dyDescent="0.3">
      <c r="A95" s="5"/>
      <c r="B95" s="1"/>
    </row>
    <row r="96" spans="1:2" x14ac:dyDescent="0.3">
      <c r="A96" s="5"/>
      <c r="B96" s="1"/>
    </row>
    <row r="97" spans="1:2" x14ac:dyDescent="0.3">
      <c r="A97" s="5"/>
      <c r="B97" s="1"/>
    </row>
    <row r="98" spans="1:2" x14ac:dyDescent="0.3">
      <c r="A98" s="5"/>
      <c r="B98" s="1"/>
    </row>
    <row r="99" spans="1:2" x14ac:dyDescent="0.3">
      <c r="A99" s="5"/>
      <c r="B99" s="1"/>
    </row>
    <row r="100" spans="1:2" x14ac:dyDescent="0.3">
      <c r="A100" s="5"/>
      <c r="B100" s="1"/>
    </row>
    <row r="101" spans="1:2" x14ac:dyDescent="0.3">
      <c r="A101" s="5"/>
      <c r="B101" s="1"/>
    </row>
    <row r="102" spans="1:2" x14ac:dyDescent="0.3">
      <c r="A102" s="5"/>
      <c r="B102" s="1"/>
    </row>
    <row r="103" spans="1:2" x14ac:dyDescent="0.3">
      <c r="A103" s="5"/>
      <c r="B103" s="1"/>
    </row>
    <row r="104" spans="1:2" x14ac:dyDescent="0.3">
      <c r="A104" s="5"/>
      <c r="B104" s="1"/>
    </row>
    <row r="105" spans="1:2" x14ac:dyDescent="0.3">
      <c r="A105" s="5"/>
      <c r="B105" s="1"/>
    </row>
    <row r="106" spans="1:2" x14ac:dyDescent="0.3">
      <c r="A106" s="5"/>
      <c r="B106" s="1"/>
    </row>
    <row r="107" spans="1:2" x14ac:dyDescent="0.3">
      <c r="A107" s="5"/>
      <c r="B107" s="1"/>
    </row>
    <row r="108" spans="1:2" x14ac:dyDescent="0.3">
      <c r="A108" s="5"/>
      <c r="B108" s="1"/>
    </row>
    <row r="109" spans="1:2" x14ac:dyDescent="0.3">
      <c r="A109" s="5"/>
      <c r="B109" s="1"/>
    </row>
    <row r="110" spans="1:2" x14ac:dyDescent="0.3">
      <c r="A110" s="5"/>
      <c r="B110" s="1"/>
    </row>
    <row r="111" spans="1:2" x14ac:dyDescent="0.3">
      <c r="A111" s="5"/>
      <c r="B111" s="1"/>
    </row>
    <row r="112" spans="1:2" x14ac:dyDescent="0.3">
      <c r="A112" s="5"/>
      <c r="B112" s="1"/>
    </row>
    <row r="113" spans="1:2" x14ac:dyDescent="0.3">
      <c r="A113" s="5"/>
      <c r="B113" s="1"/>
    </row>
    <row r="114" spans="1:2" x14ac:dyDescent="0.3">
      <c r="A114" s="5"/>
      <c r="B114" s="1"/>
    </row>
    <row r="115" spans="1:2" x14ac:dyDescent="0.3">
      <c r="A115" s="5"/>
      <c r="B115" s="1"/>
    </row>
    <row r="116" spans="1:2" x14ac:dyDescent="0.3">
      <c r="A116" s="5"/>
      <c r="B116" s="1"/>
    </row>
    <row r="117" spans="1:2" x14ac:dyDescent="0.3">
      <c r="A117" s="5"/>
      <c r="B117" s="1"/>
    </row>
    <row r="118" spans="1:2" x14ac:dyDescent="0.3">
      <c r="A118" s="5"/>
      <c r="B118" s="1"/>
    </row>
    <row r="119" spans="1:2" x14ac:dyDescent="0.3">
      <c r="A119" s="5"/>
      <c r="B119" s="1"/>
    </row>
    <row r="120" spans="1:2" x14ac:dyDescent="0.3">
      <c r="A120" s="5"/>
      <c r="B120" s="1"/>
    </row>
    <row r="121" spans="1:2" x14ac:dyDescent="0.3">
      <c r="A121" s="5"/>
      <c r="B121" s="1"/>
    </row>
    <row r="122" spans="1:2" x14ac:dyDescent="0.3">
      <c r="A122" s="5"/>
      <c r="B122" s="1"/>
    </row>
    <row r="123" spans="1:2" x14ac:dyDescent="0.3">
      <c r="A123" s="5"/>
      <c r="B123" s="1"/>
    </row>
    <row r="124" spans="1:2" x14ac:dyDescent="0.3">
      <c r="A124" s="5"/>
      <c r="B124" s="1"/>
    </row>
    <row r="125" spans="1:2" x14ac:dyDescent="0.3">
      <c r="A125" s="5"/>
      <c r="B125" s="1"/>
    </row>
    <row r="126" spans="1:2" x14ac:dyDescent="0.3">
      <c r="A126" s="5"/>
      <c r="B126" s="1"/>
    </row>
    <row r="127" spans="1:2" x14ac:dyDescent="0.3">
      <c r="A127" s="5"/>
      <c r="B127" s="1"/>
    </row>
    <row r="128" spans="1:2" x14ac:dyDescent="0.3">
      <c r="A128" s="5"/>
      <c r="B128" s="1"/>
    </row>
    <row r="129" spans="1:2" x14ac:dyDescent="0.3">
      <c r="A129" s="5"/>
      <c r="B129" s="1"/>
    </row>
    <row r="130" spans="1:2" x14ac:dyDescent="0.3">
      <c r="A130" s="5"/>
      <c r="B130" s="1"/>
    </row>
    <row r="131" spans="1:2" x14ac:dyDescent="0.3">
      <c r="A131" s="5"/>
      <c r="B131" s="1"/>
    </row>
    <row r="132" spans="1:2" x14ac:dyDescent="0.3">
      <c r="A132" s="5"/>
      <c r="B132" s="1"/>
    </row>
    <row r="133" spans="1:2" x14ac:dyDescent="0.3">
      <c r="A133" s="5"/>
      <c r="B133" s="1"/>
    </row>
    <row r="134" spans="1:2" x14ac:dyDescent="0.3">
      <c r="A134" s="5"/>
      <c r="B134" s="1"/>
    </row>
    <row r="135" spans="1:2" x14ac:dyDescent="0.3">
      <c r="A135" s="5"/>
      <c r="B135" s="1"/>
    </row>
    <row r="136" spans="1:2" x14ac:dyDescent="0.3">
      <c r="A136" s="5"/>
      <c r="B136" s="1"/>
    </row>
    <row r="137" spans="1:2" x14ac:dyDescent="0.3">
      <c r="A137" s="5"/>
      <c r="B137" s="1"/>
    </row>
    <row r="138" spans="1:2" x14ac:dyDescent="0.3">
      <c r="A138" s="5"/>
      <c r="B138" s="1"/>
    </row>
    <row r="139" spans="1:2" x14ac:dyDescent="0.3">
      <c r="A139" s="5"/>
      <c r="B139" s="1"/>
    </row>
    <row r="140" spans="1:2" x14ac:dyDescent="0.3">
      <c r="A140" s="5"/>
      <c r="B140" s="1"/>
    </row>
    <row r="141" spans="1:2" x14ac:dyDescent="0.3">
      <c r="A141" s="5"/>
      <c r="B141" s="1"/>
    </row>
    <row r="142" spans="1:2" x14ac:dyDescent="0.3">
      <c r="A142" s="5"/>
      <c r="B142" s="1"/>
    </row>
    <row r="143" spans="1:2" x14ac:dyDescent="0.3">
      <c r="A143" s="5"/>
      <c r="B143" s="1"/>
    </row>
    <row r="144" spans="1:2" x14ac:dyDescent="0.3">
      <c r="A144" s="5"/>
      <c r="B144" s="1"/>
    </row>
    <row r="145" spans="1:1" x14ac:dyDescent="0.3">
      <c r="A145" s="5"/>
    </row>
    <row r="146" spans="1:1" x14ac:dyDescent="0.3">
      <c r="A146" s="5"/>
    </row>
    <row r="147" spans="1:1" x14ac:dyDescent="0.3">
      <c r="A147" s="5"/>
    </row>
    <row r="148" spans="1:1" x14ac:dyDescent="0.3">
      <c r="A148" s="5"/>
    </row>
    <row r="149" spans="1:1" x14ac:dyDescent="0.3">
      <c r="A149" s="5"/>
    </row>
    <row r="150" spans="1:1" x14ac:dyDescent="0.3">
      <c r="A150" s="5"/>
    </row>
    <row r="151" spans="1:1" x14ac:dyDescent="0.3">
      <c r="A151" s="5"/>
    </row>
    <row r="152" spans="1:1" x14ac:dyDescent="0.3">
      <c r="A152" s="5"/>
    </row>
  </sheetData>
  <sheetProtection algorithmName="SHA-512" hashValue="atk6C1sLlxYqaYsj2HwK+Frs6ktn6bDI9l+9r5EQ4NG9St1HdDbyq9fKn6Y2D2Xz6ygJYEvjl1B6uUxkHx6/6A==" saltValue="MepHUQcFaZghCF7Nc/oanA==" spinCount="100000" sheet="1" objects="1" scenarios="1"/>
  <mergeCells count="8">
    <mergeCell ref="L2:L3"/>
    <mergeCell ref="A4:A16"/>
    <mergeCell ref="A17:A20"/>
    <mergeCell ref="A21:A26"/>
    <mergeCell ref="A27:A31"/>
    <mergeCell ref="C2:E2"/>
    <mergeCell ref="F2:H2"/>
    <mergeCell ref="I2:K2"/>
  </mergeCells>
  <printOptions horizontalCentered="1"/>
  <pageMargins left="0.25" right="0.25" top="0.75" bottom="0.75" header="0.3" footer="0.3"/>
  <pageSetup scale="75" orientation="landscape" r:id="rId1"/>
  <headerFooter>
    <oddFooter>&amp;C&amp;"Century Gothic,Regular"&amp;9Page &amp;P of &amp;N</oddFooter>
  </headerFooter>
  <ignoredErrors>
    <ignoredError sqref="E20:K20"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393CC-C5D6-4341-AA7E-338D8B88EE57}">
  <sheetPr>
    <pageSetUpPr fitToPage="1"/>
  </sheetPr>
  <dimension ref="A1:AC153"/>
  <sheetViews>
    <sheetView zoomScale="130" zoomScaleNormal="130" zoomScaleSheetLayoutView="130" workbookViewId="0">
      <pane xSplit="2" ySplit="3" topLeftCell="C4" activePane="bottomRight" state="frozen"/>
      <selection activeCell="C5" sqref="C5"/>
      <selection pane="topRight" activeCell="C5" sqref="C5"/>
      <selection pane="bottomLeft" activeCell="C5" sqref="C5"/>
      <selection pane="bottomRight" activeCell="C4" sqref="C4"/>
    </sheetView>
  </sheetViews>
  <sheetFormatPr baseColWidth="10" defaultColWidth="9.140625" defaultRowHeight="15.75" x14ac:dyDescent="0.3"/>
  <cols>
    <col min="1" max="1" width="12.7109375" customWidth="1"/>
    <col min="2" max="2" width="35.7109375" style="7" customWidth="1"/>
    <col min="3" max="3" width="10.7109375" style="67" customWidth="1"/>
    <col min="4" max="13" width="9.5703125" style="67" customWidth="1"/>
    <col min="14" max="16384" width="9.140625" style="7"/>
  </cols>
  <sheetData>
    <row r="1" spans="1:29" ht="20.45" customHeight="1" x14ac:dyDescent="0.3">
      <c r="A1" s="89" t="s">
        <v>791</v>
      </c>
      <c r="B1" s="89"/>
      <c r="C1" s="33"/>
      <c r="D1" s="33"/>
      <c r="E1" s="33"/>
      <c r="F1" s="33"/>
      <c r="G1" s="33"/>
      <c r="H1" s="33"/>
      <c r="I1" s="33"/>
      <c r="J1" s="33"/>
      <c r="K1" s="33"/>
      <c r="L1" s="33"/>
      <c r="M1" s="34"/>
      <c r="N1" s="1"/>
      <c r="O1" s="1"/>
      <c r="P1" s="1"/>
      <c r="Q1" s="1"/>
      <c r="R1" s="1"/>
      <c r="S1" s="1"/>
      <c r="T1" s="1"/>
      <c r="U1" s="1"/>
      <c r="V1" s="1"/>
      <c r="W1" s="1"/>
      <c r="X1" s="1"/>
      <c r="Y1" s="1"/>
      <c r="Z1" s="1"/>
      <c r="AA1" s="1"/>
      <c r="AB1" s="1"/>
      <c r="AC1" s="1"/>
    </row>
    <row r="2" spans="1:29" ht="15" customHeight="1" x14ac:dyDescent="0.3">
      <c r="A2" s="108" t="s">
        <v>689</v>
      </c>
      <c r="B2" s="108"/>
      <c r="C2" s="35"/>
      <c r="D2" s="35"/>
      <c r="E2" s="35"/>
      <c r="F2" s="35"/>
      <c r="G2" s="35"/>
      <c r="H2" s="35"/>
      <c r="I2" s="35"/>
      <c r="J2" s="35"/>
      <c r="K2" s="35"/>
      <c r="L2" s="35"/>
      <c r="M2" s="36"/>
      <c r="N2" s="19"/>
      <c r="O2"/>
      <c r="P2"/>
      <c r="Q2"/>
      <c r="R2"/>
    </row>
    <row r="3" spans="1:29" ht="25.5" x14ac:dyDescent="0.3">
      <c r="A3" s="795" t="s">
        <v>358</v>
      </c>
      <c r="B3" s="798"/>
      <c r="C3" s="799" t="s">
        <v>208</v>
      </c>
      <c r="D3" s="799" t="s">
        <v>209</v>
      </c>
      <c r="E3" s="799" t="s">
        <v>210</v>
      </c>
      <c r="F3" s="799" t="s">
        <v>211</v>
      </c>
      <c r="G3" s="799" t="s">
        <v>212</v>
      </c>
      <c r="H3" s="799" t="s">
        <v>213</v>
      </c>
      <c r="I3" s="799" t="s">
        <v>214</v>
      </c>
      <c r="J3" s="799" t="s">
        <v>215</v>
      </c>
      <c r="K3" s="799" t="s">
        <v>216</v>
      </c>
      <c r="L3" s="799" t="s">
        <v>1300</v>
      </c>
      <c r="M3" s="794" t="s">
        <v>217</v>
      </c>
      <c r="N3" s="19"/>
      <c r="O3" s="1"/>
      <c r="P3" s="1"/>
      <c r="Q3" s="1"/>
      <c r="R3" s="1"/>
      <c r="S3" s="1"/>
      <c r="T3" s="1"/>
      <c r="U3" s="1"/>
      <c r="V3" s="1"/>
      <c r="W3" s="1"/>
      <c r="X3" s="1"/>
      <c r="Y3" s="1"/>
      <c r="Z3" s="1"/>
      <c r="AA3" s="1"/>
      <c r="AB3" s="1"/>
      <c r="AC3" s="1"/>
    </row>
    <row r="4" spans="1:29" s="20" customFormat="1" ht="13.5" x14ac:dyDescent="0.3">
      <c r="A4" s="1028" t="s">
        <v>748</v>
      </c>
      <c r="B4" s="419" t="s">
        <v>124</v>
      </c>
      <c r="C4" s="469"/>
      <c r="D4" s="469"/>
      <c r="E4" s="469"/>
      <c r="F4" s="469"/>
      <c r="G4" s="469"/>
      <c r="H4" s="469"/>
      <c r="I4" s="469"/>
      <c r="J4" s="469"/>
      <c r="K4" s="469"/>
      <c r="L4" s="469"/>
      <c r="M4" s="470"/>
      <c r="N4" s="6"/>
    </row>
    <row r="5" spans="1:29" s="20" customFormat="1" ht="13.5" x14ac:dyDescent="0.3">
      <c r="A5" s="1028"/>
      <c r="B5" s="420" t="s">
        <v>16</v>
      </c>
      <c r="C5" s="509">
        <v>59.19</v>
      </c>
      <c r="D5" s="509">
        <v>104.45</v>
      </c>
      <c r="E5" s="509">
        <v>90.53</v>
      </c>
      <c r="F5" s="509">
        <v>327.27999999999997</v>
      </c>
      <c r="G5" s="509">
        <v>189.16</v>
      </c>
      <c r="H5" s="509">
        <v>6.92</v>
      </c>
      <c r="I5" s="509">
        <v>0</v>
      </c>
      <c r="J5" s="509">
        <v>814.74</v>
      </c>
      <c r="K5" s="509">
        <v>278.57</v>
      </c>
      <c r="L5" s="509">
        <v>0</v>
      </c>
      <c r="M5" s="510">
        <v>0</v>
      </c>
      <c r="N5" s="6"/>
    </row>
    <row r="6" spans="1:29" s="20" customFormat="1" ht="13.5" x14ac:dyDescent="0.3">
      <c r="A6" s="1028"/>
      <c r="B6" s="420" t="s">
        <v>30</v>
      </c>
      <c r="C6" s="509">
        <v>13.51</v>
      </c>
      <c r="D6" s="509">
        <v>23.84</v>
      </c>
      <c r="E6" s="509">
        <v>20.67</v>
      </c>
      <c r="F6" s="509">
        <v>74.7</v>
      </c>
      <c r="G6" s="509">
        <v>13.51</v>
      </c>
      <c r="H6" s="509">
        <v>1.59</v>
      </c>
      <c r="I6" s="509">
        <v>0</v>
      </c>
      <c r="J6" s="509">
        <v>1013.14</v>
      </c>
      <c r="K6" s="509">
        <v>63.59</v>
      </c>
      <c r="L6" s="509">
        <v>0.39</v>
      </c>
      <c r="M6" s="510">
        <v>0</v>
      </c>
      <c r="N6" s="6"/>
    </row>
    <row r="7" spans="1:29" s="20" customFormat="1" ht="13.5" x14ac:dyDescent="0.3">
      <c r="A7" s="1028"/>
      <c r="B7" s="420" t="s">
        <v>17</v>
      </c>
      <c r="C7" s="509">
        <v>183.22</v>
      </c>
      <c r="D7" s="509">
        <v>323.39</v>
      </c>
      <c r="E7" s="509">
        <v>280.25</v>
      </c>
      <c r="F7" s="509">
        <v>1013.22</v>
      </c>
      <c r="G7" s="509">
        <v>183.22</v>
      </c>
      <c r="H7" s="509">
        <v>21.57</v>
      </c>
      <c r="I7" s="509">
        <v>0</v>
      </c>
      <c r="J7" s="509">
        <v>5525.89</v>
      </c>
      <c r="K7" s="509">
        <v>862.31</v>
      </c>
      <c r="L7" s="509">
        <v>0</v>
      </c>
      <c r="M7" s="510">
        <v>0</v>
      </c>
      <c r="N7" s="6"/>
    </row>
    <row r="8" spans="1:29" s="20" customFormat="1" ht="13.5" x14ac:dyDescent="0.3">
      <c r="A8" s="1028"/>
      <c r="B8" s="421" t="s">
        <v>29</v>
      </c>
      <c r="C8" s="509">
        <v>35.25</v>
      </c>
      <c r="D8" s="509">
        <v>62.2</v>
      </c>
      <c r="E8" s="509">
        <v>53.9</v>
      </c>
      <c r="F8" s="509">
        <v>194.87</v>
      </c>
      <c r="G8" s="509">
        <v>35.25</v>
      </c>
      <c r="H8" s="509">
        <v>4.1399999999999997</v>
      </c>
      <c r="I8" s="509">
        <v>0</v>
      </c>
      <c r="J8" s="509">
        <v>1059.44</v>
      </c>
      <c r="K8" s="509">
        <v>165.84</v>
      </c>
      <c r="L8" s="509">
        <v>0</v>
      </c>
      <c r="M8" s="510">
        <v>0</v>
      </c>
      <c r="N8" s="6"/>
    </row>
    <row r="9" spans="1:29" s="20" customFormat="1" ht="13.5" x14ac:dyDescent="0.3">
      <c r="A9" s="1028"/>
      <c r="B9" s="421" t="s">
        <v>18</v>
      </c>
      <c r="C9" s="509">
        <v>0</v>
      </c>
      <c r="D9" s="509">
        <v>98.77</v>
      </c>
      <c r="E9" s="509">
        <v>29.17</v>
      </c>
      <c r="F9" s="509">
        <v>0</v>
      </c>
      <c r="G9" s="509">
        <v>0</v>
      </c>
      <c r="H9" s="509">
        <v>0</v>
      </c>
      <c r="I9" s="509">
        <v>0</v>
      </c>
      <c r="J9" s="509">
        <v>1114.05</v>
      </c>
      <c r="K9" s="509">
        <v>855.18</v>
      </c>
      <c r="L9" s="509">
        <v>0</v>
      </c>
      <c r="M9" s="510">
        <v>199.84</v>
      </c>
      <c r="N9" s="6"/>
    </row>
    <row r="10" spans="1:29" s="20" customFormat="1" ht="13.5" x14ac:dyDescent="0.3">
      <c r="A10" s="1028"/>
      <c r="B10" s="422" t="s">
        <v>21</v>
      </c>
      <c r="C10" s="511">
        <v>8.52</v>
      </c>
      <c r="D10" s="511">
        <v>15.03</v>
      </c>
      <c r="E10" s="511">
        <v>13.03</v>
      </c>
      <c r="F10" s="511">
        <v>47.1</v>
      </c>
      <c r="G10" s="511">
        <v>8.52</v>
      </c>
      <c r="H10" s="511">
        <v>1</v>
      </c>
      <c r="I10" s="511">
        <v>0</v>
      </c>
      <c r="J10" s="511">
        <v>633.53</v>
      </c>
      <c r="K10" s="511">
        <v>40.08</v>
      </c>
      <c r="L10" s="511">
        <v>0</v>
      </c>
      <c r="M10" s="512">
        <v>0</v>
      </c>
      <c r="N10" s="6"/>
    </row>
    <row r="11" spans="1:29" s="20" customFormat="1" ht="13.5" x14ac:dyDescent="0.3">
      <c r="A11" s="1028"/>
      <c r="B11" s="419" t="s">
        <v>111</v>
      </c>
      <c r="C11" s="513"/>
      <c r="D11" s="513"/>
      <c r="E11" s="513"/>
      <c r="F11" s="513"/>
      <c r="G11" s="513"/>
      <c r="H11" s="513"/>
      <c r="I11" s="513"/>
      <c r="J11" s="513"/>
      <c r="K11" s="513"/>
      <c r="L11" s="513"/>
      <c r="M11" s="514"/>
      <c r="N11" s="6"/>
    </row>
    <row r="12" spans="1:29" s="20" customFormat="1" ht="13.5" x14ac:dyDescent="0.3">
      <c r="A12" s="1028"/>
      <c r="B12" s="420" t="s">
        <v>23</v>
      </c>
      <c r="C12" s="509">
        <v>0</v>
      </c>
      <c r="D12" s="509">
        <v>81.290000000000006</v>
      </c>
      <c r="E12" s="509">
        <v>61.62</v>
      </c>
      <c r="F12" s="509">
        <v>0</v>
      </c>
      <c r="G12" s="509">
        <v>9375.36</v>
      </c>
      <c r="H12" s="509">
        <v>18.350000000000001</v>
      </c>
      <c r="I12" s="509">
        <v>0</v>
      </c>
      <c r="J12" s="509">
        <v>3423.17</v>
      </c>
      <c r="K12" s="509">
        <v>44.58</v>
      </c>
      <c r="L12" s="509">
        <v>106.2</v>
      </c>
      <c r="M12" s="510">
        <v>0</v>
      </c>
      <c r="N12" s="6"/>
    </row>
    <row r="13" spans="1:29" s="20" customFormat="1" ht="13.5" x14ac:dyDescent="0.3">
      <c r="A13" s="1028"/>
      <c r="B13" s="423" t="s">
        <v>22</v>
      </c>
      <c r="C13" s="511">
        <v>22.7</v>
      </c>
      <c r="D13" s="511">
        <v>385.93</v>
      </c>
      <c r="E13" s="511">
        <v>249.72</v>
      </c>
      <c r="F13" s="511">
        <v>0</v>
      </c>
      <c r="G13" s="511">
        <v>544.85</v>
      </c>
      <c r="H13" s="511">
        <v>45.4</v>
      </c>
      <c r="I13" s="511">
        <v>22.7</v>
      </c>
      <c r="J13" s="511">
        <v>431.34</v>
      </c>
      <c r="K13" s="511">
        <v>522.15</v>
      </c>
      <c r="L13" s="511">
        <v>45.4</v>
      </c>
      <c r="M13" s="512">
        <v>0</v>
      </c>
      <c r="N13" s="6"/>
    </row>
    <row r="14" spans="1:29" s="20" customFormat="1" ht="13.5" x14ac:dyDescent="0.3">
      <c r="A14" s="1028"/>
      <c r="B14" s="31" t="s">
        <v>112</v>
      </c>
      <c r="C14" s="513"/>
      <c r="D14" s="513"/>
      <c r="E14" s="513"/>
      <c r="F14" s="513"/>
      <c r="G14" s="513"/>
      <c r="H14" s="513"/>
      <c r="I14" s="513"/>
      <c r="J14" s="513"/>
      <c r="K14" s="513"/>
      <c r="L14" s="513"/>
      <c r="M14" s="514"/>
      <c r="N14" s="6"/>
    </row>
    <row r="15" spans="1:29" s="20" customFormat="1" ht="13.5" x14ac:dyDescent="0.3">
      <c r="A15" s="1028"/>
      <c r="B15" s="432" t="s">
        <v>764</v>
      </c>
      <c r="C15" s="513" t="s">
        <v>164</v>
      </c>
      <c r="D15" s="513" t="s">
        <v>164</v>
      </c>
      <c r="E15" s="513" t="s">
        <v>164</v>
      </c>
      <c r="F15" s="513" t="s">
        <v>164</v>
      </c>
      <c r="G15" s="513" t="s">
        <v>164</v>
      </c>
      <c r="H15" s="513" t="s">
        <v>164</v>
      </c>
      <c r="I15" s="513" t="s">
        <v>164</v>
      </c>
      <c r="J15" s="513" t="s">
        <v>164</v>
      </c>
      <c r="K15" s="513" t="s">
        <v>164</v>
      </c>
      <c r="L15" s="513" t="s">
        <v>164</v>
      </c>
      <c r="M15" s="514" t="s">
        <v>164</v>
      </c>
      <c r="N15" s="6"/>
    </row>
    <row r="16" spans="1:29" s="20" customFormat="1" ht="13.5" x14ac:dyDescent="0.3">
      <c r="A16" s="391"/>
      <c r="B16" s="430" t="s">
        <v>749</v>
      </c>
      <c r="C16" s="515">
        <f>SUM(C5:C15)</f>
        <v>322.39</v>
      </c>
      <c r="D16" s="515">
        <f t="shared" ref="D16:M16" si="0">SUM(D5:D15)</f>
        <v>1094.8999999999999</v>
      </c>
      <c r="E16" s="515">
        <f t="shared" si="0"/>
        <v>798.89</v>
      </c>
      <c r="F16" s="515">
        <f t="shared" si="0"/>
        <v>1657.17</v>
      </c>
      <c r="G16" s="515">
        <f t="shared" si="0"/>
        <v>10349.870000000001</v>
      </c>
      <c r="H16" s="515">
        <f t="shared" si="0"/>
        <v>98.97</v>
      </c>
      <c r="I16" s="515">
        <f t="shared" si="0"/>
        <v>22.7</v>
      </c>
      <c r="J16" s="515">
        <f t="shared" si="0"/>
        <v>14015.300000000001</v>
      </c>
      <c r="K16" s="515">
        <f t="shared" si="0"/>
        <v>2832.2999999999997</v>
      </c>
      <c r="L16" s="515">
        <f t="shared" si="0"/>
        <v>151.99</v>
      </c>
      <c r="M16" s="516">
        <f t="shared" si="0"/>
        <v>199.84</v>
      </c>
    </row>
    <row r="17" spans="1:14" s="20" customFormat="1" ht="13.5" x14ac:dyDescent="0.3">
      <c r="A17" s="1027" t="s">
        <v>750</v>
      </c>
      <c r="B17" s="419" t="s">
        <v>124</v>
      </c>
      <c r="C17" s="513"/>
      <c r="D17" s="513"/>
      <c r="E17" s="513"/>
      <c r="F17" s="513"/>
      <c r="G17" s="513"/>
      <c r="H17" s="513"/>
      <c r="I17" s="513"/>
      <c r="J17" s="513"/>
      <c r="K17" s="513"/>
      <c r="L17" s="513"/>
      <c r="M17" s="514"/>
      <c r="N17" s="6"/>
    </row>
    <row r="18" spans="1:14" s="20" customFormat="1" ht="13.5" x14ac:dyDescent="0.3">
      <c r="A18" s="1028"/>
      <c r="B18" s="420" t="s">
        <v>19</v>
      </c>
      <c r="C18" s="509">
        <v>0</v>
      </c>
      <c r="D18" s="509">
        <v>28.6</v>
      </c>
      <c r="E18" s="509">
        <v>194.47</v>
      </c>
      <c r="F18" s="509">
        <v>0</v>
      </c>
      <c r="G18" s="509">
        <v>0</v>
      </c>
      <c r="H18" s="509">
        <v>0</v>
      </c>
      <c r="I18" s="509">
        <v>0</v>
      </c>
      <c r="J18" s="509">
        <v>165.87</v>
      </c>
      <c r="K18" s="509">
        <v>183.03</v>
      </c>
      <c r="L18" s="509">
        <v>0</v>
      </c>
      <c r="M18" s="510">
        <v>0</v>
      </c>
      <c r="N18" s="41"/>
    </row>
    <row r="19" spans="1:14" s="20" customFormat="1" ht="13.5" x14ac:dyDescent="0.3">
      <c r="A19" s="1028"/>
      <c r="B19" s="433" t="s">
        <v>20</v>
      </c>
      <c r="C19" s="513">
        <v>0</v>
      </c>
      <c r="D19" s="513">
        <v>33.14</v>
      </c>
      <c r="E19" s="513">
        <v>225.38</v>
      </c>
      <c r="F19" s="513">
        <v>0</v>
      </c>
      <c r="G19" s="513">
        <v>0</v>
      </c>
      <c r="H19" s="513">
        <v>0</v>
      </c>
      <c r="I19" s="513">
        <v>0</v>
      </c>
      <c r="J19" s="513">
        <v>192.24</v>
      </c>
      <c r="K19" s="513">
        <v>212.12</v>
      </c>
      <c r="L19" s="513">
        <v>0</v>
      </c>
      <c r="M19" s="514">
        <v>0</v>
      </c>
      <c r="N19" s="6"/>
    </row>
    <row r="20" spans="1:14" s="20" customFormat="1" ht="13.5" x14ac:dyDescent="0.3">
      <c r="A20" s="391"/>
      <c r="B20" s="430" t="s">
        <v>751</v>
      </c>
      <c r="C20" s="515">
        <f>SUM(C18:C19)</f>
        <v>0</v>
      </c>
      <c r="D20" s="515">
        <f t="shared" ref="D20:M20" si="1">SUM(D18:D19)</f>
        <v>61.74</v>
      </c>
      <c r="E20" s="515">
        <f t="shared" si="1"/>
        <v>419.85</v>
      </c>
      <c r="F20" s="515">
        <f t="shared" si="1"/>
        <v>0</v>
      </c>
      <c r="G20" s="515">
        <f t="shared" si="1"/>
        <v>0</v>
      </c>
      <c r="H20" s="515">
        <f t="shared" si="1"/>
        <v>0</v>
      </c>
      <c r="I20" s="515">
        <f t="shared" si="1"/>
        <v>0</v>
      </c>
      <c r="J20" s="515">
        <f t="shared" si="1"/>
        <v>358.11</v>
      </c>
      <c r="K20" s="515">
        <f t="shared" si="1"/>
        <v>395.15</v>
      </c>
      <c r="L20" s="515">
        <f t="shared" si="1"/>
        <v>0</v>
      </c>
      <c r="M20" s="516">
        <f t="shared" si="1"/>
        <v>0</v>
      </c>
    </row>
    <row r="21" spans="1:14" s="20" customFormat="1" ht="10.9" customHeight="1" x14ac:dyDescent="0.3">
      <c r="A21" s="1027" t="s">
        <v>752</v>
      </c>
      <c r="B21" s="434" t="s">
        <v>124</v>
      </c>
      <c r="C21" s="517"/>
      <c r="D21" s="517"/>
      <c r="E21" s="517"/>
      <c r="F21" s="517"/>
      <c r="G21" s="517"/>
      <c r="H21" s="517"/>
      <c r="I21" s="517"/>
      <c r="J21" s="517"/>
      <c r="K21" s="517"/>
      <c r="L21" s="517"/>
      <c r="M21" s="518"/>
      <c r="N21" s="6"/>
    </row>
    <row r="22" spans="1:14" s="20" customFormat="1" ht="13.5" x14ac:dyDescent="0.3">
      <c r="A22" s="1028"/>
      <c r="B22" s="421" t="s">
        <v>26</v>
      </c>
      <c r="C22" s="509">
        <v>0</v>
      </c>
      <c r="D22" s="509">
        <v>7.72</v>
      </c>
      <c r="E22" s="509">
        <v>0</v>
      </c>
      <c r="F22" s="509">
        <v>124.99</v>
      </c>
      <c r="G22" s="509">
        <v>0</v>
      </c>
      <c r="H22" s="509">
        <v>0</v>
      </c>
      <c r="I22" s="509">
        <v>0</v>
      </c>
      <c r="J22" s="509">
        <v>120.98</v>
      </c>
      <c r="K22" s="509">
        <v>0</v>
      </c>
      <c r="L22" s="509">
        <v>0</v>
      </c>
      <c r="M22" s="510">
        <v>32.32</v>
      </c>
      <c r="N22" s="6"/>
    </row>
    <row r="23" spans="1:14" s="20" customFormat="1" ht="13.5" x14ac:dyDescent="0.3">
      <c r="A23" s="1028"/>
      <c r="B23" s="425" t="s">
        <v>27</v>
      </c>
      <c r="C23" s="511">
        <v>57.12</v>
      </c>
      <c r="D23" s="511">
        <v>169.53</v>
      </c>
      <c r="E23" s="511">
        <v>12.49</v>
      </c>
      <c r="F23" s="511">
        <v>302.5</v>
      </c>
      <c r="G23" s="511">
        <v>44.63</v>
      </c>
      <c r="H23" s="511">
        <v>6.06</v>
      </c>
      <c r="I23" s="511">
        <v>0</v>
      </c>
      <c r="J23" s="511">
        <v>777.1</v>
      </c>
      <c r="K23" s="511">
        <v>398.01</v>
      </c>
      <c r="L23" s="511">
        <v>0</v>
      </c>
      <c r="M23" s="512">
        <v>69.239999999999995</v>
      </c>
      <c r="N23" s="6"/>
    </row>
    <row r="24" spans="1:14" s="20" customFormat="1" ht="13.5" x14ac:dyDescent="0.3">
      <c r="A24" s="1028"/>
      <c r="B24" s="419" t="s">
        <v>113</v>
      </c>
      <c r="C24" s="469"/>
      <c r="D24" s="469"/>
      <c r="E24" s="469"/>
      <c r="F24" s="469"/>
      <c r="G24" s="469"/>
      <c r="H24" s="469"/>
      <c r="I24" s="469"/>
      <c r="J24" s="469"/>
      <c r="K24" s="469"/>
      <c r="L24" s="469"/>
      <c r="M24" s="470"/>
      <c r="N24" s="6"/>
    </row>
    <row r="25" spans="1:14" s="20" customFormat="1" ht="13.5" x14ac:dyDescent="0.3">
      <c r="A25" s="1028"/>
      <c r="B25" s="421" t="s">
        <v>765</v>
      </c>
      <c r="C25" s="509">
        <v>0</v>
      </c>
      <c r="D25" s="509">
        <v>12.87</v>
      </c>
      <c r="E25" s="509">
        <v>276.61</v>
      </c>
      <c r="F25" s="509">
        <v>186.55</v>
      </c>
      <c r="G25" s="509">
        <v>15.28</v>
      </c>
      <c r="H25" s="509">
        <v>57.9</v>
      </c>
      <c r="I25" s="509">
        <v>41.81</v>
      </c>
      <c r="J25" s="509">
        <v>155.19</v>
      </c>
      <c r="K25" s="509">
        <v>30.56</v>
      </c>
      <c r="L25" s="509">
        <v>8.0399999999999991</v>
      </c>
      <c r="M25" s="510">
        <v>19.3</v>
      </c>
      <c r="N25" s="6"/>
    </row>
    <row r="26" spans="1:14" s="20" customFormat="1" ht="13.5" x14ac:dyDescent="0.3">
      <c r="A26" s="391"/>
      <c r="B26" s="430" t="s">
        <v>756</v>
      </c>
      <c r="C26" s="515">
        <f t="shared" ref="C26:M26" si="2">SUM(C22:C25)</f>
        <v>57.12</v>
      </c>
      <c r="D26" s="515">
        <f t="shared" si="2"/>
        <v>190.12</v>
      </c>
      <c r="E26" s="515">
        <f t="shared" si="2"/>
        <v>289.10000000000002</v>
      </c>
      <c r="F26" s="515">
        <f t="shared" si="2"/>
        <v>614.04</v>
      </c>
      <c r="G26" s="515">
        <f t="shared" si="2"/>
        <v>59.910000000000004</v>
      </c>
      <c r="H26" s="515">
        <f t="shared" si="2"/>
        <v>63.96</v>
      </c>
      <c r="I26" s="515">
        <f t="shared" si="2"/>
        <v>41.81</v>
      </c>
      <c r="J26" s="515">
        <f t="shared" si="2"/>
        <v>1053.27</v>
      </c>
      <c r="K26" s="515">
        <f t="shared" si="2"/>
        <v>428.57</v>
      </c>
      <c r="L26" s="515">
        <f t="shared" si="2"/>
        <v>8.0399999999999991</v>
      </c>
      <c r="M26" s="516">
        <f t="shared" si="2"/>
        <v>120.86</v>
      </c>
    </row>
    <row r="27" spans="1:14" s="20" customFormat="1" ht="13.5" x14ac:dyDescent="0.3">
      <c r="A27" s="1027" t="s">
        <v>217</v>
      </c>
      <c r="B27" s="434" t="s">
        <v>217</v>
      </c>
      <c r="C27" s="517"/>
      <c r="D27" s="517"/>
      <c r="E27" s="517"/>
      <c r="F27" s="517"/>
      <c r="G27" s="517"/>
      <c r="H27" s="517"/>
      <c r="I27" s="517"/>
      <c r="J27" s="517"/>
      <c r="K27" s="517"/>
      <c r="L27" s="517"/>
      <c r="M27" s="518"/>
      <c r="N27" s="6"/>
    </row>
    <row r="28" spans="1:14" s="20" customFormat="1" ht="13.5" x14ac:dyDescent="0.3">
      <c r="A28" s="1028"/>
      <c r="B28" s="421" t="s">
        <v>235</v>
      </c>
      <c r="C28" s="509">
        <v>0</v>
      </c>
      <c r="D28" s="509">
        <v>0.34</v>
      </c>
      <c r="E28" s="509">
        <v>62.92</v>
      </c>
      <c r="F28" s="509">
        <v>0</v>
      </c>
      <c r="G28" s="509">
        <v>1.6</v>
      </c>
      <c r="H28" s="509">
        <v>0.34</v>
      </c>
      <c r="I28" s="509">
        <v>0</v>
      </c>
      <c r="J28" s="509">
        <v>10.94</v>
      </c>
      <c r="K28" s="509">
        <v>37.619999999999997</v>
      </c>
      <c r="L28" s="509">
        <v>0.23</v>
      </c>
      <c r="M28" s="510">
        <v>0</v>
      </c>
      <c r="N28" s="6"/>
    </row>
    <row r="29" spans="1:14" s="20" customFormat="1" ht="13.5" x14ac:dyDescent="0.3">
      <c r="A29" s="1028"/>
      <c r="B29" s="435" t="s">
        <v>766</v>
      </c>
      <c r="C29" s="519">
        <v>0</v>
      </c>
      <c r="D29" s="519">
        <v>0</v>
      </c>
      <c r="E29" s="519">
        <v>0</v>
      </c>
      <c r="F29" s="519">
        <v>0</v>
      </c>
      <c r="G29" s="519">
        <v>0</v>
      </c>
      <c r="H29" s="519">
        <v>49.46</v>
      </c>
      <c r="I29" s="519">
        <v>0</v>
      </c>
      <c r="J29" s="519">
        <v>0</v>
      </c>
      <c r="K29" s="519">
        <v>0</v>
      </c>
      <c r="L29" s="519">
        <v>0</v>
      </c>
      <c r="M29" s="520">
        <v>0</v>
      </c>
      <c r="N29" s="6"/>
    </row>
    <row r="30" spans="1:14" s="20" customFormat="1" ht="13.5" x14ac:dyDescent="0.3">
      <c r="A30" s="1028"/>
      <c r="B30" s="436" t="s">
        <v>25</v>
      </c>
      <c r="C30" s="513">
        <v>0</v>
      </c>
      <c r="D30" s="513">
        <v>0.09</v>
      </c>
      <c r="E30" s="513">
        <v>1.18</v>
      </c>
      <c r="F30" s="513">
        <v>0.35</v>
      </c>
      <c r="G30" s="513">
        <v>0.12</v>
      </c>
      <c r="H30" s="513">
        <v>0.23</v>
      </c>
      <c r="I30" s="513">
        <v>0</v>
      </c>
      <c r="J30" s="513">
        <v>2.67</v>
      </c>
      <c r="K30" s="513">
        <v>0.21</v>
      </c>
      <c r="L30" s="513">
        <v>0</v>
      </c>
      <c r="M30" s="514">
        <v>0.22</v>
      </c>
      <c r="N30" s="6"/>
    </row>
    <row r="31" spans="1:14" s="20" customFormat="1" ht="13.5" x14ac:dyDescent="0.3">
      <c r="A31" s="392"/>
      <c r="B31" s="430" t="s">
        <v>757</v>
      </c>
      <c r="C31" s="515">
        <f>SUM(C28:C30)</f>
        <v>0</v>
      </c>
      <c r="D31" s="515">
        <f t="shared" ref="D31:M31" si="3">SUM(D28:D30)</f>
        <v>0.43000000000000005</v>
      </c>
      <c r="E31" s="515">
        <f t="shared" si="3"/>
        <v>64.100000000000009</v>
      </c>
      <c r="F31" s="515">
        <f t="shared" si="3"/>
        <v>0.35</v>
      </c>
      <c r="G31" s="515">
        <f t="shared" si="3"/>
        <v>1.7200000000000002</v>
      </c>
      <c r="H31" s="515">
        <f t="shared" si="3"/>
        <v>50.03</v>
      </c>
      <c r="I31" s="515">
        <f t="shared" si="3"/>
        <v>0</v>
      </c>
      <c r="J31" s="515">
        <f t="shared" si="3"/>
        <v>13.61</v>
      </c>
      <c r="K31" s="515">
        <f t="shared" si="3"/>
        <v>37.83</v>
      </c>
      <c r="L31" s="515">
        <f t="shared" si="3"/>
        <v>0.23</v>
      </c>
      <c r="M31" s="516">
        <f t="shared" si="3"/>
        <v>0.22</v>
      </c>
    </row>
    <row r="32" spans="1:14" s="20" customFormat="1" ht="5.0999999999999996" customHeight="1" x14ac:dyDescent="0.3">
      <c r="A32" s="913"/>
      <c r="B32" s="119"/>
      <c r="C32" s="914"/>
      <c r="D32" s="914"/>
      <c r="E32" s="914"/>
      <c r="F32" s="914"/>
      <c r="G32" s="914"/>
      <c r="H32" s="914"/>
      <c r="I32" s="914"/>
      <c r="J32" s="914"/>
      <c r="K32" s="914"/>
      <c r="L32" s="914"/>
      <c r="M32" s="915"/>
      <c r="N32" s="6"/>
    </row>
    <row r="33" spans="1:29" s="20" customFormat="1" ht="13.5" x14ac:dyDescent="0.3">
      <c r="A33" s="389" t="s">
        <v>201</v>
      </c>
      <c r="B33" s="389"/>
      <c r="C33" s="521">
        <f t="shared" ref="C33:L33" si="4">C31+C26+C20+C16</f>
        <v>379.51</v>
      </c>
      <c r="D33" s="521">
        <f t="shared" si="4"/>
        <v>1347.1899999999998</v>
      </c>
      <c r="E33" s="521">
        <f t="shared" si="4"/>
        <v>1571.94</v>
      </c>
      <c r="F33" s="521">
        <f t="shared" si="4"/>
        <v>2271.56</v>
      </c>
      <c r="G33" s="521">
        <f t="shared" si="4"/>
        <v>10411.5</v>
      </c>
      <c r="H33" s="521">
        <f t="shared" si="4"/>
        <v>212.96</v>
      </c>
      <c r="I33" s="521">
        <f t="shared" si="4"/>
        <v>64.510000000000005</v>
      </c>
      <c r="J33" s="521">
        <f t="shared" si="4"/>
        <v>15440.29</v>
      </c>
      <c r="K33" s="521">
        <f t="shared" si="4"/>
        <v>3693.8499999999995</v>
      </c>
      <c r="L33" s="521">
        <f t="shared" si="4"/>
        <v>160.26000000000002</v>
      </c>
      <c r="M33" s="522">
        <f>M31+M26+M20+M16</f>
        <v>320.92</v>
      </c>
      <c r="N33" s="415"/>
    </row>
    <row r="34" spans="1:29" s="20" customFormat="1" ht="5.0999999999999996" customHeight="1" x14ac:dyDescent="0.3">
      <c r="A34" s="5"/>
      <c r="B34" s="390"/>
      <c r="C34" s="48"/>
      <c r="D34" s="48"/>
      <c r="E34" s="48"/>
      <c r="F34" s="48"/>
      <c r="G34" s="48"/>
      <c r="H34" s="48"/>
      <c r="I34" s="48"/>
      <c r="J34" s="48"/>
      <c r="K34" s="48"/>
      <c r="L34" s="48"/>
      <c r="M34" s="48"/>
      <c r="N34" s="6"/>
    </row>
    <row r="35" spans="1:29" ht="8.1" customHeight="1" x14ac:dyDescent="0.3">
      <c r="A35" s="5"/>
      <c r="B35" s="5"/>
      <c r="C35" s="48"/>
      <c r="D35" s="48"/>
      <c r="E35" s="48"/>
      <c r="F35" s="48"/>
      <c r="G35" s="48"/>
      <c r="H35" s="48"/>
      <c r="I35" s="48"/>
      <c r="J35" s="416"/>
      <c r="K35" s="48"/>
      <c r="L35" s="48"/>
      <c r="M35" s="48"/>
      <c r="N35" s="1"/>
    </row>
    <row r="36" spans="1:29" ht="13.5" x14ac:dyDescent="0.3">
      <c r="A36" s="337" t="s">
        <v>767</v>
      </c>
      <c r="B36" s="336"/>
      <c r="C36" s="336"/>
      <c r="D36" s="336"/>
      <c r="E36" s="336"/>
      <c r="F36" s="336"/>
      <c r="G36" s="336"/>
      <c r="H36" s="336"/>
      <c r="I36" s="336"/>
      <c r="J36" s="336"/>
      <c r="K36" s="336"/>
      <c r="L36" s="336"/>
      <c r="M36" s="48"/>
      <c r="N36" s="1"/>
      <c r="O36" s="1"/>
      <c r="P36" s="1"/>
      <c r="Q36" s="1"/>
      <c r="R36" s="1"/>
      <c r="S36" s="1"/>
      <c r="T36" s="1"/>
      <c r="U36" s="1"/>
      <c r="V36" s="1"/>
      <c r="W36" s="1"/>
      <c r="X36" s="1"/>
      <c r="Y36" s="1"/>
      <c r="Z36" s="1"/>
      <c r="AA36" s="1"/>
      <c r="AB36" s="1"/>
      <c r="AC36" s="1"/>
    </row>
    <row r="37" spans="1:29" ht="13.5" x14ac:dyDescent="0.3">
      <c r="A37" s="999" t="s">
        <v>1296</v>
      </c>
      <c r="B37" s="999"/>
      <c r="C37" s="999"/>
      <c r="D37" s="999"/>
      <c r="E37" s="999"/>
      <c r="F37" s="999"/>
      <c r="G37" s="999"/>
      <c r="H37" s="999"/>
      <c r="I37" s="999"/>
      <c r="J37" s="999"/>
      <c r="K37" s="999"/>
      <c r="L37" s="999"/>
      <c r="M37" s="48"/>
      <c r="N37" s="1"/>
      <c r="O37" s="1"/>
      <c r="P37" s="1"/>
      <c r="Q37" s="1"/>
      <c r="R37" s="1"/>
      <c r="S37" s="1"/>
      <c r="T37" s="1"/>
      <c r="U37" s="1"/>
      <c r="V37" s="1"/>
      <c r="W37" s="1"/>
      <c r="X37" s="1"/>
      <c r="Y37" s="1"/>
      <c r="Z37" s="1"/>
      <c r="AA37" s="1"/>
      <c r="AB37" s="1"/>
      <c r="AC37" s="1"/>
    </row>
    <row r="38" spans="1:29" ht="13.5" x14ac:dyDescent="0.3">
      <c r="A38" s="1"/>
      <c r="B38" s="1"/>
      <c r="C38" s="48"/>
      <c r="D38" s="48"/>
      <c r="E38" s="48"/>
      <c r="F38" s="48"/>
      <c r="G38" s="48"/>
      <c r="H38" s="48"/>
      <c r="I38" s="48"/>
      <c r="J38" s="48"/>
      <c r="K38" s="48"/>
      <c r="L38" s="48"/>
      <c r="M38" s="48"/>
    </row>
    <row r="39" spans="1:29" ht="13.5" x14ac:dyDescent="0.3">
      <c r="A39" s="1"/>
      <c r="B39" s="1"/>
      <c r="C39" s="416"/>
      <c r="D39" s="416"/>
      <c r="E39" s="416"/>
      <c r="F39" s="416"/>
      <c r="G39" s="416"/>
      <c r="H39" s="416"/>
      <c r="I39" s="416"/>
      <c r="J39" s="416"/>
      <c r="K39" s="416"/>
      <c r="L39" s="416"/>
      <c r="M39" s="416"/>
    </row>
    <row r="40" spans="1:29" x14ac:dyDescent="0.3">
      <c r="A40" s="5"/>
      <c r="B40" s="179"/>
      <c r="C40" s="48"/>
      <c r="D40" s="418"/>
      <c r="E40" s="48"/>
      <c r="F40" s="417"/>
      <c r="G40" s="417"/>
      <c r="H40" s="48"/>
      <c r="I40" s="48"/>
      <c r="J40" s="417"/>
      <c r="K40" s="48"/>
      <c r="L40" s="417"/>
      <c r="M40" s="417"/>
    </row>
    <row r="41" spans="1:29" x14ac:dyDescent="0.3">
      <c r="A41" s="5"/>
      <c r="B41" s="1"/>
      <c r="C41" s="48"/>
      <c r="D41" s="48"/>
      <c r="E41" s="48"/>
      <c r="F41" s="48"/>
      <c r="G41" s="48"/>
      <c r="H41" s="48"/>
      <c r="I41" s="48"/>
      <c r="J41" s="48"/>
      <c r="K41" s="48"/>
      <c r="L41" s="48"/>
      <c r="M41" s="48"/>
    </row>
    <row r="42" spans="1:29" x14ac:dyDescent="0.3">
      <c r="A42" s="5"/>
      <c r="B42" s="1"/>
      <c r="C42" s="48"/>
      <c r="D42" s="48"/>
      <c r="E42" s="48"/>
      <c r="F42" s="48"/>
      <c r="G42" s="48"/>
      <c r="H42" s="48"/>
      <c r="I42" s="48"/>
      <c r="J42" s="48"/>
      <c r="K42" s="48"/>
      <c r="L42" s="48"/>
      <c r="M42" s="48"/>
    </row>
    <row r="43" spans="1:29" x14ac:dyDescent="0.3">
      <c r="A43" s="5"/>
      <c r="B43" s="1"/>
      <c r="C43" s="48"/>
      <c r="D43" s="48"/>
      <c r="E43" s="48"/>
      <c r="F43" s="48"/>
      <c r="G43" s="48"/>
      <c r="H43" s="48"/>
      <c r="I43" s="48"/>
      <c r="J43" s="48"/>
      <c r="K43" s="48"/>
      <c r="L43" s="48"/>
      <c r="M43" s="48"/>
    </row>
    <row r="44" spans="1:29" x14ac:dyDescent="0.3">
      <c r="A44" s="5"/>
      <c r="B44" s="1"/>
      <c r="C44" s="48"/>
      <c r="D44" s="48"/>
      <c r="E44" s="48"/>
      <c r="F44" s="48"/>
      <c r="G44" s="48"/>
      <c r="H44" s="48"/>
      <c r="I44" s="48"/>
      <c r="J44" s="48"/>
      <c r="K44" s="48"/>
      <c r="L44" s="48"/>
      <c r="M44" s="48"/>
    </row>
    <row r="45" spans="1:29" x14ac:dyDescent="0.3">
      <c r="A45" s="5"/>
      <c r="B45" s="1"/>
      <c r="C45" s="48"/>
      <c r="D45" s="48"/>
      <c r="E45" s="48"/>
      <c r="F45" s="48"/>
      <c r="G45" s="48"/>
      <c r="H45" s="48"/>
      <c r="I45" s="48"/>
      <c r="J45" s="48"/>
      <c r="K45" s="48"/>
      <c r="L45" s="48"/>
      <c r="M45" s="48"/>
    </row>
    <row r="46" spans="1:29" x14ac:dyDescent="0.3">
      <c r="A46" s="5"/>
      <c r="B46" s="1"/>
      <c r="C46" s="48"/>
      <c r="D46" s="48"/>
      <c r="E46" s="48"/>
      <c r="F46" s="48"/>
      <c r="G46" s="48"/>
      <c r="H46" s="48"/>
      <c r="I46" s="48"/>
      <c r="J46" s="48"/>
      <c r="K46" s="48"/>
      <c r="L46" s="48"/>
      <c r="M46" s="48"/>
    </row>
    <row r="47" spans="1:29" x14ac:dyDescent="0.3">
      <c r="A47" s="5"/>
      <c r="B47" s="1"/>
      <c r="C47" s="48"/>
      <c r="D47" s="48"/>
      <c r="E47" s="48"/>
      <c r="F47" s="48"/>
      <c r="G47" s="48"/>
      <c r="H47" s="48"/>
      <c r="I47" s="48"/>
      <c r="J47" s="48"/>
      <c r="K47" s="48"/>
      <c r="L47" s="48"/>
      <c r="M47" s="48"/>
    </row>
    <row r="48" spans="1:29" x14ac:dyDescent="0.3">
      <c r="A48" s="5"/>
      <c r="B48" s="1"/>
      <c r="C48" s="48"/>
      <c r="D48" s="48"/>
      <c r="E48" s="48"/>
      <c r="F48" s="48"/>
      <c r="G48" s="48"/>
      <c r="H48" s="48"/>
      <c r="I48" s="48"/>
      <c r="J48" s="48"/>
      <c r="K48" s="48"/>
      <c r="L48" s="48"/>
      <c r="M48" s="48"/>
    </row>
    <row r="49" spans="1:13" x14ac:dyDescent="0.3">
      <c r="A49" s="5"/>
      <c r="B49" s="1"/>
      <c r="C49" s="48"/>
      <c r="D49" s="48"/>
      <c r="E49" s="48"/>
      <c r="F49" s="48"/>
      <c r="G49" s="48"/>
      <c r="H49" s="48"/>
      <c r="I49" s="48"/>
      <c r="J49" s="48"/>
      <c r="K49" s="48"/>
      <c r="L49" s="48"/>
      <c r="M49" s="48"/>
    </row>
    <row r="50" spans="1:13" x14ac:dyDescent="0.3">
      <c r="A50" s="5"/>
      <c r="B50" s="1"/>
      <c r="C50" s="48"/>
      <c r="D50" s="48"/>
      <c r="E50" s="48"/>
      <c r="F50" s="48"/>
      <c r="G50" s="48"/>
      <c r="H50" s="48"/>
      <c r="I50" s="48"/>
      <c r="J50" s="48"/>
      <c r="K50" s="48"/>
      <c r="L50" s="48"/>
      <c r="M50" s="48"/>
    </row>
    <row r="51" spans="1:13" x14ac:dyDescent="0.3">
      <c r="A51" s="5"/>
      <c r="B51" s="1"/>
      <c r="C51" s="48"/>
      <c r="D51" s="48"/>
      <c r="E51" s="48"/>
      <c r="F51" s="48"/>
      <c r="G51" s="48"/>
      <c r="H51" s="48"/>
      <c r="I51" s="48"/>
      <c r="J51" s="48"/>
      <c r="K51" s="48"/>
      <c r="L51" s="48"/>
      <c r="M51" s="48"/>
    </row>
    <row r="52" spans="1:13" x14ac:dyDescent="0.3">
      <c r="A52" s="5"/>
      <c r="B52" s="1"/>
      <c r="C52" s="48"/>
      <c r="D52" s="48"/>
      <c r="E52" s="48"/>
      <c r="F52" s="48"/>
      <c r="G52" s="48"/>
      <c r="H52" s="48"/>
      <c r="I52" s="48"/>
      <c r="J52" s="48"/>
      <c r="K52" s="48"/>
      <c r="L52" s="48"/>
      <c r="M52" s="48"/>
    </row>
    <row r="53" spans="1:13" x14ac:dyDescent="0.3">
      <c r="A53" s="5"/>
      <c r="B53" s="1"/>
      <c r="C53" s="48"/>
      <c r="D53" s="48"/>
      <c r="E53" s="48"/>
      <c r="F53" s="48"/>
      <c r="G53" s="48"/>
      <c r="H53" s="48"/>
      <c r="I53" s="48"/>
      <c r="J53" s="48"/>
      <c r="K53" s="48"/>
      <c r="L53" s="48"/>
      <c r="M53" s="48"/>
    </row>
    <row r="54" spans="1:13" x14ac:dyDescent="0.3">
      <c r="A54" s="5"/>
      <c r="B54" s="1"/>
      <c r="C54" s="48"/>
      <c r="D54" s="48"/>
      <c r="E54" s="48"/>
      <c r="F54" s="48"/>
      <c r="G54" s="48"/>
      <c r="H54" s="48"/>
      <c r="I54" s="48"/>
      <c r="J54" s="48"/>
      <c r="K54" s="48"/>
      <c r="L54" s="48"/>
      <c r="M54" s="48"/>
    </row>
    <row r="55" spans="1:13" x14ac:dyDescent="0.3">
      <c r="A55" s="5"/>
      <c r="B55" s="1"/>
      <c r="C55" s="48"/>
      <c r="D55" s="48"/>
      <c r="E55" s="48"/>
      <c r="F55" s="48"/>
      <c r="G55" s="48"/>
      <c r="H55" s="48"/>
      <c r="I55" s="48"/>
      <c r="J55" s="48"/>
      <c r="K55" s="48"/>
      <c r="L55" s="48"/>
      <c r="M55" s="48"/>
    </row>
    <row r="56" spans="1:13" x14ac:dyDescent="0.3">
      <c r="A56" s="5"/>
      <c r="B56" s="1"/>
      <c r="C56" s="48"/>
      <c r="D56" s="48"/>
      <c r="E56" s="48"/>
      <c r="F56" s="48"/>
      <c r="G56" s="48"/>
      <c r="H56" s="48"/>
      <c r="I56" s="48"/>
      <c r="J56" s="48"/>
      <c r="K56" s="48"/>
      <c r="L56" s="48"/>
      <c r="M56" s="48"/>
    </row>
    <row r="57" spans="1:13" x14ac:dyDescent="0.3">
      <c r="A57" s="5"/>
      <c r="B57" s="1"/>
      <c r="C57" s="48"/>
      <c r="D57" s="48"/>
      <c r="E57" s="48"/>
      <c r="F57" s="48"/>
      <c r="G57" s="48"/>
      <c r="H57" s="48"/>
      <c r="I57" s="48"/>
      <c r="J57" s="48"/>
      <c r="K57" s="48"/>
      <c r="L57" s="48"/>
      <c r="M57" s="48"/>
    </row>
    <row r="58" spans="1:13" x14ac:dyDescent="0.3">
      <c r="A58" s="5"/>
      <c r="B58" s="1"/>
      <c r="C58" s="48"/>
      <c r="D58" s="48"/>
      <c r="E58" s="48"/>
      <c r="F58" s="48"/>
      <c r="G58" s="48"/>
      <c r="H58" s="48"/>
      <c r="I58" s="48"/>
      <c r="J58" s="48"/>
      <c r="K58" s="48"/>
      <c r="L58" s="48"/>
      <c r="M58" s="48"/>
    </row>
    <row r="59" spans="1:13" x14ac:dyDescent="0.3">
      <c r="A59" s="5"/>
      <c r="B59" s="1"/>
      <c r="C59" s="48"/>
      <c r="D59" s="48"/>
      <c r="E59" s="48"/>
      <c r="F59" s="48"/>
      <c r="G59" s="48"/>
      <c r="H59" s="48"/>
      <c r="I59" s="48"/>
      <c r="J59" s="48"/>
      <c r="K59" s="48"/>
      <c r="L59" s="48"/>
      <c r="M59" s="48"/>
    </row>
    <row r="60" spans="1:13" x14ac:dyDescent="0.3">
      <c r="A60" s="5"/>
      <c r="B60" s="1"/>
      <c r="C60" s="48"/>
      <c r="D60" s="48"/>
      <c r="E60" s="48"/>
      <c r="F60" s="48"/>
      <c r="G60" s="48"/>
      <c r="H60" s="48"/>
      <c r="I60" s="48"/>
      <c r="J60" s="48"/>
      <c r="K60" s="48"/>
      <c r="L60" s="48"/>
      <c r="M60" s="48"/>
    </row>
    <row r="61" spans="1:13" x14ac:dyDescent="0.3">
      <c r="A61" s="5"/>
      <c r="B61" s="1"/>
      <c r="C61" s="48"/>
      <c r="D61" s="48"/>
      <c r="E61" s="48"/>
      <c r="F61" s="48"/>
      <c r="G61" s="48"/>
      <c r="H61" s="48"/>
      <c r="I61" s="48"/>
      <c r="J61" s="48"/>
      <c r="K61" s="48"/>
      <c r="L61" s="48"/>
      <c r="M61" s="48"/>
    </row>
    <row r="62" spans="1:13" x14ac:dyDescent="0.3">
      <c r="A62" s="5"/>
      <c r="B62" s="1"/>
      <c r="C62" s="48"/>
      <c r="D62" s="48"/>
      <c r="E62" s="48"/>
      <c r="F62" s="48"/>
      <c r="G62" s="48"/>
      <c r="H62" s="48"/>
      <c r="I62" s="48"/>
      <c r="J62" s="48"/>
      <c r="K62" s="48"/>
      <c r="L62" s="48"/>
      <c r="M62" s="48"/>
    </row>
    <row r="63" spans="1:13" x14ac:dyDescent="0.3">
      <c r="A63" s="5"/>
      <c r="B63" s="1"/>
      <c r="C63" s="48"/>
      <c r="D63" s="48"/>
      <c r="E63" s="48"/>
      <c r="F63" s="48"/>
      <c r="G63" s="48"/>
      <c r="H63" s="48"/>
      <c r="I63" s="48"/>
      <c r="J63" s="48"/>
      <c r="K63" s="48"/>
      <c r="L63" s="48"/>
      <c r="M63" s="48"/>
    </row>
    <row r="64" spans="1:13" x14ac:dyDescent="0.3">
      <c r="A64" s="5"/>
      <c r="B64" s="1"/>
      <c r="C64" s="48"/>
      <c r="D64" s="48"/>
      <c r="E64" s="48"/>
      <c r="F64" s="48"/>
      <c r="G64" s="48"/>
      <c r="H64" s="48"/>
      <c r="I64" s="48"/>
      <c r="J64" s="48"/>
      <c r="K64" s="48"/>
      <c r="L64" s="48"/>
      <c r="M64" s="48"/>
    </row>
    <row r="65" spans="1:13" x14ac:dyDescent="0.3">
      <c r="A65" s="5"/>
      <c r="B65" s="1"/>
      <c r="C65" s="48"/>
      <c r="D65" s="48"/>
      <c r="E65" s="48"/>
      <c r="F65" s="48"/>
      <c r="G65" s="48"/>
      <c r="H65" s="48"/>
      <c r="I65" s="48"/>
      <c r="J65" s="48"/>
      <c r="K65" s="48"/>
      <c r="L65" s="48"/>
      <c r="M65" s="48"/>
    </row>
    <row r="66" spans="1:13" x14ac:dyDescent="0.3">
      <c r="A66" s="5"/>
      <c r="B66" s="1"/>
      <c r="C66" s="48"/>
      <c r="D66" s="48"/>
      <c r="E66" s="48"/>
      <c r="F66" s="48"/>
      <c r="G66" s="48"/>
      <c r="H66" s="48"/>
      <c r="I66" s="48"/>
      <c r="J66" s="48"/>
      <c r="K66" s="48"/>
      <c r="L66" s="48"/>
      <c r="M66" s="48"/>
    </row>
    <row r="67" spans="1:13" x14ac:dyDescent="0.3">
      <c r="A67" s="5"/>
      <c r="B67" s="1"/>
      <c r="C67" s="48"/>
      <c r="D67" s="48"/>
      <c r="E67" s="48"/>
      <c r="F67" s="48"/>
      <c r="G67" s="48"/>
      <c r="H67" s="48"/>
      <c r="I67" s="48"/>
      <c r="J67" s="48"/>
      <c r="K67" s="48"/>
      <c r="L67" s="48"/>
      <c r="M67" s="48"/>
    </row>
    <row r="68" spans="1:13" x14ac:dyDescent="0.3">
      <c r="A68" s="5"/>
      <c r="B68" s="1"/>
      <c r="C68" s="48"/>
      <c r="D68" s="48"/>
      <c r="E68" s="48"/>
      <c r="F68" s="48"/>
      <c r="G68" s="48"/>
      <c r="H68" s="48"/>
      <c r="I68" s="48"/>
      <c r="J68" s="48"/>
      <c r="K68" s="48"/>
      <c r="L68" s="48"/>
      <c r="M68" s="48"/>
    </row>
    <row r="69" spans="1:13" x14ac:dyDescent="0.3">
      <c r="A69" s="5"/>
      <c r="B69" s="1"/>
      <c r="C69" s="48"/>
      <c r="D69" s="48"/>
      <c r="E69" s="48"/>
      <c r="F69" s="48"/>
      <c r="G69" s="48"/>
      <c r="H69" s="48"/>
      <c r="I69" s="48"/>
      <c r="J69" s="48"/>
      <c r="K69" s="48"/>
      <c r="L69" s="48"/>
      <c r="M69" s="48"/>
    </row>
    <row r="70" spans="1:13" x14ac:dyDescent="0.3">
      <c r="A70" s="5"/>
      <c r="B70" s="1"/>
      <c r="C70" s="48"/>
      <c r="D70" s="48"/>
      <c r="E70" s="48"/>
      <c r="F70" s="48"/>
      <c r="G70" s="48"/>
      <c r="H70" s="48"/>
      <c r="I70" s="48"/>
      <c r="J70" s="48"/>
      <c r="K70" s="48"/>
      <c r="L70" s="48"/>
      <c r="M70" s="48"/>
    </row>
    <row r="71" spans="1:13" x14ac:dyDescent="0.3">
      <c r="A71" s="5"/>
      <c r="B71" s="1"/>
      <c r="C71" s="48"/>
      <c r="D71" s="48"/>
      <c r="E71" s="48"/>
      <c r="F71" s="48"/>
      <c r="G71" s="48"/>
      <c r="H71" s="48"/>
      <c r="I71" s="48"/>
      <c r="J71" s="48"/>
      <c r="K71" s="48"/>
      <c r="L71" s="48"/>
      <c r="M71" s="48"/>
    </row>
    <row r="72" spans="1:13" x14ac:dyDescent="0.3">
      <c r="A72" s="5"/>
      <c r="B72" s="1"/>
      <c r="C72" s="48"/>
      <c r="D72" s="48"/>
      <c r="E72" s="48"/>
      <c r="F72" s="48"/>
      <c r="G72" s="48"/>
      <c r="H72" s="48"/>
      <c r="I72" s="48"/>
      <c r="J72" s="48"/>
      <c r="K72" s="48"/>
      <c r="L72" s="48"/>
      <c r="M72" s="48"/>
    </row>
    <row r="73" spans="1:13" x14ac:dyDescent="0.3">
      <c r="A73" s="5"/>
      <c r="B73" s="1"/>
      <c r="C73" s="48"/>
      <c r="D73" s="48"/>
      <c r="E73" s="48"/>
      <c r="F73" s="48"/>
      <c r="G73" s="48"/>
      <c r="H73" s="48"/>
      <c r="I73" s="48"/>
      <c r="J73" s="48"/>
      <c r="K73" s="48"/>
      <c r="L73" s="48"/>
      <c r="M73" s="48"/>
    </row>
    <row r="74" spans="1:13" x14ac:dyDescent="0.3">
      <c r="A74" s="5"/>
      <c r="B74" s="1"/>
      <c r="C74" s="48"/>
      <c r="D74" s="48"/>
      <c r="E74" s="48"/>
      <c r="F74" s="48"/>
      <c r="G74" s="48"/>
      <c r="H74" s="48"/>
      <c r="I74" s="48"/>
      <c r="J74" s="48"/>
      <c r="K74" s="48"/>
      <c r="L74" s="48"/>
      <c r="M74" s="48"/>
    </row>
    <row r="75" spans="1:13" x14ac:dyDescent="0.3">
      <c r="A75" s="5"/>
      <c r="B75" s="1"/>
      <c r="C75" s="48"/>
      <c r="D75" s="48"/>
      <c r="E75" s="48"/>
      <c r="F75" s="48"/>
      <c r="G75" s="48"/>
      <c r="H75" s="48"/>
      <c r="I75" s="48"/>
      <c r="J75" s="48"/>
      <c r="K75" s="48"/>
      <c r="L75" s="48"/>
      <c r="M75" s="48"/>
    </row>
    <row r="76" spans="1:13" x14ac:dyDescent="0.3">
      <c r="A76" s="5"/>
      <c r="B76" s="1"/>
      <c r="C76" s="48"/>
      <c r="D76" s="48"/>
      <c r="E76" s="48"/>
      <c r="F76" s="48"/>
      <c r="G76" s="48"/>
      <c r="H76" s="48"/>
      <c r="I76" s="48"/>
      <c r="J76" s="48"/>
      <c r="K76" s="48"/>
      <c r="L76" s="48"/>
      <c r="M76" s="48"/>
    </row>
    <row r="77" spans="1:13" x14ac:dyDescent="0.3">
      <c r="A77" s="5"/>
      <c r="B77" s="1"/>
      <c r="C77" s="48"/>
      <c r="D77" s="48"/>
      <c r="E77" s="48"/>
      <c r="F77" s="48"/>
      <c r="G77" s="48"/>
      <c r="H77" s="48"/>
      <c r="I77" s="48"/>
      <c r="J77" s="48"/>
      <c r="K77" s="48"/>
      <c r="L77" s="48"/>
      <c r="M77" s="48"/>
    </row>
    <row r="78" spans="1:13" x14ac:dyDescent="0.3">
      <c r="A78" s="5"/>
      <c r="B78" s="1"/>
      <c r="C78" s="48"/>
      <c r="D78" s="48"/>
      <c r="E78" s="48"/>
      <c r="F78" s="48"/>
      <c r="G78" s="48"/>
      <c r="H78" s="48"/>
      <c r="I78" s="48"/>
      <c r="J78" s="48"/>
      <c r="K78" s="48"/>
      <c r="L78" s="48"/>
      <c r="M78" s="48"/>
    </row>
    <row r="79" spans="1:13" x14ac:dyDescent="0.3">
      <c r="A79" s="5"/>
      <c r="B79" s="1"/>
      <c r="C79" s="48"/>
      <c r="D79" s="48"/>
      <c r="E79" s="48"/>
      <c r="F79" s="48"/>
      <c r="G79" s="48"/>
      <c r="H79" s="48"/>
      <c r="I79" s="48"/>
      <c r="J79" s="48"/>
      <c r="K79" s="48"/>
      <c r="L79" s="48"/>
      <c r="M79" s="48"/>
    </row>
    <row r="80" spans="1:13" x14ac:dyDescent="0.3">
      <c r="A80" s="5"/>
      <c r="B80" s="1"/>
      <c r="C80" s="48"/>
      <c r="D80" s="48"/>
      <c r="E80" s="48"/>
      <c r="F80" s="48"/>
      <c r="G80" s="48"/>
      <c r="H80" s="48"/>
      <c r="I80" s="48"/>
      <c r="J80" s="48"/>
      <c r="K80" s="48"/>
      <c r="L80" s="48"/>
      <c r="M80" s="48"/>
    </row>
    <row r="81" spans="1:13" x14ac:dyDescent="0.3">
      <c r="A81" s="5"/>
      <c r="B81" s="1"/>
      <c r="C81" s="48"/>
      <c r="D81" s="48"/>
      <c r="E81" s="48"/>
      <c r="F81" s="48"/>
      <c r="G81" s="48"/>
      <c r="H81" s="48"/>
      <c r="I81" s="48"/>
      <c r="J81" s="48"/>
      <c r="K81" s="48"/>
      <c r="L81" s="48"/>
      <c r="M81" s="48"/>
    </row>
    <row r="82" spans="1:13" x14ac:dyDescent="0.3">
      <c r="A82" s="5"/>
      <c r="B82" s="1"/>
      <c r="C82" s="48"/>
      <c r="D82" s="48"/>
      <c r="E82" s="48"/>
      <c r="F82" s="48"/>
      <c r="G82" s="48"/>
      <c r="H82" s="48"/>
      <c r="I82" s="48"/>
      <c r="J82" s="48"/>
      <c r="K82" s="48"/>
      <c r="L82" s="48"/>
      <c r="M82" s="48"/>
    </row>
    <row r="83" spans="1:13" x14ac:dyDescent="0.3">
      <c r="A83" s="5"/>
      <c r="B83" s="1"/>
      <c r="C83" s="48"/>
      <c r="D83" s="48"/>
      <c r="E83" s="48"/>
      <c r="F83" s="48"/>
      <c r="G83" s="48"/>
      <c r="H83" s="48"/>
      <c r="I83" s="48"/>
      <c r="J83" s="48"/>
      <c r="K83" s="48"/>
      <c r="L83" s="48"/>
      <c r="M83" s="48"/>
    </row>
    <row r="84" spans="1:13" x14ac:dyDescent="0.3">
      <c r="A84" s="5"/>
      <c r="B84" s="1"/>
      <c r="C84" s="48"/>
      <c r="D84" s="48"/>
      <c r="E84" s="48"/>
      <c r="F84" s="48"/>
      <c r="G84" s="48"/>
      <c r="H84" s="48"/>
      <c r="I84" s="48"/>
      <c r="J84" s="48"/>
      <c r="K84" s="48"/>
      <c r="L84" s="48"/>
      <c r="M84" s="48"/>
    </row>
    <row r="85" spans="1:13" x14ac:dyDescent="0.3">
      <c r="A85" s="5"/>
      <c r="B85" s="1"/>
      <c r="C85" s="48"/>
      <c r="D85" s="48"/>
      <c r="E85" s="48"/>
      <c r="F85" s="48"/>
      <c r="G85" s="48"/>
      <c r="H85" s="48"/>
      <c r="I85" s="48"/>
      <c r="J85" s="48"/>
      <c r="K85" s="48"/>
      <c r="L85" s="48"/>
      <c r="M85" s="48"/>
    </row>
    <row r="86" spans="1:13" x14ac:dyDescent="0.3">
      <c r="A86" s="5"/>
      <c r="B86" s="1"/>
      <c r="C86" s="48"/>
      <c r="D86" s="48"/>
      <c r="E86" s="48"/>
      <c r="F86" s="48"/>
      <c r="G86" s="48"/>
      <c r="H86" s="48"/>
      <c r="I86" s="48"/>
      <c r="J86" s="48"/>
      <c r="K86" s="48"/>
      <c r="L86" s="48"/>
      <c r="M86" s="48"/>
    </row>
    <row r="87" spans="1:13" x14ac:dyDescent="0.3">
      <c r="A87" s="5"/>
      <c r="B87" s="1"/>
      <c r="C87" s="48"/>
      <c r="D87" s="48"/>
      <c r="E87" s="48"/>
      <c r="F87" s="48"/>
      <c r="G87" s="48"/>
      <c r="H87" s="48"/>
      <c r="I87" s="48"/>
      <c r="J87" s="48"/>
      <c r="K87" s="48"/>
      <c r="L87" s="48"/>
      <c r="M87" s="48"/>
    </row>
    <row r="88" spans="1:13" x14ac:dyDescent="0.3">
      <c r="A88" s="5"/>
      <c r="B88" s="1"/>
      <c r="C88" s="48"/>
      <c r="D88" s="48"/>
      <c r="E88" s="48"/>
      <c r="F88" s="48"/>
      <c r="G88" s="48"/>
      <c r="H88" s="48"/>
      <c r="I88" s="48"/>
      <c r="J88" s="48"/>
      <c r="K88" s="48"/>
      <c r="L88" s="48"/>
      <c r="M88" s="48"/>
    </row>
    <row r="89" spans="1:13" x14ac:dyDescent="0.3">
      <c r="A89" s="5"/>
      <c r="B89" s="1"/>
      <c r="C89" s="48"/>
      <c r="D89" s="48"/>
      <c r="E89" s="48"/>
      <c r="F89" s="48"/>
      <c r="G89" s="48"/>
      <c r="H89" s="48"/>
      <c r="I89" s="48"/>
      <c r="J89" s="48"/>
      <c r="K89" s="48"/>
      <c r="L89" s="48"/>
      <c r="M89" s="48"/>
    </row>
    <row r="90" spans="1:13" x14ac:dyDescent="0.3">
      <c r="A90" s="5"/>
      <c r="B90" s="1"/>
      <c r="C90" s="48"/>
      <c r="D90" s="48"/>
      <c r="E90" s="48"/>
      <c r="F90" s="48"/>
      <c r="G90" s="48"/>
      <c r="H90" s="48"/>
      <c r="I90" s="48"/>
      <c r="J90" s="48"/>
      <c r="K90" s="48"/>
      <c r="L90" s="48"/>
      <c r="M90" s="48"/>
    </row>
    <row r="91" spans="1:13" x14ac:dyDescent="0.3">
      <c r="A91" s="5"/>
      <c r="B91" s="1"/>
      <c r="C91" s="48"/>
      <c r="D91" s="48"/>
      <c r="E91" s="48"/>
      <c r="F91" s="48"/>
      <c r="G91" s="48"/>
      <c r="H91" s="48"/>
      <c r="I91" s="48"/>
      <c r="J91" s="48"/>
      <c r="K91" s="48"/>
      <c r="L91" s="48"/>
      <c r="M91" s="48"/>
    </row>
    <row r="92" spans="1:13" x14ac:dyDescent="0.3">
      <c r="A92" s="5"/>
      <c r="B92" s="1"/>
      <c r="C92" s="48"/>
      <c r="D92" s="48"/>
      <c r="E92" s="48"/>
      <c r="F92" s="48"/>
      <c r="G92" s="48"/>
      <c r="H92" s="48"/>
      <c r="I92" s="48"/>
      <c r="J92" s="48"/>
      <c r="K92" s="48"/>
      <c r="L92" s="48"/>
      <c r="M92" s="48"/>
    </row>
    <row r="93" spans="1:13" x14ac:dyDescent="0.3">
      <c r="A93" s="5"/>
      <c r="B93" s="1"/>
      <c r="C93" s="48"/>
      <c r="D93" s="48"/>
      <c r="E93" s="48"/>
      <c r="F93" s="48"/>
      <c r="G93" s="48"/>
      <c r="H93" s="48"/>
      <c r="I93" s="48"/>
      <c r="J93" s="48"/>
      <c r="K93" s="48"/>
      <c r="L93" s="48"/>
      <c r="M93" s="48"/>
    </row>
    <row r="94" spans="1:13" x14ac:dyDescent="0.3">
      <c r="A94" s="5"/>
      <c r="B94" s="1"/>
      <c r="C94" s="48"/>
      <c r="D94" s="48"/>
      <c r="E94" s="48"/>
      <c r="F94" s="48"/>
      <c r="G94" s="48"/>
      <c r="H94" s="48"/>
      <c r="I94" s="48"/>
      <c r="J94" s="48"/>
      <c r="K94" s="48"/>
      <c r="L94" s="48"/>
      <c r="M94" s="48"/>
    </row>
    <row r="95" spans="1:13" x14ac:dyDescent="0.3">
      <c r="A95" s="5"/>
      <c r="B95" s="1"/>
      <c r="C95" s="48"/>
      <c r="D95" s="48"/>
      <c r="E95" s="48"/>
      <c r="F95" s="48"/>
      <c r="G95" s="48"/>
      <c r="H95" s="48"/>
      <c r="I95" s="48"/>
      <c r="J95" s="48"/>
      <c r="K95" s="48"/>
      <c r="L95" s="48"/>
      <c r="M95" s="48"/>
    </row>
    <row r="96" spans="1:13" x14ac:dyDescent="0.3">
      <c r="A96" s="5"/>
      <c r="B96" s="1"/>
      <c r="C96" s="48"/>
      <c r="D96" s="48"/>
      <c r="E96" s="48"/>
      <c r="F96" s="48"/>
      <c r="G96" s="48"/>
      <c r="H96" s="48"/>
      <c r="I96" s="48"/>
      <c r="J96" s="48"/>
      <c r="K96" s="48"/>
      <c r="L96" s="48"/>
      <c r="M96" s="48"/>
    </row>
    <row r="97" spans="1:13" x14ac:dyDescent="0.3">
      <c r="A97" s="5"/>
      <c r="B97" s="1"/>
      <c r="C97" s="48"/>
      <c r="D97" s="48"/>
      <c r="E97" s="48"/>
      <c r="F97" s="48"/>
      <c r="G97" s="48"/>
      <c r="H97" s="48"/>
      <c r="I97" s="48"/>
      <c r="J97" s="48"/>
      <c r="K97" s="48"/>
      <c r="L97" s="48"/>
      <c r="M97" s="48"/>
    </row>
    <row r="98" spans="1:13" x14ac:dyDescent="0.3">
      <c r="A98" s="5"/>
      <c r="B98" s="1"/>
      <c r="C98" s="48"/>
      <c r="D98" s="48"/>
      <c r="E98" s="48"/>
      <c r="F98" s="48"/>
      <c r="G98" s="48"/>
      <c r="H98" s="48"/>
      <c r="I98" s="48"/>
      <c r="J98" s="48"/>
      <c r="K98" s="48"/>
      <c r="L98" s="48"/>
      <c r="M98" s="48"/>
    </row>
    <row r="99" spans="1:13" x14ac:dyDescent="0.3">
      <c r="A99" s="5"/>
      <c r="B99" s="1"/>
      <c r="C99" s="48"/>
      <c r="D99" s="48"/>
      <c r="E99" s="48"/>
      <c r="F99" s="48"/>
      <c r="G99" s="48"/>
      <c r="H99" s="48"/>
      <c r="I99" s="48"/>
      <c r="J99" s="48"/>
      <c r="K99" s="48"/>
      <c r="L99" s="48"/>
      <c r="M99" s="48"/>
    </row>
    <row r="100" spans="1:13" x14ac:dyDescent="0.3">
      <c r="A100" s="5"/>
      <c r="B100" s="1"/>
      <c r="C100" s="48"/>
      <c r="D100" s="48"/>
      <c r="E100" s="48"/>
      <c r="F100" s="48"/>
      <c r="G100" s="48"/>
      <c r="H100" s="48"/>
      <c r="I100" s="48"/>
      <c r="J100" s="48"/>
      <c r="K100" s="48"/>
      <c r="L100" s="48"/>
      <c r="M100" s="48"/>
    </row>
    <row r="101" spans="1:13" x14ac:dyDescent="0.3">
      <c r="A101" s="5"/>
      <c r="B101" s="1"/>
      <c r="C101" s="48"/>
      <c r="D101" s="48"/>
      <c r="E101" s="48"/>
      <c r="F101" s="48"/>
      <c r="G101" s="48"/>
      <c r="H101" s="48"/>
      <c r="I101" s="48"/>
      <c r="J101" s="48"/>
      <c r="K101" s="48"/>
      <c r="L101" s="48"/>
      <c r="M101" s="48"/>
    </row>
    <row r="102" spans="1:13" x14ac:dyDescent="0.3">
      <c r="A102" s="5"/>
      <c r="B102" s="1"/>
      <c r="C102" s="48"/>
      <c r="D102" s="48"/>
      <c r="E102" s="48"/>
      <c r="F102" s="48"/>
      <c r="G102" s="48"/>
      <c r="H102" s="48"/>
      <c r="I102" s="48"/>
      <c r="J102" s="48"/>
      <c r="K102" s="48"/>
      <c r="L102" s="48"/>
      <c r="M102" s="48"/>
    </row>
    <row r="103" spans="1:13" x14ac:dyDescent="0.3">
      <c r="A103" s="5"/>
      <c r="B103" s="1"/>
      <c r="C103" s="48"/>
      <c r="D103" s="48"/>
      <c r="E103" s="48"/>
      <c r="F103" s="48"/>
      <c r="G103" s="48"/>
      <c r="H103" s="48"/>
      <c r="I103" s="48"/>
      <c r="J103" s="48"/>
      <c r="K103" s="48"/>
      <c r="L103" s="48"/>
      <c r="M103" s="48"/>
    </row>
    <row r="104" spans="1:13" x14ac:dyDescent="0.3">
      <c r="A104" s="5"/>
      <c r="B104" s="1"/>
      <c r="C104" s="48"/>
      <c r="D104" s="48"/>
      <c r="E104" s="48"/>
      <c r="F104" s="48"/>
      <c r="G104" s="48"/>
      <c r="H104" s="48"/>
      <c r="I104" s="48"/>
      <c r="J104" s="48"/>
      <c r="K104" s="48"/>
      <c r="L104" s="48"/>
      <c r="M104" s="48"/>
    </row>
    <row r="105" spans="1:13" x14ac:dyDescent="0.3">
      <c r="A105" s="5"/>
      <c r="B105" s="1"/>
      <c r="C105" s="48"/>
      <c r="D105" s="48"/>
      <c r="E105" s="48"/>
      <c r="F105" s="48"/>
      <c r="G105" s="48"/>
      <c r="H105" s="48"/>
      <c r="I105" s="48"/>
      <c r="J105" s="48"/>
      <c r="K105" s="48"/>
      <c r="L105" s="48"/>
      <c r="M105" s="48"/>
    </row>
    <row r="106" spans="1:13" x14ac:dyDescent="0.3">
      <c r="A106" s="5"/>
      <c r="B106" s="1"/>
      <c r="C106" s="48"/>
      <c r="D106" s="48"/>
      <c r="E106" s="48"/>
      <c r="F106" s="48"/>
      <c r="G106" s="48"/>
      <c r="H106" s="48"/>
      <c r="I106" s="48"/>
      <c r="J106" s="48"/>
      <c r="K106" s="48"/>
      <c r="L106" s="48"/>
      <c r="M106" s="48"/>
    </row>
    <row r="107" spans="1:13" x14ac:dyDescent="0.3">
      <c r="A107" s="5"/>
      <c r="B107" s="1"/>
      <c r="C107" s="48"/>
      <c r="D107" s="48"/>
      <c r="E107" s="48"/>
      <c r="F107" s="48"/>
      <c r="G107" s="48"/>
      <c r="H107" s="48"/>
      <c r="I107" s="48"/>
      <c r="J107" s="48"/>
      <c r="K107" s="48"/>
      <c r="L107" s="48"/>
      <c r="M107" s="48"/>
    </row>
    <row r="108" spans="1:13" x14ac:dyDescent="0.3">
      <c r="A108" s="5"/>
      <c r="B108" s="1"/>
      <c r="C108" s="48"/>
      <c r="D108" s="48"/>
      <c r="E108" s="48"/>
      <c r="F108" s="48"/>
      <c r="G108" s="48"/>
      <c r="H108" s="48"/>
      <c r="I108" s="48"/>
      <c r="J108" s="48"/>
      <c r="K108" s="48"/>
      <c r="L108" s="48"/>
      <c r="M108" s="48"/>
    </row>
    <row r="109" spans="1:13" x14ac:dyDescent="0.3">
      <c r="A109" s="5"/>
      <c r="B109" s="1"/>
      <c r="C109" s="48"/>
      <c r="D109" s="48"/>
      <c r="E109" s="48"/>
      <c r="F109" s="48"/>
      <c r="G109" s="48"/>
      <c r="H109" s="48"/>
      <c r="I109" s="48"/>
      <c r="J109" s="48"/>
      <c r="K109" s="48"/>
      <c r="L109" s="48"/>
      <c r="M109" s="48"/>
    </row>
    <row r="110" spans="1:13" x14ac:dyDescent="0.3">
      <c r="A110" s="5"/>
      <c r="B110" s="1"/>
      <c r="C110" s="48"/>
      <c r="D110" s="48"/>
      <c r="E110" s="48"/>
      <c r="F110" s="48"/>
      <c r="G110" s="48"/>
      <c r="H110" s="48"/>
      <c r="I110" s="48"/>
      <c r="J110" s="48"/>
      <c r="K110" s="48"/>
      <c r="L110" s="48"/>
      <c r="M110" s="48"/>
    </row>
    <row r="111" spans="1:13" x14ac:dyDescent="0.3">
      <c r="A111" s="5"/>
      <c r="B111" s="1"/>
      <c r="C111" s="48"/>
      <c r="D111" s="48"/>
      <c r="E111" s="48"/>
      <c r="F111" s="48"/>
      <c r="G111" s="48"/>
      <c r="H111" s="48"/>
      <c r="I111" s="48"/>
      <c r="J111" s="48"/>
      <c r="K111" s="48"/>
      <c r="L111" s="48"/>
      <c r="M111" s="48"/>
    </row>
    <row r="112" spans="1:13" x14ac:dyDescent="0.3">
      <c r="A112" s="5"/>
      <c r="B112" s="1"/>
      <c r="C112" s="48"/>
      <c r="D112" s="48"/>
      <c r="E112" s="48"/>
      <c r="F112" s="48"/>
      <c r="G112" s="48"/>
      <c r="H112" s="48"/>
      <c r="I112" s="48"/>
      <c r="J112" s="48"/>
      <c r="K112" s="48"/>
      <c r="L112" s="48"/>
      <c r="M112" s="48"/>
    </row>
    <row r="113" spans="1:13" x14ac:dyDescent="0.3">
      <c r="A113" s="5"/>
      <c r="B113" s="1"/>
      <c r="C113" s="48"/>
      <c r="D113" s="48"/>
      <c r="E113" s="48"/>
      <c r="F113" s="48"/>
      <c r="G113" s="48"/>
      <c r="H113" s="48"/>
      <c r="I113" s="48"/>
      <c r="J113" s="48"/>
      <c r="K113" s="48"/>
      <c r="L113" s="48"/>
      <c r="M113" s="48"/>
    </row>
    <row r="114" spans="1:13" x14ac:dyDescent="0.3">
      <c r="A114" s="5"/>
      <c r="B114" s="1"/>
      <c r="C114" s="48"/>
      <c r="D114" s="48"/>
      <c r="E114" s="48"/>
      <c r="F114" s="48"/>
      <c r="G114" s="48"/>
      <c r="H114" s="48"/>
      <c r="I114" s="48"/>
      <c r="J114" s="48"/>
      <c r="K114" s="48"/>
      <c r="L114" s="48"/>
      <c r="M114" s="48"/>
    </row>
    <row r="115" spans="1:13" x14ac:dyDescent="0.3">
      <c r="A115" s="5"/>
      <c r="B115" s="1"/>
      <c r="C115" s="48"/>
      <c r="D115" s="48"/>
      <c r="E115" s="48"/>
      <c r="F115" s="48"/>
      <c r="G115" s="48"/>
      <c r="H115" s="48"/>
      <c r="I115" s="48"/>
      <c r="J115" s="48"/>
      <c r="K115" s="48"/>
      <c r="L115" s="48"/>
      <c r="M115" s="48"/>
    </row>
    <row r="116" spans="1:13" x14ac:dyDescent="0.3">
      <c r="A116" s="5"/>
      <c r="B116" s="1"/>
      <c r="C116" s="48"/>
      <c r="D116" s="48"/>
      <c r="E116" s="48"/>
      <c r="F116" s="48"/>
      <c r="G116" s="48"/>
      <c r="H116" s="48"/>
      <c r="I116" s="48"/>
      <c r="J116" s="48"/>
      <c r="K116" s="48"/>
      <c r="L116" s="48"/>
      <c r="M116" s="48"/>
    </row>
    <row r="117" spans="1:13" x14ac:dyDescent="0.3">
      <c r="A117" s="5"/>
      <c r="B117" s="1"/>
      <c r="C117" s="48"/>
      <c r="D117" s="48"/>
      <c r="E117" s="48"/>
      <c r="F117" s="48"/>
      <c r="G117" s="48"/>
      <c r="H117" s="48"/>
      <c r="I117" s="48"/>
      <c r="J117" s="48"/>
      <c r="K117" s="48"/>
      <c r="L117" s="48"/>
      <c r="M117" s="48"/>
    </row>
    <row r="118" spans="1:13" x14ac:dyDescent="0.3">
      <c r="A118" s="5"/>
      <c r="B118" s="1"/>
      <c r="C118" s="48"/>
      <c r="D118" s="48"/>
      <c r="E118" s="48"/>
      <c r="F118" s="48"/>
      <c r="G118" s="48"/>
      <c r="H118" s="48"/>
      <c r="I118" s="48"/>
      <c r="J118" s="48"/>
      <c r="K118" s="48"/>
      <c r="L118" s="48"/>
      <c r="M118" s="48"/>
    </row>
    <row r="119" spans="1:13" x14ac:dyDescent="0.3">
      <c r="A119" s="5"/>
      <c r="B119" s="1"/>
      <c r="C119" s="48"/>
      <c r="D119" s="48"/>
      <c r="E119" s="48"/>
      <c r="F119" s="48"/>
      <c r="G119" s="48"/>
      <c r="H119" s="48"/>
      <c r="I119" s="48"/>
      <c r="J119" s="48"/>
      <c r="K119" s="48"/>
      <c r="L119" s="48"/>
      <c r="M119" s="48"/>
    </row>
    <row r="120" spans="1:13" x14ac:dyDescent="0.3">
      <c r="A120" s="5"/>
      <c r="B120" s="1"/>
      <c r="C120" s="48"/>
      <c r="D120" s="48"/>
      <c r="E120" s="48"/>
      <c r="F120" s="48"/>
      <c r="G120" s="48"/>
      <c r="H120" s="48"/>
      <c r="I120" s="48"/>
      <c r="J120" s="48"/>
      <c r="K120" s="48"/>
      <c r="L120" s="48"/>
      <c r="M120" s="48"/>
    </row>
    <row r="121" spans="1:13" x14ac:dyDescent="0.3">
      <c r="A121" s="5"/>
      <c r="B121" s="1"/>
      <c r="C121" s="48"/>
      <c r="D121" s="48"/>
      <c r="E121" s="48"/>
      <c r="F121" s="48"/>
      <c r="G121" s="48"/>
      <c r="H121" s="48"/>
      <c r="I121" s="48"/>
      <c r="J121" s="48"/>
      <c r="K121" s="48"/>
      <c r="L121" s="48"/>
      <c r="M121" s="48"/>
    </row>
    <row r="122" spans="1:13" x14ac:dyDescent="0.3">
      <c r="A122" s="5"/>
      <c r="B122" s="1"/>
      <c r="C122" s="48"/>
      <c r="D122" s="48"/>
      <c r="E122" s="48"/>
      <c r="F122" s="48"/>
      <c r="G122" s="48"/>
      <c r="H122" s="48"/>
      <c r="I122" s="48"/>
      <c r="J122" s="48"/>
      <c r="K122" s="48"/>
      <c r="L122" s="48"/>
      <c r="M122" s="48"/>
    </row>
    <row r="123" spans="1:13" x14ac:dyDescent="0.3">
      <c r="A123" s="5"/>
      <c r="B123" s="1"/>
      <c r="C123" s="48"/>
      <c r="D123" s="48"/>
      <c r="E123" s="48"/>
      <c r="F123" s="48"/>
      <c r="G123" s="48"/>
      <c r="H123" s="48"/>
      <c r="I123" s="48"/>
      <c r="J123" s="48"/>
      <c r="K123" s="48"/>
      <c r="L123" s="48"/>
      <c r="M123" s="48"/>
    </row>
    <row r="124" spans="1:13" x14ac:dyDescent="0.3">
      <c r="A124" s="5"/>
      <c r="B124" s="1"/>
      <c r="C124" s="48"/>
      <c r="D124" s="48"/>
      <c r="E124" s="48"/>
      <c r="F124" s="48"/>
      <c r="G124" s="48"/>
      <c r="H124" s="48"/>
      <c r="I124" s="48"/>
      <c r="J124" s="48"/>
      <c r="K124" s="48"/>
      <c r="L124" s="48"/>
      <c r="M124" s="48"/>
    </row>
    <row r="125" spans="1:13" x14ac:dyDescent="0.3">
      <c r="A125" s="5"/>
      <c r="B125" s="1"/>
      <c r="C125" s="48"/>
      <c r="D125" s="48"/>
      <c r="E125" s="48"/>
      <c r="F125" s="48"/>
      <c r="G125" s="48"/>
      <c r="H125" s="48"/>
      <c r="I125" s="48"/>
      <c r="J125" s="48"/>
      <c r="K125" s="48"/>
      <c r="L125" s="48"/>
      <c r="M125" s="48"/>
    </row>
    <row r="126" spans="1:13" x14ac:dyDescent="0.3">
      <c r="A126" s="5"/>
      <c r="B126" s="1"/>
      <c r="C126" s="48"/>
      <c r="D126" s="48"/>
      <c r="E126" s="48"/>
      <c r="F126" s="48"/>
      <c r="G126" s="48"/>
      <c r="H126" s="48"/>
      <c r="I126" s="48"/>
      <c r="J126" s="48"/>
      <c r="K126" s="48"/>
      <c r="L126" s="48"/>
      <c r="M126" s="48"/>
    </row>
    <row r="127" spans="1:13" x14ac:dyDescent="0.3">
      <c r="A127" s="5"/>
      <c r="B127" s="1"/>
      <c r="C127" s="48"/>
      <c r="D127" s="48"/>
      <c r="E127" s="48"/>
      <c r="F127" s="48"/>
      <c r="G127" s="48"/>
      <c r="H127" s="48"/>
      <c r="I127" s="48"/>
      <c r="J127" s="48"/>
      <c r="K127" s="48"/>
      <c r="L127" s="48"/>
      <c r="M127" s="48"/>
    </row>
    <row r="128" spans="1:13" x14ac:dyDescent="0.3">
      <c r="A128" s="5"/>
      <c r="B128" s="1"/>
      <c r="C128" s="48"/>
      <c r="D128" s="48"/>
      <c r="E128" s="48"/>
      <c r="F128" s="48"/>
      <c r="G128" s="48"/>
      <c r="H128" s="48"/>
      <c r="I128" s="48"/>
      <c r="J128" s="48"/>
      <c r="K128" s="48"/>
      <c r="L128" s="48"/>
      <c r="M128" s="48"/>
    </row>
    <row r="129" spans="1:13" x14ac:dyDescent="0.3">
      <c r="A129" s="5"/>
      <c r="B129" s="1"/>
      <c r="C129" s="48"/>
      <c r="D129" s="48"/>
      <c r="E129" s="48"/>
      <c r="F129" s="48"/>
      <c r="G129" s="48"/>
      <c r="H129" s="48"/>
      <c r="I129" s="48"/>
      <c r="J129" s="48"/>
      <c r="K129" s="48"/>
      <c r="L129" s="48"/>
      <c r="M129" s="48"/>
    </row>
    <row r="130" spans="1:13" x14ac:dyDescent="0.3">
      <c r="A130" s="5"/>
      <c r="B130" s="1"/>
      <c r="C130" s="48"/>
      <c r="D130" s="48"/>
      <c r="E130" s="48"/>
      <c r="F130" s="48"/>
      <c r="G130" s="48"/>
      <c r="H130" s="48"/>
      <c r="I130" s="48"/>
      <c r="J130" s="48"/>
      <c r="K130" s="48"/>
      <c r="L130" s="48"/>
      <c r="M130" s="48"/>
    </row>
    <row r="131" spans="1:13" x14ac:dyDescent="0.3">
      <c r="A131" s="5"/>
      <c r="B131" s="1"/>
      <c r="C131" s="48"/>
      <c r="D131" s="48"/>
      <c r="E131" s="48"/>
      <c r="F131" s="48"/>
      <c r="G131" s="48"/>
      <c r="H131" s="48"/>
      <c r="I131" s="48"/>
      <c r="J131" s="48"/>
      <c r="K131" s="48"/>
      <c r="L131" s="48"/>
      <c r="M131" s="48"/>
    </row>
    <row r="132" spans="1:13" x14ac:dyDescent="0.3">
      <c r="A132" s="5"/>
      <c r="B132" s="1"/>
      <c r="C132" s="48"/>
      <c r="D132" s="48"/>
      <c r="E132" s="48"/>
      <c r="F132" s="48"/>
      <c r="G132" s="48"/>
      <c r="H132" s="48"/>
      <c r="I132" s="48"/>
      <c r="J132" s="48"/>
      <c r="K132" s="48"/>
      <c r="L132" s="48"/>
      <c r="M132" s="48"/>
    </row>
    <row r="133" spans="1:13" x14ac:dyDescent="0.3">
      <c r="A133" s="5"/>
      <c r="B133" s="1"/>
      <c r="C133" s="48"/>
      <c r="D133" s="48"/>
      <c r="E133" s="48"/>
      <c r="F133" s="48"/>
      <c r="G133" s="48"/>
      <c r="H133" s="48"/>
      <c r="I133" s="48"/>
      <c r="J133" s="48"/>
      <c r="K133" s="48"/>
      <c r="L133" s="48"/>
      <c r="M133" s="48"/>
    </row>
    <row r="134" spans="1:13" x14ac:dyDescent="0.3">
      <c r="A134" s="5"/>
      <c r="B134" s="1"/>
      <c r="C134" s="48"/>
      <c r="D134" s="48"/>
      <c r="E134" s="48"/>
      <c r="F134" s="48"/>
      <c r="G134" s="48"/>
      <c r="H134" s="48"/>
      <c r="I134" s="48"/>
      <c r="J134" s="48"/>
      <c r="K134" s="48"/>
      <c r="L134" s="48"/>
      <c r="M134" s="48"/>
    </row>
    <row r="135" spans="1:13" x14ac:dyDescent="0.3">
      <c r="A135" s="5"/>
      <c r="B135" s="1"/>
      <c r="C135" s="48"/>
      <c r="D135" s="48"/>
      <c r="E135" s="48"/>
      <c r="F135" s="48"/>
      <c r="G135" s="48"/>
      <c r="H135" s="48"/>
      <c r="I135" s="48"/>
      <c r="J135" s="48"/>
      <c r="K135" s="48"/>
      <c r="L135" s="48"/>
      <c r="M135" s="48"/>
    </row>
    <row r="136" spans="1:13" x14ac:dyDescent="0.3">
      <c r="A136" s="5"/>
      <c r="B136" s="1"/>
      <c r="C136" s="48"/>
      <c r="D136" s="48"/>
      <c r="E136" s="48"/>
      <c r="F136" s="48"/>
      <c r="G136" s="48"/>
      <c r="H136" s="48"/>
      <c r="I136" s="48"/>
      <c r="J136" s="48"/>
      <c r="K136" s="48"/>
      <c r="L136" s="48"/>
      <c r="M136" s="48"/>
    </row>
    <row r="137" spans="1:13" x14ac:dyDescent="0.3">
      <c r="A137" s="5"/>
      <c r="B137" s="1"/>
      <c r="C137" s="48"/>
      <c r="D137" s="48"/>
      <c r="E137" s="48"/>
      <c r="F137" s="48"/>
      <c r="G137" s="48"/>
      <c r="H137" s="48"/>
      <c r="I137" s="48"/>
      <c r="J137" s="48"/>
      <c r="K137" s="48"/>
      <c r="L137" s="48"/>
      <c r="M137" s="48"/>
    </row>
    <row r="138" spans="1:13" x14ac:dyDescent="0.3">
      <c r="A138" s="5"/>
      <c r="B138" s="1"/>
    </row>
    <row r="139" spans="1:13" x14ac:dyDescent="0.3">
      <c r="A139" s="5"/>
      <c r="B139" s="1"/>
    </row>
    <row r="140" spans="1:13" x14ac:dyDescent="0.3">
      <c r="A140" s="5"/>
      <c r="B140" s="1"/>
    </row>
    <row r="141" spans="1:13" x14ac:dyDescent="0.3">
      <c r="A141" s="5"/>
      <c r="B141" s="1"/>
    </row>
    <row r="142" spans="1:13" x14ac:dyDescent="0.3">
      <c r="A142" s="5"/>
      <c r="B142" s="1"/>
    </row>
    <row r="143" spans="1:13" x14ac:dyDescent="0.3">
      <c r="A143" s="5"/>
      <c r="B143" s="1"/>
    </row>
    <row r="144" spans="1:13" x14ac:dyDescent="0.3">
      <c r="A144" s="5"/>
      <c r="B144" s="1"/>
    </row>
    <row r="145" spans="1:2" x14ac:dyDescent="0.3">
      <c r="A145" s="5"/>
      <c r="B145" s="1"/>
    </row>
    <row r="146" spans="1:2" x14ac:dyDescent="0.3">
      <c r="A146" s="5"/>
    </row>
    <row r="147" spans="1:2" x14ac:dyDescent="0.3">
      <c r="A147" s="5"/>
    </row>
    <row r="148" spans="1:2" x14ac:dyDescent="0.3">
      <c r="A148" s="5"/>
    </row>
    <row r="149" spans="1:2" x14ac:dyDescent="0.3">
      <c r="A149" s="5"/>
    </row>
    <row r="150" spans="1:2" x14ac:dyDescent="0.3">
      <c r="A150" s="5"/>
    </row>
    <row r="151" spans="1:2" x14ac:dyDescent="0.3">
      <c r="A151" s="5"/>
    </row>
    <row r="152" spans="1:2" x14ac:dyDescent="0.3">
      <c r="A152" s="5"/>
    </row>
    <row r="153" spans="1:2" x14ac:dyDescent="0.3">
      <c r="A153" s="5"/>
    </row>
  </sheetData>
  <sheetProtection algorithmName="SHA-512" hashValue="qsTCcdmF/BMit9MAelDuTEkgpuYKYOY+R1PmcMhVhAhlEF+eIuaFPUOnPum+HzqofaFybUWqvGT8EhsQ50iAgg==" saltValue="S/HBuRN1KbOVH0fk3ZMeyg==" spinCount="100000" sheet="1" objects="1" scenarios="1"/>
  <mergeCells count="5">
    <mergeCell ref="A37:L37"/>
    <mergeCell ref="A4:A15"/>
    <mergeCell ref="A17:A19"/>
    <mergeCell ref="A21:A25"/>
    <mergeCell ref="A27:A30"/>
  </mergeCells>
  <printOptions horizontalCentered="1"/>
  <pageMargins left="0.25" right="0.25" top="0.75" bottom="0.75" header="0.3" footer="0.3"/>
  <pageSetup scale="86" orientation="landscape" r:id="rId1"/>
  <headerFooter>
    <oddFooter>&amp;C&amp;"Century Gothic,Regular"&amp;9Page &amp;P of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C2914-2BBD-41FD-A763-B6E9BF5AA55A}">
  <sheetPr>
    <pageSetUpPr fitToPage="1"/>
  </sheetPr>
  <dimension ref="A1:AC152"/>
  <sheetViews>
    <sheetView zoomScale="130" zoomScaleNormal="130" zoomScaleSheetLayoutView="130" workbookViewId="0">
      <pane xSplit="2" ySplit="3" topLeftCell="C4" activePane="bottomRight" state="frozen"/>
      <selection activeCell="B66" sqref="B66:F66"/>
      <selection pane="topRight" activeCell="B66" sqref="B66:F66"/>
      <selection pane="bottomLeft" activeCell="B66" sqref="B66:F66"/>
      <selection pane="bottomRight" activeCell="C4" sqref="C4"/>
    </sheetView>
  </sheetViews>
  <sheetFormatPr baseColWidth="10" defaultColWidth="9.140625" defaultRowHeight="15.75" x14ac:dyDescent="0.3"/>
  <cols>
    <col min="1" max="1" width="12.7109375" customWidth="1"/>
    <col min="2" max="2" width="35.7109375" style="7" customWidth="1"/>
    <col min="3" max="13" width="9.5703125" style="67" customWidth="1"/>
    <col min="14" max="16384" width="9.140625" style="7"/>
  </cols>
  <sheetData>
    <row r="1" spans="1:29" ht="20.45" customHeight="1" x14ac:dyDescent="0.3">
      <c r="A1" s="89" t="s">
        <v>791</v>
      </c>
      <c r="B1" s="89"/>
      <c r="C1" s="33"/>
      <c r="D1" s="33"/>
      <c r="E1" s="33"/>
      <c r="F1" s="33"/>
      <c r="G1" s="33"/>
      <c r="H1" s="33"/>
      <c r="I1" s="33"/>
      <c r="J1" s="33"/>
      <c r="K1" s="33"/>
      <c r="L1" s="33"/>
      <c r="M1" s="34"/>
      <c r="N1" s="1"/>
      <c r="O1" s="1"/>
      <c r="P1" s="1"/>
      <c r="Q1" s="1"/>
      <c r="R1" s="1"/>
      <c r="S1" s="1"/>
      <c r="T1" s="1"/>
      <c r="U1" s="1"/>
      <c r="V1" s="1"/>
      <c r="W1" s="1"/>
      <c r="X1" s="1"/>
      <c r="Y1" s="1"/>
      <c r="Z1" s="1"/>
      <c r="AA1" s="1"/>
      <c r="AB1" s="1"/>
      <c r="AC1" s="1"/>
    </row>
    <row r="2" spans="1:29" ht="15" customHeight="1" x14ac:dyDescent="0.3">
      <c r="A2" s="108" t="s">
        <v>690</v>
      </c>
      <c r="B2" s="108"/>
      <c r="C2" s="35"/>
      <c r="D2" s="35"/>
      <c r="E2" s="35"/>
      <c r="F2" s="35"/>
      <c r="G2" s="35"/>
      <c r="H2" s="35"/>
      <c r="I2" s="35"/>
      <c r="J2" s="35"/>
      <c r="K2" s="35"/>
      <c r="L2" s="35"/>
      <c r="M2" s="36"/>
      <c r="N2" s="19"/>
      <c r="O2"/>
      <c r="P2"/>
      <c r="Q2"/>
      <c r="R2"/>
    </row>
    <row r="3" spans="1:29" ht="25.5" x14ac:dyDescent="0.3">
      <c r="A3" s="255" t="s">
        <v>358</v>
      </c>
      <c r="B3" s="255"/>
      <c r="C3" s="507" t="s">
        <v>1301</v>
      </c>
      <c r="D3" s="507" t="s">
        <v>218</v>
      </c>
      <c r="E3" s="507" t="s">
        <v>219</v>
      </c>
      <c r="F3" s="507" t="s">
        <v>220</v>
      </c>
      <c r="G3" s="507" t="s">
        <v>221</v>
      </c>
      <c r="H3" s="507" t="s">
        <v>222</v>
      </c>
      <c r="I3" s="507" t="s">
        <v>223</v>
      </c>
      <c r="J3" s="507" t="s">
        <v>1302</v>
      </c>
      <c r="K3" s="507" t="s">
        <v>224</v>
      </c>
      <c r="L3" s="507" t="s">
        <v>225</v>
      </c>
      <c r="M3" s="508" t="s">
        <v>217</v>
      </c>
      <c r="N3" s="19"/>
      <c r="O3" s="1"/>
      <c r="P3" s="1"/>
      <c r="Q3" s="1"/>
      <c r="R3" s="1"/>
      <c r="S3" s="1"/>
      <c r="T3" s="1"/>
      <c r="U3" s="1"/>
      <c r="V3" s="1"/>
      <c r="W3" s="1"/>
      <c r="X3" s="1"/>
      <c r="Y3" s="1"/>
      <c r="Z3" s="1"/>
      <c r="AA3" s="1"/>
      <c r="AB3" s="1"/>
      <c r="AC3" s="1"/>
    </row>
    <row r="4" spans="1:29" s="20" customFormat="1" ht="13.5" x14ac:dyDescent="0.3">
      <c r="A4" s="1028" t="s">
        <v>748</v>
      </c>
      <c r="B4" s="419" t="s">
        <v>124</v>
      </c>
      <c r="C4" s="467"/>
      <c r="D4" s="467"/>
      <c r="E4" s="467"/>
      <c r="F4" s="467"/>
      <c r="G4" s="467"/>
      <c r="H4" s="467"/>
      <c r="I4" s="467"/>
      <c r="J4" s="467"/>
      <c r="K4" s="467"/>
      <c r="L4" s="467"/>
      <c r="M4" s="468"/>
      <c r="N4" s="6"/>
    </row>
    <row r="5" spans="1:29" s="20" customFormat="1" ht="13.5" x14ac:dyDescent="0.3">
      <c r="A5" s="1028"/>
      <c r="B5" s="420" t="s">
        <v>16</v>
      </c>
      <c r="C5" s="509">
        <v>0</v>
      </c>
      <c r="D5" s="509">
        <v>2115.4</v>
      </c>
      <c r="E5" s="509">
        <v>0</v>
      </c>
      <c r="F5" s="509">
        <v>0</v>
      </c>
      <c r="G5" s="509">
        <v>0</v>
      </c>
      <c r="H5" s="509">
        <v>31.5</v>
      </c>
      <c r="I5" s="509">
        <v>86.8</v>
      </c>
      <c r="J5" s="509">
        <v>1.1000000000000001</v>
      </c>
      <c r="K5" s="509">
        <v>0</v>
      </c>
      <c r="L5" s="509">
        <v>0</v>
      </c>
      <c r="M5" s="510">
        <v>0</v>
      </c>
      <c r="N5" s="6"/>
    </row>
    <row r="6" spans="1:29" s="20" customFormat="1" ht="13.5" x14ac:dyDescent="0.3">
      <c r="A6" s="1028"/>
      <c r="B6" s="420" t="s">
        <v>30</v>
      </c>
      <c r="C6" s="509">
        <v>0</v>
      </c>
      <c r="D6" s="509">
        <v>953.6</v>
      </c>
      <c r="E6" s="509">
        <v>0</v>
      </c>
      <c r="F6" s="509">
        <v>0</v>
      </c>
      <c r="G6" s="509">
        <v>0</v>
      </c>
      <c r="H6" s="509">
        <v>26.8</v>
      </c>
      <c r="I6" s="509">
        <v>124.5</v>
      </c>
      <c r="J6" s="509">
        <v>3.4</v>
      </c>
      <c r="K6" s="509">
        <v>0</v>
      </c>
      <c r="L6" s="509">
        <v>0</v>
      </c>
      <c r="M6" s="510">
        <v>0</v>
      </c>
      <c r="N6" s="6"/>
    </row>
    <row r="7" spans="1:29" s="20" customFormat="1" ht="13.5" x14ac:dyDescent="0.3">
      <c r="A7" s="1028"/>
      <c r="B7" s="420" t="s">
        <v>17</v>
      </c>
      <c r="C7" s="509">
        <v>0</v>
      </c>
      <c r="D7" s="509">
        <v>7386.8</v>
      </c>
      <c r="E7" s="509">
        <v>0</v>
      </c>
      <c r="F7" s="509">
        <v>0</v>
      </c>
      <c r="G7" s="509">
        <v>0</v>
      </c>
      <c r="H7" s="509">
        <v>192.2</v>
      </c>
      <c r="I7" s="509">
        <v>715.2</v>
      </c>
      <c r="J7" s="509">
        <v>1.3</v>
      </c>
      <c r="K7" s="509">
        <v>0</v>
      </c>
      <c r="L7" s="509">
        <v>0</v>
      </c>
      <c r="M7" s="510">
        <v>0</v>
      </c>
      <c r="N7" s="6"/>
    </row>
    <row r="8" spans="1:29" s="20" customFormat="1" ht="13.5" x14ac:dyDescent="0.3">
      <c r="A8" s="1028"/>
      <c r="B8" s="421" t="s">
        <v>29</v>
      </c>
      <c r="C8" s="509">
        <v>0</v>
      </c>
      <c r="D8" s="509">
        <v>2411.6999999999998</v>
      </c>
      <c r="E8" s="509">
        <v>0</v>
      </c>
      <c r="F8" s="509">
        <v>0</v>
      </c>
      <c r="G8" s="509">
        <v>0</v>
      </c>
      <c r="H8" s="509">
        <v>59.6</v>
      </c>
      <c r="I8" s="509">
        <v>0</v>
      </c>
      <c r="J8" s="509">
        <v>19.899999999999999</v>
      </c>
      <c r="K8" s="509">
        <v>0</v>
      </c>
      <c r="L8" s="509">
        <v>0</v>
      </c>
      <c r="M8" s="510">
        <v>0</v>
      </c>
      <c r="N8" s="6"/>
    </row>
    <row r="9" spans="1:29" s="20" customFormat="1" ht="13.5" x14ac:dyDescent="0.3">
      <c r="A9" s="1028"/>
      <c r="B9" s="421" t="s">
        <v>18</v>
      </c>
      <c r="C9" s="509">
        <v>0</v>
      </c>
      <c r="D9" s="509">
        <v>1636.5</v>
      </c>
      <c r="E9" s="509">
        <v>0</v>
      </c>
      <c r="F9" s="509">
        <v>0</v>
      </c>
      <c r="G9" s="509">
        <v>0</v>
      </c>
      <c r="H9" s="509">
        <v>38.4</v>
      </c>
      <c r="I9" s="509">
        <v>168.7</v>
      </c>
      <c r="J9" s="509">
        <v>6.7</v>
      </c>
      <c r="K9" s="509">
        <v>0</v>
      </c>
      <c r="L9" s="509">
        <v>0</v>
      </c>
      <c r="M9" s="510">
        <v>0</v>
      </c>
      <c r="N9" s="6"/>
    </row>
    <row r="10" spans="1:29" s="20" customFormat="1" ht="13.5" x14ac:dyDescent="0.3">
      <c r="A10" s="1028"/>
      <c r="B10" s="422" t="s">
        <v>21</v>
      </c>
      <c r="C10" s="511">
        <v>0</v>
      </c>
      <c r="D10" s="511">
        <v>530.1</v>
      </c>
      <c r="E10" s="511">
        <v>0</v>
      </c>
      <c r="F10" s="511">
        <v>0.9</v>
      </c>
      <c r="G10" s="511">
        <v>0</v>
      </c>
      <c r="H10" s="511">
        <v>16.399999999999999</v>
      </c>
      <c r="I10" s="511">
        <v>21.2</v>
      </c>
      <c r="J10" s="511">
        <v>2.5</v>
      </c>
      <c r="K10" s="511">
        <v>0</v>
      </c>
      <c r="L10" s="511">
        <v>0</v>
      </c>
      <c r="M10" s="512">
        <v>0</v>
      </c>
      <c r="N10" s="6"/>
    </row>
    <row r="11" spans="1:29" s="20" customFormat="1" ht="13.5" x14ac:dyDescent="0.3">
      <c r="A11" s="1028"/>
      <c r="B11" s="419" t="s">
        <v>111</v>
      </c>
      <c r="C11" s="513"/>
      <c r="D11" s="513"/>
      <c r="E11" s="513"/>
      <c r="F11" s="513"/>
      <c r="G11" s="513"/>
      <c r="H11" s="513"/>
      <c r="I11" s="513"/>
      <c r="J11" s="513"/>
      <c r="K11" s="513"/>
      <c r="L11" s="513"/>
      <c r="M11" s="514"/>
      <c r="N11" s="6"/>
    </row>
    <row r="12" spans="1:29" s="20" customFormat="1" ht="13.5" x14ac:dyDescent="0.3">
      <c r="A12" s="1028"/>
      <c r="B12" s="420" t="s">
        <v>23</v>
      </c>
      <c r="C12" s="509">
        <v>0</v>
      </c>
      <c r="D12" s="509">
        <v>0</v>
      </c>
      <c r="E12" s="509">
        <v>8314.2999999999993</v>
      </c>
      <c r="F12" s="509">
        <v>0</v>
      </c>
      <c r="G12" s="509">
        <v>0</v>
      </c>
      <c r="H12" s="509">
        <v>25</v>
      </c>
      <c r="I12" s="509">
        <v>0</v>
      </c>
      <c r="J12" s="509">
        <v>0</v>
      </c>
      <c r="K12" s="509">
        <v>0</v>
      </c>
      <c r="L12" s="509">
        <v>0</v>
      </c>
      <c r="M12" s="510">
        <v>0</v>
      </c>
      <c r="N12" s="6"/>
    </row>
    <row r="13" spans="1:29" s="20" customFormat="1" ht="13.5" x14ac:dyDescent="0.3">
      <c r="A13" s="1028"/>
      <c r="B13" s="423" t="s">
        <v>226</v>
      </c>
      <c r="C13" s="511">
        <v>0</v>
      </c>
      <c r="D13" s="511">
        <v>1011.7</v>
      </c>
      <c r="E13" s="511">
        <v>0</v>
      </c>
      <c r="F13" s="511">
        <v>0</v>
      </c>
      <c r="G13" s="511">
        <v>0</v>
      </c>
      <c r="H13" s="511">
        <v>14.6</v>
      </c>
      <c r="I13" s="511">
        <v>0</v>
      </c>
      <c r="J13" s="511">
        <v>4.5</v>
      </c>
      <c r="K13" s="511">
        <v>0</v>
      </c>
      <c r="L13" s="511">
        <v>0</v>
      </c>
      <c r="M13" s="512">
        <v>39.1</v>
      </c>
      <c r="N13" s="6"/>
    </row>
    <row r="14" spans="1:29" s="20" customFormat="1" ht="13.5" x14ac:dyDescent="0.3">
      <c r="A14" s="1028"/>
      <c r="B14" s="31" t="s">
        <v>112</v>
      </c>
      <c r="C14" s="513"/>
      <c r="D14" s="513"/>
      <c r="E14" s="513"/>
      <c r="F14" s="513"/>
      <c r="G14" s="513"/>
      <c r="H14" s="513"/>
      <c r="I14" s="513"/>
      <c r="J14" s="513"/>
      <c r="K14" s="513"/>
      <c r="L14" s="513"/>
      <c r="M14" s="514"/>
      <c r="N14" s="6"/>
    </row>
    <row r="15" spans="1:29" s="20" customFormat="1" ht="13.5" x14ac:dyDescent="0.3">
      <c r="A15" s="1028"/>
      <c r="B15" s="432" t="s">
        <v>197</v>
      </c>
      <c r="C15" s="513">
        <v>17602.2</v>
      </c>
      <c r="D15" s="513">
        <v>10406.200000000001</v>
      </c>
      <c r="E15" s="513">
        <v>0</v>
      </c>
      <c r="F15" s="513">
        <v>0</v>
      </c>
      <c r="G15" s="513">
        <v>429.6</v>
      </c>
      <c r="H15" s="513">
        <v>31.4</v>
      </c>
      <c r="I15" s="513">
        <v>0</v>
      </c>
      <c r="J15" s="513">
        <v>0</v>
      </c>
      <c r="K15" s="513">
        <v>226.6</v>
      </c>
      <c r="L15" s="513">
        <v>158.1</v>
      </c>
      <c r="M15" s="514">
        <v>0</v>
      </c>
      <c r="N15" s="6"/>
    </row>
    <row r="16" spans="1:29" s="20" customFormat="1" ht="13.5" x14ac:dyDescent="0.3">
      <c r="A16" s="391"/>
      <c r="B16" s="430" t="s">
        <v>749</v>
      </c>
      <c r="C16" s="515">
        <f>SUM(C5:C15)</f>
        <v>17602.2</v>
      </c>
      <c r="D16" s="515">
        <f t="shared" ref="D16:M16" si="0">SUM(D5:D15)</f>
        <v>26452</v>
      </c>
      <c r="E16" s="515">
        <f t="shared" si="0"/>
        <v>8314.2999999999993</v>
      </c>
      <c r="F16" s="515">
        <f t="shared" si="0"/>
        <v>0.9</v>
      </c>
      <c r="G16" s="515">
        <f t="shared" si="0"/>
        <v>429.6</v>
      </c>
      <c r="H16" s="515">
        <f t="shared" si="0"/>
        <v>435.9</v>
      </c>
      <c r="I16" s="515">
        <f t="shared" si="0"/>
        <v>1116.4000000000001</v>
      </c>
      <c r="J16" s="515">
        <f t="shared" si="0"/>
        <v>39.4</v>
      </c>
      <c r="K16" s="515">
        <f t="shared" si="0"/>
        <v>226.6</v>
      </c>
      <c r="L16" s="515">
        <f t="shared" si="0"/>
        <v>158.1</v>
      </c>
      <c r="M16" s="516">
        <f t="shared" si="0"/>
        <v>39.1</v>
      </c>
    </row>
    <row r="17" spans="1:14" s="20" customFormat="1" ht="13.5" x14ac:dyDescent="0.3">
      <c r="A17" s="1027" t="s">
        <v>750</v>
      </c>
      <c r="B17" s="419" t="s">
        <v>124</v>
      </c>
      <c r="C17" s="513"/>
      <c r="D17" s="513"/>
      <c r="E17" s="513"/>
      <c r="F17" s="513"/>
      <c r="G17" s="513"/>
      <c r="H17" s="513"/>
      <c r="I17" s="513"/>
      <c r="J17" s="513"/>
      <c r="K17" s="513"/>
      <c r="L17" s="513"/>
      <c r="M17" s="514"/>
      <c r="N17" s="6"/>
    </row>
    <row r="18" spans="1:14" s="20" customFormat="1" ht="13.5" x14ac:dyDescent="0.3">
      <c r="A18" s="1028"/>
      <c r="B18" s="420" t="s">
        <v>19</v>
      </c>
      <c r="C18" s="509">
        <v>0</v>
      </c>
      <c r="D18" s="509">
        <v>567.20000000000005</v>
      </c>
      <c r="E18" s="509">
        <v>0</v>
      </c>
      <c r="F18" s="509">
        <v>0</v>
      </c>
      <c r="G18" s="509">
        <v>0</v>
      </c>
      <c r="H18" s="509">
        <v>10.5</v>
      </c>
      <c r="I18" s="509">
        <v>200.6</v>
      </c>
      <c r="J18" s="509">
        <v>1</v>
      </c>
      <c r="K18" s="509">
        <v>0</v>
      </c>
      <c r="L18" s="509">
        <v>0</v>
      </c>
      <c r="M18" s="510">
        <v>0</v>
      </c>
      <c r="N18" s="41"/>
    </row>
    <row r="19" spans="1:14" s="20" customFormat="1" ht="13.5" x14ac:dyDescent="0.3">
      <c r="A19" s="1028"/>
      <c r="B19" s="433" t="s">
        <v>20</v>
      </c>
      <c r="C19" s="511">
        <v>0</v>
      </c>
      <c r="D19" s="511">
        <v>13.7</v>
      </c>
      <c r="E19" s="511">
        <v>0</v>
      </c>
      <c r="F19" s="511">
        <v>0</v>
      </c>
      <c r="G19" s="511">
        <v>38.200000000000003</v>
      </c>
      <c r="H19" s="511">
        <v>4.0999999999999996</v>
      </c>
      <c r="I19" s="511">
        <v>260.60000000000002</v>
      </c>
      <c r="J19" s="511">
        <v>1.9</v>
      </c>
      <c r="K19" s="511">
        <v>0</v>
      </c>
      <c r="L19" s="511">
        <v>0</v>
      </c>
      <c r="M19" s="512">
        <v>0</v>
      </c>
      <c r="N19" s="6"/>
    </row>
    <row r="20" spans="1:14" s="20" customFormat="1" ht="13.5" x14ac:dyDescent="0.3">
      <c r="A20" s="391"/>
      <c r="B20" s="430" t="s">
        <v>751</v>
      </c>
      <c r="C20" s="515">
        <f>SUM(C18:C19)</f>
        <v>0</v>
      </c>
      <c r="D20" s="515">
        <f t="shared" ref="D20:M20" si="1">SUM(D18:D19)</f>
        <v>580.90000000000009</v>
      </c>
      <c r="E20" s="515">
        <f t="shared" si="1"/>
        <v>0</v>
      </c>
      <c r="F20" s="515">
        <f t="shared" si="1"/>
        <v>0</v>
      </c>
      <c r="G20" s="515">
        <f t="shared" si="1"/>
        <v>38.200000000000003</v>
      </c>
      <c r="H20" s="515">
        <f t="shared" si="1"/>
        <v>14.6</v>
      </c>
      <c r="I20" s="515">
        <f t="shared" si="1"/>
        <v>461.20000000000005</v>
      </c>
      <c r="J20" s="515">
        <f t="shared" si="1"/>
        <v>2.9</v>
      </c>
      <c r="K20" s="515">
        <f t="shared" si="1"/>
        <v>0</v>
      </c>
      <c r="L20" s="515">
        <f t="shared" si="1"/>
        <v>0</v>
      </c>
      <c r="M20" s="516">
        <f t="shared" si="1"/>
        <v>0</v>
      </c>
    </row>
    <row r="21" spans="1:14" s="20" customFormat="1" ht="10.9" customHeight="1" x14ac:dyDescent="0.3">
      <c r="A21" s="1027" t="s">
        <v>752</v>
      </c>
      <c r="B21" s="434" t="s">
        <v>124</v>
      </c>
      <c r="C21" s="517"/>
      <c r="D21" s="517"/>
      <c r="E21" s="517"/>
      <c r="F21" s="517"/>
      <c r="G21" s="517"/>
      <c r="H21" s="517"/>
      <c r="I21" s="517"/>
      <c r="J21" s="517"/>
      <c r="K21" s="517"/>
      <c r="L21" s="517"/>
      <c r="M21" s="518"/>
      <c r="N21" s="6"/>
    </row>
    <row r="22" spans="1:14" s="20" customFormat="1" ht="13.5" x14ac:dyDescent="0.3">
      <c r="A22" s="1028"/>
      <c r="B22" s="421" t="s">
        <v>26</v>
      </c>
      <c r="C22" s="509">
        <v>0</v>
      </c>
      <c r="D22" s="509">
        <v>5.5</v>
      </c>
      <c r="E22" s="509">
        <v>0</v>
      </c>
      <c r="F22" s="509">
        <v>0</v>
      </c>
      <c r="G22" s="509">
        <v>0</v>
      </c>
      <c r="H22" s="509">
        <v>0.3</v>
      </c>
      <c r="I22" s="509">
        <v>2168.3000000000002</v>
      </c>
      <c r="J22" s="509">
        <v>9.5</v>
      </c>
      <c r="K22" s="509">
        <v>0</v>
      </c>
      <c r="L22" s="509">
        <v>0</v>
      </c>
      <c r="M22" s="510">
        <v>0</v>
      </c>
      <c r="N22" s="6"/>
    </row>
    <row r="23" spans="1:14" s="20" customFormat="1" ht="13.5" x14ac:dyDescent="0.3">
      <c r="A23" s="1028"/>
      <c r="B23" s="425" t="s">
        <v>27</v>
      </c>
      <c r="C23" s="511">
        <v>0</v>
      </c>
      <c r="D23" s="511">
        <v>51.4</v>
      </c>
      <c r="E23" s="511">
        <v>0</v>
      </c>
      <c r="F23" s="511">
        <v>0</v>
      </c>
      <c r="G23" s="511">
        <v>0</v>
      </c>
      <c r="H23" s="511">
        <v>12</v>
      </c>
      <c r="I23" s="511">
        <v>1802.7</v>
      </c>
      <c r="J23" s="511">
        <v>2.7</v>
      </c>
      <c r="K23" s="511">
        <v>0</v>
      </c>
      <c r="L23" s="511">
        <v>0</v>
      </c>
      <c r="M23" s="512">
        <v>0</v>
      </c>
      <c r="N23" s="6"/>
    </row>
    <row r="24" spans="1:14" s="20" customFormat="1" ht="13.5" x14ac:dyDescent="0.3">
      <c r="A24" s="1028"/>
      <c r="B24" s="419" t="s">
        <v>113</v>
      </c>
      <c r="C24" s="469"/>
      <c r="D24" s="469"/>
      <c r="E24" s="469"/>
      <c r="F24" s="469"/>
      <c r="G24" s="469"/>
      <c r="H24" s="469"/>
      <c r="I24" s="469"/>
      <c r="J24" s="469"/>
      <c r="K24" s="469"/>
      <c r="L24" s="469"/>
      <c r="M24" s="470"/>
      <c r="N24" s="6"/>
    </row>
    <row r="25" spans="1:14" s="20" customFormat="1" ht="13.5" x14ac:dyDescent="0.3">
      <c r="A25" s="1028"/>
      <c r="B25" s="421" t="s">
        <v>28</v>
      </c>
      <c r="C25" s="509">
        <v>42</v>
      </c>
      <c r="D25" s="509">
        <v>174.1</v>
      </c>
      <c r="E25" s="509">
        <v>0</v>
      </c>
      <c r="F25" s="509">
        <v>0</v>
      </c>
      <c r="G25" s="509">
        <v>0</v>
      </c>
      <c r="H25" s="509">
        <v>0</v>
      </c>
      <c r="I25" s="509">
        <v>509.1</v>
      </c>
      <c r="J25" s="509">
        <v>0</v>
      </c>
      <c r="K25" s="509">
        <v>0</v>
      </c>
      <c r="L25" s="509">
        <v>0</v>
      </c>
      <c r="M25" s="510">
        <v>0</v>
      </c>
      <c r="N25" s="6"/>
    </row>
    <row r="26" spans="1:14" s="20" customFormat="1" ht="13.5" x14ac:dyDescent="0.3">
      <c r="A26" s="1029"/>
      <c r="B26" s="430" t="s">
        <v>756</v>
      </c>
      <c r="C26" s="515">
        <f t="shared" ref="C26:M26" si="2">SUM(C22:C25)</f>
        <v>42</v>
      </c>
      <c r="D26" s="515">
        <f t="shared" si="2"/>
        <v>231</v>
      </c>
      <c r="E26" s="515">
        <f t="shared" si="2"/>
        <v>0</v>
      </c>
      <c r="F26" s="515">
        <f t="shared" si="2"/>
        <v>0</v>
      </c>
      <c r="G26" s="515">
        <f t="shared" si="2"/>
        <v>0</v>
      </c>
      <c r="H26" s="515">
        <f t="shared" si="2"/>
        <v>12.3</v>
      </c>
      <c r="I26" s="515">
        <f t="shared" si="2"/>
        <v>4480.1000000000004</v>
      </c>
      <c r="J26" s="515">
        <f t="shared" si="2"/>
        <v>12.2</v>
      </c>
      <c r="K26" s="515">
        <f t="shared" si="2"/>
        <v>0</v>
      </c>
      <c r="L26" s="515">
        <f t="shared" si="2"/>
        <v>0</v>
      </c>
      <c r="M26" s="516">
        <f t="shared" si="2"/>
        <v>0</v>
      </c>
    </row>
    <row r="27" spans="1:14" s="20" customFormat="1" ht="13.5" x14ac:dyDescent="0.3">
      <c r="A27" s="1027" t="s">
        <v>217</v>
      </c>
      <c r="B27" s="434" t="s">
        <v>217</v>
      </c>
      <c r="C27" s="517"/>
      <c r="D27" s="517"/>
      <c r="E27" s="517"/>
      <c r="F27" s="517"/>
      <c r="G27" s="517"/>
      <c r="H27" s="517"/>
      <c r="I27" s="517"/>
      <c r="J27" s="517"/>
      <c r="K27" s="517"/>
      <c r="L27" s="517"/>
      <c r="M27" s="518"/>
      <c r="N27" s="6"/>
    </row>
    <row r="28" spans="1:14" s="20" customFormat="1" ht="13.5" x14ac:dyDescent="0.3">
      <c r="A28" s="1028"/>
      <c r="B28" s="421" t="s">
        <v>235</v>
      </c>
      <c r="C28" s="509">
        <v>0</v>
      </c>
      <c r="D28" s="509">
        <v>0.3</v>
      </c>
      <c r="E28" s="509">
        <v>0</v>
      </c>
      <c r="F28" s="509">
        <v>0</v>
      </c>
      <c r="G28" s="509">
        <v>0</v>
      </c>
      <c r="H28" s="509">
        <v>0.1</v>
      </c>
      <c r="I28" s="509">
        <v>390.5</v>
      </c>
      <c r="J28" s="509">
        <v>1.8</v>
      </c>
      <c r="K28" s="509">
        <v>0</v>
      </c>
      <c r="L28" s="509">
        <v>0</v>
      </c>
      <c r="M28" s="510">
        <v>0</v>
      </c>
      <c r="N28" s="6"/>
    </row>
    <row r="29" spans="1:14" s="20" customFormat="1" ht="13.5" x14ac:dyDescent="0.3">
      <c r="A29" s="1028"/>
      <c r="B29" s="435" t="s">
        <v>24</v>
      </c>
      <c r="C29" s="519">
        <v>0</v>
      </c>
      <c r="D29" s="519">
        <v>0.2</v>
      </c>
      <c r="E29" s="519">
        <v>0</v>
      </c>
      <c r="F29" s="519">
        <v>0</v>
      </c>
      <c r="G29" s="519">
        <v>0</v>
      </c>
      <c r="H29" s="519">
        <v>0</v>
      </c>
      <c r="I29" s="519">
        <v>153.19999999999999</v>
      </c>
      <c r="J29" s="519">
        <v>0</v>
      </c>
      <c r="K29" s="519">
        <v>0</v>
      </c>
      <c r="L29" s="519">
        <v>0</v>
      </c>
      <c r="M29" s="520">
        <v>0</v>
      </c>
      <c r="N29" s="6"/>
    </row>
    <row r="30" spans="1:14" s="20" customFormat="1" ht="13.5" x14ac:dyDescent="0.3">
      <c r="A30" s="1028"/>
      <c r="B30" s="436" t="s">
        <v>25</v>
      </c>
      <c r="C30" s="513">
        <v>0</v>
      </c>
      <c r="D30" s="513">
        <v>0.8</v>
      </c>
      <c r="E30" s="513">
        <v>0</v>
      </c>
      <c r="F30" s="513">
        <v>0</v>
      </c>
      <c r="G30" s="513">
        <v>0</v>
      </c>
      <c r="H30" s="513">
        <v>0</v>
      </c>
      <c r="I30" s="513">
        <v>0.5</v>
      </c>
      <c r="J30" s="513">
        <v>0</v>
      </c>
      <c r="K30" s="513">
        <v>0</v>
      </c>
      <c r="L30" s="513">
        <v>0</v>
      </c>
      <c r="M30" s="514">
        <v>0</v>
      </c>
      <c r="N30" s="6"/>
    </row>
    <row r="31" spans="1:14" s="20" customFormat="1" ht="13.5" x14ac:dyDescent="0.3">
      <c r="A31" s="392"/>
      <c r="B31" s="430" t="s">
        <v>757</v>
      </c>
      <c r="C31" s="515">
        <f>SUM(C28:C30)</f>
        <v>0</v>
      </c>
      <c r="D31" s="515">
        <f t="shared" ref="D31:M31" si="3">SUM(D28:D30)</f>
        <v>1.3</v>
      </c>
      <c r="E31" s="515">
        <f t="shared" si="3"/>
        <v>0</v>
      </c>
      <c r="F31" s="515">
        <f t="shared" si="3"/>
        <v>0</v>
      </c>
      <c r="G31" s="515">
        <f t="shared" si="3"/>
        <v>0</v>
      </c>
      <c r="H31" s="515">
        <f t="shared" si="3"/>
        <v>0.1</v>
      </c>
      <c r="I31" s="515">
        <f t="shared" si="3"/>
        <v>544.20000000000005</v>
      </c>
      <c r="J31" s="515">
        <f t="shared" si="3"/>
        <v>1.8</v>
      </c>
      <c r="K31" s="515">
        <f t="shared" si="3"/>
        <v>0</v>
      </c>
      <c r="L31" s="515">
        <f t="shared" si="3"/>
        <v>0</v>
      </c>
      <c r="M31" s="516">
        <f t="shared" si="3"/>
        <v>0</v>
      </c>
    </row>
    <row r="32" spans="1:14" s="20" customFormat="1" ht="5.0999999999999996" customHeight="1" x14ac:dyDescent="0.3">
      <c r="A32" s="913"/>
      <c r="B32" s="119"/>
      <c r="C32" s="914"/>
      <c r="D32" s="914"/>
      <c r="E32" s="914"/>
      <c r="F32" s="914"/>
      <c r="G32" s="914"/>
      <c r="H32" s="914"/>
      <c r="I32" s="914"/>
      <c r="J32" s="914"/>
      <c r="K32" s="914"/>
      <c r="L32" s="914"/>
      <c r="M32" s="915"/>
      <c r="N32" s="6"/>
    </row>
    <row r="33" spans="1:29" s="20" customFormat="1" ht="13.5" x14ac:dyDescent="0.3">
      <c r="A33" s="389" t="s">
        <v>201</v>
      </c>
      <c r="B33" s="389"/>
      <c r="C33" s="521">
        <f t="shared" ref="C33:M33" si="4">C31+C26+C20+C16</f>
        <v>17644.2</v>
      </c>
      <c r="D33" s="521">
        <f t="shared" si="4"/>
        <v>27265.200000000001</v>
      </c>
      <c r="E33" s="521">
        <f t="shared" si="4"/>
        <v>8314.2999999999993</v>
      </c>
      <c r="F33" s="521">
        <f t="shared" si="4"/>
        <v>0.9</v>
      </c>
      <c r="G33" s="521">
        <f>G31+G26+G20+G16</f>
        <v>467.8</v>
      </c>
      <c r="H33" s="521">
        <f t="shared" si="4"/>
        <v>462.9</v>
      </c>
      <c r="I33" s="521">
        <f t="shared" si="4"/>
        <v>6601.9</v>
      </c>
      <c r="J33" s="521">
        <f t="shared" si="4"/>
        <v>56.3</v>
      </c>
      <c r="K33" s="521">
        <f t="shared" si="4"/>
        <v>226.6</v>
      </c>
      <c r="L33" s="521">
        <f t="shared" si="4"/>
        <v>158.1</v>
      </c>
      <c r="M33" s="522">
        <f t="shared" si="4"/>
        <v>39.1</v>
      </c>
    </row>
    <row r="34" spans="1:29" ht="8.1" customHeight="1" x14ac:dyDescent="0.3">
      <c r="A34" s="5"/>
      <c r="B34" s="5"/>
      <c r="C34" s="48"/>
      <c r="D34" s="48"/>
      <c r="E34" s="48"/>
      <c r="F34" s="48"/>
      <c r="G34" s="48"/>
      <c r="H34" s="48"/>
      <c r="I34" s="48"/>
      <c r="J34" s="48"/>
      <c r="K34" s="48"/>
      <c r="L34" s="48"/>
      <c r="M34" s="48"/>
      <c r="N34" s="1"/>
    </row>
    <row r="35" spans="1:29" ht="13.5" x14ac:dyDescent="0.3">
      <c r="A35" s="999" t="s">
        <v>227</v>
      </c>
      <c r="B35" s="999"/>
      <c r="C35" s="999"/>
      <c r="D35" s="999"/>
      <c r="E35" s="999"/>
      <c r="F35" s="999"/>
      <c r="G35" s="999"/>
      <c r="H35" s="999"/>
      <c r="I35" s="999"/>
      <c r="J35" s="999"/>
      <c r="K35" s="999"/>
      <c r="L35" s="999"/>
      <c r="M35" s="48"/>
      <c r="N35" s="1"/>
      <c r="O35" s="1"/>
      <c r="P35" s="1"/>
      <c r="Q35" s="1"/>
      <c r="R35" s="1"/>
      <c r="S35" s="1"/>
      <c r="T35" s="1"/>
      <c r="U35" s="1"/>
      <c r="V35" s="1"/>
      <c r="W35" s="1"/>
      <c r="X35" s="1"/>
      <c r="Y35" s="1"/>
      <c r="Z35" s="1"/>
      <c r="AA35" s="1"/>
      <c r="AB35" s="1"/>
      <c r="AC35" s="1"/>
    </row>
    <row r="36" spans="1:29" ht="13.5" x14ac:dyDescent="0.3">
      <c r="A36" s="337"/>
      <c r="B36" s="336"/>
      <c r="C36" s="336"/>
      <c r="D36" s="336"/>
      <c r="E36" s="336"/>
      <c r="F36" s="336"/>
      <c r="G36" s="336"/>
      <c r="H36" s="336"/>
      <c r="I36" s="336"/>
      <c r="J36" s="336"/>
      <c r="K36" s="336"/>
      <c r="L36" s="336"/>
      <c r="M36" s="48"/>
      <c r="N36" s="1"/>
      <c r="O36" s="1"/>
      <c r="P36" s="1"/>
      <c r="Q36" s="1"/>
      <c r="R36" s="1"/>
      <c r="S36" s="1"/>
      <c r="T36" s="1"/>
      <c r="U36" s="1"/>
      <c r="V36" s="1"/>
      <c r="W36" s="1"/>
      <c r="X36" s="1"/>
      <c r="Y36" s="1"/>
      <c r="Z36" s="1"/>
      <c r="AA36" s="1"/>
      <c r="AB36" s="1"/>
      <c r="AC36" s="1"/>
    </row>
    <row r="37" spans="1:29" ht="13.5" x14ac:dyDescent="0.3">
      <c r="A37" s="1"/>
      <c r="B37" s="1"/>
      <c r="C37" s="48"/>
      <c r="D37" s="48"/>
      <c r="E37" s="48"/>
      <c r="F37" s="48"/>
      <c r="G37" s="48"/>
      <c r="H37" s="48"/>
      <c r="I37" s="48"/>
      <c r="J37" s="48"/>
      <c r="K37" s="48"/>
      <c r="L37" s="48"/>
      <c r="M37" s="48"/>
    </row>
    <row r="38" spans="1:29" ht="13.5" x14ac:dyDescent="0.3">
      <c r="A38" s="1"/>
      <c r="B38" s="1"/>
      <c r="C38" s="48"/>
      <c r="D38" s="48"/>
      <c r="E38" s="48"/>
      <c r="F38" s="48"/>
      <c r="G38" s="48"/>
      <c r="H38" s="48"/>
      <c r="I38" s="48"/>
      <c r="J38" s="48"/>
      <c r="K38" s="48"/>
      <c r="L38" s="48"/>
      <c r="M38" s="48"/>
    </row>
    <row r="39" spans="1:29" x14ac:dyDescent="0.3">
      <c r="A39" s="5"/>
      <c r="B39" s="179"/>
      <c r="C39" s="48"/>
      <c r="D39" s="48"/>
      <c r="E39" s="48"/>
      <c r="F39" s="48"/>
      <c r="G39" s="48"/>
      <c r="H39" s="48"/>
      <c r="I39" s="48"/>
      <c r="J39" s="48"/>
      <c r="K39" s="48"/>
      <c r="L39" s="48"/>
      <c r="M39" s="48"/>
    </row>
    <row r="40" spans="1:29" x14ac:dyDescent="0.3">
      <c r="A40" s="5"/>
      <c r="B40" s="1"/>
      <c r="C40" s="48"/>
      <c r="D40" s="48"/>
      <c r="E40" s="48"/>
      <c r="F40" s="48"/>
      <c r="G40" s="48"/>
      <c r="H40" s="48"/>
      <c r="I40" s="48"/>
      <c r="J40" s="48"/>
      <c r="K40" s="48"/>
      <c r="L40" s="48"/>
      <c r="M40" s="48"/>
    </row>
    <row r="41" spans="1:29" x14ac:dyDescent="0.3">
      <c r="A41" s="5"/>
      <c r="B41" s="1"/>
      <c r="C41" s="48"/>
      <c r="D41" s="48"/>
      <c r="E41" s="48"/>
      <c r="F41" s="48"/>
      <c r="G41" s="48"/>
      <c r="H41" s="48"/>
      <c r="I41" s="48"/>
      <c r="J41" s="48"/>
      <c r="K41" s="48"/>
      <c r="L41" s="48"/>
      <c r="M41" s="48"/>
    </row>
    <row r="42" spans="1:29" x14ac:dyDescent="0.3">
      <c r="A42" s="5"/>
      <c r="B42" s="1"/>
      <c r="C42" s="48"/>
      <c r="D42" s="48"/>
      <c r="E42" s="48"/>
      <c r="F42" s="48"/>
      <c r="G42" s="48"/>
      <c r="H42" s="48"/>
      <c r="I42" s="48"/>
      <c r="J42" s="48"/>
      <c r="K42" s="48"/>
      <c r="L42" s="48"/>
      <c r="M42" s="48"/>
    </row>
    <row r="43" spans="1:29" x14ac:dyDescent="0.3">
      <c r="A43" s="5"/>
      <c r="B43" s="1"/>
      <c r="C43" s="48"/>
      <c r="D43" s="48"/>
      <c r="E43" s="48"/>
      <c r="F43" s="48"/>
      <c r="G43" s="48"/>
      <c r="H43" s="48"/>
      <c r="I43" s="48"/>
      <c r="J43" s="48"/>
      <c r="K43" s="48"/>
      <c r="L43" s="48"/>
      <c r="M43" s="48"/>
    </row>
    <row r="44" spans="1:29" x14ac:dyDescent="0.3">
      <c r="A44" s="5"/>
      <c r="B44" s="1"/>
      <c r="C44" s="48"/>
      <c r="D44" s="48"/>
      <c r="E44" s="48"/>
      <c r="F44" s="48"/>
      <c r="G44" s="48"/>
      <c r="H44" s="48"/>
      <c r="I44" s="48"/>
      <c r="J44" s="48"/>
      <c r="K44" s="48"/>
      <c r="L44" s="48"/>
      <c r="M44" s="48"/>
    </row>
    <row r="45" spans="1:29" x14ac:dyDescent="0.3">
      <c r="A45" s="5"/>
      <c r="B45" s="1"/>
      <c r="C45" s="48"/>
      <c r="D45" s="48"/>
      <c r="E45" s="48"/>
      <c r="F45" s="48"/>
      <c r="G45" s="48"/>
      <c r="H45" s="48"/>
      <c r="I45" s="48"/>
      <c r="J45" s="48"/>
      <c r="K45" s="48"/>
      <c r="L45" s="48"/>
      <c r="M45" s="48"/>
    </row>
    <row r="46" spans="1:29" x14ac:dyDescent="0.3">
      <c r="A46" s="5"/>
      <c r="B46" s="1"/>
      <c r="C46" s="48"/>
      <c r="D46" s="48"/>
      <c r="E46" s="48"/>
      <c r="F46" s="48"/>
      <c r="G46" s="48"/>
      <c r="H46" s="48"/>
      <c r="I46" s="48"/>
      <c r="J46" s="48"/>
      <c r="K46" s="48"/>
      <c r="L46" s="48"/>
      <c r="M46" s="48"/>
    </row>
    <row r="47" spans="1:29" x14ac:dyDescent="0.3">
      <c r="A47" s="5"/>
      <c r="B47" s="1"/>
      <c r="C47" s="48"/>
      <c r="D47" s="48"/>
      <c r="E47" s="48"/>
      <c r="F47" s="48"/>
      <c r="G47" s="48"/>
      <c r="H47" s="48"/>
      <c r="I47" s="48"/>
      <c r="J47" s="48"/>
      <c r="K47" s="48"/>
      <c r="L47" s="48"/>
      <c r="M47" s="48"/>
    </row>
    <row r="48" spans="1:29" x14ac:dyDescent="0.3">
      <c r="A48" s="5"/>
      <c r="B48" s="1"/>
      <c r="C48" s="48"/>
      <c r="D48" s="48"/>
      <c r="E48" s="48"/>
      <c r="F48" s="48"/>
      <c r="G48" s="48"/>
      <c r="H48" s="48"/>
      <c r="I48" s="48"/>
      <c r="J48" s="48"/>
      <c r="K48" s="48"/>
      <c r="L48" s="48"/>
      <c r="M48" s="48"/>
    </row>
    <row r="49" spans="1:13" x14ac:dyDescent="0.3">
      <c r="A49" s="5"/>
      <c r="B49" s="1"/>
      <c r="C49" s="48"/>
      <c r="D49" s="48"/>
      <c r="E49" s="48"/>
      <c r="F49" s="48"/>
      <c r="G49" s="48"/>
      <c r="H49" s="48"/>
      <c r="I49" s="48"/>
      <c r="J49" s="48"/>
      <c r="K49" s="48"/>
      <c r="L49" s="48"/>
      <c r="M49" s="48"/>
    </row>
    <row r="50" spans="1:13" x14ac:dyDescent="0.3">
      <c r="A50" s="5"/>
      <c r="B50" s="1"/>
      <c r="C50" s="48"/>
      <c r="D50" s="48"/>
      <c r="E50" s="48"/>
      <c r="F50" s="48"/>
      <c r="G50" s="48"/>
      <c r="H50" s="48"/>
      <c r="I50" s="48"/>
      <c r="J50" s="48"/>
      <c r="K50" s="48"/>
      <c r="L50" s="48"/>
      <c r="M50" s="48"/>
    </row>
    <row r="51" spans="1:13" x14ac:dyDescent="0.3">
      <c r="A51" s="5"/>
      <c r="B51" s="1"/>
      <c r="C51" s="48"/>
      <c r="D51" s="48"/>
      <c r="E51" s="48"/>
      <c r="F51" s="48"/>
      <c r="G51" s="48"/>
      <c r="H51" s="48"/>
      <c r="I51" s="48"/>
      <c r="J51" s="48"/>
      <c r="K51" s="48"/>
      <c r="L51" s="48"/>
      <c r="M51" s="48"/>
    </row>
    <row r="52" spans="1:13" x14ac:dyDescent="0.3">
      <c r="A52" s="5"/>
      <c r="B52" s="1"/>
      <c r="C52" s="48"/>
      <c r="D52" s="48"/>
      <c r="E52" s="48"/>
      <c r="F52" s="48"/>
      <c r="G52" s="48"/>
      <c r="H52" s="48"/>
      <c r="I52" s="48"/>
      <c r="J52" s="48"/>
      <c r="K52" s="48"/>
      <c r="L52" s="48"/>
      <c r="M52" s="48"/>
    </row>
    <row r="53" spans="1:13" x14ac:dyDescent="0.3">
      <c r="A53" s="5"/>
      <c r="B53" s="1"/>
      <c r="C53" s="48"/>
      <c r="D53" s="48"/>
      <c r="E53" s="48"/>
      <c r="F53" s="48"/>
      <c r="G53" s="48"/>
      <c r="H53" s="48"/>
      <c r="I53" s="48"/>
      <c r="J53" s="48"/>
      <c r="K53" s="48"/>
      <c r="L53" s="48"/>
      <c r="M53" s="48"/>
    </row>
    <row r="54" spans="1:13" x14ac:dyDescent="0.3">
      <c r="A54" s="5"/>
      <c r="B54" s="1"/>
      <c r="C54" s="48"/>
      <c r="D54" s="48"/>
      <c r="E54" s="48"/>
      <c r="F54" s="48"/>
      <c r="G54" s="48"/>
      <c r="H54" s="48"/>
      <c r="I54" s="48"/>
      <c r="J54" s="48"/>
      <c r="K54" s="48"/>
      <c r="L54" s="48"/>
      <c r="M54" s="48"/>
    </row>
    <row r="55" spans="1:13" x14ac:dyDescent="0.3">
      <c r="A55" s="5"/>
      <c r="B55" s="1"/>
      <c r="C55" s="48"/>
      <c r="D55" s="48"/>
      <c r="E55" s="48"/>
      <c r="F55" s="48"/>
      <c r="G55" s="48"/>
      <c r="H55" s="48"/>
      <c r="I55" s="48"/>
      <c r="J55" s="48"/>
      <c r="K55" s="48"/>
      <c r="L55" s="48"/>
      <c r="M55" s="48"/>
    </row>
    <row r="56" spans="1:13" x14ac:dyDescent="0.3">
      <c r="A56" s="5"/>
      <c r="B56" s="1"/>
      <c r="C56" s="48"/>
      <c r="D56" s="48"/>
      <c r="E56" s="48"/>
      <c r="F56" s="48"/>
      <c r="G56" s="48"/>
      <c r="H56" s="48"/>
      <c r="I56" s="48"/>
      <c r="J56" s="48"/>
      <c r="K56" s="48"/>
      <c r="L56" s="48"/>
      <c r="M56" s="48"/>
    </row>
    <row r="57" spans="1:13" x14ac:dyDescent="0.3">
      <c r="A57" s="5"/>
      <c r="B57" s="1"/>
      <c r="C57" s="48"/>
      <c r="D57" s="48"/>
      <c r="E57" s="48"/>
      <c r="F57" s="48"/>
      <c r="G57" s="48"/>
      <c r="H57" s="48"/>
      <c r="I57" s="48"/>
      <c r="J57" s="48"/>
      <c r="K57" s="48"/>
      <c r="L57" s="48"/>
      <c r="M57" s="48"/>
    </row>
    <row r="58" spans="1:13" x14ac:dyDescent="0.3">
      <c r="A58" s="5"/>
      <c r="B58" s="1"/>
      <c r="C58" s="48"/>
      <c r="D58" s="48"/>
      <c r="E58" s="48"/>
      <c r="F58" s="48"/>
      <c r="G58" s="48"/>
      <c r="H58" s="48"/>
      <c r="I58" s="48"/>
      <c r="J58" s="48"/>
      <c r="K58" s="48"/>
      <c r="L58" s="48"/>
      <c r="M58" s="48"/>
    </row>
    <row r="59" spans="1:13" x14ac:dyDescent="0.3">
      <c r="A59" s="5"/>
      <c r="B59" s="1"/>
      <c r="C59" s="48"/>
      <c r="D59" s="48"/>
      <c r="E59" s="48"/>
      <c r="F59" s="48"/>
      <c r="G59" s="48"/>
      <c r="H59" s="48"/>
      <c r="I59" s="48"/>
      <c r="J59" s="48"/>
      <c r="K59" s="48"/>
      <c r="L59" s="48"/>
      <c r="M59" s="48"/>
    </row>
    <row r="60" spans="1:13" x14ac:dyDescent="0.3">
      <c r="A60" s="5"/>
      <c r="B60" s="1"/>
      <c r="C60" s="48"/>
      <c r="D60" s="48"/>
      <c r="E60" s="48"/>
      <c r="F60" s="48"/>
      <c r="G60" s="48"/>
      <c r="H60" s="48"/>
      <c r="I60" s="48"/>
      <c r="J60" s="48"/>
      <c r="K60" s="48"/>
      <c r="L60" s="48"/>
      <c r="M60" s="48"/>
    </row>
    <row r="61" spans="1:13" x14ac:dyDescent="0.3">
      <c r="A61" s="5"/>
      <c r="B61" s="1"/>
      <c r="C61" s="48"/>
      <c r="D61" s="48"/>
      <c r="E61" s="48"/>
      <c r="F61" s="48"/>
      <c r="G61" s="48"/>
      <c r="H61" s="48"/>
      <c r="I61" s="48"/>
      <c r="J61" s="48"/>
      <c r="K61" s="48"/>
      <c r="L61" s="48"/>
      <c r="M61" s="48"/>
    </row>
    <row r="62" spans="1:13" x14ac:dyDescent="0.3">
      <c r="A62" s="5"/>
      <c r="B62" s="1"/>
      <c r="C62" s="48"/>
      <c r="D62" s="48"/>
      <c r="E62" s="48"/>
      <c r="F62" s="48"/>
      <c r="G62" s="48"/>
      <c r="H62" s="48"/>
      <c r="I62" s="48"/>
      <c r="J62" s="48"/>
      <c r="K62" s="48"/>
      <c r="L62" s="48"/>
      <c r="M62" s="48"/>
    </row>
    <row r="63" spans="1:13" x14ac:dyDescent="0.3">
      <c r="A63" s="5"/>
      <c r="B63" s="1"/>
      <c r="C63" s="48"/>
      <c r="D63" s="48"/>
      <c r="E63" s="48"/>
      <c r="F63" s="48"/>
      <c r="G63" s="48"/>
      <c r="H63" s="48"/>
      <c r="I63" s="48"/>
      <c r="J63" s="48"/>
      <c r="K63" s="48"/>
      <c r="L63" s="48"/>
      <c r="M63" s="48"/>
    </row>
    <row r="64" spans="1:13" x14ac:dyDescent="0.3">
      <c r="A64" s="5"/>
      <c r="B64" s="1"/>
      <c r="C64" s="48"/>
      <c r="D64" s="48"/>
      <c r="E64" s="48"/>
      <c r="F64" s="48"/>
      <c r="G64" s="48"/>
      <c r="H64" s="48"/>
      <c r="I64" s="48"/>
      <c r="J64" s="48"/>
      <c r="K64" s="48"/>
      <c r="L64" s="48"/>
      <c r="M64" s="48"/>
    </row>
    <row r="65" spans="1:13" x14ac:dyDescent="0.3">
      <c r="A65" s="5"/>
      <c r="B65" s="1"/>
      <c r="C65" s="48"/>
      <c r="D65" s="48"/>
      <c r="E65" s="48"/>
      <c r="F65" s="48"/>
      <c r="G65" s="48"/>
      <c r="H65" s="48"/>
      <c r="I65" s="48"/>
      <c r="J65" s="48"/>
      <c r="K65" s="48"/>
      <c r="L65" s="48"/>
      <c r="M65" s="48"/>
    </row>
    <row r="66" spans="1:13" x14ac:dyDescent="0.3">
      <c r="A66" s="5"/>
      <c r="B66" s="1"/>
      <c r="C66" s="48"/>
      <c r="D66" s="48"/>
      <c r="E66" s="48"/>
      <c r="F66" s="48"/>
      <c r="G66" s="48"/>
      <c r="H66" s="48"/>
      <c r="I66" s="48"/>
      <c r="J66" s="48"/>
      <c r="K66" s="48"/>
      <c r="L66" s="48"/>
      <c r="M66" s="48"/>
    </row>
    <row r="67" spans="1:13" x14ac:dyDescent="0.3">
      <c r="A67" s="5"/>
      <c r="B67" s="1"/>
      <c r="C67" s="48"/>
      <c r="D67" s="48"/>
      <c r="E67" s="48"/>
      <c r="F67" s="48"/>
      <c r="G67" s="48"/>
      <c r="H67" s="48"/>
      <c r="I67" s="48"/>
      <c r="J67" s="48"/>
      <c r="K67" s="48"/>
      <c r="L67" s="48"/>
      <c r="M67" s="48"/>
    </row>
    <row r="68" spans="1:13" x14ac:dyDescent="0.3">
      <c r="A68" s="5"/>
      <c r="B68" s="1"/>
      <c r="C68" s="48"/>
      <c r="D68" s="48"/>
      <c r="E68" s="48"/>
      <c r="F68" s="48"/>
      <c r="G68" s="48"/>
      <c r="H68" s="48"/>
      <c r="I68" s="48"/>
      <c r="J68" s="48"/>
      <c r="K68" s="48"/>
      <c r="L68" s="48"/>
      <c r="M68" s="48"/>
    </row>
    <row r="69" spans="1:13" x14ac:dyDescent="0.3">
      <c r="A69" s="5"/>
      <c r="B69" s="1"/>
      <c r="C69" s="48"/>
      <c r="D69" s="48"/>
      <c r="E69" s="48"/>
      <c r="F69" s="48"/>
      <c r="G69" s="48"/>
      <c r="H69" s="48"/>
      <c r="I69" s="48"/>
      <c r="J69" s="48"/>
      <c r="K69" s="48"/>
      <c r="L69" s="48"/>
      <c r="M69" s="48"/>
    </row>
    <row r="70" spans="1:13" x14ac:dyDescent="0.3">
      <c r="A70" s="5"/>
      <c r="B70" s="1"/>
      <c r="C70" s="48"/>
      <c r="D70" s="48"/>
      <c r="E70" s="48"/>
      <c r="F70" s="48"/>
      <c r="G70" s="48"/>
      <c r="H70" s="48"/>
      <c r="I70" s="48"/>
      <c r="J70" s="48"/>
      <c r="K70" s="48"/>
      <c r="L70" s="48"/>
      <c r="M70" s="48"/>
    </row>
    <row r="71" spans="1:13" x14ac:dyDescent="0.3">
      <c r="A71" s="5"/>
      <c r="B71" s="1"/>
      <c r="C71" s="48"/>
      <c r="D71" s="48"/>
      <c r="E71" s="48"/>
      <c r="F71" s="48"/>
      <c r="G71" s="48"/>
      <c r="H71" s="48"/>
      <c r="I71" s="48"/>
      <c r="J71" s="48"/>
      <c r="K71" s="48"/>
      <c r="L71" s="48"/>
      <c r="M71" s="48"/>
    </row>
    <row r="72" spans="1:13" x14ac:dyDescent="0.3">
      <c r="A72" s="5"/>
      <c r="B72" s="1"/>
      <c r="C72" s="48"/>
      <c r="D72" s="48"/>
      <c r="E72" s="48"/>
      <c r="F72" s="48"/>
      <c r="G72" s="48"/>
      <c r="H72" s="48"/>
      <c r="I72" s="48"/>
      <c r="J72" s="48"/>
      <c r="K72" s="48"/>
      <c r="L72" s="48"/>
      <c r="M72" s="48"/>
    </row>
    <row r="73" spans="1:13" x14ac:dyDescent="0.3">
      <c r="A73" s="5"/>
      <c r="B73" s="1"/>
      <c r="C73" s="48"/>
      <c r="D73" s="48"/>
      <c r="E73" s="48"/>
      <c r="F73" s="48"/>
      <c r="G73" s="48"/>
      <c r="H73" s="48"/>
      <c r="I73" s="48"/>
      <c r="J73" s="48"/>
      <c r="K73" s="48"/>
      <c r="L73" s="48"/>
      <c r="M73" s="48"/>
    </row>
    <row r="74" spans="1:13" x14ac:dyDescent="0.3">
      <c r="A74" s="5"/>
      <c r="B74" s="1"/>
      <c r="C74" s="48"/>
      <c r="D74" s="48"/>
      <c r="E74" s="48"/>
      <c r="F74" s="48"/>
      <c r="G74" s="48"/>
      <c r="H74" s="48"/>
      <c r="I74" s="48"/>
      <c r="J74" s="48"/>
      <c r="K74" s="48"/>
      <c r="L74" s="48"/>
      <c r="M74" s="48"/>
    </row>
    <row r="75" spans="1:13" x14ac:dyDescent="0.3">
      <c r="A75" s="5"/>
      <c r="B75" s="1"/>
      <c r="C75" s="48"/>
      <c r="D75" s="48"/>
      <c r="E75" s="48"/>
      <c r="F75" s="48"/>
      <c r="G75" s="48"/>
      <c r="H75" s="48"/>
      <c r="I75" s="48"/>
      <c r="J75" s="48"/>
      <c r="K75" s="48"/>
      <c r="L75" s="48"/>
      <c r="M75" s="48"/>
    </row>
    <row r="76" spans="1:13" x14ac:dyDescent="0.3">
      <c r="A76" s="5"/>
      <c r="B76" s="1"/>
      <c r="C76" s="48"/>
      <c r="D76" s="48"/>
      <c r="E76" s="48"/>
      <c r="F76" s="48"/>
      <c r="G76" s="48"/>
      <c r="H76" s="48"/>
      <c r="I76" s="48"/>
      <c r="J76" s="48"/>
      <c r="K76" s="48"/>
      <c r="L76" s="48"/>
      <c r="M76" s="48"/>
    </row>
    <row r="77" spans="1:13" x14ac:dyDescent="0.3">
      <c r="A77" s="5"/>
      <c r="B77" s="1"/>
      <c r="C77" s="48"/>
      <c r="D77" s="48"/>
      <c r="E77" s="48"/>
      <c r="F77" s="48"/>
      <c r="G77" s="48"/>
      <c r="H77" s="48"/>
      <c r="I77" s="48"/>
      <c r="J77" s="48"/>
      <c r="K77" s="48"/>
      <c r="L77" s="48"/>
      <c r="M77" s="48"/>
    </row>
    <row r="78" spans="1:13" x14ac:dyDescent="0.3">
      <c r="A78" s="5"/>
      <c r="B78" s="1"/>
      <c r="C78" s="48"/>
      <c r="D78" s="48"/>
      <c r="E78" s="48"/>
      <c r="F78" s="48"/>
      <c r="G78" s="48"/>
      <c r="H78" s="48"/>
      <c r="I78" s="48"/>
      <c r="J78" s="48"/>
      <c r="K78" s="48"/>
      <c r="L78" s="48"/>
      <c r="M78" s="48"/>
    </row>
    <row r="79" spans="1:13" x14ac:dyDescent="0.3">
      <c r="A79" s="5"/>
      <c r="B79" s="1"/>
      <c r="C79" s="48"/>
      <c r="D79" s="48"/>
      <c r="E79" s="48"/>
      <c r="F79" s="48"/>
      <c r="G79" s="48"/>
      <c r="H79" s="48"/>
      <c r="I79" s="48"/>
      <c r="J79" s="48"/>
      <c r="K79" s="48"/>
      <c r="L79" s="48"/>
      <c r="M79" s="48"/>
    </row>
    <row r="80" spans="1:13" x14ac:dyDescent="0.3">
      <c r="A80" s="5"/>
      <c r="B80" s="1"/>
      <c r="C80" s="48"/>
      <c r="D80" s="48"/>
      <c r="E80" s="48"/>
      <c r="F80" s="48"/>
      <c r="G80" s="48"/>
      <c r="H80" s="48"/>
      <c r="I80" s="48"/>
      <c r="J80" s="48"/>
      <c r="K80" s="48"/>
      <c r="L80" s="48"/>
      <c r="M80" s="48"/>
    </row>
    <row r="81" spans="1:13" x14ac:dyDescent="0.3">
      <c r="A81" s="5"/>
      <c r="B81" s="1"/>
      <c r="C81" s="48"/>
      <c r="D81" s="48"/>
      <c r="E81" s="48"/>
      <c r="F81" s="48"/>
      <c r="G81" s="48"/>
      <c r="H81" s="48"/>
      <c r="I81" s="48"/>
      <c r="J81" s="48"/>
      <c r="K81" s="48"/>
      <c r="L81" s="48"/>
      <c r="M81" s="48"/>
    </row>
    <row r="82" spans="1:13" x14ac:dyDescent="0.3">
      <c r="A82" s="5"/>
      <c r="B82" s="1"/>
      <c r="C82" s="48"/>
      <c r="D82" s="48"/>
      <c r="E82" s="48"/>
      <c r="F82" s="48"/>
      <c r="G82" s="48"/>
      <c r="H82" s="48"/>
      <c r="I82" s="48"/>
      <c r="J82" s="48"/>
      <c r="K82" s="48"/>
      <c r="L82" s="48"/>
      <c r="M82" s="48"/>
    </row>
    <row r="83" spans="1:13" x14ac:dyDescent="0.3">
      <c r="A83" s="5"/>
      <c r="B83" s="1"/>
      <c r="C83" s="48"/>
      <c r="D83" s="48"/>
      <c r="E83" s="48"/>
      <c r="F83" s="48"/>
      <c r="G83" s="48"/>
      <c r="H83" s="48"/>
      <c r="I83" s="48"/>
      <c r="J83" s="48"/>
      <c r="K83" s="48"/>
      <c r="L83" s="48"/>
      <c r="M83" s="48"/>
    </row>
    <row r="84" spans="1:13" x14ac:dyDescent="0.3">
      <c r="A84" s="5"/>
      <c r="B84" s="1"/>
      <c r="C84" s="48"/>
      <c r="D84" s="48"/>
      <c r="E84" s="48"/>
      <c r="F84" s="48"/>
      <c r="G84" s="48"/>
      <c r="H84" s="48"/>
      <c r="I84" s="48"/>
      <c r="J84" s="48"/>
      <c r="K84" s="48"/>
      <c r="L84" s="48"/>
      <c r="M84" s="48"/>
    </row>
    <row r="85" spans="1:13" x14ac:dyDescent="0.3">
      <c r="A85" s="5"/>
      <c r="B85" s="1"/>
      <c r="C85" s="48"/>
      <c r="D85" s="48"/>
      <c r="E85" s="48"/>
      <c r="F85" s="48"/>
      <c r="G85" s="48"/>
      <c r="H85" s="48"/>
      <c r="I85" s="48"/>
      <c r="J85" s="48"/>
      <c r="K85" s="48"/>
      <c r="L85" s="48"/>
      <c r="M85" s="48"/>
    </row>
    <row r="86" spans="1:13" x14ac:dyDescent="0.3">
      <c r="A86" s="5"/>
      <c r="B86" s="1"/>
      <c r="C86" s="48"/>
      <c r="D86" s="48"/>
      <c r="E86" s="48"/>
      <c r="F86" s="48"/>
      <c r="G86" s="48"/>
      <c r="H86" s="48"/>
      <c r="I86" s="48"/>
      <c r="J86" s="48"/>
      <c r="K86" s="48"/>
      <c r="L86" s="48"/>
      <c r="M86" s="48"/>
    </row>
    <row r="87" spans="1:13" x14ac:dyDescent="0.3">
      <c r="A87" s="5"/>
      <c r="B87" s="1"/>
      <c r="C87" s="48"/>
      <c r="D87" s="48"/>
      <c r="E87" s="48"/>
      <c r="F87" s="48"/>
      <c r="G87" s="48"/>
      <c r="H87" s="48"/>
      <c r="I87" s="48"/>
      <c r="J87" s="48"/>
      <c r="K87" s="48"/>
      <c r="L87" s="48"/>
      <c r="M87" s="48"/>
    </row>
    <row r="88" spans="1:13" x14ac:dyDescent="0.3">
      <c r="A88" s="5"/>
      <c r="B88" s="1"/>
      <c r="C88" s="48"/>
      <c r="D88" s="48"/>
      <c r="E88" s="48"/>
      <c r="F88" s="48"/>
      <c r="G88" s="48"/>
      <c r="H88" s="48"/>
      <c r="I88" s="48"/>
      <c r="J88" s="48"/>
      <c r="K88" s="48"/>
      <c r="L88" s="48"/>
      <c r="M88" s="48"/>
    </row>
    <row r="89" spans="1:13" x14ac:dyDescent="0.3">
      <c r="A89" s="5"/>
      <c r="B89" s="1"/>
      <c r="C89" s="48"/>
      <c r="D89" s="48"/>
      <c r="E89" s="48"/>
      <c r="F89" s="48"/>
      <c r="G89" s="48"/>
      <c r="H89" s="48"/>
      <c r="I89" s="48"/>
      <c r="J89" s="48"/>
      <c r="K89" s="48"/>
      <c r="L89" s="48"/>
      <c r="M89" s="48"/>
    </row>
    <row r="90" spans="1:13" x14ac:dyDescent="0.3">
      <c r="A90" s="5"/>
      <c r="B90" s="1"/>
      <c r="C90" s="48"/>
      <c r="D90" s="48"/>
      <c r="E90" s="48"/>
      <c r="F90" s="48"/>
      <c r="G90" s="48"/>
      <c r="H90" s="48"/>
      <c r="I90" s="48"/>
      <c r="J90" s="48"/>
      <c r="K90" s="48"/>
      <c r="L90" s="48"/>
      <c r="M90" s="48"/>
    </row>
    <row r="91" spans="1:13" x14ac:dyDescent="0.3">
      <c r="A91" s="5"/>
      <c r="B91" s="1"/>
      <c r="C91" s="48"/>
      <c r="D91" s="48"/>
      <c r="E91" s="48"/>
      <c r="F91" s="48"/>
      <c r="G91" s="48"/>
      <c r="H91" s="48"/>
      <c r="I91" s="48"/>
      <c r="J91" s="48"/>
      <c r="K91" s="48"/>
      <c r="L91" s="48"/>
      <c r="M91" s="48"/>
    </row>
    <row r="92" spans="1:13" x14ac:dyDescent="0.3">
      <c r="A92" s="5"/>
      <c r="B92" s="1"/>
      <c r="C92" s="48"/>
      <c r="D92" s="48"/>
      <c r="E92" s="48"/>
      <c r="F92" s="48"/>
      <c r="G92" s="48"/>
      <c r="H92" s="48"/>
      <c r="I92" s="48"/>
      <c r="J92" s="48"/>
      <c r="K92" s="48"/>
      <c r="L92" s="48"/>
      <c r="M92" s="48"/>
    </row>
    <row r="93" spans="1:13" x14ac:dyDescent="0.3">
      <c r="A93" s="5"/>
      <c r="B93" s="1"/>
      <c r="C93" s="48"/>
      <c r="D93" s="48"/>
      <c r="E93" s="48"/>
      <c r="F93" s="48"/>
      <c r="G93" s="48"/>
      <c r="H93" s="48"/>
      <c r="I93" s="48"/>
      <c r="J93" s="48"/>
      <c r="K93" s="48"/>
      <c r="L93" s="48"/>
      <c r="M93" s="48"/>
    </row>
    <row r="94" spans="1:13" x14ac:dyDescent="0.3">
      <c r="A94" s="5"/>
      <c r="B94" s="1"/>
      <c r="C94" s="48"/>
      <c r="D94" s="48"/>
      <c r="E94" s="48"/>
      <c r="F94" s="48"/>
      <c r="G94" s="48"/>
      <c r="H94" s="48"/>
      <c r="I94" s="48"/>
      <c r="J94" s="48"/>
      <c r="K94" s="48"/>
      <c r="L94" s="48"/>
      <c r="M94" s="48"/>
    </row>
    <row r="95" spans="1:13" x14ac:dyDescent="0.3">
      <c r="A95" s="5"/>
      <c r="B95" s="1"/>
      <c r="C95" s="48"/>
      <c r="D95" s="48"/>
      <c r="E95" s="48"/>
      <c r="F95" s="48"/>
      <c r="G95" s="48"/>
      <c r="H95" s="48"/>
      <c r="I95" s="48"/>
      <c r="J95" s="48"/>
      <c r="K95" s="48"/>
      <c r="L95" s="48"/>
      <c r="M95" s="48"/>
    </row>
    <row r="96" spans="1:13" x14ac:dyDescent="0.3">
      <c r="A96" s="5"/>
      <c r="B96" s="1"/>
      <c r="C96" s="48"/>
      <c r="D96" s="48"/>
      <c r="E96" s="48"/>
      <c r="F96" s="48"/>
      <c r="G96" s="48"/>
      <c r="H96" s="48"/>
      <c r="I96" s="48"/>
      <c r="J96" s="48"/>
      <c r="K96" s="48"/>
      <c r="L96" s="48"/>
      <c r="M96" s="48"/>
    </row>
    <row r="97" spans="1:13" x14ac:dyDescent="0.3">
      <c r="A97" s="5"/>
      <c r="B97" s="1"/>
      <c r="C97" s="48"/>
      <c r="D97" s="48"/>
      <c r="E97" s="48"/>
      <c r="F97" s="48"/>
      <c r="G97" s="48"/>
      <c r="H97" s="48"/>
      <c r="I97" s="48"/>
      <c r="J97" s="48"/>
      <c r="K97" s="48"/>
      <c r="L97" s="48"/>
      <c r="M97" s="48"/>
    </row>
    <row r="98" spans="1:13" x14ac:dyDescent="0.3">
      <c r="A98" s="5"/>
      <c r="B98" s="1"/>
      <c r="C98" s="48"/>
      <c r="D98" s="48"/>
      <c r="E98" s="48"/>
      <c r="F98" s="48"/>
      <c r="G98" s="48"/>
      <c r="H98" s="48"/>
      <c r="I98" s="48"/>
      <c r="J98" s="48"/>
      <c r="K98" s="48"/>
      <c r="L98" s="48"/>
      <c r="M98" s="48"/>
    </row>
    <row r="99" spans="1:13" x14ac:dyDescent="0.3">
      <c r="A99" s="5"/>
      <c r="B99" s="1"/>
      <c r="C99" s="48"/>
      <c r="D99" s="48"/>
      <c r="E99" s="48"/>
      <c r="F99" s="48"/>
      <c r="G99" s="48"/>
      <c r="H99" s="48"/>
      <c r="I99" s="48"/>
      <c r="J99" s="48"/>
      <c r="K99" s="48"/>
      <c r="L99" s="48"/>
      <c r="M99" s="48"/>
    </row>
    <row r="100" spans="1:13" x14ac:dyDescent="0.3">
      <c r="A100" s="5"/>
      <c r="B100" s="1"/>
      <c r="C100" s="48"/>
      <c r="D100" s="48"/>
      <c r="E100" s="48"/>
      <c r="F100" s="48"/>
      <c r="G100" s="48"/>
      <c r="H100" s="48"/>
      <c r="I100" s="48"/>
      <c r="J100" s="48"/>
      <c r="K100" s="48"/>
      <c r="L100" s="48"/>
      <c r="M100" s="48"/>
    </row>
    <row r="101" spans="1:13" x14ac:dyDescent="0.3">
      <c r="A101" s="5"/>
      <c r="B101" s="1"/>
      <c r="C101" s="48"/>
      <c r="D101" s="48"/>
      <c r="E101" s="48"/>
      <c r="F101" s="48"/>
      <c r="G101" s="48"/>
      <c r="H101" s="48"/>
      <c r="I101" s="48"/>
      <c r="J101" s="48"/>
      <c r="K101" s="48"/>
      <c r="L101" s="48"/>
      <c r="M101" s="48"/>
    </row>
    <row r="102" spans="1:13" x14ac:dyDescent="0.3">
      <c r="A102" s="5"/>
      <c r="B102" s="1"/>
      <c r="C102" s="48"/>
      <c r="D102" s="48"/>
      <c r="E102" s="48"/>
      <c r="F102" s="48"/>
      <c r="G102" s="48"/>
      <c r="H102" s="48"/>
      <c r="I102" s="48"/>
      <c r="J102" s="48"/>
      <c r="K102" s="48"/>
      <c r="L102" s="48"/>
      <c r="M102" s="48"/>
    </row>
    <row r="103" spans="1:13" x14ac:dyDescent="0.3">
      <c r="A103" s="5"/>
      <c r="B103" s="1"/>
      <c r="C103" s="48"/>
      <c r="D103" s="48"/>
      <c r="E103" s="48"/>
      <c r="F103" s="48"/>
      <c r="G103" s="48"/>
      <c r="H103" s="48"/>
      <c r="I103" s="48"/>
      <c r="J103" s="48"/>
      <c r="K103" s="48"/>
      <c r="L103" s="48"/>
      <c r="M103" s="48"/>
    </row>
    <row r="104" spans="1:13" x14ac:dyDescent="0.3">
      <c r="A104" s="5"/>
      <c r="B104" s="1"/>
      <c r="C104" s="48"/>
      <c r="D104" s="48"/>
      <c r="E104" s="48"/>
      <c r="F104" s="48"/>
      <c r="G104" s="48"/>
      <c r="H104" s="48"/>
      <c r="I104" s="48"/>
      <c r="J104" s="48"/>
      <c r="K104" s="48"/>
      <c r="L104" s="48"/>
      <c r="M104" s="48"/>
    </row>
    <row r="105" spans="1:13" x14ac:dyDescent="0.3">
      <c r="A105" s="5"/>
      <c r="B105" s="1"/>
      <c r="C105" s="48"/>
      <c r="D105" s="48"/>
      <c r="E105" s="48"/>
      <c r="F105" s="48"/>
      <c r="G105" s="48"/>
      <c r="H105" s="48"/>
      <c r="I105" s="48"/>
      <c r="J105" s="48"/>
      <c r="K105" s="48"/>
      <c r="L105" s="48"/>
      <c r="M105" s="48"/>
    </row>
    <row r="106" spans="1:13" x14ac:dyDescent="0.3">
      <c r="A106" s="5"/>
      <c r="B106" s="1"/>
      <c r="C106" s="48"/>
      <c r="D106" s="48"/>
      <c r="E106" s="48"/>
      <c r="F106" s="48"/>
      <c r="G106" s="48"/>
      <c r="H106" s="48"/>
      <c r="I106" s="48"/>
      <c r="J106" s="48"/>
      <c r="K106" s="48"/>
      <c r="L106" s="48"/>
      <c r="M106" s="48"/>
    </row>
    <row r="107" spans="1:13" x14ac:dyDescent="0.3">
      <c r="A107" s="5"/>
      <c r="B107" s="1"/>
      <c r="C107" s="48"/>
      <c r="D107" s="48"/>
      <c r="E107" s="48"/>
      <c r="F107" s="48"/>
      <c r="G107" s="48"/>
      <c r="H107" s="48"/>
      <c r="I107" s="48"/>
      <c r="J107" s="48"/>
      <c r="K107" s="48"/>
      <c r="L107" s="48"/>
      <c r="M107" s="48"/>
    </row>
    <row r="108" spans="1:13" x14ac:dyDescent="0.3">
      <c r="A108" s="5"/>
      <c r="B108" s="1"/>
      <c r="C108" s="48"/>
      <c r="D108" s="48"/>
      <c r="E108" s="48"/>
      <c r="F108" s="48"/>
      <c r="G108" s="48"/>
      <c r="H108" s="48"/>
      <c r="I108" s="48"/>
      <c r="J108" s="48"/>
      <c r="K108" s="48"/>
      <c r="L108" s="48"/>
      <c r="M108" s="48"/>
    </row>
    <row r="109" spans="1:13" x14ac:dyDescent="0.3">
      <c r="A109" s="5"/>
      <c r="B109" s="1"/>
      <c r="C109" s="48"/>
      <c r="D109" s="48"/>
      <c r="E109" s="48"/>
      <c r="F109" s="48"/>
      <c r="G109" s="48"/>
      <c r="H109" s="48"/>
      <c r="I109" s="48"/>
      <c r="J109" s="48"/>
      <c r="K109" s="48"/>
      <c r="L109" s="48"/>
      <c r="M109" s="48"/>
    </row>
    <row r="110" spans="1:13" x14ac:dyDescent="0.3">
      <c r="A110" s="5"/>
      <c r="B110" s="1"/>
      <c r="C110" s="48"/>
      <c r="D110" s="48"/>
      <c r="E110" s="48"/>
      <c r="F110" s="48"/>
      <c r="G110" s="48"/>
      <c r="H110" s="48"/>
      <c r="I110" s="48"/>
      <c r="J110" s="48"/>
      <c r="K110" s="48"/>
      <c r="L110" s="48"/>
      <c r="M110" s="48"/>
    </row>
    <row r="111" spans="1:13" x14ac:dyDescent="0.3">
      <c r="A111" s="5"/>
      <c r="B111" s="1"/>
      <c r="C111" s="48"/>
      <c r="D111" s="48"/>
      <c r="E111" s="48"/>
      <c r="F111" s="48"/>
      <c r="G111" s="48"/>
      <c r="H111" s="48"/>
      <c r="I111" s="48"/>
      <c r="J111" s="48"/>
      <c r="K111" s="48"/>
      <c r="L111" s="48"/>
      <c r="M111" s="48"/>
    </row>
    <row r="112" spans="1:13" x14ac:dyDescent="0.3">
      <c r="A112" s="5"/>
      <c r="B112" s="1"/>
      <c r="C112" s="48"/>
      <c r="D112" s="48"/>
      <c r="E112" s="48"/>
      <c r="F112" s="48"/>
      <c r="G112" s="48"/>
      <c r="H112" s="48"/>
      <c r="I112" s="48"/>
      <c r="J112" s="48"/>
      <c r="K112" s="48"/>
      <c r="L112" s="48"/>
      <c r="M112" s="48"/>
    </row>
    <row r="113" spans="1:13" x14ac:dyDescent="0.3">
      <c r="A113" s="5"/>
      <c r="B113" s="1"/>
      <c r="C113" s="48"/>
      <c r="D113" s="48"/>
      <c r="E113" s="48"/>
      <c r="F113" s="48"/>
      <c r="G113" s="48"/>
      <c r="H113" s="48"/>
      <c r="I113" s="48"/>
      <c r="J113" s="48"/>
      <c r="K113" s="48"/>
      <c r="L113" s="48"/>
      <c r="M113" s="48"/>
    </row>
    <row r="114" spans="1:13" x14ac:dyDescent="0.3">
      <c r="A114" s="5"/>
      <c r="B114" s="1"/>
      <c r="C114" s="48"/>
      <c r="D114" s="48"/>
      <c r="E114" s="48"/>
      <c r="F114" s="48"/>
      <c r="G114" s="48"/>
      <c r="H114" s="48"/>
      <c r="I114" s="48"/>
      <c r="J114" s="48"/>
      <c r="K114" s="48"/>
      <c r="L114" s="48"/>
      <c r="M114" s="48"/>
    </row>
    <row r="115" spans="1:13" x14ac:dyDescent="0.3">
      <c r="A115" s="5"/>
      <c r="B115" s="1"/>
      <c r="C115" s="48"/>
      <c r="D115" s="48"/>
      <c r="E115" s="48"/>
      <c r="F115" s="48"/>
      <c r="G115" s="48"/>
      <c r="H115" s="48"/>
      <c r="I115" s="48"/>
      <c r="J115" s="48"/>
      <c r="K115" s="48"/>
      <c r="L115" s="48"/>
      <c r="M115" s="48"/>
    </row>
    <row r="116" spans="1:13" x14ac:dyDescent="0.3">
      <c r="A116" s="5"/>
      <c r="B116" s="1"/>
      <c r="C116" s="48"/>
      <c r="D116" s="48"/>
      <c r="E116" s="48"/>
      <c r="F116" s="48"/>
      <c r="G116" s="48"/>
      <c r="H116" s="48"/>
      <c r="I116" s="48"/>
      <c r="J116" s="48"/>
      <c r="K116" s="48"/>
      <c r="L116" s="48"/>
      <c r="M116" s="48"/>
    </row>
    <row r="117" spans="1:13" x14ac:dyDescent="0.3">
      <c r="A117" s="5"/>
      <c r="B117" s="1"/>
      <c r="C117" s="48"/>
      <c r="D117" s="48"/>
      <c r="E117" s="48"/>
      <c r="F117" s="48"/>
      <c r="G117" s="48"/>
      <c r="H117" s="48"/>
      <c r="I117" s="48"/>
      <c r="J117" s="48"/>
      <c r="K117" s="48"/>
      <c r="L117" s="48"/>
      <c r="M117" s="48"/>
    </row>
    <row r="118" spans="1:13" x14ac:dyDescent="0.3">
      <c r="A118" s="5"/>
      <c r="B118" s="1"/>
      <c r="C118" s="48"/>
      <c r="D118" s="48"/>
      <c r="E118" s="48"/>
      <c r="F118" s="48"/>
      <c r="G118" s="48"/>
      <c r="H118" s="48"/>
      <c r="I118" s="48"/>
      <c r="J118" s="48"/>
      <c r="K118" s="48"/>
      <c r="L118" s="48"/>
      <c r="M118" s="48"/>
    </row>
    <row r="119" spans="1:13" x14ac:dyDescent="0.3">
      <c r="A119" s="5"/>
      <c r="B119" s="1"/>
      <c r="C119" s="48"/>
      <c r="D119" s="48"/>
      <c r="E119" s="48"/>
      <c r="F119" s="48"/>
      <c r="G119" s="48"/>
      <c r="H119" s="48"/>
      <c r="I119" s="48"/>
      <c r="J119" s="48"/>
      <c r="K119" s="48"/>
      <c r="L119" s="48"/>
      <c r="M119" s="48"/>
    </row>
    <row r="120" spans="1:13" x14ac:dyDescent="0.3">
      <c r="A120" s="5"/>
      <c r="B120" s="1"/>
      <c r="C120" s="48"/>
      <c r="D120" s="48"/>
      <c r="E120" s="48"/>
      <c r="F120" s="48"/>
      <c r="G120" s="48"/>
      <c r="H120" s="48"/>
      <c r="I120" s="48"/>
      <c r="J120" s="48"/>
      <c r="K120" s="48"/>
      <c r="L120" s="48"/>
      <c r="M120" s="48"/>
    </row>
    <row r="121" spans="1:13" x14ac:dyDescent="0.3">
      <c r="A121" s="5"/>
      <c r="B121" s="1"/>
      <c r="C121" s="48"/>
      <c r="D121" s="48"/>
      <c r="E121" s="48"/>
      <c r="F121" s="48"/>
      <c r="G121" s="48"/>
      <c r="H121" s="48"/>
      <c r="I121" s="48"/>
      <c r="J121" s="48"/>
      <c r="K121" s="48"/>
      <c r="L121" s="48"/>
      <c r="M121" s="48"/>
    </row>
    <row r="122" spans="1:13" x14ac:dyDescent="0.3">
      <c r="A122" s="5"/>
      <c r="B122" s="1"/>
      <c r="C122" s="48"/>
      <c r="D122" s="48"/>
      <c r="E122" s="48"/>
      <c r="F122" s="48"/>
      <c r="G122" s="48"/>
      <c r="H122" s="48"/>
      <c r="I122" s="48"/>
      <c r="J122" s="48"/>
      <c r="K122" s="48"/>
      <c r="L122" s="48"/>
      <c r="M122" s="48"/>
    </row>
    <row r="123" spans="1:13" x14ac:dyDescent="0.3">
      <c r="A123" s="5"/>
      <c r="B123" s="1"/>
      <c r="C123" s="48"/>
      <c r="D123" s="48"/>
      <c r="E123" s="48"/>
      <c r="F123" s="48"/>
      <c r="G123" s="48"/>
      <c r="H123" s="48"/>
      <c r="I123" s="48"/>
      <c r="J123" s="48"/>
      <c r="K123" s="48"/>
      <c r="L123" s="48"/>
      <c r="M123" s="48"/>
    </row>
    <row r="124" spans="1:13" x14ac:dyDescent="0.3">
      <c r="A124" s="5"/>
      <c r="B124" s="1"/>
      <c r="C124" s="48"/>
      <c r="D124" s="48"/>
      <c r="E124" s="48"/>
      <c r="F124" s="48"/>
      <c r="G124" s="48"/>
      <c r="H124" s="48"/>
      <c r="I124" s="48"/>
      <c r="J124" s="48"/>
      <c r="K124" s="48"/>
      <c r="L124" s="48"/>
      <c r="M124" s="48"/>
    </row>
    <row r="125" spans="1:13" x14ac:dyDescent="0.3">
      <c r="A125" s="5"/>
      <c r="B125" s="1"/>
      <c r="C125" s="48"/>
      <c r="D125" s="48"/>
      <c r="E125" s="48"/>
      <c r="F125" s="48"/>
      <c r="G125" s="48"/>
      <c r="H125" s="48"/>
      <c r="I125" s="48"/>
      <c r="J125" s="48"/>
      <c r="K125" s="48"/>
      <c r="L125" s="48"/>
      <c r="M125" s="48"/>
    </row>
    <row r="126" spans="1:13" x14ac:dyDescent="0.3">
      <c r="A126" s="5"/>
      <c r="B126" s="1"/>
      <c r="C126" s="48"/>
      <c r="D126" s="48"/>
      <c r="E126" s="48"/>
      <c r="F126" s="48"/>
      <c r="G126" s="48"/>
      <c r="H126" s="48"/>
      <c r="I126" s="48"/>
      <c r="J126" s="48"/>
      <c r="K126" s="48"/>
      <c r="L126" s="48"/>
      <c r="M126" s="48"/>
    </row>
    <row r="127" spans="1:13" x14ac:dyDescent="0.3">
      <c r="A127" s="5"/>
      <c r="B127" s="1"/>
      <c r="C127" s="48"/>
      <c r="D127" s="48"/>
      <c r="E127" s="48"/>
      <c r="F127" s="48"/>
      <c r="G127" s="48"/>
      <c r="H127" s="48"/>
      <c r="I127" s="48"/>
      <c r="J127" s="48"/>
      <c r="K127" s="48"/>
      <c r="L127" s="48"/>
      <c r="M127" s="48"/>
    </row>
    <row r="128" spans="1:13" x14ac:dyDescent="0.3">
      <c r="A128" s="5"/>
      <c r="B128" s="1"/>
      <c r="C128" s="48"/>
      <c r="D128" s="48"/>
      <c r="E128" s="48"/>
      <c r="F128" s="48"/>
      <c r="G128" s="48"/>
      <c r="H128" s="48"/>
      <c r="I128" s="48"/>
      <c r="J128" s="48"/>
      <c r="K128" s="48"/>
      <c r="L128" s="48"/>
      <c r="M128" s="48"/>
    </row>
    <row r="129" spans="1:13" x14ac:dyDescent="0.3">
      <c r="A129" s="5"/>
      <c r="B129" s="1"/>
      <c r="C129" s="48"/>
      <c r="D129" s="48"/>
      <c r="E129" s="48"/>
      <c r="F129" s="48"/>
      <c r="G129" s="48"/>
      <c r="H129" s="48"/>
      <c r="I129" s="48"/>
      <c r="J129" s="48"/>
      <c r="K129" s="48"/>
      <c r="L129" s="48"/>
      <c r="M129" s="48"/>
    </row>
    <row r="130" spans="1:13" x14ac:dyDescent="0.3">
      <c r="A130" s="5"/>
      <c r="B130" s="1"/>
      <c r="C130" s="48"/>
      <c r="D130" s="48"/>
      <c r="E130" s="48"/>
      <c r="F130" s="48"/>
      <c r="G130" s="48"/>
      <c r="H130" s="48"/>
      <c r="I130" s="48"/>
      <c r="J130" s="48"/>
      <c r="K130" s="48"/>
      <c r="L130" s="48"/>
      <c r="M130" s="48"/>
    </row>
    <row r="131" spans="1:13" x14ac:dyDescent="0.3">
      <c r="A131" s="5"/>
      <c r="B131" s="1"/>
      <c r="C131" s="48"/>
      <c r="D131" s="48"/>
      <c r="E131" s="48"/>
      <c r="F131" s="48"/>
      <c r="G131" s="48"/>
      <c r="H131" s="48"/>
      <c r="I131" s="48"/>
      <c r="J131" s="48"/>
      <c r="K131" s="48"/>
      <c r="L131" s="48"/>
      <c r="M131" s="48"/>
    </row>
    <row r="132" spans="1:13" x14ac:dyDescent="0.3">
      <c r="A132" s="5"/>
      <c r="B132" s="1"/>
      <c r="C132" s="48"/>
      <c r="D132" s="48"/>
      <c r="E132" s="48"/>
      <c r="F132" s="48"/>
      <c r="G132" s="48"/>
      <c r="H132" s="48"/>
      <c r="I132" s="48"/>
      <c r="J132" s="48"/>
      <c r="K132" s="48"/>
      <c r="L132" s="48"/>
      <c r="M132" s="48"/>
    </row>
    <row r="133" spans="1:13" x14ac:dyDescent="0.3">
      <c r="A133" s="5"/>
      <c r="B133" s="1"/>
      <c r="C133" s="48"/>
      <c r="D133" s="48"/>
      <c r="E133" s="48"/>
      <c r="F133" s="48"/>
      <c r="G133" s="48"/>
      <c r="H133" s="48"/>
      <c r="I133" s="48"/>
      <c r="J133" s="48"/>
      <c r="K133" s="48"/>
      <c r="L133" s="48"/>
      <c r="M133" s="48"/>
    </row>
    <row r="134" spans="1:13" x14ac:dyDescent="0.3">
      <c r="A134" s="5"/>
      <c r="B134" s="1"/>
      <c r="C134" s="48"/>
      <c r="D134" s="48"/>
      <c r="E134" s="48"/>
      <c r="F134" s="48"/>
      <c r="G134" s="48"/>
      <c r="H134" s="48"/>
      <c r="I134" s="48"/>
      <c r="J134" s="48"/>
      <c r="K134" s="48"/>
      <c r="L134" s="48"/>
      <c r="M134" s="48"/>
    </row>
    <row r="135" spans="1:13" x14ac:dyDescent="0.3">
      <c r="A135" s="5"/>
      <c r="B135" s="1"/>
      <c r="C135" s="48"/>
      <c r="D135" s="48"/>
      <c r="E135" s="48"/>
      <c r="F135" s="48"/>
      <c r="G135" s="48"/>
      <c r="H135" s="48"/>
      <c r="I135" s="48"/>
      <c r="J135" s="48"/>
      <c r="K135" s="48"/>
      <c r="L135" s="48"/>
      <c r="M135" s="48"/>
    </row>
    <row r="136" spans="1:13" x14ac:dyDescent="0.3">
      <c r="A136" s="5"/>
      <c r="B136" s="1"/>
      <c r="C136" s="48"/>
      <c r="D136" s="48"/>
      <c r="E136" s="48"/>
      <c r="F136" s="48"/>
      <c r="G136" s="48"/>
      <c r="H136" s="48"/>
      <c r="I136" s="48"/>
      <c r="J136" s="48"/>
      <c r="K136" s="48"/>
      <c r="L136" s="48"/>
      <c r="M136" s="48"/>
    </row>
    <row r="137" spans="1:13" x14ac:dyDescent="0.3">
      <c r="A137" s="5"/>
      <c r="B137" s="1"/>
    </row>
    <row r="138" spans="1:13" x14ac:dyDescent="0.3">
      <c r="A138" s="5"/>
      <c r="B138" s="1"/>
    </row>
    <row r="139" spans="1:13" x14ac:dyDescent="0.3">
      <c r="A139" s="5"/>
      <c r="B139" s="1"/>
    </row>
    <row r="140" spans="1:13" x14ac:dyDescent="0.3">
      <c r="A140" s="5"/>
      <c r="B140" s="1"/>
    </row>
    <row r="141" spans="1:13" x14ac:dyDescent="0.3">
      <c r="A141" s="5"/>
      <c r="B141" s="1"/>
    </row>
    <row r="142" spans="1:13" x14ac:dyDescent="0.3">
      <c r="A142" s="5"/>
      <c r="B142" s="1"/>
    </row>
    <row r="143" spans="1:13" x14ac:dyDescent="0.3">
      <c r="A143" s="5"/>
      <c r="B143" s="1"/>
    </row>
    <row r="144" spans="1:13" x14ac:dyDescent="0.3">
      <c r="A144" s="5"/>
      <c r="B144" s="1"/>
    </row>
    <row r="145" spans="1:1" x14ac:dyDescent="0.3">
      <c r="A145" s="5"/>
    </row>
    <row r="146" spans="1:1" x14ac:dyDescent="0.3">
      <c r="A146" s="5"/>
    </row>
    <row r="147" spans="1:1" x14ac:dyDescent="0.3">
      <c r="A147" s="5"/>
    </row>
    <row r="148" spans="1:1" x14ac:dyDescent="0.3">
      <c r="A148" s="5"/>
    </row>
    <row r="149" spans="1:1" x14ac:dyDescent="0.3">
      <c r="A149" s="5"/>
    </row>
    <row r="150" spans="1:1" x14ac:dyDescent="0.3">
      <c r="A150" s="5"/>
    </row>
    <row r="151" spans="1:1" x14ac:dyDescent="0.3">
      <c r="A151" s="5"/>
    </row>
    <row r="152" spans="1:1" x14ac:dyDescent="0.3">
      <c r="A152" s="5"/>
    </row>
  </sheetData>
  <sheetProtection algorithmName="SHA-512" hashValue="82vhQ8GRUDnQDSQNL2Mz1MdPm6iXDxf9z+mkIQQRjxUyy62ZUKQ4WR3lgIII9t72DDR7SrY+UQLAs4QakJk5XQ==" saltValue="kGDmGI+MGoKjn1KAaZWeHg==" spinCount="100000" sheet="1" objects="1" scenarios="1"/>
  <mergeCells count="5">
    <mergeCell ref="A4:A15"/>
    <mergeCell ref="A17:A19"/>
    <mergeCell ref="A21:A26"/>
    <mergeCell ref="A27:A30"/>
    <mergeCell ref="A35:L35"/>
  </mergeCells>
  <printOptions horizontalCentered="1"/>
  <pageMargins left="0.25" right="0.25" top="0.75" bottom="0.75" header="0.3" footer="0.3"/>
  <pageSetup scale="86" orientation="landscape" r:id="rId1"/>
  <headerFooter>
    <oddFooter>&amp;C&amp;"Century Gothic,Regular"&amp;9Page &amp;P of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66E33-7DFD-4DF0-8314-231B176F9834}">
  <sheetPr codeName="Sheet13">
    <pageSetUpPr fitToPage="1"/>
  </sheetPr>
  <dimension ref="A1:Q216"/>
  <sheetViews>
    <sheetView zoomScale="130" zoomScaleNormal="130" zoomScaleSheetLayoutView="100" workbookViewId="0"/>
  </sheetViews>
  <sheetFormatPr baseColWidth="10" defaultColWidth="9.140625" defaultRowHeight="15.75" x14ac:dyDescent="0.3"/>
  <cols>
    <col min="1" max="1" width="45.5703125" style="7" customWidth="1"/>
    <col min="2" max="4" width="15.7109375" style="67" bestFit="1" customWidth="1"/>
    <col min="5" max="6" width="15.5703125" style="67" bestFit="1" customWidth="1"/>
    <col min="7" max="7" width="13.5703125" customWidth="1"/>
  </cols>
  <sheetData>
    <row r="1" spans="1:17" s="7" customFormat="1" ht="20.65" customHeight="1" x14ac:dyDescent="0.3">
      <c r="A1" s="89" t="s">
        <v>791</v>
      </c>
      <c r="B1" s="33"/>
      <c r="C1" s="33"/>
      <c r="D1" s="33"/>
      <c r="E1" s="33"/>
      <c r="F1" s="34"/>
      <c r="G1" s="1"/>
      <c r="H1" s="1"/>
      <c r="I1" s="1"/>
      <c r="J1" s="1"/>
      <c r="K1" s="1"/>
      <c r="L1" s="1"/>
    </row>
    <row r="2" spans="1:17" s="7" customFormat="1" ht="15" customHeight="1" x14ac:dyDescent="0.3">
      <c r="A2" s="90" t="s">
        <v>35</v>
      </c>
      <c r="B2" s="35"/>
      <c r="C2" s="35"/>
      <c r="D2" s="35"/>
      <c r="E2" s="35"/>
      <c r="F2" s="36"/>
      <c r="G2" s="1"/>
      <c r="H2" s="1"/>
      <c r="I2" s="1"/>
      <c r="J2" s="1"/>
      <c r="K2" s="1"/>
      <c r="L2" s="1"/>
    </row>
    <row r="3" spans="1:17" s="7" customFormat="1" ht="15" customHeight="1" x14ac:dyDescent="0.3">
      <c r="A3" s="4"/>
      <c r="B3" s="122">
        <v>2018</v>
      </c>
      <c r="C3" s="122">
        <v>2019</v>
      </c>
      <c r="D3" s="122">
        <v>2020</v>
      </c>
      <c r="E3" s="122">
        <v>2021</v>
      </c>
      <c r="F3" s="123">
        <v>2022</v>
      </c>
      <c r="G3" s="1"/>
      <c r="H3" s="1"/>
      <c r="I3" s="1"/>
      <c r="J3" s="1"/>
      <c r="K3" s="1"/>
      <c r="L3" s="1"/>
    </row>
    <row r="4" spans="1:17" s="7" customFormat="1" ht="15.75" customHeight="1" x14ac:dyDescent="0.3">
      <c r="A4" s="92" t="s">
        <v>972</v>
      </c>
      <c r="B4" s="446"/>
      <c r="C4" s="446"/>
      <c r="D4" s="446"/>
      <c r="E4" s="446"/>
      <c r="F4" s="447"/>
      <c r="G4" s="39"/>
      <c r="H4" s="1"/>
      <c r="I4" s="1"/>
      <c r="J4" s="1"/>
      <c r="K4" s="1"/>
      <c r="L4" s="1"/>
    </row>
    <row r="5" spans="1:17" s="20" customFormat="1" ht="13.5" customHeight="1" x14ac:dyDescent="0.3">
      <c r="A5" s="105" t="s">
        <v>36</v>
      </c>
      <c r="B5" s="476">
        <v>111722.615853</v>
      </c>
      <c r="C5" s="476">
        <v>99323.441650000008</v>
      </c>
      <c r="D5" s="476">
        <v>96749.452000000005</v>
      </c>
      <c r="E5" s="448">
        <v>112828.26</v>
      </c>
      <c r="F5" s="942">
        <v>102636</v>
      </c>
      <c r="G5" s="41"/>
      <c r="H5" s="42"/>
      <c r="I5" s="42"/>
      <c r="J5" s="1"/>
      <c r="K5" s="1"/>
      <c r="L5" s="1"/>
      <c r="M5" s="7"/>
      <c r="N5" s="7"/>
      <c r="O5" s="7"/>
      <c r="P5" s="7"/>
      <c r="Q5" s="7"/>
    </row>
    <row r="6" spans="1:17" s="20" customFormat="1" ht="13.5" customHeight="1" x14ac:dyDescent="0.3">
      <c r="A6" s="105" t="s">
        <v>50</v>
      </c>
      <c r="B6" s="476">
        <v>68177.043892200003</v>
      </c>
      <c r="C6" s="476">
        <v>60475.317999999999</v>
      </c>
      <c r="D6" s="476">
        <v>49787.892999999996</v>
      </c>
      <c r="E6" s="476">
        <v>56351.750520000001</v>
      </c>
      <c r="F6" s="330">
        <v>67182</v>
      </c>
      <c r="G6" s="41"/>
      <c r="H6" s="42"/>
      <c r="I6" s="42"/>
      <c r="J6" s="1"/>
      <c r="K6" s="1"/>
      <c r="L6" s="1"/>
      <c r="M6" s="7"/>
      <c r="N6" s="7"/>
      <c r="O6" s="7"/>
      <c r="P6" s="7"/>
      <c r="Q6" s="7"/>
    </row>
    <row r="7" spans="1:17" s="20" customFormat="1" ht="13.5" customHeight="1" x14ac:dyDescent="0.3">
      <c r="A7" s="105" t="s">
        <v>51</v>
      </c>
      <c r="B7" s="476">
        <v>46843.615387200007</v>
      </c>
      <c r="C7" s="476">
        <v>48578.18</v>
      </c>
      <c r="D7" s="476">
        <v>49217.925000000003</v>
      </c>
      <c r="E7" s="476">
        <v>43020.046999999999</v>
      </c>
      <c r="F7" s="477">
        <v>34719.35</v>
      </c>
      <c r="G7" s="41"/>
      <c r="H7" s="42"/>
      <c r="I7" s="42"/>
      <c r="J7" s="1"/>
      <c r="K7" s="1"/>
      <c r="L7" s="1"/>
      <c r="M7" s="7"/>
      <c r="N7" s="7"/>
      <c r="O7" s="7"/>
      <c r="P7" s="7"/>
      <c r="Q7" s="7"/>
    </row>
    <row r="8" spans="1:17" s="20" customFormat="1" ht="13.5" customHeight="1" x14ac:dyDescent="0.3">
      <c r="A8" s="105" t="s">
        <v>38</v>
      </c>
      <c r="B8" s="476">
        <v>52750.215124599999</v>
      </c>
      <c r="C8" s="476">
        <v>57153.051017999998</v>
      </c>
      <c r="D8" s="476">
        <v>41982.817999999999</v>
      </c>
      <c r="E8" s="476">
        <v>53023.411690000001</v>
      </c>
      <c r="F8" s="477">
        <v>54475.21</v>
      </c>
      <c r="G8" s="41"/>
      <c r="H8" s="42"/>
      <c r="I8" s="42"/>
      <c r="J8" s="1"/>
      <c r="K8" s="1"/>
      <c r="L8" s="1"/>
      <c r="M8" s="7"/>
      <c r="N8" s="7"/>
      <c r="O8" s="7"/>
      <c r="P8" s="7"/>
      <c r="Q8" s="7"/>
    </row>
    <row r="9" spans="1:17" s="20" customFormat="1" ht="13.5" customHeight="1" x14ac:dyDescent="0.3">
      <c r="A9" s="105" t="s">
        <v>39</v>
      </c>
      <c r="B9" s="476">
        <v>31126.656659299999</v>
      </c>
      <c r="C9" s="476">
        <v>37033.731</v>
      </c>
      <c r="D9" s="476">
        <v>23560.609</v>
      </c>
      <c r="E9" s="476">
        <v>31581.965390000001</v>
      </c>
      <c r="F9" s="477">
        <v>32669.37</v>
      </c>
      <c r="G9" s="41"/>
      <c r="H9" s="42"/>
      <c r="I9" s="42"/>
      <c r="J9" s="1"/>
      <c r="K9" s="1"/>
      <c r="L9" s="1"/>
      <c r="M9" s="7"/>
      <c r="N9" s="7"/>
      <c r="O9" s="7"/>
      <c r="P9" s="7"/>
      <c r="Q9" s="7"/>
    </row>
    <row r="10" spans="1:17" s="20" customFormat="1" ht="13.5" customHeight="1" x14ac:dyDescent="0.3">
      <c r="A10" s="103" t="s">
        <v>40</v>
      </c>
      <c r="B10" s="478">
        <v>310620.1469163</v>
      </c>
      <c r="C10" s="478">
        <v>302563.72166799998</v>
      </c>
      <c r="D10" s="478">
        <v>261298.69700000001</v>
      </c>
      <c r="E10" s="478">
        <v>296805.43460000004</v>
      </c>
      <c r="F10" s="479">
        <v>291681.89</v>
      </c>
      <c r="G10" s="19"/>
      <c r="H10" s="6"/>
      <c r="I10" s="6"/>
      <c r="J10" s="1"/>
      <c r="K10" s="1"/>
      <c r="L10" s="1"/>
      <c r="M10" s="7"/>
      <c r="N10" s="7"/>
      <c r="O10" s="7"/>
      <c r="P10" s="7"/>
      <c r="Q10" s="7"/>
    </row>
    <row r="11" spans="1:17" s="20" customFormat="1" ht="13.5" customHeight="1" thickBot="1" x14ac:dyDescent="0.35">
      <c r="A11" s="103" t="s">
        <v>959</v>
      </c>
      <c r="B11" s="951">
        <v>1377971.2770751</v>
      </c>
      <c r="C11" s="951">
        <v>1408513.2650000001</v>
      </c>
      <c r="D11" s="951">
        <v>1231053.2290000001</v>
      </c>
      <c r="E11" s="951">
        <v>1325183.9607599999</v>
      </c>
      <c r="F11" s="952">
        <v>1526886.01</v>
      </c>
      <c r="G11" s="44"/>
      <c r="H11" s="6"/>
      <c r="I11" s="6"/>
      <c r="J11" s="1"/>
      <c r="K11" s="1"/>
      <c r="L11" s="1"/>
      <c r="M11" s="7"/>
      <c r="N11" s="7"/>
      <c r="O11" s="7"/>
      <c r="P11" s="7"/>
      <c r="Q11" s="7"/>
    </row>
    <row r="12" spans="1:17" s="20" customFormat="1" ht="13.5" customHeight="1" x14ac:dyDescent="0.3">
      <c r="A12" s="105" t="s">
        <v>961</v>
      </c>
      <c r="B12" s="452">
        <v>1688591.4239914</v>
      </c>
      <c r="C12" s="452">
        <v>1711076.986668</v>
      </c>
      <c r="D12" s="452">
        <v>1492351.926</v>
      </c>
      <c r="E12" s="452">
        <v>1621989.39536</v>
      </c>
      <c r="F12" s="453">
        <v>1818567.9</v>
      </c>
      <c r="G12" s="41"/>
      <c r="H12" s="6"/>
      <c r="I12" s="6"/>
      <c r="J12" s="1"/>
      <c r="K12" s="1"/>
      <c r="L12" s="1"/>
      <c r="M12" s="7"/>
      <c r="N12" s="7"/>
      <c r="O12" s="7"/>
      <c r="P12" s="7"/>
      <c r="Q12" s="7"/>
    </row>
    <row r="13" spans="1:17" s="20" customFormat="1" ht="13.5" customHeight="1" x14ac:dyDescent="0.3">
      <c r="A13" s="93" t="s">
        <v>41</v>
      </c>
      <c r="B13" s="452">
        <v>106182.5231912</v>
      </c>
      <c r="C13" s="452">
        <v>95884.563999999998</v>
      </c>
      <c r="D13" s="452">
        <v>101962.79800000001</v>
      </c>
      <c r="E13" s="452">
        <v>106126.93945000001</v>
      </c>
      <c r="F13" s="453">
        <v>97346.5</v>
      </c>
      <c r="G13" s="19"/>
      <c r="H13" s="41"/>
      <c r="I13" s="6"/>
      <c r="J13" s="1"/>
      <c r="K13" s="1"/>
      <c r="L13" s="1"/>
      <c r="M13" s="7"/>
      <c r="N13" s="7"/>
      <c r="O13" s="7"/>
      <c r="P13" s="7"/>
      <c r="Q13" s="7"/>
    </row>
    <row r="14" spans="1:17" s="20" customFormat="1" ht="13.5" customHeight="1" x14ac:dyDescent="0.3">
      <c r="A14" s="93" t="s">
        <v>769</v>
      </c>
      <c r="B14" s="452">
        <v>192663.41999999998</v>
      </c>
      <c r="C14" s="452">
        <v>192792.34</v>
      </c>
      <c r="D14" s="452">
        <v>166752.21000000002</v>
      </c>
      <c r="E14" s="452">
        <v>184713.77000000002</v>
      </c>
      <c r="F14" s="453">
        <v>197982.58000000002</v>
      </c>
      <c r="G14" s="131"/>
      <c r="H14" s="41"/>
      <c r="I14" s="6"/>
      <c r="J14" s="1"/>
      <c r="K14" s="1"/>
      <c r="L14" s="1"/>
      <c r="M14" s="7"/>
      <c r="N14" s="7"/>
      <c r="O14" s="7"/>
      <c r="P14" s="7"/>
      <c r="Q14" s="7"/>
    </row>
    <row r="15" spans="1:17" s="20" customFormat="1" ht="4.5" customHeight="1" x14ac:dyDescent="0.3">
      <c r="A15" s="93"/>
      <c r="B15" s="452"/>
      <c r="C15" s="452"/>
      <c r="D15" s="452"/>
      <c r="E15" s="452"/>
      <c r="F15" s="453"/>
      <c r="G15" s="131"/>
      <c r="H15" s="41"/>
      <c r="I15" s="6"/>
      <c r="J15" s="1"/>
      <c r="K15" s="1"/>
      <c r="L15" s="1"/>
      <c r="M15" s="7"/>
      <c r="N15" s="7"/>
      <c r="O15" s="7"/>
      <c r="P15" s="7"/>
      <c r="Q15" s="7"/>
    </row>
    <row r="16" spans="1:17" s="20" customFormat="1" ht="13.5" customHeight="1" x14ac:dyDescent="0.3">
      <c r="A16" s="93" t="s">
        <v>57</v>
      </c>
      <c r="B16" s="452">
        <f>B10-B13-B14</f>
        <v>11774.203725100029</v>
      </c>
      <c r="C16" s="452">
        <f>C10-C13-C14</f>
        <v>13886.817667999974</v>
      </c>
      <c r="D16" s="452">
        <f>D10-D13-D14</f>
        <v>-7416.3110000000161</v>
      </c>
      <c r="E16" s="452">
        <f>E10-E13-E14</f>
        <v>5964.7251500000129</v>
      </c>
      <c r="F16" s="453">
        <f>F10-F13-F14</f>
        <v>-3647.1900000000023</v>
      </c>
      <c r="G16" s="131"/>
      <c r="H16" s="41"/>
      <c r="I16" s="6"/>
      <c r="J16" s="1"/>
      <c r="K16" s="1"/>
      <c r="L16" s="1"/>
      <c r="M16" s="7"/>
      <c r="N16" s="7"/>
      <c r="O16" s="7"/>
      <c r="P16" s="7"/>
      <c r="Q16" s="7"/>
    </row>
    <row r="17" spans="1:17" s="20" customFormat="1" ht="4.5" customHeight="1" x14ac:dyDescent="0.3">
      <c r="A17" s="93"/>
      <c r="B17" s="452"/>
      <c r="C17" s="452"/>
      <c r="D17" s="452"/>
      <c r="E17" s="452"/>
      <c r="F17" s="453"/>
      <c r="G17" s="131"/>
      <c r="H17" s="41"/>
      <c r="I17" s="6"/>
      <c r="J17" s="1"/>
      <c r="K17" s="1"/>
      <c r="L17" s="1"/>
      <c r="M17" s="7"/>
      <c r="N17" s="7"/>
      <c r="O17" s="7"/>
      <c r="P17" s="7"/>
      <c r="Q17" s="7"/>
    </row>
    <row r="18" spans="1:17" s="20" customFormat="1" ht="13.5" customHeight="1" x14ac:dyDescent="0.3">
      <c r="A18" s="103" t="s">
        <v>960</v>
      </c>
      <c r="B18" s="480">
        <v>0.81604777656511296</v>
      </c>
      <c r="C18" s="480">
        <v>0.82317351935333682</v>
      </c>
      <c r="D18" s="480">
        <v>0.82490812492173515</v>
      </c>
      <c r="E18" s="480">
        <v>0.81679999999999997</v>
      </c>
      <c r="F18" s="481">
        <v>0.83960000000000001</v>
      </c>
      <c r="G18" s="6"/>
      <c r="H18" s="44"/>
      <c r="I18" s="6"/>
      <c r="J18" s="1"/>
      <c r="K18" s="1"/>
      <c r="L18" s="1"/>
      <c r="M18" s="7"/>
      <c r="N18" s="7"/>
      <c r="O18" s="7"/>
      <c r="P18" s="7"/>
      <c r="Q18" s="7"/>
    </row>
    <row r="19" spans="1:17" s="20" customFormat="1" ht="13.5" customHeight="1" x14ac:dyDescent="0.3">
      <c r="A19" s="103" t="s">
        <v>43</v>
      </c>
      <c r="B19" s="480">
        <v>0.87080607065486104</v>
      </c>
      <c r="C19" s="480">
        <v>0.87204053537682902</v>
      </c>
      <c r="D19" s="480">
        <v>0.88540193835577807</v>
      </c>
      <c r="E19" s="480">
        <v>0.87400000000000011</v>
      </c>
      <c r="F19" s="481">
        <v>0.8871</v>
      </c>
      <c r="G19" s="19"/>
      <c r="H19" s="6"/>
      <c r="I19" s="6"/>
      <c r="J19" s="1"/>
      <c r="K19" s="1"/>
      <c r="L19" s="1"/>
      <c r="M19" s="7"/>
      <c r="N19" s="7"/>
      <c r="O19" s="7"/>
      <c r="P19" s="7"/>
      <c r="Q19" s="7"/>
    </row>
    <row r="20" spans="1:17" s="7" customFormat="1" ht="8.1" customHeight="1" x14ac:dyDescent="0.3">
      <c r="A20" s="8"/>
      <c r="B20" s="45"/>
      <c r="C20" s="45"/>
      <c r="D20" s="45"/>
      <c r="E20" s="45"/>
      <c r="F20" s="45"/>
      <c r="G20" s="1"/>
      <c r="H20" s="1"/>
      <c r="I20" s="1"/>
      <c r="J20" s="1"/>
      <c r="K20" s="1"/>
      <c r="L20" s="1"/>
    </row>
    <row r="21" spans="1:17" s="47" customFormat="1" ht="9" x14ac:dyDescent="0.25">
      <c r="A21" s="1044" t="s">
        <v>44</v>
      </c>
      <c r="B21" s="1044"/>
      <c r="C21" s="1044"/>
      <c r="D21" s="1044"/>
      <c r="E21" s="1044"/>
      <c r="F21" s="1044"/>
      <c r="G21" s="46"/>
      <c r="H21" s="46"/>
      <c r="I21" s="46"/>
      <c r="J21" s="46"/>
      <c r="K21" s="46"/>
      <c r="L21" s="46"/>
    </row>
    <row r="22" spans="1:17" s="47" customFormat="1" ht="9" x14ac:dyDescent="0.25">
      <c r="A22" s="1044"/>
      <c r="B22" s="1044"/>
      <c r="C22" s="1044"/>
      <c r="D22" s="1044"/>
      <c r="E22" s="1044"/>
      <c r="F22" s="1044"/>
      <c r="G22" s="46"/>
      <c r="H22" s="46"/>
      <c r="I22" s="46"/>
      <c r="J22" s="46"/>
      <c r="K22" s="46"/>
      <c r="L22" s="46"/>
    </row>
    <row r="23" spans="1:17" s="47" customFormat="1" ht="11.65" customHeight="1" x14ac:dyDescent="0.25">
      <c r="A23" s="1044" t="s">
        <v>45</v>
      </c>
      <c r="B23" s="1044"/>
      <c r="C23" s="1044"/>
      <c r="D23" s="1044"/>
      <c r="E23" s="1044"/>
      <c r="F23" s="1044"/>
      <c r="G23" s="46"/>
      <c r="H23" s="46"/>
      <c r="I23" s="46"/>
      <c r="J23" s="46"/>
      <c r="K23" s="46"/>
      <c r="L23" s="46"/>
    </row>
    <row r="24" spans="1:17" s="47" customFormat="1" ht="9" x14ac:dyDescent="0.25">
      <c r="A24" s="1044" t="s">
        <v>691</v>
      </c>
      <c r="B24" s="1044"/>
      <c r="C24" s="1044"/>
      <c r="D24" s="1044"/>
      <c r="E24" s="1044"/>
      <c r="F24" s="1044"/>
      <c r="G24" s="46"/>
      <c r="H24" s="46"/>
      <c r="I24" s="46"/>
      <c r="J24" s="46"/>
      <c r="K24" s="46"/>
      <c r="L24" s="46"/>
    </row>
    <row r="25" spans="1:17" s="47" customFormat="1" ht="11.65" customHeight="1" x14ac:dyDescent="0.25">
      <c r="A25" s="1044" t="s">
        <v>962</v>
      </c>
      <c r="B25" s="1044"/>
      <c r="C25" s="1044"/>
      <c r="D25" s="1044"/>
      <c r="E25" s="1044"/>
      <c r="F25" s="1044"/>
      <c r="G25" s="46"/>
      <c r="H25" s="46"/>
      <c r="I25" s="46"/>
      <c r="J25" s="46"/>
      <c r="K25" s="46"/>
      <c r="L25" s="46"/>
    </row>
    <row r="26" spans="1:17" x14ac:dyDescent="0.3">
      <c r="A26" s="1"/>
      <c r="B26" s="48"/>
      <c r="C26" s="48"/>
      <c r="D26" s="48"/>
      <c r="E26" s="48"/>
      <c r="F26" s="48"/>
      <c r="G26" s="5"/>
      <c r="H26" s="5"/>
      <c r="I26" s="5"/>
      <c r="J26" s="5"/>
      <c r="K26" s="5"/>
      <c r="L26" s="5"/>
    </row>
    <row r="27" spans="1:17" s="7" customFormat="1" ht="15.75" customHeight="1" x14ac:dyDescent="0.3">
      <c r="A27" s="108" t="s">
        <v>692</v>
      </c>
      <c r="B27" s="930" t="s">
        <v>953</v>
      </c>
      <c r="C27" s="49" t="s">
        <v>47</v>
      </c>
      <c r="D27" s="482" t="s">
        <v>48</v>
      </c>
      <c r="E27" s="5"/>
      <c r="F27" s="5"/>
      <c r="G27" s="5"/>
      <c r="H27" s="1"/>
      <c r="I27" s="1"/>
      <c r="J27" s="1"/>
      <c r="K27" s="1"/>
      <c r="L27" s="1"/>
      <c r="M27" s="1"/>
    </row>
    <row r="28" spans="1:17" s="7" customFormat="1" ht="15.75" customHeight="1" x14ac:dyDescent="0.3">
      <c r="A28" s="92" t="s">
        <v>49</v>
      </c>
      <c r="B28" s="931"/>
      <c r="C28" s="483"/>
      <c r="D28" s="484"/>
      <c r="E28" s="1"/>
      <c r="F28" s="5"/>
      <c r="G28" s="5"/>
      <c r="H28" s="5"/>
      <c r="I28" s="1"/>
      <c r="J28" s="1"/>
      <c r="K28" s="1"/>
      <c r="L28" s="1"/>
      <c r="M28" s="1"/>
    </row>
    <row r="29" spans="1:17" s="7" customFormat="1" ht="13.5" customHeight="1" x14ac:dyDescent="0.3">
      <c r="A29" s="107" t="s">
        <v>36</v>
      </c>
      <c r="B29" s="198">
        <v>87126.14</v>
      </c>
      <c r="C29" s="198">
        <v>15509.86</v>
      </c>
      <c r="D29" s="202">
        <v>102636</v>
      </c>
      <c r="E29" s="53"/>
      <c r="F29" s="5"/>
      <c r="G29" s="5"/>
      <c r="H29" s="5"/>
      <c r="I29" s="1"/>
      <c r="J29" s="1"/>
      <c r="K29" s="1"/>
      <c r="L29" s="1"/>
      <c r="M29" s="1"/>
    </row>
    <row r="30" spans="1:17" s="7" customFormat="1" ht="13.5" customHeight="1" x14ac:dyDescent="0.3">
      <c r="A30" s="107" t="s">
        <v>50</v>
      </c>
      <c r="B30" s="198">
        <v>67182</v>
      </c>
      <c r="C30" s="198">
        <v>0</v>
      </c>
      <c r="D30" s="202">
        <v>67182</v>
      </c>
      <c r="E30" s="53"/>
      <c r="F30" s="5"/>
      <c r="G30" s="5"/>
      <c r="H30" s="5"/>
      <c r="I30" s="1"/>
      <c r="J30" s="1"/>
      <c r="K30" s="1"/>
      <c r="L30" s="1"/>
      <c r="M30" s="1"/>
    </row>
    <row r="31" spans="1:17" s="7" customFormat="1" ht="13.5" customHeight="1" x14ac:dyDescent="0.3">
      <c r="A31" s="107" t="s">
        <v>51</v>
      </c>
      <c r="B31" s="198">
        <v>0</v>
      </c>
      <c r="C31" s="198">
        <v>34719.35</v>
      </c>
      <c r="D31" s="202">
        <v>34719.35</v>
      </c>
      <c r="E31" s="1"/>
      <c r="F31" s="5"/>
      <c r="G31" s="5"/>
      <c r="H31" s="5"/>
      <c r="I31" s="1"/>
      <c r="J31" s="1"/>
      <c r="K31" s="1"/>
      <c r="L31" s="1"/>
      <c r="M31" s="1"/>
    </row>
    <row r="32" spans="1:17" s="7" customFormat="1" ht="13.5" customHeight="1" x14ac:dyDescent="0.3">
      <c r="A32" s="107" t="s">
        <v>38</v>
      </c>
      <c r="B32" s="198">
        <v>50862.89</v>
      </c>
      <c r="C32" s="198">
        <v>3612.32</v>
      </c>
      <c r="D32" s="202">
        <v>54475.21</v>
      </c>
      <c r="E32" s="1"/>
      <c r="F32" s="5"/>
      <c r="G32" s="5"/>
      <c r="H32" s="5"/>
      <c r="I32" s="1"/>
      <c r="J32" s="1"/>
      <c r="K32" s="1"/>
      <c r="L32" s="1"/>
      <c r="M32" s="1"/>
    </row>
    <row r="33" spans="1:13" s="7" customFormat="1" ht="13.5" customHeight="1" x14ac:dyDescent="0.3">
      <c r="A33" s="107" t="s">
        <v>39</v>
      </c>
      <c r="B33" s="198">
        <v>32206.13</v>
      </c>
      <c r="C33" s="198">
        <v>463.24</v>
      </c>
      <c r="D33" s="202">
        <v>32669.370000000003</v>
      </c>
      <c r="E33" s="1"/>
      <c r="F33" s="5"/>
      <c r="G33" s="5"/>
      <c r="H33" s="5"/>
      <c r="I33" s="1"/>
      <c r="J33" s="1"/>
      <c r="K33" s="1"/>
      <c r="L33" s="1"/>
      <c r="M33" s="1"/>
    </row>
    <row r="34" spans="1:13" s="7" customFormat="1" ht="13.5" customHeight="1" x14ac:dyDescent="0.3">
      <c r="A34" s="21" t="s">
        <v>52</v>
      </c>
      <c r="B34" s="199">
        <f>SUM(B29:B33)</f>
        <v>237377.16000000003</v>
      </c>
      <c r="C34" s="199">
        <f>SUM(C29:C33)</f>
        <v>54304.77</v>
      </c>
      <c r="D34" s="200">
        <f>SUM(D29:D33)</f>
        <v>291681.93</v>
      </c>
      <c r="E34" s="39"/>
      <c r="F34" s="5"/>
      <c r="G34" s="5"/>
      <c r="H34" s="5"/>
      <c r="I34" s="1"/>
      <c r="J34" s="1"/>
      <c r="K34" s="1"/>
      <c r="L34" s="1"/>
      <c r="M34" s="1"/>
    </row>
    <row r="35" spans="1:13" s="20" customFormat="1" ht="5.0999999999999996" customHeight="1" x14ac:dyDescent="0.3">
      <c r="A35" s="51"/>
      <c r="B35" s="932"/>
      <c r="C35" s="485"/>
      <c r="D35" s="486"/>
      <c r="E35" s="52"/>
      <c r="F35" s="5"/>
      <c r="G35" s="5"/>
      <c r="H35" s="5"/>
      <c r="I35" s="6"/>
      <c r="J35" s="6"/>
      <c r="K35" s="6"/>
      <c r="L35" s="6"/>
      <c r="M35" s="6"/>
    </row>
    <row r="36" spans="1:13" s="7" customFormat="1" ht="15.75" customHeight="1" x14ac:dyDescent="0.3">
      <c r="A36" s="101" t="s">
        <v>53</v>
      </c>
      <c r="B36" s="258"/>
      <c r="C36" s="483"/>
      <c r="D36" s="484"/>
      <c r="E36" s="1"/>
      <c r="F36" s="5"/>
      <c r="G36" s="5"/>
      <c r="H36" s="5"/>
      <c r="I36" s="1"/>
      <c r="J36" s="1"/>
      <c r="K36" s="1"/>
      <c r="L36" s="1"/>
      <c r="M36" s="1"/>
    </row>
    <row r="37" spans="1:13" s="7" customFormat="1" ht="13.5" customHeight="1" x14ac:dyDescent="0.3">
      <c r="A37" s="109" t="s">
        <v>54</v>
      </c>
      <c r="B37" s="472">
        <v>12207.29</v>
      </c>
      <c r="C37" s="472">
        <v>19.850000000000001</v>
      </c>
      <c r="D37" s="473">
        <v>12227.140000000001</v>
      </c>
      <c r="E37" s="1"/>
      <c r="F37" s="5"/>
      <c r="G37" s="5"/>
      <c r="H37" s="5"/>
      <c r="I37" s="1"/>
      <c r="J37" s="1"/>
      <c r="K37" s="1"/>
      <c r="L37" s="1"/>
      <c r="M37" s="1"/>
    </row>
    <row r="38" spans="1:13" s="7" customFormat="1" ht="13.5" customHeight="1" x14ac:dyDescent="0.3">
      <c r="A38" s="107" t="s">
        <v>746</v>
      </c>
      <c r="B38" s="472">
        <v>14181.54</v>
      </c>
      <c r="C38" s="472">
        <v>70926.75</v>
      </c>
      <c r="D38" s="473">
        <v>85108.290000000008</v>
      </c>
      <c r="E38" s="1"/>
      <c r="F38" s="5"/>
      <c r="G38" s="5"/>
      <c r="H38" s="5"/>
      <c r="I38" s="1"/>
      <c r="J38" s="1"/>
      <c r="K38" s="1"/>
      <c r="L38" s="1"/>
      <c r="M38" s="1"/>
    </row>
    <row r="39" spans="1:13" s="7" customFormat="1" ht="13.5" customHeight="1" x14ac:dyDescent="0.3">
      <c r="A39" s="107" t="s">
        <v>55</v>
      </c>
      <c r="B39" s="472">
        <v>0</v>
      </c>
      <c r="C39" s="472">
        <v>11.07</v>
      </c>
      <c r="D39" s="473">
        <v>11.07</v>
      </c>
      <c r="E39" s="1"/>
      <c r="F39" s="5"/>
      <c r="G39" s="5"/>
      <c r="H39" s="5"/>
      <c r="I39" s="1"/>
      <c r="J39" s="1"/>
      <c r="K39" s="1"/>
      <c r="L39" s="1"/>
      <c r="M39" s="1"/>
    </row>
    <row r="40" spans="1:13" s="7" customFormat="1" ht="13.5" customHeight="1" x14ac:dyDescent="0.3">
      <c r="A40" s="21" t="s">
        <v>56</v>
      </c>
      <c r="B40" s="487">
        <v>26388.83</v>
      </c>
      <c r="C40" s="487">
        <v>70957.670000000013</v>
      </c>
      <c r="D40" s="488">
        <v>97346.500000000015</v>
      </c>
      <c r="E40" s="53"/>
      <c r="F40" s="5"/>
      <c r="G40" s="5"/>
      <c r="H40" s="5"/>
      <c r="I40" s="1"/>
      <c r="J40" s="1"/>
      <c r="K40" s="1"/>
      <c r="L40" s="1"/>
      <c r="M40" s="1"/>
    </row>
    <row r="41" spans="1:13" s="20" customFormat="1" ht="4.5" customHeight="1" x14ac:dyDescent="0.3">
      <c r="A41" s="51"/>
      <c r="B41" s="932"/>
      <c r="C41" s="489"/>
      <c r="D41" s="490"/>
      <c r="E41" s="52"/>
      <c r="F41" s="5"/>
      <c r="G41" s="5"/>
      <c r="H41" s="5"/>
      <c r="I41" s="6"/>
      <c r="J41" s="6"/>
      <c r="K41" s="6"/>
      <c r="L41" s="6"/>
      <c r="M41" s="6"/>
    </row>
    <row r="42" spans="1:13" s="7" customFormat="1" ht="15.75" customHeight="1" x14ac:dyDescent="0.3">
      <c r="A42" s="101" t="s">
        <v>58</v>
      </c>
      <c r="B42" s="258"/>
      <c r="C42" s="491"/>
      <c r="D42" s="492"/>
      <c r="E42" s="39"/>
      <c r="F42" s="5"/>
      <c r="G42" s="5"/>
      <c r="H42" s="5"/>
      <c r="I42" s="1"/>
      <c r="J42" s="1"/>
      <c r="K42" s="1"/>
      <c r="L42" s="1"/>
      <c r="M42" s="1"/>
    </row>
    <row r="43" spans="1:13" s="7" customFormat="1" ht="13.5" customHeight="1" x14ac:dyDescent="0.3">
      <c r="A43" s="21" t="s">
        <v>769</v>
      </c>
      <c r="B43" s="487"/>
      <c r="C43" s="487"/>
      <c r="D43" s="488">
        <v>197982.571476554</v>
      </c>
      <c r="E43" s="53"/>
      <c r="F43" s="5"/>
      <c r="G43" s="5"/>
      <c r="H43" s="5"/>
      <c r="I43" s="1"/>
      <c r="J43" s="1"/>
      <c r="K43" s="1"/>
      <c r="L43" s="1"/>
      <c r="M43" s="1"/>
    </row>
    <row r="44" spans="1:13" s="20" customFormat="1" ht="4.5" customHeight="1" x14ac:dyDescent="0.3">
      <c r="A44" s="51"/>
      <c r="B44" s="932"/>
      <c r="C44" s="489"/>
      <c r="D44" s="490"/>
      <c r="E44" s="52"/>
      <c r="F44" s="5"/>
      <c r="G44" s="5"/>
      <c r="H44" s="5"/>
      <c r="I44" s="6"/>
      <c r="J44" s="6"/>
      <c r="K44" s="6"/>
      <c r="L44" s="6"/>
      <c r="M44" s="6"/>
    </row>
    <row r="45" spans="1:13" s="7" customFormat="1" ht="13.5" customHeight="1" x14ac:dyDescent="0.3">
      <c r="A45" s="950" t="s">
        <v>57</v>
      </c>
      <c r="B45" s="388"/>
      <c r="C45" s="948"/>
      <c r="D45" s="949">
        <f>D34-D40-D43</f>
        <v>-3647.1414765540103</v>
      </c>
      <c r="E45" s="54"/>
      <c r="F45" s="5"/>
      <c r="G45" s="5"/>
      <c r="H45" s="5"/>
      <c r="I45" s="1"/>
      <c r="J45" s="1"/>
      <c r="K45" s="1"/>
      <c r="L45" s="1"/>
      <c r="M45" s="1"/>
    </row>
    <row r="46" spans="1:13" s="20" customFormat="1" ht="4.5" customHeight="1" x14ac:dyDescent="0.3">
      <c r="A46" s="55"/>
      <c r="B46" s="933"/>
      <c r="C46" s="474"/>
      <c r="D46" s="475"/>
      <c r="E46" s="52"/>
      <c r="F46" s="5"/>
      <c r="G46" s="5"/>
      <c r="H46" s="5"/>
      <c r="I46" s="6"/>
      <c r="J46" s="6"/>
      <c r="K46" s="6"/>
      <c r="L46" s="6"/>
      <c r="M46" s="6"/>
    </row>
    <row r="47" spans="1:13" s="7" customFormat="1" ht="15.75" customHeight="1" x14ac:dyDescent="0.3">
      <c r="A47" s="101" t="s">
        <v>959</v>
      </c>
      <c r="B47" s="258"/>
      <c r="C47" s="493"/>
      <c r="D47" s="492">
        <v>1526886.01</v>
      </c>
      <c r="E47" s="56"/>
      <c r="F47" s="5"/>
      <c r="G47" s="5"/>
      <c r="H47" s="5"/>
      <c r="I47" s="57"/>
      <c r="J47" s="1"/>
      <c r="K47" s="1"/>
      <c r="L47" s="1"/>
      <c r="M47" s="1"/>
    </row>
    <row r="48" spans="1:13" s="7" customFormat="1" ht="15.75" customHeight="1" x14ac:dyDescent="0.3">
      <c r="A48" s="101" t="s">
        <v>973</v>
      </c>
      <c r="B48" s="258"/>
      <c r="C48" s="493"/>
      <c r="D48" s="492">
        <v>1818567.9</v>
      </c>
      <c r="E48" s="1"/>
      <c r="F48" s="5"/>
      <c r="G48" s="5"/>
      <c r="H48" s="5"/>
      <c r="I48" s="1"/>
      <c r="J48" s="1"/>
      <c r="K48" s="1"/>
      <c r="L48" s="1"/>
      <c r="M48" s="1"/>
    </row>
    <row r="49" spans="1:13" s="7" customFormat="1" ht="13.5" customHeight="1" x14ac:dyDescent="0.3">
      <c r="A49" s="1054" t="s">
        <v>974</v>
      </c>
      <c r="B49" s="1055"/>
      <c r="C49" s="1055"/>
      <c r="D49" s="494">
        <f>D47/D48</f>
        <v>0.83960901872291938</v>
      </c>
      <c r="E49" s="41"/>
      <c r="F49" s="5"/>
      <c r="G49" s="5"/>
      <c r="H49" s="5"/>
      <c r="I49" s="1"/>
      <c r="J49" s="1"/>
      <c r="K49" s="1"/>
      <c r="L49" s="1"/>
      <c r="M49" s="1"/>
    </row>
    <row r="50" spans="1:13" s="7" customFormat="1" ht="13.5" customHeight="1" x14ac:dyDescent="0.3">
      <c r="A50" s="1056" t="s">
        <v>809</v>
      </c>
      <c r="B50" s="1057"/>
      <c r="C50" s="1057"/>
      <c r="D50" s="495">
        <f>D47/(D48-D40)</f>
        <v>0.88709448418431247</v>
      </c>
      <c r="E50" s="1"/>
      <c r="F50" s="5"/>
      <c r="G50" s="5"/>
      <c r="H50" s="5"/>
      <c r="I50" s="1"/>
      <c r="J50" s="1"/>
      <c r="K50" s="1"/>
      <c r="L50" s="1"/>
      <c r="M50" s="1"/>
    </row>
    <row r="51" spans="1:13" s="20" customFormat="1" ht="4.5" customHeight="1" x14ac:dyDescent="0.3">
      <c r="A51" s="928"/>
      <c r="B51" s="929"/>
      <c r="C51" s="929"/>
      <c r="D51" s="58"/>
      <c r="E51" s="52"/>
      <c r="F51" s="5"/>
      <c r="G51" s="5"/>
      <c r="H51" s="5"/>
      <c r="I51" s="6"/>
      <c r="J51" s="6"/>
      <c r="K51" s="6"/>
      <c r="L51" s="6"/>
      <c r="M51" s="6"/>
    </row>
    <row r="52" spans="1:13" s="60" customFormat="1" ht="8.1" customHeight="1" x14ac:dyDescent="0.25">
      <c r="A52" s="1060"/>
      <c r="B52" s="1060"/>
      <c r="C52" s="1060"/>
      <c r="D52" s="1060"/>
      <c r="E52" s="1060"/>
      <c r="F52" s="1060"/>
      <c r="G52" s="59"/>
      <c r="H52" s="59"/>
      <c r="I52" s="59"/>
      <c r="J52" s="59"/>
      <c r="K52" s="59"/>
      <c r="L52" s="59"/>
    </row>
    <row r="53" spans="1:13" s="7" customFormat="1" ht="11.45" customHeight="1" x14ac:dyDescent="0.3">
      <c r="A53" s="1024" t="s">
        <v>810</v>
      </c>
      <c r="B53" s="1024"/>
      <c r="C53" s="1024"/>
      <c r="D53" s="1024"/>
      <c r="E53" s="61"/>
      <c r="F53" s="61"/>
      <c r="G53" s="1"/>
      <c r="H53" s="1"/>
      <c r="I53" s="1"/>
      <c r="J53" s="1"/>
      <c r="K53" s="1"/>
      <c r="L53" s="1"/>
    </row>
    <row r="54" spans="1:13" s="7" customFormat="1" ht="13.5" x14ac:dyDescent="0.3">
      <c r="A54" s="1024"/>
      <c r="B54" s="1024"/>
      <c r="C54" s="1024"/>
      <c r="D54" s="1024"/>
      <c r="E54" s="61"/>
      <c r="F54" s="61"/>
      <c r="G54" s="1"/>
      <c r="H54" s="1"/>
      <c r="I54" s="1"/>
      <c r="J54" s="1"/>
      <c r="K54" s="1"/>
      <c r="L54" s="1"/>
    </row>
    <row r="55" spans="1:13" s="7" customFormat="1" ht="13.5" x14ac:dyDescent="0.3">
      <c r="A55" s="1024"/>
      <c r="B55" s="1024"/>
      <c r="C55" s="1024"/>
      <c r="D55" s="1024"/>
      <c r="E55" s="61"/>
      <c r="F55" s="61"/>
      <c r="G55" s="1"/>
      <c r="H55" s="1"/>
      <c r="I55" s="1"/>
      <c r="J55" s="1"/>
      <c r="K55" s="1"/>
      <c r="L55" s="1"/>
    </row>
    <row r="56" spans="1:13" s="7" customFormat="1" ht="11.45" customHeight="1" x14ac:dyDescent="0.3">
      <c r="A56" s="1024" t="s">
        <v>59</v>
      </c>
      <c r="B56" s="1024"/>
      <c r="C56" s="1024"/>
      <c r="D56" s="1024"/>
      <c r="E56" s="61"/>
      <c r="F56" s="61"/>
      <c r="G56" s="1"/>
      <c r="H56" s="1"/>
      <c r="I56" s="1"/>
      <c r="J56" s="1"/>
      <c r="K56" s="1"/>
      <c r="L56" s="1"/>
    </row>
    <row r="57" spans="1:13" s="7" customFormat="1" ht="13.5" x14ac:dyDescent="0.3">
      <c r="A57" s="1024"/>
      <c r="B57" s="1024"/>
      <c r="C57" s="1024"/>
      <c r="D57" s="1024"/>
      <c r="E57" s="61"/>
      <c r="F57" s="61"/>
      <c r="G57" s="1"/>
      <c r="H57" s="1"/>
      <c r="I57" s="1"/>
      <c r="J57" s="1"/>
      <c r="K57" s="1"/>
      <c r="L57" s="1"/>
    </row>
    <row r="58" spans="1:13" s="7" customFormat="1" ht="13.5" x14ac:dyDescent="0.3">
      <c r="A58" s="1024"/>
      <c r="B58" s="1024"/>
      <c r="C58" s="1024"/>
      <c r="D58" s="1024"/>
      <c r="E58" s="61"/>
      <c r="F58" s="61"/>
      <c r="G58" s="1"/>
      <c r="H58" s="1"/>
      <c r="I58" s="1"/>
      <c r="J58" s="1"/>
      <c r="K58" s="1"/>
      <c r="L58" s="1"/>
    </row>
    <row r="59" spans="1:13" s="7" customFormat="1" ht="11.45" customHeight="1" x14ac:dyDescent="0.3">
      <c r="A59" s="1024" t="s">
        <v>768</v>
      </c>
      <c r="B59" s="1024"/>
      <c r="C59" s="1024"/>
      <c r="D59" s="1024"/>
      <c r="E59" s="61"/>
      <c r="F59" s="61"/>
      <c r="G59" s="1"/>
      <c r="H59" s="1"/>
      <c r="I59" s="1"/>
      <c r="J59" s="1"/>
      <c r="K59" s="1"/>
      <c r="L59" s="1"/>
    </row>
    <row r="60" spans="1:13" s="7" customFormat="1" ht="13.5" x14ac:dyDescent="0.3">
      <c r="A60" s="1024"/>
      <c r="B60" s="1024"/>
      <c r="C60" s="1024"/>
      <c r="D60" s="1024"/>
      <c r="E60" s="61"/>
      <c r="F60" s="61"/>
      <c r="G60" s="1"/>
      <c r="H60" s="1"/>
      <c r="I60" s="1"/>
      <c r="J60" s="1"/>
      <c r="K60" s="1"/>
      <c r="L60" s="1"/>
    </row>
    <row r="61" spans="1:13" s="7" customFormat="1" ht="13.5" x14ac:dyDescent="0.3">
      <c r="A61" s="1024"/>
      <c r="B61" s="1024"/>
      <c r="C61" s="1024"/>
      <c r="D61" s="1024"/>
      <c r="E61" s="61"/>
      <c r="F61" s="61"/>
      <c r="G61" s="1"/>
      <c r="H61" s="1"/>
      <c r="I61" s="1"/>
      <c r="J61" s="1"/>
      <c r="K61" s="1"/>
      <c r="L61" s="1"/>
    </row>
    <row r="62" spans="1:13" s="7" customFormat="1" ht="11.45" customHeight="1" x14ac:dyDescent="0.3">
      <c r="A62" s="1061" t="s">
        <v>745</v>
      </c>
      <c r="B62" s="1061"/>
      <c r="C62" s="1061"/>
      <c r="D62" s="1061"/>
      <c r="E62" s="62"/>
      <c r="F62" s="62"/>
      <c r="G62" s="1"/>
      <c r="H62" s="1"/>
      <c r="I62" s="1"/>
      <c r="J62" s="1"/>
      <c r="K62" s="1"/>
      <c r="L62" s="1"/>
    </row>
    <row r="63" spans="1:13" s="7" customFormat="1" ht="13.5" x14ac:dyDescent="0.3">
      <c r="A63" s="1061"/>
      <c r="B63" s="1061"/>
      <c r="C63" s="1061"/>
      <c r="D63" s="1061"/>
      <c r="E63" s="62"/>
      <c r="F63" s="62"/>
      <c r="G63" s="1"/>
      <c r="H63" s="1"/>
      <c r="I63" s="1"/>
      <c r="J63" s="1"/>
      <c r="K63" s="1"/>
      <c r="L63" s="1"/>
    </row>
    <row r="64" spans="1:13" s="7" customFormat="1" ht="13.5" x14ac:dyDescent="0.3">
      <c r="A64" s="1061"/>
      <c r="B64" s="1061"/>
      <c r="C64" s="1061"/>
      <c r="D64" s="1061"/>
      <c r="E64" s="62"/>
      <c r="F64" s="62"/>
      <c r="G64" s="1"/>
      <c r="H64" s="1"/>
      <c r="I64" s="1"/>
      <c r="J64" s="1"/>
      <c r="K64" s="1"/>
      <c r="L64" s="1"/>
    </row>
    <row r="65" spans="1:12" s="7" customFormat="1" ht="11.45" customHeight="1" x14ac:dyDescent="0.3">
      <c r="A65" s="999" t="s">
        <v>60</v>
      </c>
      <c r="B65" s="999"/>
      <c r="C65" s="999"/>
      <c r="D65" s="62"/>
      <c r="E65" s="62"/>
      <c r="F65" s="62"/>
      <c r="G65" s="1"/>
      <c r="H65" s="1"/>
      <c r="I65" s="1"/>
      <c r="J65" s="1"/>
      <c r="K65" s="1"/>
      <c r="L65" s="1"/>
    </row>
    <row r="66" spans="1:12" s="7" customFormat="1" ht="11.45" customHeight="1" x14ac:dyDescent="0.3">
      <c r="A66" s="999" t="s">
        <v>61</v>
      </c>
      <c r="B66" s="999"/>
      <c r="C66" s="999"/>
      <c r="D66" s="62"/>
      <c r="E66" s="62"/>
      <c r="F66" s="62"/>
      <c r="G66" s="1"/>
      <c r="H66" s="1"/>
      <c r="I66" s="1"/>
      <c r="J66" s="1"/>
      <c r="K66" s="1"/>
      <c r="L66" s="1"/>
    </row>
    <row r="67" spans="1:12" s="7" customFormat="1" ht="11.45" customHeight="1" x14ac:dyDescent="0.3">
      <c r="A67" s="999" t="s">
        <v>62</v>
      </c>
      <c r="B67" s="999"/>
      <c r="C67" s="999"/>
      <c r="D67" s="62"/>
      <c r="E67" s="62"/>
      <c r="F67" s="62"/>
      <c r="G67" s="1"/>
      <c r="H67" s="1"/>
      <c r="I67" s="1"/>
      <c r="J67" s="1"/>
      <c r="K67" s="1"/>
      <c r="L67" s="1"/>
    </row>
    <row r="68" spans="1:12" s="7" customFormat="1" ht="24.75" customHeight="1" x14ac:dyDescent="0.3">
      <c r="A68" s="63"/>
      <c r="B68" s="63"/>
      <c r="C68" s="63"/>
      <c r="D68" s="63"/>
      <c r="E68" s="63"/>
      <c r="F68" s="63"/>
      <c r="G68" s="1"/>
      <c r="H68" s="1"/>
      <c r="I68" s="1"/>
      <c r="J68" s="1"/>
      <c r="K68" s="1"/>
      <c r="L68" s="1"/>
    </row>
    <row r="69" spans="1:12" s="7" customFormat="1" ht="15.75" customHeight="1" x14ac:dyDescent="0.3">
      <c r="A69" s="108" t="s">
        <v>63</v>
      </c>
      <c r="B69" s="329"/>
      <c r="C69" s="329"/>
      <c r="D69" s="329"/>
      <c r="E69" s="329"/>
      <c r="F69" s="328"/>
      <c r="G69" s="1"/>
      <c r="H69" s="1"/>
      <c r="I69" s="1"/>
      <c r="J69" s="1"/>
      <c r="K69" s="1"/>
    </row>
    <row r="70" spans="1:12" s="7" customFormat="1" ht="45" customHeight="1" x14ac:dyDescent="0.3">
      <c r="A70" s="1058" t="s">
        <v>64</v>
      </c>
      <c r="B70" s="1062" t="s">
        <v>697</v>
      </c>
      <c r="C70" s="1063"/>
      <c r="D70" s="1063"/>
      <c r="E70" s="1063"/>
      <c r="F70" s="1064"/>
      <c r="G70" s="1"/>
      <c r="H70" s="1"/>
      <c r="I70" s="1"/>
      <c r="J70" s="1"/>
      <c r="K70" s="1"/>
    </row>
    <row r="71" spans="1:12" s="7" customFormat="1" ht="45" customHeight="1" x14ac:dyDescent="0.3">
      <c r="A71" s="1059"/>
      <c r="B71" s="1065" t="s">
        <v>698</v>
      </c>
      <c r="C71" s="1065"/>
      <c r="D71" s="1065"/>
      <c r="E71" s="1065"/>
      <c r="F71" s="1065"/>
      <c r="G71" s="1"/>
      <c r="H71" s="1"/>
      <c r="I71" s="1"/>
      <c r="J71" s="1"/>
      <c r="K71" s="1"/>
    </row>
    <row r="72" spans="1:12" s="7" customFormat="1" ht="45" customHeight="1" x14ac:dyDescent="0.3">
      <c r="A72" s="555" t="s">
        <v>65</v>
      </c>
      <c r="B72" s="1065" t="s">
        <v>699</v>
      </c>
      <c r="C72" s="1065"/>
      <c r="D72" s="1065"/>
      <c r="E72" s="1065"/>
      <c r="F72" s="1065"/>
      <c r="G72" s="1"/>
      <c r="H72" s="1"/>
      <c r="I72" s="1"/>
      <c r="J72" s="1"/>
      <c r="K72" s="1"/>
    </row>
    <row r="73" spans="1:12" s="7" customFormat="1" ht="11.45" customHeight="1" x14ac:dyDescent="0.3">
      <c r="A73" s="361" t="s">
        <v>811</v>
      </c>
      <c r="B73" s="338"/>
      <c r="C73" s="338"/>
      <c r="D73" s="338"/>
      <c r="E73" s="338"/>
      <c r="F73" s="338"/>
      <c r="G73" s="1"/>
      <c r="H73" s="1"/>
      <c r="I73" s="1"/>
      <c r="J73" s="1"/>
      <c r="K73" s="1"/>
      <c r="L73" s="1"/>
    </row>
    <row r="74" spans="1:12" x14ac:dyDescent="0.3">
      <c r="A74" s="1"/>
      <c r="B74" s="48"/>
      <c r="C74" s="48"/>
      <c r="D74" s="48"/>
      <c r="E74" s="48"/>
      <c r="F74" s="48"/>
      <c r="G74" s="5"/>
      <c r="H74" s="5"/>
      <c r="I74" s="5"/>
      <c r="J74" s="5"/>
      <c r="K74" s="5"/>
      <c r="L74" s="5"/>
    </row>
    <row r="75" spans="1:12" x14ac:dyDescent="0.3">
      <c r="A75" s="1"/>
      <c r="B75" s="48"/>
      <c r="C75" s="48"/>
      <c r="D75" s="48"/>
      <c r="E75" s="48"/>
      <c r="F75" s="48"/>
      <c r="G75" s="5"/>
      <c r="H75" s="5"/>
      <c r="I75" s="5"/>
      <c r="J75" s="5"/>
      <c r="K75" s="5"/>
      <c r="L75" s="5"/>
    </row>
    <row r="76" spans="1:12" x14ac:dyDescent="0.3">
      <c r="A76" s="5"/>
      <c r="B76" s="1"/>
      <c r="C76" s="1"/>
      <c r="D76" s="1"/>
      <c r="E76" s="1"/>
      <c r="F76" s="1"/>
      <c r="G76" s="5"/>
      <c r="H76" s="5"/>
      <c r="I76" s="5"/>
      <c r="J76" s="5"/>
      <c r="K76" s="5"/>
      <c r="L76" s="5"/>
    </row>
    <row r="77" spans="1:12" s="7" customFormat="1" ht="15.75" customHeight="1" x14ac:dyDescent="0.3">
      <c r="A77" s="108" t="s">
        <v>66</v>
      </c>
      <c r="B77" s="930"/>
      <c r="C77" s="64"/>
      <c r="D77" s="64"/>
      <c r="E77" s="64"/>
      <c r="F77" s="65"/>
      <c r="G77" s="1"/>
      <c r="H77" s="1"/>
      <c r="I77" s="1"/>
      <c r="J77" s="1"/>
      <c r="K77" s="1"/>
      <c r="L77" s="1"/>
    </row>
    <row r="78" spans="1:12" ht="15" x14ac:dyDescent="0.25">
      <c r="A78" s="1066" t="s">
        <v>67</v>
      </c>
      <c r="B78" s="1051" t="s">
        <v>954</v>
      </c>
      <c r="C78" s="1067" t="s">
        <v>68</v>
      </c>
      <c r="D78" s="1068" t="s">
        <v>66</v>
      </c>
      <c r="E78" s="1069"/>
      <c r="F78" s="1069"/>
      <c r="G78" s="5"/>
      <c r="H78" s="5"/>
      <c r="I78" s="5"/>
      <c r="J78" s="5"/>
      <c r="K78" s="5"/>
      <c r="L78" s="5"/>
    </row>
    <row r="79" spans="1:12" ht="25.5" x14ac:dyDescent="0.25">
      <c r="A79" s="1066"/>
      <c r="B79" s="1051"/>
      <c r="C79" s="1067"/>
      <c r="D79" s="496" t="s">
        <v>69</v>
      </c>
      <c r="E79" s="496" t="s">
        <v>129</v>
      </c>
      <c r="F79" s="497" t="s">
        <v>130</v>
      </c>
      <c r="G79" s="5"/>
      <c r="H79" s="5"/>
      <c r="I79" s="5"/>
      <c r="J79" s="5"/>
      <c r="K79" s="5"/>
      <c r="L79" s="5"/>
    </row>
    <row r="80" spans="1:12" ht="12" customHeight="1" x14ac:dyDescent="0.3">
      <c r="A80" s="110" t="s">
        <v>16</v>
      </c>
      <c r="B80" s="935" t="s">
        <v>955</v>
      </c>
      <c r="C80" s="499" t="s">
        <v>36</v>
      </c>
      <c r="D80" s="499" t="s">
        <v>70</v>
      </c>
      <c r="E80" s="498"/>
      <c r="F80" s="500"/>
      <c r="G80" s="5"/>
      <c r="H80" s="5"/>
      <c r="I80" s="5"/>
      <c r="J80" s="5"/>
      <c r="K80" s="5"/>
      <c r="L80" s="5"/>
    </row>
    <row r="81" spans="1:12" ht="12" customHeight="1" x14ac:dyDescent="0.3">
      <c r="A81" s="111" t="s">
        <v>71</v>
      </c>
      <c r="B81" s="1"/>
      <c r="C81" s="502" t="s">
        <v>37</v>
      </c>
      <c r="D81" s="502"/>
      <c r="E81" s="501"/>
      <c r="F81" s="503"/>
      <c r="G81" s="5"/>
      <c r="H81" s="5"/>
      <c r="I81" s="5"/>
      <c r="J81" s="5"/>
      <c r="K81" s="5"/>
      <c r="L81" s="5"/>
    </row>
    <row r="82" spans="1:12" ht="12" customHeight="1" x14ac:dyDescent="0.3">
      <c r="A82" s="112"/>
      <c r="B82" s="1"/>
      <c r="C82" s="502" t="s">
        <v>38</v>
      </c>
      <c r="D82" s="502"/>
      <c r="E82" s="501"/>
      <c r="F82" s="503"/>
      <c r="G82" s="5"/>
      <c r="H82" s="5"/>
      <c r="I82" s="5"/>
      <c r="J82" s="5"/>
      <c r="K82" s="5"/>
      <c r="L82" s="5"/>
    </row>
    <row r="83" spans="1:12" ht="12" customHeight="1" x14ac:dyDescent="0.3">
      <c r="A83" s="113"/>
      <c r="B83" s="66"/>
      <c r="C83" s="505" t="s">
        <v>251</v>
      </c>
      <c r="D83" s="505"/>
      <c r="E83" s="504"/>
      <c r="F83" s="506"/>
      <c r="G83" s="5"/>
      <c r="H83" s="5"/>
      <c r="I83" s="5"/>
      <c r="J83" s="5"/>
      <c r="K83" s="5"/>
      <c r="L83" s="5"/>
    </row>
    <row r="84" spans="1:12" ht="12" customHeight="1" x14ac:dyDescent="0.3">
      <c r="A84" s="110" t="s">
        <v>23</v>
      </c>
      <c r="B84" s="935" t="s">
        <v>956</v>
      </c>
      <c r="C84" s="499" t="s">
        <v>36</v>
      </c>
      <c r="D84" s="499" t="s">
        <v>72</v>
      </c>
      <c r="E84" s="498"/>
      <c r="F84" s="500" t="s">
        <v>73</v>
      </c>
      <c r="G84" s="5"/>
      <c r="H84" s="5"/>
      <c r="I84" s="5"/>
      <c r="J84" s="5"/>
      <c r="K84" s="5"/>
      <c r="L84" s="5"/>
    </row>
    <row r="85" spans="1:12" ht="12" customHeight="1" x14ac:dyDescent="0.3">
      <c r="A85" s="111" t="s">
        <v>74</v>
      </c>
      <c r="B85" s="1"/>
      <c r="C85" s="502" t="s">
        <v>37</v>
      </c>
      <c r="D85" s="502"/>
      <c r="E85" s="501"/>
      <c r="F85" s="503"/>
      <c r="G85" s="5"/>
      <c r="H85" s="5"/>
      <c r="I85" s="5"/>
      <c r="J85" s="5"/>
      <c r="K85" s="5"/>
      <c r="L85" s="5"/>
    </row>
    <row r="86" spans="1:12" ht="12" customHeight="1" x14ac:dyDescent="0.3">
      <c r="A86" s="112"/>
      <c r="B86" s="1"/>
      <c r="C86" s="502" t="s">
        <v>38</v>
      </c>
      <c r="D86" s="502"/>
      <c r="E86" s="501"/>
      <c r="F86" s="503"/>
      <c r="G86" s="5"/>
      <c r="H86" s="5"/>
      <c r="I86" s="5"/>
      <c r="J86" s="5"/>
      <c r="K86" s="5"/>
      <c r="L86" s="5"/>
    </row>
    <row r="87" spans="1:12" ht="12" customHeight="1" x14ac:dyDescent="0.3">
      <c r="A87" s="113"/>
      <c r="B87" s="66"/>
      <c r="C87" s="505" t="s">
        <v>251</v>
      </c>
      <c r="D87" s="505"/>
      <c r="E87" s="504"/>
      <c r="F87" s="506"/>
      <c r="G87" s="5"/>
      <c r="H87" s="5"/>
      <c r="I87" s="5"/>
      <c r="J87" s="5"/>
      <c r="K87" s="5"/>
      <c r="L87" s="5"/>
    </row>
    <row r="88" spans="1:12" ht="12" customHeight="1" x14ac:dyDescent="0.3">
      <c r="A88" s="110" t="s">
        <v>75</v>
      </c>
      <c r="B88" s="935" t="s">
        <v>955</v>
      </c>
      <c r="C88" s="499" t="s">
        <v>36</v>
      </c>
      <c r="D88" s="499" t="s">
        <v>70</v>
      </c>
      <c r="E88" s="498"/>
      <c r="F88" s="500"/>
      <c r="G88" s="5"/>
      <c r="H88" s="5"/>
      <c r="I88" s="5"/>
      <c r="J88" s="5"/>
      <c r="K88" s="5"/>
      <c r="L88" s="5"/>
    </row>
    <row r="89" spans="1:12" ht="12" customHeight="1" x14ac:dyDescent="0.3">
      <c r="A89" s="111" t="s">
        <v>76</v>
      </c>
      <c r="B89" s="1"/>
      <c r="C89" s="502" t="s">
        <v>38</v>
      </c>
      <c r="D89" s="502"/>
      <c r="E89" s="501"/>
      <c r="F89" s="503"/>
      <c r="G89" s="5"/>
      <c r="H89" s="5"/>
      <c r="I89" s="5"/>
      <c r="J89" s="5"/>
      <c r="K89" s="5"/>
      <c r="L89" s="5"/>
    </row>
    <row r="90" spans="1:12" ht="12" customHeight="1" x14ac:dyDescent="0.3">
      <c r="A90" s="112"/>
      <c r="B90" s="1"/>
      <c r="C90" s="502" t="s">
        <v>251</v>
      </c>
      <c r="D90" s="502"/>
      <c r="E90" s="501"/>
      <c r="F90" s="503"/>
      <c r="G90" s="5"/>
      <c r="H90" s="5"/>
      <c r="I90" s="5"/>
      <c r="J90" s="5"/>
      <c r="K90" s="5"/>
      <c r="L90" s="5"/>
    </row>
    <row r="91" spans="1:12" ht="12" customHeight="1" x14ac:dyDescent="0.3">
      <c r="A91" s="113"/>
      <c r="B91" s="66"/>
      <c r="C91" s="505"/>
      <c r="D91" s="505"/>
      <c r="E91" s="504"/>
      <c r="F91" s="506"/>
      <c r="G91" s="5"/>
      <c r="H91" s="5"/>
      <c r="I91" s="5"/>
      <c r="J91" s="5"/>
      <c r="K91" s="5"/>
      <c r="L91" s="5"/>
    </row>
    <row r="92" spans="1:12" ht="12" customHeight="1" x14ac:dyDescent="0.3">
      <c r="A92" s="110" t="s">
        <v>19</v>
      </c>
      <c r="B92" s="935" t="s">
        <v>957</v>
      </c>
      <c r="C92" s="499" t="s">
        <v>36</v>
      </c>
      <c r="D92" s="499" t="s">
        <v>70</v>
      </c>
      <c r="E92" s="498"/>
      <c r="F92" s="500"/>
      <c r="G92" s="5"/>
      <c r="H92" s="5"/>
      <c r="I92" s="5"/>
      <c r="J92" s="5"/>
      <c r="K92" s="5"/>
      <c r="L92" s="5"/>
    </row>
    <row r="93" spans="1:12" ht="12" customHeight="1" x14ac:dyDescent="0.3">
      <c r="A93" s="111" t="s">
        <v>77</v>
      </c>
      <c r="B93" s="1"/>
      <c r="C93" s="502" t="s">
        <v>37</v>
      </c>
      <c r="D93" s="502"/>
      <c r="E93" s="501"/>
      <c r="F93" s="503"/>
      <c r="G93" s="5"/>
      <c r="H93" s="5"/>
      <c r="I93" s="5"/>
      <c r="J93" s="5"/>
      <c r="K93" s="5"/>
      <c r="L93" s="5"/>
    </row>
    <row r="94" spans="1:12" ht="12" customHeight="1" x14ac:dyDescent="0.3">
      <c r="A94" s="112"/>
      <c r="B94" s="1"/>
      <c r="C94" s="502" t="s">
        <v>38</v>
      </c>
      <c r="D94" s="502"/>
      <c r="E94" s="501"/>
      <c r="F94" s="503"/>
      <c r="G94" s="5"/>
      <c r="H94" s="5"/>
      <c r="I94" s="5"/>
      <c r="J94" s="5"/>
      <c r="K94" s="5"/>
      <c r="L94" s="5"/>
    </row>
    <row r="95" spans="1:12" ht="12" customHeight="1" x14ac:dyDescent="0.3">
      <c r="A95" s="113"/>
      <c r="B95" s="66"/>
      <c r="C95" s="505"/>
      <c r="D95" s="505"/>
      <c r="E95" s="504"/>
      <c r="F95" s="506"/>
      <c r="G95" s="5"/>
      <c r="H95" s="5"/>
      <c r="I95" s="5"/>
      <c r="J95" s="5"/>
      <c r="K95" s="5"/>
      <c r="L95" s="5"/>
    </row>
    <row r="96" spans="1:12" ht="12" customHeight="1" x14ac:dyDescent="0.3">
      <c r="A96" s="110" t="s">
        <v>22</v>
      </c>
      <c r="B96" s="935" t="s">
        <v>956</v>
      </c>
      <c r="C96" s="499" t="s">
        <v>36</v>
      </c>
      <c r="D96" s="499" t="s">
        <v>78</v>
      </c>
      <c r="E96" s="498"/>
      <c r="F96" s="500" t="s">
        <v>73</v>
      </c>
      <c r="G96" s="5"/>
      <c r="H96" s="5"/>
      <c r="I96" s="5"/>
      <c r="J96" s="5"/>
      <c r="K96" s="5"/>
      <c r="L96" s="5"/>
    </row>
    <row r="97" spans="1:12" ht="12" customHeight="1" x14ac:dyDescent="0.3">
      <c r="A97" s="111" t="s">
        <v>79</v>
      </c>
      <c r="B97" s="1"/>
      <c r="C97" s="502" t="s">
        <v>38</v>
      </c>
      <c r="D97" s="502"/>
      <c r="E97" s="501"/>
      <c r="F97" s="503"/>
      <c r="G97" s="5"/>
      <c r="H97" s="5"/>
      <c r="I97" s="5"/>
      <c r="J97" s="5"/>
      <c r="K97" s="5"/>
      <c r="L97" s="5"/>
    </row>
    <row r="98" spans="1:12" ht="12" customHeight="1" x14ac:dyDescent="0.3">
      <c r="A98" s="112"/>
      <c r="B98" s="1"/>
      <c r="C98" s="502"/>
      <c r="D98" s="502"/>
      <c r="E98" s="501"/>
      <c r="F98" s="503"/>
      <c r="G98" s="5"/>
      <c r="H98" s="5"/>
      <c r="I98" s="5"/>
      <c r="J98" s="5"/>
      <c r="K98" s="5"/>
      <c r="L98" s="5"/>
    </row>
    <row r="99" spans="1:12" ht="12" customHeight="1" x14ac:dyDescent="0.3">
      <c r="A99" s="113"/>
      <c r="B99" s="66"/>
      <c r="C99" s="505"/>
      <c r="D99" s="505"/>
      <c r="E99" s="504"/>
      <c r="F99" s="506"/>
      <c r="G99" s="5"/>
      <c r="H99" s="5"/>
      <c r="I99" s="5"/>
      <c r="J99" s="5"/>
      <c r="K99" s="5"/>
      <c r="L99" s="5"/>
    </row>
    <row r="100" spans="1:12" ht="12" customHeight="1" x14ac:dyDescent="0.3">
      <c r="A100" s="110" t="s">
        <v>20</v>
      </c>
      <c r="B100" s="935" t="s">
        <v>957</v>
      </c>
      <c r="C100" s="499" t="s">
        <v>36</v>
      </c>
      <c r="D100" s="499" t="s">
        <v>80</v>
      </c>
      <c r="E100" s="498" t="s">
        <v>73</v>
      </c>
      <c r="F100" s="500"/>
      <c r="G100" s="5"/>
      <c r="H100" s="5"/>
      <c r="I100" s="5"/>
      <c r="J100" s="5"/>
      <c r="K100" s="5"/>
      <c r="L100" s="5"/>
    </row>
    <row r="101" spans="1:12" ht="12" customHeight="1" x14ac:dyDescent="0.3">
      <c r="A101" s="111" t="s">
        <v>77</v>
      </c>
      <c r="B101" s="1"/>
      <c r="C101" s="502" t="s">
        <v>37</v>
      </c>
      <c r="D101" s="502"/>
      <c r="E101" s="501"/>
      <c r="F101" s="503"/>
      <c r="G101" s="5"/>
      <c r="H101" s="5"/>
      <c r="I101" s="5"/>
      <c r="J101" s="5"/>
      <c r="K101" s="5"/>
      <c r="L101" s="5"/>
    </row>
    <row r="102" spans="1:12" ht="12" customHeight="1" x14ac:dyDescent="0.3">
      <c r="A102" s="112"/>
      <c r="B102" s="1"/>
      <c r="C102" s="502" t="s">
        <v>38</v>
      </c>
      <c r="D102" s="502"/>
      <c r="E102" s="501"/>
      <c r="F102" s="503"/>
      <c r="G102" s="5"/>
      <c r="H102" s="5"/>
      <c r="I102" s="5"/>
      <c r="J102" s="5"/>
      <c r="K102" s="5"/>
      <c r="L102" s="5"/>
    </row>
    <row r="103" spans="1:12" ht="12" customHeight="1" x14ac:dyDescent="0.3">
      <c r="A103" s="113"/>
      <c r="B103" s="66"/>
      <c r="C103" s="505"/>
      <c r="D103" s="505"/>
      <c r="E103" s="504"/>
      <c r="F103" s="506"/>
      <c r="G103" s="5"/>
      <c r="H103" s="5"/>
      <c r="I103" s="5"/>
      <c r="J103" s="5"/>
      <c r="K103" s="5"/>
      <c r="L103" s="5"/>
    </row>
    <row r="104" spans="1:12" ht="12" customHeight="1" x14ac:dyDescent="0.3">
      <c r="A104" s="110" t="s">
        <v>81</v>
      </c>
      <c r="B104" s="935" t="s">
        <v>955</v>
      </c>
      <c r="C104" s="499" t="s">
        <v>36</v>
      </c>
      <c r="D104" s="499" t="s">
        <v>80</v>
      </c>
      <c r="E104" s="498" t="s">
        <v>73</v>
      </c>
      <c r="F104" s="500" t="s">
        <v>73</v>
      </c>
      <c r="G104" s="5"/>
      <c r="H104" s="5"/>
      <c r="I104" s="5"/>
      <c r="J104" s="5"/>
      <c r="K104" s="5"/>
      <c r="L104" s="5"/>
    </row>
    <row r="105" spans="1:12" ht="12" customHeight="1" x14ac:dyDescent="0.3">
      <c r="A105" s="111" t="s">
        <v>71</v>
      </c>
      <c r="B105" s="1"/>
      <c r="C105" s="502" t="s">
        <v>37</v>
      </c>
      <c r="D105" s="502"/>
      <c r="E105" s="501"/>
      <c r="F105" s="503"/>
      <c r="G105" s="5"/>
      <c r="H105" s="5"/>
      <c r="I105" s="5"/>
      <c r="J105" s="5"/>
      <c r="K105" s="5"/>
      <c r="L105" s="5"/>
    </row>
    <row r="106" spans="1:12" ht="12" customHeight="1" x14ac:dyDescent="0.3">
      <c r="A106" s="112"/>
      <c r="B106" s="1"/>
      <c r="C106" s="502" t="s">
        <v>38</v>
      </c>
      <c r="D106" s="502"/>
      <c r="E106" s="501"/>
      <c r="F106" s="503"/>
      <c r="G106" s="5"/>
      <c r="H106" s="5"/>
      <c r="I106" s="5"/>
      <c r="J106" s="5"/>
      <c r="K106" s="5"/>
      <c r="L106" s="5"/>
    </row>
    <row r="107" spans="1:12" ht="12" customHeight="1" x14ac:dyDescent="0.3">
      <c r="A107" s="113"/>
      <c r="B107" s="66"/>
      <c r="C107" s="505" t="s">
        <v>251</v>
      </c>
      <c r="D107" s="505"/>
      <c r="E107" s="504"/>
      <c r="F107" s="506"/>
      <c r="G107" s="5"/>
      <c r="H107" s="5"/>
      <c r="I107" s="5"/>
      <c r="J107" s="5"/>
      <c r="K107" s="5"/>
      <c r="L107" s="5"/>
    </row>
    <row r="108" spans="1:12" ht="12" customHeight="1" x14ac:dyDescent="0.3">
      <c r="A108" s="110" t="s">
        <v>17</v>
      </c>
      <c r="B108" s="935" t="s">
        <v>955</v>
      </c>
      <c r="C108" s="499" t="s">
        <v>36</v>
      </c>
      <c r="D108" s="499" t="s">
        <v>80</v>
      </c>
      <c r="E108" s="498"/>
      <c r="F108" s="500" t="s">
        <v>73</v>
      </c>
      <c r="G108" s="5"/>
      <c r="H108" s="5"/>
      <c r="I108" s="5"/>
      <c r="J108" s="5"/>
      <c r="K108" s="5"/>
      <c r="L108" s="5"/>
    </row>
    <row r="109" spans="1:12" ht="12" customHeight="1" x14ac:dyDescent="0.3">
      <c r="A109" s="111" t="s">
        <v>71</v>
      </c>
      <c r="B109" s="1"/>
      <c r="C109" s="502" t="s">
        <v>37</v>
      </c>
      <c r="D109" s="502"/>
      <c r="E109" s="501"/>
      <c r="F109" s="503"/>
      <c r="G109" s="5"/>
      <c r="H109" s="5"/>
      <c r="I109" s="5"/>
      <c r="J109" s="5"/>
      <c r="K109" s="5"/>
      <c r="L109" s="5"/>
    </row>
    <row r="110" spans="1:12" ht="12" customHeight="1" x14ac:dyDescent="0.3">
      <c r="A110" s="112"/>
      <c r="B110" s="1"/>
      <c r="C110" s="502" t="s">
        <v>38</v>
      </c>
      <c r="D110" s="502"/>
      <c r="E110" s="501"/>
      <c r="F110" s="503"/>
      <c r="G110" s="5"/>
      <c r="H110" s="5"/>
      <c r="I110" s="5"/>
      <c r="J110" s="5"/>
      <c r="K110" s="5"/>
      <c r="L110" s="5"/>
    </row>
    <row r="111" spans="1:12" ht="12" customHeight="1" x14ac:dyDescent="0.3">
      <c r="A111" s="113"/>
      <c r="B111" s="66"/>
      <c r="C111" s="505" t="s">
        <v>251</v>
      </c>
      <c r="D111" s="505"/>
      <c r="E111" s="504"/>
      <c r="F111" s="506"/>
      <c r="G111" s="5"/>
      <c r="H111" s="5"/>
      <c r="I111" s="5"/>
      <c r="J111" s="5"/>
      <c r="K111" s="5"/>
      <c r="L111" s="5"/>
    </row>
    <row r="112" spans="1:12" ht="12" customHeight="1" x14ac:dyDescent="0.3">
      <c r="A112" s="110" t="s">
        <v>82</v>
      </c>
      <c r="B112" s="1052" t="s">
        <v>958</v>
      </c>
      <c r="C112" s="499" t="s">
        <v>36</v>
      </c>
      <c r="D112" s="499" t="s">
        <v>83</v>
      </c>
      <c r="E112" s="498" t="s">
        <v>73</v>
      </c>
      <c r="F112" s="500"/>
      <c r="G112" s="5"/>
      <c r="H112" s="5"/>
      <c r="I112" s="5"/>
      <c r="J112" s="5"/>
      <c r="K112" s="5"/>
      <c r="L112" s="5"/>
    </row>
    <row r="113" spans="1:12" ht="12" customHeight="1" x14ac:dyDescent="0.3">
      <c r="A113" s="111" t="s">
        <v>84</v>
      </c>
      <c r="B113" s="1053"/>
      <c r="C113" s="502" t="s">
        <v>37</v>
      </c>
      <c r="D113" s="502"/>
      <c r="E113" s="501"/>
      <c r="F113" s="503"/>
      <c r="G113" s="5"/>
      <c r="H113" s="5"/>
      <c r="I113" s="5"/>
      <c r="J113" s="5"/>
      <c r="K113" s="5"/>
      <c r="L113" s="5"/>
    </row>
    <row r="114" spans="1:12" ht="12" customHeight="1" x14ac:dyDescent="0.3">
      <c r="A114" s="112"/>
      <c r="B114" s="1053"/>
      <c r="C114" s="502" t="s">
        <v>38</v>
      </c>
      <c r="D114" s="502"/>
      <c r="E114" s="501"/>
      <c r="F114" s="503"/>
      <c r="G114" s="5"/>
      <c r="H114" s="5"/>
      <c r="I114" s="5"/>
      <c r="J114" s="5"/>
      <c r="K114" s="5"/>
      <c r="L114" s="5"/>
    </row>
    <row r="115" spans="1:12" ht="12" customHeight="1" x14ac:dyDescent="0.3">
      <c r="A115" s="113"/>
      <c r="B115" s="66"/>
      <c r="C115" s="505"/>
      <c r="D115" s="505"/>
      <c r="E115" s="504"/>
      <c r="F115" s="506"/>
      <c r="G115" s="5"/>
      <c r="H115" s="5"/>
      <c r="I115" s="5"/>
      <c r="J115" s="5"/>
      <c r="K115" s="5"/>
      <c r="L115" s="5"/>
    </row>
    <row r="116" spans="1:12" ht="12" customHeight="1" x14ac:dyDescent="0.3">
      <c r="A116" s="110" t="s">
        <v>85</v>
      </c>
      <c r="B116" s="935" t="s">
        <v>955</v>
      </c>
      <c r="C116" s="499" t="s">
        <v>36</v>
      </c>
      <c r="D116" s="499" t="s">
        <v>80</v>
      </c>
      <c r="E116" s="498"/>
      <c r="F116" s="500" t="s">
        <v>73</v>
      </c>
      <c r="G116" s="5"/>
      <c r="H116" s="5"/>
      <c r="I116" s="5"/>
      <c r="J116" s="5"/>
      <c r="K116" s="5"/>
      <c r="L116" s="5"/>
    </row>
    <row r="117" spans="1:12" ht="12" customHeight="1" x14ac:dyDescent="0.3">
      <c r="A117" s="111" t="s">
        <v>71</v>
      </c>
      <c r="B117" s="1"/>
      <c r="C117" s="502" t="s">
        <v>38</v>
      </c>
      <c r="D117" s="502"/>
      <c r="E117" s="501"/>
      <c r="F117" s="503"/>
      <c r="G117" s="5"/>
      <c r="H117" s="5"/>
      <c r="I117" s="5"/>
      <c r="J117" s="5"/>
      <c r="K117" s="5"/>
      <c r="L117" s="5"/>
    </row>
    <row r="118" spans="1:12" ht="12" customHeight="1" x14ac:dyDescent="0.3">
      <c r="A118" s="112"/>
      <c r="B118" s="1"/>
      <c r="C118" s="502"/>
      <c r="D118" s="502"/>
      <c r="E118" s="501"/>
      <c r="F118" s="503"/>
      <c r="G118" s="5"/>
      <c r="H118" s="5"/>
      <c r="I118" s="5"/>
      <c r="J118" s="5"/>
      <c r="K118" s="5"/>
      <c r="L118" s="5"/>
    </row>
    <row r="119" spans="1:12" ht="12" customHeight="1" x14ac:dyDescent="0.3">
      <c r="A119" s="113"/>
      <c r="B119" s="66"/>
      <c r="C119" s="505"/>
      <c r="D119" s="505"/>
      <c r="E119" s="504"/>
      <c r="F119" s="506"/>
      <c r="G119" s="5"/>
      <c r="H119" s="5"/>
      <c r="I119" s="5"/>
      <c r="J119" s="5"/>
      <c r="K119" s="5"/>
      <c r="L119" s="5"/>
    </row>
    <row r="120" spans="1:12" ht="12" customHeight="1" x14ac:dyDescent="0.3">
      <c r="A120" s="110" t="s">
        <v>18</v>
      </c>
      <c r="B120" s="935" t="s">
        <v>955</v>
      </c>
      <c r="C120" s="499" t="s">
        <v>36</v>
      </c>
      <c r="D120" s="499" t="s">
        <v>80</v>
      </c>
      <c r="E120" s="498"/>
      <c r="F120" s="500" t="s">
        <v>73</v>
      </c>
      <c r="G120" s="5"/>
      <c r="H120" s="5"/>
      <c r="I120" s="5"/>
      <c r="J120" s="5"/>
      <c r="K120" s="5"/>
      <c r="L120" s="5"/>
    </row>
    <row r="121" spans="1:12" ht="12" customHeight="1" x14ac:dyDescent="0.3">
      <c r="A121" s="111" t="s">
        <v>71</v>
      </c>
      <c r="B121" s="1"/>
      <c r="C121" s="502" t="s">
        <v>38</v>
      </c>
      <c r="D121" s="502"/>
      <c r="E121" s="501"/>
      <c r="F121" s="503"/>
      <c r="G121" s="5"/>
      <c r="H121" s="5"/>
      <c r="I121" s="5"/>
      <c r="J121" s="5"/>
      <c r="K121" s="5"/>
      <c r="L121" s="5"/>
    </row>
    <row r="122" spans="1:12" ht="12" customHeight="1" x14ac:dyDescent="0.3">
      <c r="A122" s="112"/>
      <c r="B122" s="1"/>
      <c r="C122" s="502"/>
      <c r="D122" s="502"/>
      <c r="E122" s="501"/>
      <c r="F122" s="503"/>
      <c r="G122" s="5"/>
      <c r="H122" s="5"/>
      <c r="I122" s="5"/>
      <c r="J122" s="5"/>
      <c r="K122" s="5"/>
      <c r="L122" s="5"/>
    </row>
    <row r="123" spans="1:12" ht="12" customHeight="1" x14ac:dyDescent="0.3">
      <c r="A123" s="113"/>
      <c r="B123" s="66"/>
      <c r="C123" s="505"/>
      <c r="D123" s="505"/>
      <c r="E123" s="504"/>
      <c r="F123" s="506"/>
      <c r="G123" s="5"/>
      <c r="H123" s="5"/>
      <c r="I123" s="5"/>
      <c r="J123" s="5"/>
      <c r="K123" s="5"/>
      <c r="L123" s="5"/>
    </row>
    <row r="124" spans="1:12" ht="12" customHeight="1" x14ac:dyDescent="0.3">
      <c r="A124" s="110" t="s">
        <v>21</v>
      </c>
      <c r="B124" s="935" t="s">
        <v>955</v>
      </c>
      <c r="C124" s="499" t="s">
        <v>36</v>
      </c>
      <c r="D124" s="499" t="s">
        <v>70</v>
      </c>
      <c r="E124" s="498"/>
      <c r="F124" s="500"/>
      <c r="G124" s="5"/>
      <c r="H124" s="5"/>
      <c r="I124" s="5"/>
      <c r="J124" s="5"/>
      <c r="K124" s="5"/>
      <c r="L124" s="5"/>
    </row>
    <row r="125" spans="1:12" ht="12" customHeight="1" x14ac:dyDescent="0.3">
      <c r="A125" s="111" t="s">
        <v>76</v>
      </c>
      <c r="B125" s="1"/>
      <c r="C125" s="502" t="s">
        <v>38</v>
      </c>
      <c r="D125" s="502"/>
      <c r="E125" s="501"/>
      <c r="F125" s="503"/>
      <c r="G125" s="5"/>
      <c r="H125" s="5"/>
      <c r="I125" s="5"/>
      <c r="J125" s="5"/>
      <c r="K125" s="5"/>
      <c r="L125" s="5"/>
    </row>
    <row r="126" spans="1:12" ht="12" customHeight="1" x14ac:dyDescent="0.3">
      <c r="A126" s="112"/>
      <c r="B126" s="1"/>
      <c r="C126" s="502" t="s">
        <v>38</v>
      </c>
      <c r="D126" s="502"/>
      <c r="E126" s="501"/>
      <c r="F126" s="503"/>
      <c r="G126" s="5"/>
      <c r="H126" s="5"/>
      <c r="I126" s="5"/>
      <c r="J126" s="5"/>
      <c r="K126" s="5"/>
      <c r="L126" s="5"/>
    </row>
    <row r="127" spans="1:12" ht="12" customHeight="1" x14ac:dyDescent="0.3">
      <c r="A127" s="113"/>
      <c r="B127" s="66"/>
      <c r="C127" s="114"/>
      <c r="D127" s="114"/>
      <c r="E127" s="115"/>
      <c r="F127" s="116"/>
      <c r="G127" s="5"/>
      <c r="H127" s="5"/>
      <c r="I127" s="5"/>
      <c r="J127" s="5"/>
      <c r="K127" s="5"/>
      <c r="L127" s="5"/>
    </row>
    <row r="128" spans="1:12" ht="8.1" customHeight="1" x14ac:dyDescent="0.3">
      <c r="A128" s="95"/>
      <c r="B128" s="1"/>
      <c r="C128" s="1"/>
      <c r="D128" s="48"/>
      <c r="E128" s="48"/>
      <c r="F128" s="48"/>
      <c r="G128" s="5"/>
      <c r="H128" s="5"/>
      <c r="I128" s="5"/>
      <c r="J128" s="5"/>
      <c r="K128" s="5"/>
      <c r="L128" s="5"/>
    </row>
    <row r="129" spans="1:12" ht="15" x14ac:dyDescent="0.25">
      <c r="A129" s="169" t="s">
        <v>86</v>
      </c>
      <c r="B129" s="169"/>
      <c r="C129" s="169"/>
      <c r="D129" s="169"/>
      <c r="E129" s="169"/>
      <c r="F129" s="169"/>
      <c r="G129" s="5"/>
      <c r="H129" s="5"/>
      <c r="I129" s="5"/>
      <c r="J129" s="5"/>
      <c r="K129" s="5"/>
      <c r="L129" s="5"/>
    </row>
    <row r="130" spans="1:12" ht="15" x14ac:dyDescent="0.25">
      <c r="A130" s="169" t="s">
        <v>87</v>
      </c>
      <c r="B130" s="169"/>
      <c r="C130" s="169"/>
      <c r="D130" s="169"/>
      <c r="E130" s="169"/>
      <c r="F130" s="169"/>
      <c r="G130" s="5"/>
      <c r="H130" s="5"/>
      <c r="I130" s="5"/>
      <c r="J130" s="5"/>
      <c r="K130" s="5"/>
      <c r="L130" s="5"/>
    </row>
    <row r="131" spans="1:12" ht="14.45" customHeight="1" x14ac:dyDescent="0.25">
      <c r="A131" s="999" t="s">
        <v>252</v>
      </c>
      <c r="B131" s="999"/>
      <c r="C131" s="999"/>
      <c r="D131" s="999"/>
      <c r="E131" s="999"/>
      <c r="F131" s="778"/>
      <c r="G131" s="5"/>
      <c r="H131" s="5"/>
      <c r="I131" s="5"/>
      <c r="J131" s="5"/>
      <c r="K131" s="5"/>
      <c r="L131" s="5"/>
    </row>
    <row r="132" spans="1:12" ht="15" x14ac:dyDescent="0.25">
      <c r="A132" s="999"/>
      <c r="B132" s="999"/>
      <c r="C132" s="999"/>
      <c r="D132" s="999"/>
      <c r="E132" s="999"/>
      <c r="F132" s="778"/>
      <c r="G132" s="5"/>
      <c r="H132" s="5"/>
      <c r="I132" s="5"/>
      <c r="J132" s="5"/>
      <c r="K132" s="5"/>
      <c r="L132" s="5"/>
    </row>
    <row r="133" spans="1:12" ht="15" x14ac:dyDescent="0.25">
      <c r="A133" s="999"/>
      <c r="B133" s="999"/>
      <c r="C133" s="999"/>
      <c r="D133" s="999"/>
      <c r="E133" s="999"/>
      <c r="F133" s="778"/>
      <c r="G133" s="5"/>
      <c r="H133" s="5"/>
      <c r="I133" s="5"/>
      <c r="J133" s="5"/>
      <c r="K133" s="5"/>
      <c r="L133" s="5"/>
    </row>
    <row r="134" spans="1:12" ht="15" x14ac:dyDescent="0.25">
      <c r="A134" s="999"/>
      <c r="B134" s="999"/>
      <c r="C134" s="999"/>
      <c r="D134" s="999"/>
      <c r="E134" s="999"/>
      <c r="F134" s="778"/>
      <c r="G134" s="5"/>
      <c r="H134" s="5"/>
      <c r="I134" s="5"/>
      <c r="J134" s="5"/>
      <c r="K134" s="5"/>
      <c r="L134" s="5"/>
    </row>
    <row r="135" spans="1:12" ht="15" x14ac:dyDescent="0.25">
      <c r="A135" s="999"/>
      <c r="B135" s="999"/>
      <c r="C135" s="999"/>
      <c r="D135" s="999"/>
      <c r="E135" s="999"/>
      <c r="F135" s="336"/>
      <c r="G135" s="5"/>
      <c r="H135" s="5"/>
      <c r="I135" s="5"/>
      <c r="J135" s="5"/>
      <c r="K135" s="5"/>
      <c r="L135" s="5"/>
    </row>
    <row r="136" spans="1:12" ht="14.45" customHeight="1" x14ac:dyDescent="0.25">
      <c r="A136" s="362" t="s">
        <v>228</v>
      </c>
      <c r="B136" s="339"/>
      <c r="C136" s="339"/>
      <c r="D136" s="339"/>
      <c r="E136" s="339"/>
      <c r="F136" s="339"/>
      <c r="G136" s="5"/>
      <c r="H136" s="5"/>
      <c r="I136" s="5"/>
      <c r="J136" s="5"/>
      <c r="K136" s="5"/>
      <c r="L136" s="5"/>
    </row>
    <row r="137" spans="1:12" ht="15" x14ac:dyDescent="0.25">
      <c r="A137" s="169" t="s">
        <v>127</v>
      </c>
      <c r="B137" s="169"/>
      <c r="C137" s="169"/>
      <c r="D137" s="169"/>
      <c r="E137" s="169"/>
      <c r="F137" s="18"/>
      <c r="G137" s="5"/>
      <c r="H137" s="5"/>
      <c r="I137" s="5"/>
      <c r="J137" s="5"/>
      <c r="K137" s="5"/>
      <c r="L137" s="5"/>
    </row>
    <row r="138" spans="1:12" ht="15" x14ac:dyDescent="0.25">
      <c r="A138" s="169" t="s">
        <v>128</v>
      </c>
      <c r="B138" s="169"/>
      <c r="C138" s="169"/>
      <c r="D138" s="169"/>
      <c r="E138" s="169"/>
      <c r="F138" s="169"/>
      <c r="G138" s="5"/>
      <c r="H138" s="5"/>
      <c r="I138" s="5"/>
      <c r="J138" s="5"/>
      <c r="K138" s="5"/>
      <c r="L138" s="5"/>
    </row>
    <row r="139" spans="1:12" x14ac:dyDescent="0.3">
      <c r="A139" s="1"/>
      <c r="B139" s="48"/>
      <c r="C139" s="48"/>
      <c r="D139" s="48"/>
      <c r="E139" s="48"/>
      <c r="F139" s="48"/>
      <c r="G139" s="5"/>
      <c r="H139" s="5"/>
      <c r="I139" s="5"/>
      <c r="J139" s="5"/>
      <c r="K139" s="5"/>
      <c r="L139" s="5"/>
    </row>
    <row r="140" spans="1:12" x14ac:dyDescent="0.3">
      <c r="A140" s="1"/>
      <c r="B140" s="48"/>
      <c r="C140" s="48"/>
      <c r="D140" s="48"/>
      <c r="E140" s="48"/>
      <c r="F140" s="48"/>
      <c r="G140" s="5"/>
      <c r="H140" s="5"/>
      <c r="I140" s="5"/>
      <c r="J140" s="5"/>
      <c r="K140" s="5"/>
      <c r="L140" s="5"/>
    </row>
    <row r="141" spans="1:12" x14ac:dyDescent="0.3">
      <c r="A141" s="1"/>
      <c r="B141" s="48"/>
      <c r="C141" s="48"/>
      <c r="D141" s="48"/>
      <c r="E141" s="48"/>
      <c r="F141" s="48"/>
      <c r="G141" s="5"/>
      <c r="H141" s="5"/>
      <c r="I141" s="5"/>
      <c r="J141" s="5"/>
      <c r="K141" s="5"/>
      <c r="L141" s="5"/>
    </row>
    <row r="142" spans="1:12" x14ac:dyDescent="0.3">
      <c r="A142" s="1"/>
      <c r="B142" s="48"/>
      <c r="C142" s="48"/>
      <c r="D142" s="48"/>
      <c r="E142" s="48"/>
      <c r="F142" s="48"/>
      <c r="G142" s="5"/>
      <c r="H142" s="5"/>
      <c r="I142" s="5"/>
      <c r="J142" s="5"/>
      <c r="K142" s="5"/>
      <c r="L142" s="5"/>
    </row>
    <row r="143" spans="1:12" x14ac:dyDescent="0.3">
      <c r="A143" s="1"/>
      <c r="B143" s="48"/>
      <c r="C143" s="48"/>
      <c r="D143" s="48"/>
      <c r="E143" s="48"/>
      <c r="F143" s="48"/>
      <c r="G143" s="5"/>
      <c r="H143" s="5"/>
      <c r="I143" s="5"/>
      <c r="J143" s="5"/>
      <c r="K143" s="5"/>
      <c r="L143" s="5"/>
    </row>
    <row r="144" spans="1:12" x14ac:dyDescent="0.3">
      <c r="A144" s="1"/>
      <c r="B144" s="48"/>
      <c r="C144" s="48"/>
      <c r="D144" s="48"/>
      <c r="E144" s="48"/>
      <c r="F144" s="48"/>
      <c r="G144" s="5"/>
      <c r="H144" s="5"/>
      <c r="I144" s="5"/>
      <c r="J144" s="5"/>
      <c r="K144" s="5"/>
      <c r="L144" s="5"/>
    </row>
    <row r="145" spans="1:12" x14ac:dyDescent="0.3">
      <c r="A145" s="1"/>
      <c r="B145" s="48"/>
      <c r="C145" s="48"/>
      <c r="D145" s="48"/>
      <c r="E145" s="48"/>
      <c r="F145" s="48"/>
      <c r="G145" s="5"/>
      <c r="H145" s="5"/>
      <c r="I145" s="5"/>
      <c r="J145" s="5"/>
      <c r="K145" s="5"/>
      <c r="L145" s="5"/>
    </row>
    <row r="146" spans="1:12" x14ac:dyDescent="0.3">
      <c r="A146" s="1"/>
      <c r="B146" s="48"/>
      <c r="C146" s="48"/>
      <c r="D146" s="48"/>
      <c r="E146" s="48"/>
      <c r="F146" s="48"/>
      <c r="G146" s="5"/>
      <c r="H146" s="5"/>
      <c r="I146" s="5"/>
      <c r="J146" s="5"/>
      <c r="K146" s="5"/>
      <c r="L146" s="5"/>
    </row>
    <row r="147" spans="1:12" x14ac:dyDescent="0.3">
      <c r="A147" s="1"/>
      <c r="B147" s="48"/>
      <c r="C147" s="48"/>
      <c r="D147" s="48"/>
      <c r="E147" s="48"/>
      <c r="F147" s="48"/>
      <c r="G147" s="5"/>
      <c r="H147" s="5"/>
      <c r="I147" s="5"/>
      <c r="J147" s="5"/>
      <c r="K147" s="5"/>
      <c r="L147" s="5"/>
    </row>
    <row r="148" spans="1:12" x14ac:dyDescent="0.3">
      <c r="A148" s="1"/>
      <c r="B148" s="48"/>
      <c r="C148" s="48"/>
      <c r="D148" s="48"/>
      <c r="E148" s="48"/>
      <c r="F148" s="48"/>
      <c r="G148" s="5"/>
      <c r="H148" s="5"/>
      <c r="I148" s="5"/>
      <c r="J148" s="5"/>
      <c r="K148" s="5"/>
      <c r="L148" s="5"/>
    </row>
    <row r="149" spans="1:12" x14ac:dyDescent="0.3">
      <c r="A149" s="1"/>
      <c r="B149" s="48"/>
      <c r="C149" s="48"/>
      <c r="D149" s="48"/>
      <c r="E149" s="48"/>
      <c r="F149" s="48"/>
      <c r="G149" s="5"/>
      <c r="H149" s="5"/>
      <c r="I149" s="5"/>
      <c r="J149" s="5"/>
      <c r="K149" s="5"/>
      <c r="L149" s="5"/>
    </row>
    <row r="150" spans="1:12" x14ac:dyDescent="0.3">
      <c r="A150" s="1"/>
      <c r="B150" s="48"/>
      <c r="C150" s="48"/>
      <c r="D150" s="48"/>
      <c r="E150" s="48"/>
      <c r="F150" s="48"/>
      <c r="G150" s="5"/>
      <c r="H150" s="5"/>
      <c r="I150" s="5"/>
      <c r="J150" s="5"/>
      <c r="K150" s="5"/>
      <c r="L150" s="5"/>
    </row>
    <row r="151" spans="1:12" x14ac:dyDescent="0.3">
      <c r="A151" s="1"/>
      <c r="B151" s="48"/>
      <c r="C151" s="48"/>
      <c r="D151" s="48"/>
      <c r="E151" s="48"/>
      <c r="F151" s="48"/>
      <c r="G151" s="5"/>
      <c r="H151" s="5"/>
      <c r="I151" s="5"/>
      <c r="J151" s="5"/>
      <c r="K151" s="5"/>
      <c r="L151" s="5"/>
    </row>
    <row r="152" spans="1:12" x14ac:dyDescent="0.3">
      <c r="A152" s="1"/>
      <c r="B152" s="48"/>
      <c r="C152" s="48"/>
      <c r="D152" s="48"/>
      <c r="E152" s="48"/>
      <c r="F152" s="48"/>
      <c r="G152" s="5"/>
      <c r="H152" s="5"/>
      <c r="I152" s="5"/>
      <c r="J152" s="5"/>
      <c r="K152" s="5"/>
      <c r="L152" s="5"/>
    </row>
    <row r="153" spans="1:12" x14ac:dyDescent="0.3">
      <c r="A153" s="1"/>
      <c r="B153" s="48"/>
      <c r="C153" s="48"/>
      <c r="D153" s="48"/>
      <c r="E153" s="48"/>
      <c r="F153" s="48"/>
      <c r="G153" s="5"/>
      <c r="H153" s="5"/>
      <c r="I153" s="5"/>
      <c r="J153" s="5"/>
      <c r="K153" s="5"/>
      <c r="L153" s="5"/>
    </row>
    <row r="154" spans="1:12" x14ac:dyDescent="0.3">
      <c r="A154" s="1"/>
      <c r="B154" s="48"/>
      <c r="C154" s="48"/>
      <c r="D154" s="48"/>
      <c r="E154" s="48"/>
      <c r="F154" s="48"/>
      <c r="G154" s="5"/>
      <c r="H154" s="5"/>
      <c r="I154" s="5"/>
      <c r="J154" s="5"/>
      <c r="K154" s="5"/>
      <c r="L154" s="5"/>
    </row>
    <row r="155" spans="1:12" x14ac:dyDescent="0.3">
      <c r="A155" s="1"/>
      <c r="B155" s="48"/>
      <c r="C155" s="48"/>
      <c r="D155" s="48"/>
      <c r="E155" s="48"/>
      <c r="F155" s="48"/>
      <c r="G155" s="5"/>
      <c r="H155" s="5"/>
      <c r="I155" s="5"/>
      <c r="J155" s="5"/>
      <c r="K155" s="5"/>
      <c r="L155" s="5"/>
    </row>
    <row r="156" spans="1:12" x14ac:dyDescent="0.3">
      <c r="A156" s="1"/>
      <c r="B156" s="48"/>
      <c r="C156" s="48"/>
      <c r="D156" s="48"/>
      <c r="E156" s="48"/>
      <c r="F156" s="48"/>
      <c r="G156" s="5"/>
      <c r="H156" s="5"/>
      <c r="I156" s="5"/>
      <c r="J156" s="5"/>
      <c r="K156" s="5"/>
      <c r="L156" s="5"/>
    </row>
    <row r="157" spans="1:12" x14ac:dyDescent="0.3">
      <c r="A157" s="1"/>
      <c r="B157" s="48"/>
      <c r="C157" s="48"/>
      <c r="D157" s="48"/>
      <c r="E157" s="48"/>
      <c r="F157" s="48"/>
      <c r="G157" s="5"/>
      <c r="H157" s="5"/>
      <c r="I157" s="5"/>
      <c r="J157" s="5"/>
      <c r="K157" s="5"/>
      <c r="L157" s="5"/>
    </row>
    <row r="158" spans="1:12" x14ac:dyDescent="0.3">
      <c r="A158" s="1"/>
      <c r="B158" s="48"/>
      <c r="C158" s="48"/>
      <c r="D158" s="48"/>
      <c r="E158" s="48"/>
      <c r="F158" s="48"/>
      <c r="G158" s="5"/>
      <c r="H158" s="5"/>
      <c r="I158" s="5"/>
      <c r="J158" s="5"/>
      <c r="K158" s="5"/>
      <c r="L158" s="5"/>
    </row>
    <row r="159" spans="1:12" x14ac:dyDescent="0.3">
      <c r="A159" s="1"/>
      <c r="B159" s="48"/>
      <c r="C159" s="48"/>
      <c r="D159" s="48"/>
      <c r="E159" s="48"/>
      <c r="F159" s="48"/>
      <c r="G159" s="5"/>
      <c r="H159" s="5"/>
      <c r="I159" s="5"/>
      <c r="J159" s="5"/>
      <c r="K159" s="5"/>
      <c r="L159" s="5"/>
    </row>
    <row r="160" spans="1:12" x14ac:dyDescent="0.3">
      <c r="A160" s="1"/>
      <c r="B160" s="48"/>
      <c r="C160" s="48"/>
      <c r="D160" s="48"/>
      <c r="E160" s="48"/>
      <c r="F160" s="48"/>
      <c r="G160" s="5"/>
      <c r="H160" s="5"/>
      <c r="I160" s="5"/>
      <c r="J160" s="5"/>
      <c r="K160" s="5"/>
      <c r="L160" s="5"/>
    </row>
    <row r="161" spans="1:12" x14ac:dyDescent="0.3">
      <c r="A161" s="1"/>
      <c r="B161" s="48"/>
      <c r="C161" s="48"/>
      <c r="D161" s="48"/>
      <c r="E161" s="48"/>
      <c r="F161" s="48"/>
      <c r="G161" s="5"/>
      <c r="H161" s="5"/>
      <c r="I161" s="5"/>
      <c r="J161" s="5"/>
      <c r="K161" s="5"/>
      <c r="L161" s="5"/>
    </row>
    <row r="162" spans="1:12" x14ac:dyDescent="0.3">
      <c r="A162" s="1"/>
      <c r="B162" s="48"/>
      <c r="C162" s="48"/>
      <c r="D162" s="48"/>
      <c r="E162" s="48"/>
      <c r="F162" s="48"/>
      <c r="G162" s="5"/>
      <c r="H162" s="5"/>
      <c r="I162" s="5"/>
      <c r="J162" s="5"/>
      <c r="K162" s="5"/>
      <c r="L162" s="5"/>
    </row>
    <row r="163" spans="1:12" x14ac:dyDescent="0.3">
      <c r="A163" s="1"/>
      <c r="B163" s="48"/>
      <c r="C163" s="48"/>
      <c r="D163" s="48"/>
      <c r="E163" s="48"/>
      <c r="F163" s="48"/>
      <c r="G163" s="5"/>
      <c r="H163" s="5"/>
      <c r="I163" s="5"/>
      <c r="J163" s="5"/>
      <c r="K163" s="5"/>
      <c r="L163" s="5"/>
    </row>
    <row r="164" spans="1:12" x14ac:dyDescent="0.3">
      <c r="A164" s="1"/>
      <c r="B164" s="48"/>
      <c r="C164" s="48"/>
      <c r="D164" s="48"/>
      <c r="E164" s="48"/>
      <c r="F164" s="48"/>
      <c r="G164" s="5"/>
      <c r="H164" s="5"/>
      <c r="I164" s="5"/>
      <c r="J164" s="5"/>
      <c r="K164" s="5"/>
      <c r="L164" s="5"/>
    </row>
    <row r="165" spans="1:12" x14ac:dyDescent="0.3">
      <c r="A165" s="1"/>
      <c r="B165" s="48"/>
      <c r="C165" s="48"/>
      <c r="D165" s="48"/>
      <c r="E165" s="48"/>
      <c r="F165" s="48"/>
      <c r="G165" s="5"/>
      <c r="H165" s="5"/>
      <c r="I165" s="5"/>
      <c r="J165" s="5"/>
      <c r="K165" s="5"/>
      <c r="L165" s="5"/>
    </row>
    <row r="166" spans="1:12" x14ac:dyDescent="0.3">
      <c r="A166" s="1"/>
      <c r="B166" s="48"/>
      <c r="C166" s="48"/>
      <c r="D166" s="48"/>
      <c r="E166" s="48"/>
      <c r="F166" s="48"/>
      <c r="G166" s="5"/>
      <c r="H166" s="5"/>
      <c r="I166" s="5"/>
      <c r="J166" s="5"/>
      <c r="K166" s="5"/>
      <c r="L166" s="5"/>
    </row>
    <row r="167" spans="1:12" x14ac:dyDescent="0.3">
      <c r="A167" s="1"/>
      <c r="B167" s="48"/>
      <c r="C167" s="48"/>
      <c r="D167" s="48"/>
      <c r="E167" s="48"/>
      <c r="F167" s="48"/>
      <c r="G167" s="5"/>
      <c r="H167" s="5"/>
      <c r="I167" s="5"/>
      <c r="J167" s="5"/>
      <c r="K167" s="5"/>
      <c r="L167" s="5"/>
    </row>
    <row r="168" spans="1:12" x14ac:dyDescent="0.3">
      <c r="A168" s="1"/>
      <c r="B168" s="48"/>
      <c r="C168" s="48"/>
      <c r="D168" s="48"/>
      <c r="E168" s="48"/>
      <c r="F168" s="48"/>
      <c r="G168" s="5"/>
      <c r="H168" s="5"/>
      <c r="I168" s="5"/>
      <c r="J168" s="5"/>
      <c r="K168" s="5"/>
      <c r="L168" s="5"/>
    </row>
    <row r="169" spans="1:12" x14ac:dyDescent="0.3">
      <c r="A169" s="1"/>
      <c r="B169" s="48"/>
      <c r="C169" s="48"/>
      <c r="D169" s="48"/>
      <c r="E169" s="48"/>
      <c r="F169" s="48"/>
      <c r="G169" s="5"/>
      <c r="H169" s="5"/>
      <c r="I169" s="5"/>
      <c r="J169" s="5"/>
      <c r="K169" s="5"/>
      <c r="L169" s="5"/>
    </row>
    <row r="170" spans="1:12" x14ac:dyDescent="0.3">
      <c r="A170" s="1"/>
      <c r="B170" s="48"/>
      <c r="C170" s="48"/>
      <c r="D170" s="48"/>
      <c r="E170" s="48"/>
      <c r="F170" s="48"/>
      <c r="G170" s="5"/>
      <c r="H170" s="5"/>
      <c r="I170" s="5"/>
      <c r="J170" s="5"/>
      <c r="K170" s="5"/>
      <c r="L170" s="5"/>
    </row>
    <row r="171" spans="1:12" x14ac:dyDescent="0.3">
      <c r="A171" s="1"/>
      <c r="B171" s="48"/>
      <c r="C171" s="48"/>
      <c r="D171" s="48"/>
      <c r="E171" s="48"/>
      <c r="F171" s="48"/>
      <c r="G171" s="5"/>
      <c r="H171" s="5"/>
      <c r="I171" s="5"/>
      <c r="J171" s="5"/>
      <c r="K171" s="5"/>
      <c r="L171" s="5"/>
    </row>
    <row r="172" spans="1:12" x14ac:dyDescent="0.3">
      <c r="A172" s="1"/>
      <c r="B172" s="48"/>
      <c r="C172" s="48"/>
      <c r="D172" s="48"/>
      <c r="E172" s="48"/>
      <c r="F172" s="48"/>
      <c r="G172" s="5"/>
      <c r="H172" s="5"/>
      <c r="I172" s="5"/>
      <c r="J172" s="5"/>
      <c r="K172" s="5"/>
      <c r="L172" s="5"/>
    </row>
    <row r="173" spans="1:12" x14ac:dyDescent="0.3">
      <c r="A173" s="1"/>
      <c r="B173" s="48"/>
      <c r="C173" s="48"/>
      <c r="D173" s="48"/>
      <c r="E173" s="48"/>
      <c r="F173" s="48"/>
      <c r="G173" s="5"/>
      <c r="H173" s="5"/>
      <c r="I173" s="5"/>
      <c r="J173" s="5"/>
      <c r="K173" s="5"/>
      <c r="L173" s="5"/>
    </row>
    <row r="174" spans="1:12" x14ac:dyDescent="0.3">
      <c r="A174" s="1"/>
      <c r="B174" s="48"/>
      <c r="C174" s="48"/>
      <c r="D174" s="48"/>
      <c r="E174" s="48"/>
      <c r="F174" s="48"/>
      <c r="G174" s="5"/>
      <c r="H174" s="5"/>
      <c r="I174" s="5"/>
      <c r="J174" s="5"/>
      <c r="K174" s="5"/>
      <c r="L174" s="5"/>
    </row>
    <row r="175" spans="1:12" x14ac:dyDescent="0.3">
      <c r="A175" s="1"/>
      <c r="B175" s="48"/>
      <c r="C175" s="48"/>
      <c r="D175" s="48"/>
      <c r="E175" s="48"/>
      <c r="F175" s="48"/>
      <c r="G175" s="5"/>
      <c r="H175" s="5"/>
      <c r="I175" s="5"/>
      <c r="J175" s="5"/>
      <c r="K175" s="5"/>
      <c r="L175" s="5"/>
    </row>
    <row r="176" spans="1:12" x14ac:dyDescent="0.3">
      <c r="A176" s="1"/>
      <c r="B176" s="48"/>
      <c r="C176" s="48"/>
      <c r="D176" s="48"/>
      <c r="E176" s="48"/>
      <c r="F176" s="48"/>
      <c r="G176" s="5"/>
      <c r="H176" s="5"/>
      <c r="I176" s="5"/>
      <c r="J176" s="5"/>
      <c r="K176" s="5"/>
      <c r="L176" s="5"/>
    </row>
    <row r="177" spans="1:12" x14ac:dyDescent="0.3">
      <c r="A177" s="1"/>
      <c r="B177" s="48"/>
      <c r="C177" s="48"/>
      <c r="D177" s="48"/>
      <c r="E177" s="48"/>
      <c r="F177" s="48"/>
      <c r="G177" s="5"/>
      <c r="H177" s="5"/>
      <c r="I177" s="5"/>
      <c r="J177" s="5"/>
      <c r="K177" s="5"/>
      <c r="L177" s="5"/>
    </row>
    <row r="178" spans="1:12" x14ac:dyDescent="0.3">
      <c r="A178" s="1"/>
      <c r="B178" s="48"/>
      <c r="C178" s="48"/>
      <c r="D178" s="48"/>
      <c r="E178" s="48"/>
      <c r="F178" s="48"/>
      <c r="G178" s="5"/>
      <c r="H178" s="5"/>
      <c r="I178" s="5"/>
      <c r="J178" s="5"/>
      <c r="K178" s="5"/>
      <c r="L178" s="5"/>
    </row>
    <row r="179" spans="1:12" x14ac:dyDescent="0.3">
      <c r="A179" s="1"/>
      <c r="B179" s="48"/>
      <c r="C179" s="48"/>
      <c r="D179" s="48"/>
      <c r="E179" s="48"/>
      <c r="F179" s="48"/>
      <c r="G179" s="5"/>
      <c r="H179" s="5"/>
      <c r="I179" s="5"/>
      <c r="J179" s="5"/>
      <c r="K179" s="5"/>
      <c r="L179" s="5"/>
    </row>
    <row r="180" spans="1:12" x14ac:dyDescent="0.3">
      <c r="A180" s="1"/>
      <c r="B180" s="48"/>
      <c r="C180" s="48"/>
      <c r="D180" s="48"/>
      <c r="E180" s="48"/>
      <c r="F180" s="48"/>
      <c r="G180" s="5"/>
      <c r="H180" s="5"/>
      <c r="I180" s="5"/>
      <c r="J180" s="5"/>
      <c r="K180" s="5"/>
      <c r="L180" s="5"/>
    </row>
    <row r="181" spans="1:12" x14ac:dyDescent="0.3">
      <c r="A181" s="1"/>
      <c r="B181" s="48"/>
      <c r="C181" s="48"/>
      <c r="D181" s="48"/>
      <c r="E181" s="48"/>
      <c r="F181" s="48"/>
      <c r="G181" s="5"/>
      <c r="H181" s="5"/>
      <c r="I181" s="5"/>
      <c r="J181" s="5"/>
      <c r="K181" s="5"/>
      <c r="L181" s="5"/>
    </row>
    <row r="182" spans="1:12" x14ac:dyDescent="0.3">
      <c r="A182" s="1"/>
      <c r="B182" s="48"/>
      <c r="C182" s="48"/>
      <c r="D182" s="48"/>
      <c r="E182" s="48"/>
      <c r="F182" s="48"/>
      <c r="G182" s="5"/>
      <c r="H182" s="5"/>
      <c r="I182" s="5"/>
      <c r="J182" s="5"/>
      <c r="K182" s="5"/>
      <c r="L182" s="5"/>
    </row>
    <row r="183" spans="1:12" x14ac:dyDescent="0.3">
      <c r="A183" s="1"/>
      <c r="B183" s="48"/>
      <c r="C183" s="48"/>
      <c r="D183" s="48"/>
      <c r="E183" s="48"/>
      <c r="F183" s="48"/>
      <c r="G183" s="5"/>
      <c r="H183" s="5"/>
      <c r="I183" s="5"/>
      <c r="J183" s="5"/>
      <c r="K183" s="5"/>
      <c r="L183" s="5"/>
    </row>
    <row r="184" spans="1:12" x14ac:dyDescent="0.3">
      <c r="A184" s="1"/>
      <c r="B184" s="48"/>
      <c r="C184" s="48"/>
      <c r="D184" s="48"/>
      <c r="E184" s="48"/>
      <c r="F184" s="48"/>
      <c r="G184" s="5"/>
      <c r="H184" s="5"/>
      <c r="I184" s="5"/>
      <c r="J184" s="5"/>
      <c r="K184" s="5"/>
      <c r="L184" s="5"/>
    </row>
    <row r="185" spans="1:12" x14ac:dyDescent="0.3">
      <c r="A185" s="1"/>
      <c r="B185" s="48"/>
      <c r="C185" s="48"/>
      <c r="D185" s="48"/>
      <c r="E185" s="48"/>
      <c r="F185" s="48"/>
      <c r="G185" s="5"/>
      <c r="H185" s="5"/>
      <c r="I185" s="5"/>
      <c r="J185" s="5"/>
      <c r="K185" s="5"/>
      <c r="L185" s="5"/>
    </row>
    <row r="186" spans="1:12" x14ac:dyDescent="0.3">
      <c r="A186" s="1"/>
      <c r="B186" s="48"/>
      <c r="C186" s="48"/>
      <c r="D186" s="48"/>
      <c r="E186" s="48"/>
      <c r="F186" s="48"/>
      <c r="G186" s="5"/>
      <c r="H186" s="5"/>
      <c r="I186" s="5"/>
      <c r="J186" s="5"/>
      <c r="K186" s="5"/>
      <c r="L186" s="5"/>
    </row>
    <row r="187" spans="1:12" x14ac:dyDescent="0.3">
      <c r="A187" s="1"/>
      <c r="B187" s="48"/>
      <c r="C187" s="48"/>
      <c r="D187" s="48"/>
      <c r="E187" s="48"/>
      <c r="F187" s="48"/>
      <c r="G187" s="5"/>
      <c r="H187" s="5"/>
      <c r="I187" s="5"/>
      <c r="J187" s="5"/>
      <c r="K187" s="5"/>
      <c r="L187" s="5"/>
    </row>
    <row r="188" spans="1:12" x14ac:dyDescent="0.3">
      <c r="A188" s="1"/>
      <c r="B188" s="48"/>
      <c r="C188" s="48"/>
      <c r="D188" s="48"/>
      <c r="E188" s="48"/>
      <c r="F188" s="48"/>
      <c r="G188" s="5"/>
      <c r="H188" s="5"/>
      <c r="I188" s="5"/>
      <c r="J188" s="5"/>
      <c r="K188" s="5"/>
      <c r="L188" s="5"/>
    </row>
    <row r="189" spans="1:12" x14ac:dyDescent="0.3">
      <c r="A189" s="1"/>
      <c r="B189" s="48"/>
      <c r="C189" s="48"/>
      <c r="D189" s="48"/>
      <c r="E189" s="48"/>
      <c r="F189" s="48"/>
      <c r="G189" s="5"/>
      <c r="H189" s="5"/>
      <c r="I189" s="5"/>
      <c r="J189" s="5"/>
      <c r="K189" s="5"/>
      <c r="L189" s="5"/>
    </row>
    <row r="190" spans="1:12" x14ac:dyDescent="0.3">
      <c r="A190" s="1"/>
      <c r="B190" s="48"/>
      <c r="C190" s="48"/>
      <c r="D190" s="48"/>
      <c r="E190" s="48"/>
      <c r="F190" s="48"/>
      <c r="G190" s="5"/>
      <c r="H190" s="5"/>
      <c r="I190" s="5"/>
      <c r="J190" s="5"/>
      <c r="K190" s="5"/>
      <c r="L190" s="5"/>
    </row>
    <row r="191" spans="1:12" x14ac:dyDescent="0.3">
      <c r="A191" s="1"/>
      <c r="B191" s="48"/>
      <c r="C191" s="48"/>
      <c r="D191" s="48"/>
      <c r="E191" s="48"/>
      <c r="F191" s="48"/>
      <c r="G191" s="5"/>
      <c r="H191" s="5"/>
      <c r="I191" s="5"/>
      <c r="J191" s="5"/>
      <c r="K191" s="5"/>
      <c r="L191" s="5"/>
    </row>
    <row r="192" spans="1:12" x14ac:dyDescent="0.3">
      <c r="A192" s="1"/>
      <c r="B192" s="48"/>
      <c r="C192" s="48"/>
      <c r="D192" s="48"/>
      <c r="E192" s="48"/>
      <c r="F192" s="48"/>
      <c r="G192" s="5"/>
      <c r="H192" s="5"/>
      <c r="I192" s="5"/>
      <c r="J192" s="5"/>
      <c r="K192" s="5"/>
      <c r="L192" s="5"/>
    </row>
    <row r="193" spans="1:12" x14ac:dyDescent="0.3">
      <c r="A193" s="1"/>
      <c r="B193" s="48"/>
      <c r="C193" s="48"/>
      <c r="D193" s="48"/>
      <c r="E193" s="48"/>
      <c r="F193" s="48"/>
      <c r="G193" s="5"/>
      <c r="H193" s="5"/>
      <c r="I193" s="5"/>
      <c r="J193" s="5"/>
      <c r="K193" s="5"/>
      <c r="L193" s="5"/>
    </row>
    <row r="194" spans="1:12" x14ac:dyDescent="0.3">
      <c r="A194" s="1"/>
      <c r="B194" s="48"/>
      <c r="C194" s="48"/>
      <c r="D194" s="48"/>
      <c r="E194" s="48"/>
      <c r="F194" s="48"/>
      <c r="G194" s="5"/>
      <c r="H194" s="5"/>
      <c r="I194" s="5"/>
      <c r="J194" s="5"/>
      <c r="K194" s="5"/>
      <c r="L194" s="5"/>
    </row>
    <row r="195" spans="1:12" x14ac:dyDescent="0.3">
      <c r="A195" s="1"/>
      <c r="B195" s="48"/>
      <c r="C195" s="48"/>
      <c r="D195" s="48"/>
      <c r="E195" s="48"/>
      <c r="F195" s="48"/>
      <c r="G195" s="5"/>
      <c r="H195" s="5"/>
      <c r="I195" s="5"/>
      <c r="J195" s="5"/>
      <c r="K195" s="5"/>
      <c r="L195" s="5"/>
    </row>
    <row r="196" spans="1:12" x14ac:dyDescent="0.3">
      <c r="A196" s="1"/>
      <c r="B196" s="48"/>
      <c r="C196" s="48"/>
      <c r="D196" s="48"/>
      <c r="E196" s="48"/>
      <c r="F196" s="48"/>
      <c r="G196" s="5"/>
      <c r="H196" s="5"/>
      <c r="I196" s="5"/>
      <c r="J196" s="5"/>
      <c r="K196" s="5"/>
      <c r="L196" s="5"/>
    </row>
    <row r="197" spans="1:12" x14ac:dyDescent="0.3">
      <c r="A197" s="1"/>
      <c r="B197" s="48"/>
      <c r="C197" s="48"/>
      <c r="D197" s="48"/>
      <c r="E197" s="48"/>
      <c r="F197" s="48"/>
      <c r="G197" s="5"/>
      <c r="H197" s="5"/>
      <c r="I197" s="5"/>
      <c r="J197" s="5"/>
      <c r="K197" s="5"/>
      <c r="L197" s="5"/>
    </row>
    <row r="198" spans="1:12" x14ac:dyDescent="0.3">
      <c r="A198" s="1"/>
      <c r="B198" s="48"/>
      <c r="C198" s="48"/>
      <c r="D198" s="48"/>
      <c r="E198" s="48"/>
      <c r="F198" s="48"/>
      <c r="G198" s="5"/>
      <c r="H198" s="5"/>
      <c r="I198" s="5"/>
      <c r="J198" s="5"/>
      <c r="K198" s="5"/>
      <c r="L198" s="5"/>
    </row>
    <row r="199" spans="1:12" x14ac:dyDescent="0.3">
      <c r="A199" s="1"/>
      <c r="B199" s="48"/>
      <c r="C199" s="48"/>
      <c r="D199" s="48"/>
      <c r="E199" s="48"/>
      <c r="F199" s="48"/>
      <c r="G199" s="5"/>
      <c r="H199" s="5"/>
      <c r="I199" s="5"/>
      <c r="J199" s="5"/>
      <c r="K199" s="5"/>
      <c r="L199" s="5"/>
    </row>
    <row r="200" spans="1:12" x14ac:dyDescent="0.3">
      <c r="A200" s="1"/>
      <c r="B200" s="48"/>
      <c r="C200" s="48"/>
      <c r="D200" s="48"/>
      <c r="E200" s="48"/>
      <c r="F200" s="48"/>
      <c r="G200" s="5"/>
      <c r="H200" s="5"/>
      <c r="I200" s="5"/>
      <c r="J200" s="5"/>
      <c r="K200" s="5"/>
      <c r="L200" s="5"/>
    </row>
    <row r="201" spans="1:12" x14ac:dyDescent="0.3">
      <c r="A201" s="1"/>
      <c r="B201" s="48"/>
      <c r="C201" s="48"/>
      <c r="D201" s="48"/>
      <c r="E201" s="48"/>
      <c r="F201" s="48"/>
      <c r="G201" s="5"/>
      <c r="H201" s="5"/>
      <c r="I201" s="5"/>
      <c r="J201" s="5"/>
      <c r="K201" s="5"/>
      <c r="L201" s="5"/>
    </row>
    <row r="202" spans="1:12" x14ac:dyDescent="0.3">
      <c r="A202" s="1"/>
      <c r="B202" s="48"/>
      <c r="C202" s="48"/>
      <c r="D202" s="48"/>
      <c r="E202" s="48"/>
      <c r="F202" s="48"/>
      <c r="G202" s="5"/>
      <c r="H202" s="5"/>
      <c r="I202" s="5"/>
      <c r="J202" s="5"/>
      <c r="K202" s="5"/>
      <c r="L202" s="5"/>
    </row>
    <row r="203" spans="1:12" x14ac:dyDescent="0.3">
      <c r="A203" s="1"/>
      <c r="B203" s="48"/>
      <c r="C203" s="48"/>
      <c r="D203" s="48"/>
      <c r="E203" s="48"/>
      <c r="F203" s="48"/>
      <c r="G203" s="5"/>
      <c r="H203" s="5"/>
      <c r="I203" s="5"/>
      <c r="J203" s="5"/>
      <c r="K203" s="5"/>
      <c r="L203" s="5"/>
    </row>
    <row r="204" spans="1:12" x14ac:dyDescent="0.3">
      <c r="A204" s="1"/>
      <c r="B204" s="48"/>
      <c r="C204" s="48"/>
      <c r="D204" s="48"/>
      <c r="E204" s="48"/>
      <c r="F204" s="48"/>
      <c r="G204" s="5"/>
      <c r="H204" s="5"/>
      <c r="I204" s="5"/>
      <c r="J204" s="5"/>
      <c r="K204" s="5"/>
      <c r="L204" s="5"/>
    </row>
    <row r="205" spans="1:12" x14ac:dyDescent="0.3">
      <c r="A205" s="1"/>
      <c r="B205" s="48"/>
      <c r="C205" s="48"/>
      <c r="D205" s="48"/>
      <c r="E205" s="48"/>
      <c r="F205" s="48"/>
      <c r="G205" s="5"/>
      <c r="H205" s="5"/>
      <c r="I205" s="5"/>
      <c r="J205" s="5"/>
      <c r="K205" s="5"/>
      <c r="L205" s="5"/>
    </row>
    <row r="206" spans="1:12" x14ac:dyDescent="0.3">
      <c r="A206" s="1"/>
      <c r="B206" s="48"/>
      <c r="C206" s="48"/>
      <c r="D206" s="48"/>
      <c r="E206" s="48"/>
      <c r="F206" s="48"/>
      <c r="G206" s="5"/>
      <c r="H206" s="5"/>
      <c r="I206" s="5"/>
      <c r="J206" s="5"/>
      <c r="K206" s="5"/>
      <c r="L206" s="5"/>
    </row>
    <row r="207" spans="1:12" x14ac:dyDescent="0.3">
      <c r="A207" s="1"/>
      <c r="B207" s="48"/>
      <c r="C207" s="48"/>
      <c r="D207" s="48"/>
      <c r="E207" s="48"/>
      <c r="F207" s="48"/>
      <c r="G207" s="5"/>
      <c r="H207" s="5"/>
      <c r="I207" s="5"/>
      <c r="J207" s="5"/>
      <c r="K207" s="5"/>
      <c r="L207" s="5"/>
    </row>
    <row r="208" spans="1:12" x14ac:dyDescent="0.3">
      <c r="A208" s="1"/>
      <c r="B208" s="48"/>
      <c r="C208" s="48"/>
      <c r="D208" s="48"/>
      <c r="E208" s="48"/>
      <c r="F208" s="48"/>
      <c r="G208" s="5"/>
      <c r="H208" s="5"/>
      <c r="I208" s="5"/>
      <c r="J208" s="5"/>
      <c r="K208" s="5"/>
      <c r="L208" s="5"/>
    </row>
    <row r="209" spans="1:12" x14ac:dyDescent="0.3">
      <c r="A209" s="1"/>
      <c r="B209" s="48"/>
      <c r="C209" s="48"/>
      <c r="D209" s="48"/>
      <c r="E209" s="48"/>
      <c r="F209" s="48"/>
      <c r="G209" s="5"/>
      <c r="H209" s="5"/>
      <c r="I209" s="5"/>
      <c r="J209" s="5"/>
      <c r="K209" s="5"/>
      <c r="L209" s="5"/>
    </row>
    <row r="210" spans="1:12" x14ac:dyDescent="0.3">
      <c r="A210" s="1"/>
      <c r="B210" s="48"/>
      <c r="C210" s="48"/>
      <c r="D210" s="48"/>
      <c r="E210" s="48"/>
      <c r="F210" s="48"/>
      <c r="G210" s="5"/>
      <c r="H210" s="5"/>
      <c r="I210" s="5"/>
      <c r="J210" s="5"/>
      <c r="K210" s="5"/>
      <c r="L210" s="5"/>
    </row>
    <row r="211" spans="1:12" x14ac:dyDescent="0.3">
      <c r="A211" s="1"/>
      <c r="B211" s="48"/>
      <c r="C211" s="48"/>
      <c r="D211" s="48"/>
      <c r="E211" s="48"/>
      <c r="F211" s="48"/>
      <c r="G211" s="5"/>
      <c r="H211" s="5"/>
      <c r="I211" s="5"/>
      <c r="J211" s="5"/>
      <c r="K211" s="5"/>
      <c r="L211" s="5"/>
    </row>
    <row r="212" spans="1:12" x14ac:dyDescent="0.3">
      <c r="A212" s="1"/>
      <c r="B212" s="48"/>
      <c r="C212" s="48"/>
      <c r="D212" s="48"/>
      <c r="E212" s="48"/>
      <c r="F212" s="48"/>
      <c r="G212" s="5"/>
      <c r="H212" s="5"/>
      <c r="I212" s="5"/>
      <c r="J212" s="5"/>
      <c r="K212" s="5"/>
      <c r="L212" s="5"/>
    </row>
    <row r="213" spans="1:12" x14ac:dyDescent="0.3">
      <c r="A213" s="1"/>
      <c r="B213" s="48"/>
      <c r="C213" s="48"/>
      <c r="D213" s="48"/>
      <c r="E213" s="48"/>
      <c r="F213" s="48"/>
      <c r="G213" s="5"/>
      <c r="H213" s="5"/>
      <c r="I213" s="5"/>
      <c r="J213" s="5"/>
      <c r="K213" s="5"/>
      <c r="L213" s="5"/>
    </row>
    <row r="214" spans="1:12" x14ac:dyDescent="0.3">
      <c r="A214" s="1"/>
      <c r="B214" s="48"/>
      <c r="C214" s="48"/>
      <c r="D214" s="48"/>
      <c r="E214" s="48"/>
      <c r="F214" s="48"/>
      <c r="G214" s="5"/>
      <c r="H214" s="5"/>
      <c r="I214" s="5"/>
      <c r="J214" s="5"/>
      <c r="K214" s="5"/>
      <c r="L214" s="5"/>
    </row>
    <row r="215" spans="1:12" x14ac:dyDescent="0.3">
      <c r="A215" s="1"/>
      <c r="B215" s="48"/>
      <c r="C215" s="48"/>
      <c r="D215" s="48"/>
      <c r="E215" s="48"/>
      <c r="F215" s="48"/>
      <c r="G215" s="5"/>
      <c r="H215" s="5"/>
      <c r="I215" s="5"/>
      <c r="J215" s="5"/>
      <c r="K215" s="5"/>
      <c r="L215" s="5"/>
    </row>
    <row r="216" spans="1:12" x14ac:dyDescent="0.3">
      <c r="A216" s="1"/>
      <c r="B216" s="48"/>
      <c r="C216" s="48"/>
      <c r="D216" s="48"/>
      <c r="E216" s="48"/>
      <c r="F216" s="48"/>
      <c r="G216" s="5"/>
      <c r="H216" s="5"/>
      <c r="I216" s="5"/>
      <c r="J216" s="5"/>
      <c r="K216" s="5"/>
      <c r="L216" s="5"/>
    </row>
  </sheetData>
  <sheetProtection algorithmName="SHA-512" hashValue="lZN8IBpZmsQ3w4GKb7XjaH6FzDEm/2oia2ofnRXKRLYGSQjQlxRitYPuhn+mhwFx5pjLD+jCkcz/AupeEFCsYg==" saltValue="32+i9zuz9QdU4HM/fU5dWw==" spinCount="100000" sheet="1" objects="1" scenarios="1"/>
  <mergeCells count="24">
    <mergeCell ref="A131:E135"/>
    <mergeCell ref="A52:F52"/>
    <mergeCell ref="A62:D64"/>
    <mergeCell ref="A21:F22"/>
    <mergeCell ref="B70:F70"/>
    <mergeCell ref="B71:F71"/>
    <mergeCell ref="A78:A79"/>
    <mergeCell ref="C78:C79"/>
    <mergeCell ref="D78:F78"/>
    <mergeCell ref="B72:F72"/>
    <mergeCell ref="A65:C65"/>
    <mergeCell ref="A66:C66"/>
    <mergeCell ref="A67:C67"/>
    <mergeCell ref="A23:F23"/>
    <mergeCell ref="A24:F24"/>
    <mergeCell ref="A59:D61"/>
    <mergeCell ref="B78:B79"/>
    <mergeCell ref="B112:B114"/>
    <mergeCell ref="A25:F25"/>
    <mergeCell ref="A49:C49"/>
    <mergeCell ref="A50:C50"/>
    <mergeCell ref="A53:D55"/>
    <mergeCell ref="A56:D58"/>
    <mergeCell ref="A70:A71"/>
  </mergeCells>
  <printOptions horizontalCentered="1"/>
  <pageMargins left="0.7" right="0.7" top="0.75" bottom="0.75" header="0.3" footer="0.3"/>
  <pageSetup scale="73" fitToHeight="0" orientation="portrait" r:id="rId1"/>
  <headerFooter>
    <oddFooter>&amp;C&amp;"Century Gothic,Regular"&amp;9Page &amp;P of &amp;N</oddFooter>
  </headerFooter>
  <rowBreaks count="2" manualBreakCount="2">
    <brk id="26" max="5" man="1"/>
    <brk id="76" max="5"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713CF-62FC-4487-9B4E-1925D59561EF}">
  <dimension ref="A1:BG161"/>
  <sheetViews>
    <sheetView tabSelected="1" zoomScale="130" zoomScaleNormal="130" zoomScaleSheetLayoutView="100" workbookViewId="0">
      <pane xSplit="2" ySplit="4" topLeftCell="C10" activePane="bottomRight" state="frozen"/>
      <selection pane="topRight" activeCell="C1" sqref="C1"/>
      <selection pane="bottomLeft" activeCell="A5" sqref="A5"/>
      <selection pane="bottomRight" activeCell="D36" sqref="D36"/>
    </sheetView>
  </sheetViews>
  <sheetFormatPr baseColWidth="10" defaultColWidth="8.85546875" defaultRowHeight="15.75" x14ac:dyDescent="0.3"/>
  <cols>
    <col min="1" max="1" width="14.28515625" customWidth="1"/>
    <col min="2" max="2" width="15.42578125" customWidth="1"/>
    <col min="3" max="3" width="45.5703125" style="7" customWidth="1"/>
    <col min="4" max="53" width="10.7109375" style="639" customWidth="1"/>
    <col min="54" max="54" width="13.5703125" customWidth="1"/>
  </cols>
  <sheetData>
    <row r="1" spans="1:19" s="7" customFormat="1" ht="20.65" customHeight="1" x14ac:dyDescent="0.3">
      <c r="A1" s="89" t="s">
        <v>791</v>
      </c>
      <c r="B1" s="89"/>
      <c r="C1" s="919"/>
      <c r="D1" s="807"/>
      <c r="E1" s="807"/>
      <c r="F1" s="807"/>
      <c r="G1" s="807"/>
      <c r="H1" s="871"/>
      <c r="I1" s="1"/>
      <c r="J1" s="1"/>
      <c r="K1" s="1"/>
      <c r="L1" s="1"/>
      <c r="M1" s="1"/>
      <c r="N1" s="1"/>
      <c r="O1" s="1"/>
      <c r="P1" s="1"/>
      <c r="Q1" s="1"/>
      <c r="R1" s="1"/>
    </row>
    <row r="2" spans="1:19" s="7" customFormat="1" ht="15" customHeight="1" x14ac:dyDescent="0.3">
      <c r="A2" s="90" t="s">
        <v>35</v>
      </c>
      <c r="B2" s="329"/>
      <c r="C2" s="329"/>
      <c r="D2" s="634"/>
      <c r="E2" s="634"/>
      <c r="F2" s="634"/>
      <c r="G2" s="634"/>
      <c r="H2" s="635"/>
      <c r="I2" s="1"/>
      <c r="J2" s="1"/>
      <c r="K2" s="1"/>
      <c r="L2" s="1"/>
      <c r="M2" s="1"/>
      <c r="N2" s="1"/>
      <c r="O2" s="1"/>
      <c r="P2" s="1"/>
      <c r="Q2" s="1"/>
      <c r="R2" s="1"/>
    </row>
    <row r="3" spans="1:19" s="7" customFormat="1" ht="15" customHeight="1" x14ac:dyDescent="0.3">
      <c r="A3" s="872"/>
      <c r="B3" s="10"/>
      <c r="C3" s="10"/>
      <c r="D3" s="10">
        <v>2018</v>
      </c>
      <c r="E3" s="10">
        <v>2019</v>
      </c>
      <c r="F3" s="10">
        <v>2020</v>
      </c>
      <c r="G3" s="10">
        <v>2021</v>
      </c>
      <c r="H3" s="813">
        <v>2022</v>
      </c>
      <c r="I3" s="1"/>
      <c r="J3" s="1"/>
      <c r="K3" s="1"/>
      <c r="L3" s="1"/>
      <c r="M3" s="1"/>
      <c r="N3" s="1"/>
      <c r="O3" s="1"/>
      <c r="P3" s="1"/>
      <c r="Q3" s="1"/>
      <c r="R3" s="1"/>
    </row>
    <row r="4" spans="1:19" s="7" customFormat="1" ht="15.75" customHeight="1" thickBot="1" x14ac:dyDescent="0.35">
      <c r="A4" s="916" t="s">
        <v>968</v>
      </c>
      <c r="B4" s="921"/>
      <c r="C4" s="920"/>
      <c r="D4" s="917"/>
      <c r="E4" s="917"/>
      <c r="F4" s="917"/>
      <c r="G4" s="917"/>
      <c r="H4" s="918"/>
      <c r="I4" s="1"/>
      <c r="J4" s="1"/>
      <c r="K4" s="1"/>
      <c r="L4" s="1"/>
      <c r="M4" s="1"/>
      <c r="N4" s="1"/>
      <c r="O4" s="1"/>
      <c r="P4" s="1"/>
      <c r="Q4" s="1"/>
      <c r="R4" s="1"/>
    </row>
    <row r="5" spans="1:19" s="20" customFormat="1" ht="13.5" customHeight="1" x14ac:dyDescent="0.3">
      <c r="A5" s="1081" t="s">
        <v>813</v>
      </c>
      <c r="B5" s="1079" t="s">
        <v>124</v>
      </c>
      <c r="C5" s="860" t="s">
        <v>36</v>
      </c>
      <c r="D5" s="861">
        <v>67563.72</v>
      </c>
      <c r="E5" s="861">
        <v>67589.440000000002</v>
      </c>
      <c r="F5" s="861">
        <v>65921.58</v>
      </c>
      <c r="G5" s="861">
        <v>71089.42</v>
      </c>
      <c r="H5" s="943">
        <v>60754</v>
      </c>
      <c r="I5" s="41"/>
      <c r="J5" s="42"/>
      <c r="K5" s="42"/>
      <c r="L5" s="1"/>
      <c r="M5" s="1"/>
      <c r="N5" s="1"/>
      <c r="O5" s="1"/>
      <c r="P5" s="1"/>
      <c r="Q5" s="1"/>
      <c r="R5" s="1"/>
      <c r="S5" s="7"/>
    </row>
    <row r="6" spans="1:19" s="20" customFormat="1" ht="13.5" customHeight="1" x14ac:dyDescent="0.3">
      <c r="A6" s="1082"/>
      <c r="B6" s="1071"/>
      <c r="C6" s="107" t="s">
        <v>50</v>
      </c>
      <c r="D6" s="808">
        <v>22768.98</v>
      </c>
      <c r="E6" s="808">
        <v>20794.660000000003</v>
      </c>
      <c r="F6" s="808">
        <v>16244.970000000001</v>
      </c>
      <c r="G6" s="808">
        <v>18857.059999999998</v>
      </c>
      <c r="H6" s="944">
        <v>27240</v>
      </c>
      <c r="I6" s="41"/>
      <c r="J6" s="42"/>
      <c r="K6" s="42"/>
      <c r="L6" s="1"/>
      <c r="M6" s="1"/>
      <c r="N6" s="1"/>
      <c r="O6" s="1"/>
      <c r="P6" s="1"/>
      <c r="Q6" s="1"/>
      <c r="R6" s="1"/>
      <c r="S6" s="7"/>
    </row>
    <row r="7" spans="1:19" s="20" customFormat="1" ht="13.5" customHeight="1" x14ac:dyDescent="0.3">
      <c r="A7" s="1082"/>
      <c r="B7" s="1071"/>
      <c r="C7" s="107" t="s">
        <v>51</v>
      </c>
      <c r="D7" s="808">
        <v>0</v>
      </c>
      <c r="E7" s="808">
        <v>0</v>
      </c>
      <c r="F7" s="808">
        <v>0</v>
      </c>
      <c r="G7" s="808">
        <v>0</v>
      </c>
      <c r="H7" s="863">
        <v>0</v>
      </c>
      <c r="I7" s="41"/>
      <c r="J7" s="42"/>
      <c r="K7" s="42"/>
      <c r="L7" s="1"/>
      <c r="M7" s="1"/>
      <c r="N7" s="1"/>
      <c r="O7" s="1"/>
      <c r="P7" s="1"/>
      <c r="Q7" s="1"/>
      <c r="R7" s="1"/>
      <c r="S7" s="7"/>
    </row>
    <row r="8" spans="1:19" s="20" customFormat="1" ht="13.5" customHeight="1" x14ac:dyDescent="0.3">
      <c r="A8" s="1082"/>
      <c r="B8" s="1071"/>
      <c r="C8" s="107" t="s">
        <v>38</v>
      </c>
      <c r="D8" s="808">
        <v>12252.1</v>
      </c>
      <c r="E8" s="808">
        <v>16217.61</v>
      </c>
      <c r="F8" s="808">
        <v>8945.4500000000007</v>
      </c>
      <c r="G8" s="808">
        <v>18574.95</v>
      </c>
      <c r="H8" s="863">
        <v>20980.45</v>
      </c>
      <c r="I8" s="41"/>
      <c r="J8" s="42"/>
      <c r="K8" s="42"/>
      <c r="L8" s="1"/>
      <c r="M8" s="1"/>
      <c r="N8" s="1"/>
      <c r="O8" s="1"/>
      <c r="P8" s="1"/>
      <c r="Q8" s="1"/>
      <c r="R8" s="1"/>
      <c r="S8" s="7"/>
    </row>
    <row r="9" spans="1:19" s="20" customFormat="1" ht="13.5" customHeight="1" x14ac:dyDescent="0.3">
      <c r="A9" s="1082"/>
      <c r="B9" s="1071"/>
      <c r="C9" s="107" t="s">
        <v>39</v>
      </c>
      <c r="D9" s="808">
        <v>1557.3700000000001</v>
      </c>
      <c r="E9" s="808">
        <v>8472.4500000000007</v>
      </c>
      <c r="F9" s="808">
        <v>3540.0699999999997</v>
      </c>
      <c r="G9" s="808">
        <v>2053.58</v>
      </c>
      <c r="H9" s="863">
        <v>2377.94</v>
      </c>
      <c r="I9" s="41"/>
      <c r="J9" s="42"/>
      <c r="K9" s="42"/>
      <c r="L9" s="1"/>
      <c r="M9" s="1"/>
      <c r="N9" s="1"/>
      <c r="O9" s="1"/>
      <c r="P9" s="1"/>
      <c r="Q9" s="1"/>
      <c r="R9" s="1"/>
      <c r="S9" s="7"/>
    </row>
    <row r="10" spans="1:19" s="20" customFormat="1" ht="13.5" customHeight="1" x14ac:dyDescent="0.3">
      <c r="A10" s="1082"/>
      <c r="B10" s="1071"/>
      <c r="C10" s="21" t="s">
        <v>40</v>
      </c>
      <c r="D10" s="809">
        <v>104142.18999999999</v>
      </c>
      <c r="E10" s="809">
        <v>113074.13999999998</v>
      </c>
      <c r="F10" s="809">
        <v>94652.040000000023</v>
      </c>
      <c r="G10" s="809">
        <v>110574.98</v>
      </c>
      <c r="H10" s="864">
        <v>111352.22</v>
      </c>
      <c r="I10" s="19"/>
      <c r="J10" s="6"/>
      <c r="K10" s="6"/>
      <c r="L10" s="1"/>
      <c r="M10" s="1"/>
      <c r="N10" s="1"/>
      <c r="O10" s="1"/>
      <c r="P10" s="1"/>
      <c r="Q10" s="1"/>
      <c r="R10" s="1"/>
      <c r="S10" s="7"/>
    </row>
    <row r="11" spans="1:19" s="20" customFormat="1" ht="13.5" customHeight="1" x14ac:dyDescent="0.3">
      <c r="A11" s="1082"/>
      <c r="B11" s="1071"/>
      <c r="C11" s="21" t="s">
        <v>959</v>
      </c>
      <c r="D11" s="809">
        <v>654547.25</v>
      </c>
      <c r="E11" s="809">
        <v>685170.40999999992</v>
      </c>
      <c r="F11" s="809">
        <v>613440.27</v>
      </c>
      <c r="G11" s="809">
        <v>574320.59</v>
      </c>
      <c r="H11" s="864">
        <v>711682.29</v>
      </c>
      <c r="I11" s="44"/>
      <c r="J11" s="6"/>
      <c r="K11" s="6"/>
      <c r="L11" s="1"/>
      <c r="M11" s="1"/>
      <c r="N11" s="1"/>
      <c r="O11" s="1"/>
      <c r="P11" s="1"/>
      <c r="Q11" s="1"/>
      <c r="R11" s="1"/>
      <c r="S11" s="7"/>
    </row>
    <row r="12" spans="1:19" s="20" customFormat="1" ht="13.5" customHeight="1" x14ac:dyDescent="0.3">
      <c r="A12" s="1082"/>
      <c r="B12" s="1071"/>
      <c r="C12" s="93" t="s">
        <v>961</v>
      </c>
      <c r="D12" s="810">
        <v>758689.45</v>
      </c>
      <c r="E12" s="810">
        <v>798244.53</v>
      </c>
      <c r="F12" s="810">
        <v>708092.3</v>
      </c>
      <c r="G12" s="810">
        <v>684895.57</v>
      </c>
      <c r="H12" s="865">
        <v>823034.53</v>
      </c>
      <c r="I12" s="41"/>
      <c r="J12" s="6"/>
      <c r="K12" s="6"/>
      <c r="L12" s="1"/>
      <c r="M12" s="1"/>
      <c r="N12" s="1"/>
      <c r="O12" s="1"/>
      <c r="P12" s="1"/>
      <c r="Q12" s="1"/>
      <c r="R12" s="1"/>
      <c r="S12" s="7"/>
    </row>
    <row r="13" spans="1:19" s="20" customFormat="1" ht="13.5" customHeight="1" x14ac:dyDescent="0.3">
      <c r="A13" s="1082"/>
      <c r="B13" s="1071"/>
      <c r="C13" s="104" t="s">
        <v>819</v>
      </c>
      <c r="D13" s="812">
        <v>0</v>
      </c>
      <c r="E13" s="812">
        <v>0</v>
      </c>
      <c r="F13" s="812">
        <v>0</v>
      </c>
      <c r="G13" s="812">
        <v>190.51</v>
      </c>
      <c r="H13" s="866">
        <v>0</v>
      </c>
      <c r="I13" s="19"/>
      <c r="J13" s="41"/>
      <c r="K13" s="6"/>
      <c r="L13" s="1"/>
      <c r="M13" s="1"/>
      <c r="N13" s="1"/>
      <c r="O13" s="1"/>
      <c r="P13" s="1"/>
      <c r="Q13" s="1"/>
      <c r="R13" s="1"/>
      <c r="S13" s="7"/>
    </row>
    <row r="14" spans="1:19" s="20" customFormat="1" ht="13.5" customHeight="1" x14ac:dyDescent="0.3">
      <c r="A14" s="1082"/>
      <c r="B14" s="1071"/>
      <c r="C14" s="93" t="s">
        <v>769</v>
      </c>
      <c r="D14" s="812">
        <v>105994.31999999999</v>
      </c>
      <c r="E14" s="812">
        <v>113946.24000000001</v>
      </c>
      <c r="F14" s="812">
        <v>100035.24</v>
      </c>
      <c r="G14" s="812">
        <v>104279.12000000001</v>
      </c>
      <c r="H14" s="866">
        <v>112739.52</v>
      </c>
      <c r="I14" s="19"/>
      <c r="J14" s="41"/>
      <c r="K14" s="6"/>
      <c r="L14" s="1"/>
      <c r="M14" s="1"/>
      <c r="N14" s="1"/>
      <c r="O14" s="1"/>
      <c r="P14" s="1"/>
      <c r="Q14" s="1"/>
      <c r="R14" s="1"/>
      <c r="S14" s="7"/>
    </row>
    <row r="15" spans="1:19" s="20" customFormat="1" ht="13.5" customHeight="1" x14ac:dyDescent="0.3">
      <c r="A15" s="1082"/>
      <c r="B15" s="1071"/>
      <c r="C15" s="93" t="s">
        <v>57</v>
      </c>
      <c r="D15" s="812">
        <v>-1852.12</v>
      </c>
      <c r="E15" s="812">
        <v>-872.07999999999993</v>
      </c>
      <c r="F15" s="812">
        <v>-5383.21</v>
      </c>
      <c r="G15" s="812">
        <v>6105.36</v>
      </c>
      <c r="H15" s="866">
        <v>-1387.28</v>
      </c>
      <c r="I15" s="131"/>
      <c r="J15" s="131"/>
      <c r="K15" s="6"/>
      <c r="L15" s="1"/>
      <c r="M15" s="1"/>
      <c r="N15" s="1"/>
      <c r="O15" s="1"/>
      <c r="P15" s="1"/>
      <c r="Q15" s="1"/>
      <c r="R15" s="1"/>
      <c r="S15" s="7"/>
    </row>
    <row r="16" spans="1:19" s="20" customFormat="1" ht="13.5" customHeight="1" x14ac:dyDescent="0.3">
      <c r="A16" s="1082"/>
      <c r="B16" s="1071"/>
      <c r="C16" s="819" t="s">
        <v>1303</v>
      </c>
      <c r="D16" s="811">
        <v>0.86273408704971455</v>
      </c>
      <c r="E16" s="811">
        <v>0.85834651444464005</v>
      </c>
      <c r="F16" s="811">
        <v>0.86632811852353142</v>
      </c>
      <c r="G16" s="811">
        <v>0.83855205838168878</v>
      </c>
      <c r="H16" s="867">
        <v>0.86470526333810083</v>
      </c>
      <c r="I16" s="6"/>
      <c r="J16" s="44"/>
      <c r="K16" s="6"/>
      <c r="L16" s="1"/>
      <c r="M16" s="1"/>
      <c r="N16" s="1"/>
      <c r="O16" s="1"/>
      <c r="P16" s="1"/>
      <c r="Q16" s="1"/>
      <c r="R16" s="1"/>
      <c r="S16" s="7"/>
    </row>
    <row r="17" spans="1:19" s="20" customFormat="1" ht="13.5" customHeight="1" x14ac:dyDescent="0.3">
      <c r="A17" s="1082"/>
      <c r="B17" s="1080"/>
      <c r="C17" s="859" t="s">
        <v>43</v>
      </c>
      <c r="D17" s="811">
        <v>0.86273408704971455</v>
      </c>
      <c r="E17" s="811">
        <v>0.85834651444464005</v>
      </c>
      <c r="F17" s="811">
        <v>0.86632811852353142</v>
      </c>
      <c r="G17" s="811">
        <v>0.83878537424566424</v>
      </c>
      <c r="H17" s="867">
        <v>0.86470526333810083</v>
      </c>
      <c r="I17" s="6"/>
      <c r="J17" s="6"/>
      <c r="K17" s="6"/>
      <c r="L17" s="1"/>
      <c r="M17" s="1"/>
      <c r="N17" s="1"/>
      <c r="O17" s="1"/>
      <c r="P17" s="1"/>
      <c r="Q17" s="1"/>
      <c r="R17" s="1"/>
      <c r="S17" s="7"/>
    </row>
    <row r="18" spans="1:19" s="20" customFormat="1" ht="13.5" customHeight="1" x14ac:dyDescent="0.3">
      <c r="A18" s="1082"/>
      <c r="B18" s="1070" t="s">
        <v>111</v>
      </c>
      <c r="C18" s="109" t="s">
        <v>36</v>
      </c>
      <c r="D18" s="858">
        <v>6367.26</v>
      </c>
      <c r="E18" s="858">
        <v>6901.96</v>
      </c>
      <c r="F18" s="858">
        <v>5944.6</v>
      </c>
      <c r="G18" s="858">
        <v>6065.64</v>
      </c>
      <c r="H18" s="868">
        <v>6588.92</v>
      </c>
      <c r="I18" s="41"/>
      <c r="J18" s="42"/>
      <c r="K18" s="42"/>
      <c r="L18" s="1"/>
      <c r="M18" s="1"/>
      <c r="N18" s="1"/>
      <c r="O18" s="1"/>
      <c r="P18" s="1"/>
      <c r="Q18" s="1"/>
      <c r="R18" s="1"/>
      <c r="S18" s="7"/>
    </row>
    <row r="19" spans="1:19" s="20" customFormat="1" ht="13.5" customHeight="1" x14ac:dyDescent="0.3">
      <c r="A19" s="1082"/>
      <c r="B19" s="1071"/>
      <c r="C19" s="107" t="s">
        <v>50</v>
      </c>
      <c r="D19" s="808">
        <v>34236.980000000003</v>
      </c>
      <c r="E19" s="808">
        <v>26482.560000000001</v>
      </c>
      <c r="F19" s="808">
        <v>24360.18</v>
      </c>
      <c r="G19" s="808">
        <v>29278.55</v>
      </c>
      <c r="H19" s="863">
        <v>31202.48</v>
      </c>
      <c r="I19" s="41"/>
      <c r="J19" s="42"/>
      <c r="K19" s="42"/>
      <c r="L19" s="1"/>
      <c r="M19" s="1"/>
      <c r="N19" s="1"/>
      <c r="O19" s="1"/>
      <c r="P19" s="1"/>
      <c r="Q19" s="1"/>
      <c r="R19" s="1"/>
      <c r="S19" s="7"/>
    </row>
    <row r="20" spans="1:19" s="20" customFormat="1" ht="13.5" customHeight="1" x14ac:dyDescent="0.3">
      <c r="A20" s="1082"/>
      <c r="B20" s="1071"/>
      <c r="C20" s="107" t="s">
        <v>51</v>
      </c>
      <c r="D20" s="808">
        <v>0</v>
      </c>
      <c r="E20" s="808">
        <v>0</v>
      </c>
      <c r="F20" s="808">
        <v>0</v>
      </c>
      <c r="G20" s="808">
        <v>0</v>
      </c>
      <c r="H20" s="863">
        <v>0</v>
      </c>
      <c r="I20" s="41"/>
      <c r="J20" s="42"/>
      <c r="K20" s="42"/>
      <c r="L20" s="1"/>
      <c r="M20" s="1"/>
      <c r="N20" s="1"/>
      <c r="O20" s="1"/>
      <c r="P20" s="1"/>
      <c r="Q20" s="1"/>
      <c r="R20" s="1"/>
      <c r="S20" s="7"/>
    </row>
    <row r="21" spans="1:19" s="20" customFormat="1" ht="13.5" customHeight="1" x14ac:dyDescent="0.3">
      <c r="A21" s="1082"/>
      <c r="B21" s="1071"/>
      <c r="C21" s="107" t="s">
        <v>38</v>
      </c>
      <c r="D21" s="808">
        <v>432.45</v>
      </c>
      <c r="E21" s="808">
        <v>779.02</v>
      </c>
      <c r="F21" s="808">
        <v>1496.16</v>
      </c>
      <c r="G21" s="808">
        <v>207.82999999999998</v>
      </c>
      <c r="H21" s="863">
        <v>577.0100000000001</v>
      </c>
      <c r="I21" s="41"/>
      <c r="J21" s="42"/>
      <c r="K21" s="42"/>
      <c r="L21" s="1"/>
      <c r="M21" s="1"/>
      <c r="N21" s="1"/>
      <c r="O21" s="1"/>
      <c r="P21" s="1"/>
      <c r="Q21" s="1"/>
      <c r="R21" s="1"/>
      <c r="S21" s="7"/>
    </row>
    <row r="22" spans="1:19" s="20" customFormat="1" ht="13.5" customHeight="1" x14ac:dyDescent="0.3">
      <c r="A22" s="1082"/>
      <c r="B22" s="1071"/>
      <c r="C22" s="107" t="s">
        <v>39</v>
      </c>
      <c r="D22" s="808">
        <v>27114.59</v>
      </c>
      <c r="E22" s="808">
        <v>26129.41</v>
      </c>
      <c r="F22" s="808">
        <v>17716.82</v>
      </c>
      <c r="G22" s="808">
        <v>27241.93</v>
      </c>
      <c r="H22" s="863">
        <v>28333.03</v>
      </c>
      <c r="I22" s="41"/>
      <c r="J22" s="42"/>
      <c r="K22" s="42"/>
      <c r="L22" s="1"/>
      <c r="M22" s="1"/>
      <c r="N22" s="1"/>
      <c r="O22" s="1"/>
      <c r="P22" s="1"/>
      <c r="Q22" s="1"/>
      <c r="R22" s="1"/>
      <c r="S22" s="7"/>
    </row>
    <row r="23" spans="1:19" s="20" customFormat="1" ht="13.5" customHeight="1" x14ac:dyDescent="0.3">
      <c r="A23" s="1082"/>
      <c r="B23" s="1071"/>
      <c r="C23" s="21" t="s">
        <v>40</v>
      </c>
      <c r="D23" s="809">
        <v>68151.28</v>
      </c>
      <c r="E23" s="809">
        <v>60292.94</v>
      </c>
      <c r="F23" s="809">
        <v>49517.74</v>
      </c>
      <c r="G23" s="809">
        <v>62793.96</v>
      </c>
      <c r="H23" s="864">
        <v>66701.42</v>
      </c>
      <c r="I23" s="19"/>
      <c r="J23" s="6"/>
      <c r="K23" s="6"/>
      <c r="L23" s="1"/>
      <c r="M23" s="1"/>
      <c r="N23" s="1"/>
      <c r="O23" s="1"/>
      <c r="P23" s="1"/>
      <c r="Q23" s="1"/>
      <c r="R23" s="1"/>
      <c r="S23" s="7"/>
    </row>
    <row r="24" spans="1:19" s="20" customFormat="1" ht="13.5" customHeight="1" x14ac:dyDescent="0.3">
      <c r="A24" s="1082"/>
      <c r="B24" s="1071"/>
      <c r="C24" s="21" t="s">
        <v>959</v>
      </c>
      <c r="D24" s="809">
        <v>543855.02</v>
      </c>
      <c r="E24" s="809">
        <v>575890.54</v>
      </c>
      <c r="F24" s="809">
        <v>495862.89</v>
      </c>
      <c r="G24" s="809">
        <v>595595.99</v>
      </c>
      <c r="H24" s="864">
        <v>644344.34</v>
      </c>
      <c r="I24" s="44"/>
      <c r="J24" s="6"/>
      <c r="K24" s="6"/>
      <c r="L24" s="1"/>
      <c r="M24" s="1"/>
      <c r="N24" s="1"/>
      <c r="O24" s="1"/>
      <c r="P24" s="1"/>
      <c r="Q24" s="1"/>
      <c r="R24" s="1"/>
      <c r="S24" s="7"/>
    </row>
    <row r="25" spans="1:19" s="20" customFormat="1" ht="13.5" customHeight="1" x14ac:dyDescent="0.3">
      <c r="A25" s="1082"/>
      <c r="B25" s="1071"/>
      <c r="C25" s="93" t="s">
        <v>961</v>
      </c>
      <c r="D25" s="810">
        <v>612006.28</v>
      </c>
      <c r="E25" s="810">
        <v>636183.4800000001</v>
      </c>
      <c r="F25" s="810">
        <v>545380.64</v>
      </c>
      <c r="G25" s="810">
        <v>658389.94000000006</v>
      </c>
      <c r="H25" s="865">
        <v>711045.7699999999</v>
      </c>
      <c r="I25" s="41"/>
      <c r="J25" s="6"/>
      <c r="K25" s="6"/>
      <c r="L25" s="1"/>
      <c r="M25" s="1"/>
      <c r="N25" s="1"/>
      <c r="O25" s="1"/>
      <c r="P25" s="1"/>
      <c r="Q25" s="1"/>
      <c r="R25" s="1"/>
      <c r="S25" s="7"/>
    </row>
    <row r="26" spans="1:19" s="20" customFormat="1" ht="13.5" customHeight="1" x14ac:dyDescent="0.3">
      <c r="A26" s="1082"/>
      <c r="B26" s="1071"/>
      <c r="C26" s="104" t="s">
        <v>819</v>
      </c>
      <c r="D26" s="812">
        <v>0</v>
      </c>
      <c r="E26" s="812">
        <v>0</v>
      </c>
      <c r="F26" s="812">
        <v>0</v>
      </c>
      <c r="G26" s="812">
        <v>0</v>
      </c>
      <c r="H26" s="866">
        <v>0</v>
      </c>
      <c r="I26" s="19"/>
      <c r="J26" s="41"/>
      <c r="K26" s="6"/>
      <c r="L26" s="1"/>
      <c r="M26" s="1"/>
      <c r="N26" s="1"/>
      <c r="O26" s="1"/>
      <c r="P26" s="1"/>
      <c r="Q26" s="1"/>
      <c r="R26" s="1"/>
      <c r="S26" s="7"/>
    </row>
    <row r="27" spans="1:19" s="20" customFormat="1" ht="13.5" customHeight="1" x14ac:dyDescent="0.3">
      <c r="A27" s="1082"/>
      <c r="B27" s="1071"/>
      <c r="C27" s="93" t="s">
        <v>769</v>
      </c>
      <c r="D27" s="812">
        <v>67863.14</v>
      </c>
      <c r="E27" s="812">
        <v>59800.92</v>
      </c>
      <c r="F27" s="812">
        <v>48879.26</v>
      </c>
      <c r="G27" s="812">
        <v>62540.240000000005</v>
      </c>
      <c r="H27" s="866">
        <v>67321.009999999995</v>
      </c>
      <c r="I27" s="19"/>
      <c r="J27" s="41"/>
      <c r="K27" s="6"/>
      <c r="L27" s="1"/>
      <c r="M27" s="1"/>
      <c r="N27" s="1"/>
      <c r="O27" s="1"/>
      <c r="P27" s="1"/>
      <c r="Q27" s="1"/>
      <c r="R27" s="1"/>
      <c r="S27" s="7"/>
    </row>
    <row r="28" spans="1:19" s="20" customFormat="1" ht="13.5" customHeight="1" x14ac:dyDescent="0.3">
      <c r="A28" s="1082"/>
      <c r="B28" s="1071"/>
      <c r="C28" s="93" t="s">
        <v>57</v>
      </c>
      <c r="D28" s="812">
        <v>288.14000000000004</v>
      </c>
      <c r="E28" s="812">
        <v>492.02</v>
      </c>
      <c r="F28" s="812">
        <v>638.5</v>
      </c>
      <c r="G28" s="812">
        <v>253.71000000000004</v>
      </c>
      <c r="H28" s="866">
        <v>-619.57999999999993</v>
      </c>
      <c r="I28" s="19"/>
      <c r="J28" s="41"/>
      <c r="K28" s="6"/>
      <c r="L28" s="1"/>
      <c r="M28" s="1"/>
      <c r="N28" s="1"/>
      <c r="O28" s="1"/>
      <c r="P28" s="1"/>
      <c r="Q28" s="1"/>
      <c r="R28" s="1"/>
      <c r="S28" s="7"/>
    </row>
    <row r="29" spans="1:19" s="20" customFormat="1" ht="13.5" customHeight="1" x14ac:dyDescent="0.3">
      <c r="A29" s="1082"/>
      <c r="B29" s="1071"/>
      <c r="C29" s="819" t="s">
        <v>1303</v>
      </c>
      <c r="D29" s="811">
        <v>0.88864287471037062</v>
      </c>
      <c r="E29" s="811">
        <v>0.90522712095573421</v>
      </c>
      <c r="F29" s="811">
        <v>0.90920515623730247</v>
      </c>
      <c r="G29" s="811">
        <v>0.90462498561262938</v>
      </c>
      <c r="H29" s="867">
        <v>0.90619249447191008</v>
      </c>
      <c r="I29" s="6"/>
      <c r="J29" s="44"/>
      <c r="K29" s="6"/>
      <c r="L29" s="1"/>
      <c r="M29" s="1"/>
      <c r="N29" s="1"/>
      <c r="O29" s="1"/>
      <c r="P29" s="1"/>
      <c r="Q29" s="1"/>
      <c r="R29" s="1"/>
      <c r="S29" s="7"/>
    </row>
    <row r="30" spans="1:19" s="20" customFormat="1" ht="13.5" customHeight="1" x14ac:dyDescent="0.3">
      <c r="A30" s="1082"/>
      <c r="B30" s="1080"/>
      <c r="C30" s="859" t="s">
        <v>43</v>
      </c>
      <c r="D30" s="811">
        <v>0.88864287471037062</v>
      </c>
      <c r="E30" s="811">
        <v>0.90522712095573421</v>
      </c>
      <c r="F30" s="811">
        <v>0.90920515623730247</v>
      </c>
      <c r="G30" s="811">
        <v>0.90462498561262938</v>
      </c>
      <c r="H30" s="867">
        <v>0.90619249447191008</v>
      </c>
      <c r="I30" s="6"/>
      <c r="J30" s="6"/>
      <c r="K30" s="6"/>
      <c r="L30" s="1"/>
      <c r="M30" s="1"/>
      <c r="N30" s="1"/>
      <c r="O30" s="1"/>
      <c r="P30" s="1"/>
      <c r="Q30" s="1"/>
      <c r="R30" s="1"/>
      <c r="S30" s="7"/>
    </row>
    <row r="31" spans="1:19" s="20" customFormat="1" ht="13.5" customHeight="1" x14ac:dyDescent="0.3">
      <c r="A31" s="1082"/>
      <c r="B31" s="1070" t="s">
        <v>112</v>
      </c>
      <c r="C31" s="109" t="s">
        <v>36</v>
      </c>
      <c r="D31" s="858">
        <v>33949.279999999999</v>
      </c>
      <c r="E31" s="858">
        <v>21123.18</v>
      </c>
      <c r="F31" s="858">
        <v>21035.99</v>
      </c>
      <c r="G31" s="858">
        <v>31984.400000000001</v>
      </c>
      <c r="H31" s="868">
        <v>31525.65</v>
      </c>
      <c r="I31" s="42"/>
      <c r="J31" s="42"/>
      <c r="K31" s="1"/>
      <c r="L31" s="1"/>
      <c r="M31" s="1"/>
      <c r="N31" s="1"/>
      <c r="O31" s="1"/>
      <c r="P31" s="1"/>
      <c r="Q31" s="1"/>
      <c r="R31" s="1"/>
    </row>
    <row r="32" spans="1:19" s="20" customFormat="1" ht="13.5" customHeight="1" x14ac:dyDescent="0.3">
      <c r="A32" s="1082"/>
      <c r="B32" s="1071"/>
      <c r="C32" s="107" t="s">
        <v>50</v>
      </c>
      <c r="D32" s="808">
        <v>6358.64</v>
      </c>
      <c r="E32" s="808">
        <v>6709.79</v>
      </c>
      <c r="F32" s="808">
        <v>4734.45</v>
      </c>
      <c r="G32" s="808">
        <v>5959.98</v>
      </c>
      <c r="H32" s="863">
        <v>6528.66</v>
      </c>
      <c r="I32" s="42"/>
      <c r="J32" s="42"/>
      <c r="K32" s="1"/>
      <c r="L32" s="1"/>
      <c r="M32" s="1"/>
      <c r="N32" s="1"/>
      <c r="O32" s="1"/>
      <c r="P32" s="1"/>
      <c r="Q32" s="1"/>
      <c r="R32" s="1"/>
    </row>
    <row r="33" spans="1:18" s="20" customFormat="1" ht="13.5" customHeight="1" x14ac:dyDescent="0.3">
      <c r="A33" s="1082"/>
      <c r="B33" s="1071"/>
      <c r="C33" s="107" t="s">
        <v>51</v>
      </c>
      <c r="D33" s="808">
        <v>0</v>
      </c>
      <c r="E33" s="808">
        <v>0</v>
      </c>
      <c r="F33" s="808">
        <v>0</v>
      </c>
      <c r="G33" s="808">
        <v>0</v>
      </c>
      <c r="H33" s="863">
        <v>0</v>
      </c>
      <c r="I33" s="42"/>
      <c r="J33" s="42"/>
      <c r="K33" s="1"/>
      <c r="L33" s="1"/>
      <c r="M33" s="1"/>
      <c r="N33" s="1"/>
      <c r="O33" s="1"/>
      <c r="P33" s="1"/>
      <c r="Q33" s="1"/>
      <c r="R33" s="1"/>
    </row>
    <row r="34" spans="1:18" s="20" customFormat="1" ht="13.5" customHeight="1" x14ac:dyDescent="0.3">
      <c r="A34" s="1082"/>
      <c r="B34" s="1071"/>
      <c r="C34" s="107" t="s">
        <v>38</v>
      </c>
      <c r="D34" s="808">
        <v>22798.91</v>
      </c>
      <c r="E34" s="808">
        <v>17082.48</v>
      </c>
      <c r="F34" s="808">
        <v>16348.12</v>
      </c>
      <c r="G34" s="808">
        <v>16830.55</v>
      </c>
      <c r="H34" s="863">
        <v>16133.75</v>
      </c>
      <c r="I34" s="42"/>
      <c r="J34" s="42"/>
      <c r="K34" s="1"/>
      <c r="L34" s="1"/>
      <c r="M34" s="1"/>
      <c r="N34" s="1"/>
      <c r="O34" s="1"/>
      <c r="P34" s="1"/>
      <c r="Q34" s="1"/>
      <c r="R34" s="1"/>
    </row>
    <row r="35" spans="1:18" s="20" customFormat="1" ht="13.5" customHeight="1" x14ac:dyDescent="0.3">
      <c r="A35" s="1082"/>
      <c r="B35" s="1071"/>
      <c r="C35" s="107" t="s">
        <v>39</v>
      </c>
      <c r="D35" s="808">
        <v>0</v>
      </c>
      <c r="E35" s="808">
        <v>0</v>
      </c>
      <c r="F35" s="808">
        <v>0</v>
      </c>
      <c r="G35" s="808">
        <v>0</v>
      </c>
      <c r="H35" s="863">
        <v>0</v>
      </c>
      <c r="I35" s="42"/>
      <c r="J35" s="42"/>
      <c r="K35" s="1"/>
      <c r="L35" s="1"/>
      <c r="M35" s="1"/>
      <c r="N35" s="1"/>
      <c r="O35" s="1"/>
      <c r="P35" s="1"/>
      <c r="Q35" s="1"/>
      <c r="R35" s="1"/>
    </row>
    <row r="36" spans="1:18" s="20" customFormat="1" ht="13.5" customHeight="1" x14ac:dyDescent="0.3">
      <c r="A36" s="1082"/>
      <c r="B36" s="1071"/>
      <c r="C36" s="21" t="s">
        <v>40</v>
      </c>
      <c r="D36" s="809">
        <v>63106.83</v>
      </c>
      <c r="E36" s="809">
        <v>44915.45</v>
      </c>
      <c r="F36" s="809">
        <v>42118.559999999998</v>
      </c>
      <c r="G36" s="809">
        <v>54774.93</v>
      </c>
      <c r="H36" s="864">
        <v>54188.06</v>
      </c>
      <c r="I36" s="6"/>
      <c r="J36" s="6"/>
      <c r="K36" s="1"/>
      <c r="L36" s="1"/>
      <c r="M36" s="1"/>
      <c r="N36" s="1"/>
      <c r="O36" s="1"/>
      <c r="P36" s="1"/>
      <c r="Q36" s="1"/>
      <c r="R36" s="1"/>
    </row>
    <row r="37" spans="1:18" s="20" customFormat="1" ht="13.5" customHeight="1" x14ac:dyDescent="0.3">
      <c r="A37" s="1082"/>
      <c r="B37" s="1071"/>
      <c r="C37" s="21" t="s">
        <v>959</v>
      </c>
      <c r="D37" s="809">
        <v>113049.12</v>
      </c>
      <c r="E37" s="809">
        <v>77985.64</v>
      </c>
      <c r="F37" s="809">
        <v>64301.79</v>
      </c>
      <c r="G37" s="809">
        <v>101534.31</v>
      </c>
      <c r="H37" s="864">
        <v>118650.56</v>
      </c>
      <c r="I37" s="6"/>
      <c r="J37" s="6"/>
      <c r="K37" s="1"/>
      <c r="L37" s="1"/>
      <c r="M37" s="1"/>
      <c r="N37" s="1"/>
      <c r="O37" s="1"/>
      <c r="P37" s="1"/>
      <c r="Q37" s="1"/>
      <c r="R37" s="1"/>
    </row>
    <row r="38" spans="1:18" s="20" customFormat="1" ht="13.5" customHeight="1" x14ac:dyDescent="0.3">
      <c r="A38" s="1082"/>
      <c r="B38" s="1071"/>
      <c r="C38" s="93" t="s">
        <v>961</v>
      </c>
      <c r="D38" s="810">
        <v>176155.94</v>
      </c>
      <c r="E38" s="810">
        <v>122901.08</v>
      </c>
      <c r="F38" s="810">
        <v>106420.34</v>
      </c>
      <c r="G38" s="810">
        <v>156309.24</v>
      </c>
      <c r="H38" s="865">
        <v>172838.62</v>
      </c>
      <c r="I38" s="6"/>
      <c r="J38" s="6"/>
      <c r="K38" s="1"/>
      <c r="L38" s="1"/>
      <c r="M38" s="1"/>
      <c r="N38" s="1"/>
      <c r="O38" s="1"/>
      <c r="P38" s="1"/>
      <c r="Q38" s="1"/>
      <c r="R38" s="1"/>
    </row>
    <row r="39" spans="1:18" s="20" customFormat="1" ht="13.5" customHeight="1" x14ac:dyDescent="0.3">
      <c r="A39" s="1082"/>
      <c r="B39" s="1071"/>
      <c r="C39" s="104" t="s">
        <v>819</v>
      </c>
      <c r="D39" s="812">
        <v>42323.08</v>
      </c>
      <c r="E39" s="812">
        <v>28089.22</v>
      </c>
      <c r="F39" s="812">
        <v>38721.410000000003</v>
      </c>
      <c r="G39" s="812">
        <v>51022.27</v>
      </c>
      <c r="H39" s="866">
        <v>49966.11</v>
      </c>
      <c r="I39" s="41"/>
      <c r="J39" s="6"/>
      <c r="K39" s="1"/>
      <c r="L39" s="1"/>
      <c r="M39" s="1"/>
      <c r="N39" s="1"/>
      <c r="O39" s="1"/>
      <c r="P39" s="1"/>
      <c r="Q39" s="1"/>
      <c r="R39" s="1"/>
    </row>
    <row r="40" spans="1:18" s="20" customFormat="1" ht="13.5" customHeight="1" x14ac:dyDescent="0.3">
      <c r="A40" s="1082"/>
      <c r="B40" s="1071"/>
      <c r="C40" s="93" t="s">
        <v>769</v>
      </c>
      <c r="D40" s="812">
        <v>3822.43</v>
      </c>
      <c r="E40" s="812">
        <v>4259.4799999999996</v>
      </c>
      <c r="F40" s="812">
        <v>3338.6</v>
      </c>
      <c r="G40" s="812">
        <v>3751.04</v>
      </c>
      <c r="H40" s="866">
        <v>4215.5</v>
      </c>
      <c r="I40" s="41"/>
      <c r="J40" s="6"/>
      <c r="K40" s="1"/>
      <c r="L40" s="1"/>
      <c r="M40" s="1"/>
      <c r="N40" s="1"/>
      <c r="O40" s="1"/>
      <c r="P40" s="1"/>
      <c r="Q40" s="1"/>
      <c r="R40" s="1"/>
    </row>
    <row r="41" spans="1:18" s="20" customFormat="1" ht="13.5" customHeight="1" x14ac:dyDescent="0.3">
      <c r="A41" s="1082"/>
      <c r="B41" s="1071"/>
      <c r="C41" s="93" t="s">
        <v>57</v>
      </c>
      <c r="D41" s="812">
        <v>16961.330000000002</v>
      </c>
      <c r="E41" s="812">
        <v>12566.75</v>
      </c>
      <c r="F41" s="812">
        <v>58.54</v>
      </c>
      <c r="G41" s="812">
        <v>1.61</v>
      </c>
      <c r="H41" s="866">
        <v>6.45</v>
      </c>
      <c r="I41" s="41"/>
      <c r="J41" s="6"/>
      <c r="K41" s="1"/>
      <c r="L41" s="1"/>
      <c r="M41" s="1"/>
      <c r="N41" s="1"/>
      <c r="O41" s="1"/>
      <c r="P41" s="1"/>
      <c r="Q41" s="1"/>
      <c r="R41" s="1"/>
    </row>
    <row r="42" spans="1:18" s="20" customFormat="1" ht="13.5" customHeight="1" x14ac:dyDescent="0.3">
      <c r="A42" s="1082"/>
      <c r="B42" s="1071"/>
      <c r="C42" s="819" t="s">
        <v>1303</v>
      </c>
      <c r="D42" s="811">
        <v>0.64180000000000004</v>
      </c>
      <c r="E42" s="811">
        <v>0.63449999999999995</v>
      </c>
      <c r="F42" s="811">
        <v>0.60419999999999996</v>
      </c>
      <c r="G42" s="811">
        <v>64.959999999999994</v>
      </c>
      <c r="H42" s="867">
        <v>0.6865</v>
      </c>
      <c r="I42" s="44"/>
      <c r="J42" s="6"/>
      <c r="K42" s="1"/>
      <c r="L42" s="1"/>
      <c r="M42" s="1"/>
      <c r="N42" s="1"/>
      <c r="O42" s="1"/>
      <c r="P42" s="1"/>
      <c r="Q42" s="1"/>
      <c r="R42" s="1"/>
    </row>
    <row r="43" spans="1:18" s="20" customFormat="1" ht="13.5" customHeight="1" x14ac:dyDescent="0.3">
      <c r="A43" s="1082"/>
      <c r="B43" s="1080"/>
      <c r="C43" s="859" t="s">
        <v>43</v>
      </c>
      <c r="D43" s="811">
        <v>0.84470000000000001</v>
      </c>
      <c r="E43" s="811">
        <v>0.82250000000000001</v>
      </c>
      <c r="F43" s="811">
        <v>0.94979999999999998</v>
      </c>
      <c r="G43" s="811">
        <v>96.44</v>
      </c>
      <c r="H43" s="867">
        <v>0.96560000000000001</v>
      </c>
      <c r="I43" s="6"/>
      <c r="J43" s="6"/>
      <c r="K43" s="1"/>
      <c r="L43" s="1"/>
      <c r="M43" s="1"/>
      <c r="N43" s="1"/>
      <c r="O43" s="1"/>
      <c r="P43" s="1"/>
      <c r="Q43" s="1"/>
      <c r="R43" s="1"/>
    </row>
    <row r="44" spans="1:18" s="20" customFormat="1" ht="13.5" customHeight="1" x14ac:dyDescent="0.3">
      <c r="A44" s="1082"/>
      <c r="B44" s="1070" t="s">
        <v>814</v>
      </c>
      <c r="C44" s="873" t="s">
        <v>36</v>
      </c>
      <c r="D44" s="874">
        <v>107880.26</v>
      </c>
      <c r="E44" s="874">
        <v>95614.580000000016</v>
      </c>
      <c r="F44" s="874">
        <v>92902.170000000013</v>
      </c>
      <c r="G44" s="874">
        <v>109139.45999999999</v>
      </c>
      <c r="H44" s="945">
        <v>98869</v>
      </c>
      <c r="I44" s="42"/>
      <c r="J44" s="1"/>
      <c r="K44" s="1"/>
      <c r="L44" s="1"/>
      <c r="M44" s="1"/>
      <c r="N44" s="1"/>
      <c r="O44" s="1"/>
      <c r="P44" s="1"/>
      <c r="Q44" s="1"/>
      <c r="R44" s="6"/>
    </row>
    <row r="45" spans="1:18" s="20" customFormat="1" ht="13.5" customHeight="1" x14ac:dyDescent="0.3">
      <c r="A45" s="1082"/>
      <c r="B45" s="1071"/>
      <c r="C45" s="876" t="s">
        <v>50</v>
      </c>
      <c r="D45" s="816">
        <v>63364.600000000006</v>
      </c>
      <c r="E45" s="816">
        <v>53987.01</v>
      </c>
      <c r="F45" s="816">
        <v>45339.6</v>
      </c>
      <c r="G45" s="816">
        <v>54095.59</v>
      </c>
      <c r="H45" s="946">
        <v>64971</v>
      </c>
      <c r="I45" s="42"/>
      <c r="J45" s="1"/>
      <c r="K45" s="1"/>
      <c r="L45" s="1"/>
      <c r="M45" s="1"/>
      <c r="N45" s="1"/>
      <c r="O45" s="1"/>
      <c r="P45" s="1"/>
      <c r="Q45" s="1"/>
      <c r="R45" s="6"/>
    </row>
    <row r="46" spans="1:18" s="20" customFormat="1" ht="13.5" customHeight="1" x14ac:dyDescent="0.3">
      <c r="A46" s="1082"/>
      <c r="B46" s="1071"/>
      <c r="C46" s="876" t="s">
        <v>51</v>
      </c>
      <c r="D46" s="816">
        <v>0</v>
      </c>
      <c r="E46" s="816">
        <v>0</v>
      </c>
      <c r="F46" s="816">
        <v>0</v>
      </c>
      <c r="G46" s="816">
        <v>0</v>
      </c>
      <c r="H46" s="877">
        <v>0</v>
      </c>
      <c r="I46" s="42"/>
      <c r="J46" s="1"/>
      <c r="K46" s="1"/>
      <c r="L46" s="1"/>
      <c r="M46" s="1"/>
      <c r="N46" s="1"/>
      <c r="O46" s="1"/>
      <c r="P46" s="1"/>
      <c r="Q46" s="1"/>
      <c r="R46" s="6"/>
    </row>
    <row r="47" spans="1:18" s="20" customFormat="1" ht="13.5" customHeight="1" x14ac:dyDescent="0.3">
      <c r="A47" s="1082"/>
      <c r="B47" s="1071"/>
      <c r="C47" s="876" t="s">
        <v>38</v>
      </c>
      <c r="D47" s="816">
        <v>35483.46</v>
      </c>
      <c r="E47" s="816">
        <v>34079.11</v>
      </c>
      <c r="F47" s="816">
        <v>26789.730000000003</v>
      </c>
      <c r="G47" s="816">
        <v>35613.33</v>
      </c>
      <c r="H47" s="877">
        <v>37691.21</v>
      </c>
      <c r="I47" s="42"/>
      <c r="J47" s="1"/>
      <c r="K47" s="1"/>
      <c r="L47" s="1"/>
      <c r="M47" s="1"/>
      <c r="N47" s="1"/>
      <c r="O47" s="1"/>
      <c r="P47" s="1"/>
      <c r="Q47" s="1"/>
      <c r="R47" s="6"/>
    </row>
    <row r="48" spans="1:18" s="20" customFormat="1" ht="13.5" customHeight="1" x14ac:dyDescent="0.3">
      <c r="A48" s="1082"/>
      <c r="B48" s="1071"/>
      <c r="C48" s="876" t="s">
        <v>39</v>
      </c>
      <c r="D48" s="816">
        <v>28671.96</v>
      </c>
      <c r="E48" s="816">
        <v>34601.86</v>
      </c>
      <c r="F48" s="816">
        <v>21256.89</v>
      </c>
      <c r="G48" s="816">
        <v>29295.510000000002</v>
      </c>
      <c r="H48" s="877">
        <v>30710.969999999998</v>
      </c>
      <c r="I48" s="42"/>
      <c r="J48" s="1"/>
      <c r="K48" s="1"/>
      <c r="L48" s="1"/>
      <c r="M48" s="1"/>
      <c r="N48" s="1"/>
      <c r="O48" s="1"/>
      <c r="P48" s="1"/>
      <c r="Q48" s="1"/>
      <c r="R48" s="6"/>
    </row>
    <row r="49" spans="1:18" s="20" customFormat="1" ht="13.5" customHeight="1" x14ac:dyDescent="0.3">
      <c r="A49" s="1082"/>
      <c r="B49" s="1071"/>
      <c r="C49" s="21" t="s">
        <v>40</v>
      </c>
      <c r="D49" s="809">
        <v>235400.3</v>
      </c>
      <c r="E49" s="809">
        <v>218282.52999999997</v>
      </c>
      <c r="F49" s="809">
        <v>186288.34000000003</v>
      </c>
      <c r="G49" s="809">
        <v>228143.87</v>
      </c>
      <c r="H49" s="864">
        <v>232241.7</v>
      </c>
      <c r="I49" s="6"/>
      <c r="J49" s="1"/>
      <c r="K49" s="1"/>
      <c r="L49" s="1"/>
      <c r="M49" s="1"/>
      <c r="N49" s="1"/>
      <c r="O49" s="1"/>
      <c r="P49" s="1"/>
      <c r="Q49" s="1"/>
      <c r="R49" s="6"/>
    </row>
    <row r="50" spans="1:18" s="20" customFormat="1" ht="13.5" customHeight="1" x14ac:dyDescent="0.3">
      <c r="A50" s="1082"/>
      <c r="B50" s="1071"/>
      <c r="C50" s="21" t="s">
        <v>959</v>
      </c>
      <c r="D50" s="809">
        <v>1311451.3900000001</v>
      </c>
      <c r="E50" s="809">
        <v>1339046.5899999999</v>
      </c>
      <c r="F50" s="809">
        <v>1173604.9500000002</v>
      </c>
      <c r="G50" s="809">
        <v>1271450.8900000001</v>
      </c>
      <c r="H50" s="864">
        <v>1474677.19</v>
      </c>
      <c r="I50" s="6"/>
      <c r="J50" s="1"/>
      <c r="K50" s="1"/>
      <c r="L50" s="1"/>
      <c r="M50" s="1"/>
      <c r="N50" s="1"/>
      <c r="O50" s="1"/>
      <c r="P50" s="1"/>
      <c r="Q50" s="1"/>
      <c r="R50" s="6"/>
    </row>
    <row r="51" spans="1:18" s="20" customFormat="1" ht="13.5" customHeight="1" x14ac:dyDescent="0.3">
      <c r="A51" s="1082"/>
      <c r="B51" s="1071"/>
      <c r="C51" s="878" t="s">
        <v>961</v>
      </c>
      <c r="D51" s="817">
        <v>1546851.67</v>
      </c>
      <c r="E51" s="817">
        <v>1557329.0900000003</v>
      </c>
      <c r="F51" s="817">
        <v>1359893.28</v>
      </c>
      <c r="G51" s="817">
        <v>1499594.75</v>
      </c>
      <c r="H51" s="879">
        <v>1706918.92</v>
      </c>
      <c r="I51" s="6"/>
      <c r="J51" s="1"/>
      <c r="K51" s="1"/>
      <c r="L51" s="1"/>
      <c r="M51" s="1"/>
      <c r="N51" s="1"/>
      <c r="O51" s="1"/>
      <c r="P51" s="1"/>
      <c r="Q51" s="1"/>
      <c r="R51" s="6"/>
    </row>
    <row r="52" spans="1:18" s="20" customFormat="1" ht="13.5" customHeight="1" x14ac:dyDescent="0.3">
      <c r="A52" s="1082"/>
      <c r="B52" s="1071"/>
      <c r="C52" s="880" t="s">
        <v>819</v>
      </c>
      <c r="D52" s="818">
        <v>42323.08</v>
      </c>
      <c r="E52" s="818">
        <v>28089.22</v>
      </c>
      <c r="F52" s="818">
        <v>38721.410000000003</v>
      </c>
      <c r="G52" s="818">
        <v>51212.78</v>
      </c>
      <c r="H52" s="881">
        <v>49966.11</v>
      </c>
      <c r="I52" s="6"/>
      <c r="J52" s="1"/>
      <c r="K52" s="1"/>
      <c r="L52" s="1"/>
      <c r="M52" s="1"/>
      <c r="N52" s="1"/>
      <c r="O52" s="1"/>
      <c r="P52" s="1"/>
      <c r="Q52" s="1"/>
      <c r="R52" s="6"/>
    </row>
    <row r="53" spans="1:18" s="20" customFormat="1" ht="13.5" customHeight="1" x14ac:dyDescent="0.3">
      <c r="A53" s="1082"/>
      <c r="B53" s="1071"/>
      <c r="C53" s="878" t="s">
        <v>769</v>
      </c>
      <c r="D53" s="818">
        <v>177679.88999999998</v>
      </c>
      <c r="E53" s="818">
        <v>178006.64</v>
      </c>
      <c r="F53" s="818">
        <v>152253.1</v>
      </c>
      <c r="G53" s="818">
        <v>170570.40000000002</v>
      </c>
      <c r="H53" s="881">
        <v>184276.03</v>
      </c>
      <c r="I53" s="6"/>
      <c r="J53" s="1"/>
      <c r="K53" s="1"/>
      <c r="L53" s="1"/>
      <c r="M53" s="1"/>
      <c r="N53" s="1"/>
      <c r="O53" s="1"/>
      <c r="P53" s="1"/>
      <c r="Q53" s="1"/>
      <c r="R53" s="6"/>
    </row>
    <row r="54" spans="1:18" s="20" customFormat="1" ht="13.5" customHeight="1" x14ac:dyDescent="0.3">
      <c r="A54" s="1082"/>
      <c r="B54" s="1071"/>
      <c r="C54" s="878" t="s">
        <v>57</v>
      </c>
      <c r="D54" s="818">
        <v>15397.350000000002</v>
      </c>
      <c r="E54" s="818">
        <v>12186.69</v>
      </c>
      <c r="F54" s="818">
        <v>-4686.17</v>
      </c>
      <c r="G54" s="818">
        <v>6360.6799999999994</v>
      </c>
      <c r="H54" s="881">
        <v>-2000.4099999999999</v>
      </c>
      <c r="I54" s="6"/>
      <c r="J54" s="1"/>
      <c r="K54" s="1"/>
      <c r="L54" s="1"/>
      <c r="M54" s="1"/>
      <c r="N54" s="1"/>
      <c r="O54" s="1"/>
      <c r="P54" s="1"/>
      <c r="Q54" s="1"/>
      <c r="R54" s="6"/>
    </row>
    <row r="55" spans="1:18" s="20" customFormat="1" ht="13.5" customHeight="1" x14ac:dyDescent="0.3">
      <c r="A55" s="1082"/>
      <c r="B55" s="1071"/>
      <c r="C55" s="819" t="s">
        <v>1303</v>
      </c>
      <c r="D55" s="811">
        <v>0.8478197460264566</v>
      </c>
      <c r="E55" s="811">
        <v>0.85983534154621077</v>
      </c>
      <c r="F55" s="811">
        <v>0.86301253727792537</v>
      </c>
      <c r="G55" s="811">
        <v>0.84786299098473117</v>
      </c>
      <c r="H55" s="867">
        <v>0.86394097149031546</v>
      </c>
      <c r="I55" s="6"/>
      <c r="J55" s="1"/>
      <c r="K55" s="1"/>
      <c r="L55" s="1"/>
      <c r="M55" s="1"/>
      <c r="N55" s="1"/>
      <c r="O55" s="1"/>
      <c r="P55" s="1"/>
      <c r="Q55" s="1"/>
      <c r="R55" s="6"/>
    </row>
    <row r="56" spans="1:18" s="20" customFormat="1" ht="13.5" customHeight="1" thickBot="1" x14ac:dyDescent="0.35">
      <c r="A56" s="1083"/>
      <c r="B56" s="1072"/>
      <c r="C56" s="869" t="s">
        <v>43</v>
      </c>
      <c r="D56" s="815">
        <v>0.87166930473551207</v>
      </c>
      <c r="E56" s="815">
        <v>0.87562887697925351</v>
      </c>
      <c r="F56" s="815">
        <v>0.88830603848687761</v>
      </c>
      <c r="G56" s="815">
        <v>0.87784225179218445</v>
      </c>
      <c r="H56" s="870">
        <v>0.88999347543277352</v>
      </c>
      <c r="I56" s="6"/>
      <c r="J56" s="1"/>
      <c r="K56" s="1"/>
      <c r="L56" s="1"/>
      <c r="M56" s="1"/>
      <c r="N56" s="1"/>
      <c r="O56" s="1"/>
      <c r="P56" s="1"/>
      <c r="Q56" s="1"/>
      <c r="R56" s="6"/>
    </row>
    <row r="57" spans="1:18" s="20" customFormat="1" ht="13.5" customHeight="1" x14ac:dyDescent="0.3">
      <c r="A57" s="1073" t="s">
        <v>815</v>
      </c>
      <c r="B57" s="1079" t="s">
        <v>124</v>
      </c>
      <c r="C57" s="882" t="s">
        <v>36</v>
      </c>
      <c r="D57" s="883">
        <v>1315.0800000000002</v>
      </c>
      <c r="E57" s="883">
        <v>1461.59</v>
      </c>
      <c r="F57" s="883">
        <v>1256.0700000000002</v>
      </c>
      <c r="G57" s="883">
        <v>1150.1499999999999</v>
      </c>
      <c r="H57" s="884">
        <v>1255.75</v>
      </c>
      <c r="I57" s="1"/>
      <c r="J57" s="1"/>
      <c r="K57" s="1"/>
      <c r="L57" s="1"/>
      <c r="M57" s="1"/>
      <c r="N57" s="1"/>
      <c r="O57" s="1"/>
      <c r="P57" s="1"/>
      <c r="Q57" s="6"/>
      <c r="R57" s="6"/>
    </row>
    <row r="58" spans="1:18" s="20" customFormat="1" ht="13.5" customHeight="1" x14ac:dyDescent="0.3">
      <c r="A58" s="1074"/>
      <c r="B58" s="1071"/>
      <c r="C58" s="876" t="s">
        <v>50</v>
      </c>
      <c r="D58" s="816">
        <v>782.4</v>
      </c>
      <c r="E58" s="816">
        <v>2663.14</v>
      </c>
      <c r="F58" s="816">
        <v>2469.9</v>
      </c>
      <c r="G58" s="816">
        <v>1212.9100000000001</v>
      </c>
      <c r="H58" s="877">
        <v>1269.6500000000001</v>
      </c>
      <c r="I58" s="1"/>
      <c r="J58" s="1"/>
      <c r="K58" s="1"/>
      <c r="L58" s="1"/>
      <c r="M58" s="1"/>
      <c r="N58" s="1"/>
      <c r="O58" s="1"/>
      <c r="P58" s="1"/>
      <c r="Q58" s="6"/>
      <c r="R58" s="6"/>
    </row>
    <row r="59" spans="1:18" s="20" customFormat="1" ht="13.5" customHeight="1" x14ac:dyDescent="0.3">
      <c r="A59" s="1074"/>
      <c r="B59" s="1071"/>
      <c r="C59" s="876" t="s">
        <v>51</v>
      </c>
      <c r="D59" s="816">
        <v>0</v>
      </c>
      <c r="E59" s="816">
        <v>0</v>
      </c>
      <c r="F59" s="816">
        <v>0</v>
      </c>
      <c r="G59" s="816">
        <v>0</v>
      </c>
      <c r="H59" s="877">
        <v>0</v>
      </c>
      <c r="I59" s="1"/>
      <c r="J59" s="1"/>
      <c r="K59" s="1"/>
      <c r="L59" s="1"/>
      <c r="M59" s="1"/>
      <c r="N59" s="1"/>
      <c r="O59" s="1"/>
      <c r="P59" s="1"/>
      <c r="Q59" s="6"/>
      <c r="R59" s="6"/>
    </row>
    <row r="60" spans="1:18" s="20" customFormat="1" ht="13.5" customHeight="1" x14ac:dyDescent="0.3">
      <c r="A60" s="1074"/>
      <c r="B60" s="1071"/>
      <c r="C60" s="876" t="s">
        <v>38</v>
      </c>
      <c r="D60" s="816">
        <v>14648.52</v>
      </c>
      <c r="E60" s="816">
        <v>19494.39</v>
      </c>
      <c r="F60" s="816">
        <v>13990.03</v>
      </c>
      <c r="G60" s="816">
        <v>13174.08</v>
      </c>
      <c r="H60" s="877">
        <v>14575.59</v>
      </c>
      <c r="I60" s="1"/>
      <c r="J60" s="1"/>
      <c r="K60" s="1"/>
      <c r="L60" s="1"/>
      <c r="M60" s="1"/>
      <c r="N60" s="1"/>
      <c r="O60" s="1"/>
      <c r="P60" s="1"/>
      <c r="Q60" s="6"/>
      <c r="R60" s="6"/>
    </row>
    <row r="61" spans="1:18" s="20" customFormat="1" ht="13.5" customHeight="1" x14ac:dyDescent="0.3">
      <c r="A61" s="1074"/>
      <c r="B61" s="1071"/>
      <c r="C61" s="876" t="s">
        <v>39</v>
      </c>
      <c r="D61" s="816">
        <v>0</v>
      </c>
      <c r="E61" s="816">
        <v>0</v>
      </c>
      <c r="F61" s="816">
        <v>0</v>
      </c>
      <c r="G61" s="816">
        <v>0</v>
      </c>
      <c r="H61" s="877">
        <v>0</v>
      </c>
      <c r="I61" s="1"/>
      <c r="J61" s="1"/>
      <c r="K61" s="1"/>
      <c r="L61" s="1"/>
      <c r="M61" s="1"/>
      <c r="N61" s="1"/>
      <c r="O61" s="1"/>
      <c r="P61" s="1"/>
      <c r="Q61" s="6"/>
      <c r="R61" s="6"/>
    </row>
    <row r="62" spans="1:18" s="20" customFormat="1" ht="13.5" customHeight="1" x14ac:dyDescent="0.3">
      <c r="A62" s="1074"/>
      <c r="B62" s="1071"/>
      <c r="C62" s="21" t="s">
        <v>40</v>
      </c>
      <c r="D62" s="809">
        <v>16746</v>
      </c>
      <c r="E62" s="809">
        <v>23619.119999999999</v>
      </c>
      <c r="F62" s="809">
        <v>17716</v>
      </c>
      <c r="G62" s="809">
        <v>15537.14</v>
      </c>
      <c r="H62" s="864">
        <v>17100.989999999998</v>
      </c>
      <c r="I62" s="1"/>
      <c r="J62" s="1"/>
      <c r="K62" s="1"/>
      <c r="L62" s="1"/>
      <c r="M62" s="1"/>
      <c r="N62" s="1"/>
      <c r="O62" s="1"/>
      <c r="P62" s="1"/>
      <c r="Q62" s="6"/>
      <c r="R62" s="6"/>
    </row>
    <row r="63" spans="1:18" s="20" customFormat="1" ht="13.5" customHeight="1" x14ac:dyDescent="0.3">
      <c r="A63" s="1074"/>
      <c r="B63" s="1071"/>
      <c r="C63" s="21" t="s">
        <v>959</v>
      </c>
      <c r="D63" s="809">
        <v>23044.11</v>
      </c>
      <c r="E63" s="809">
        <v>26127.940000000002</v>
      </c>
      <c r="F63" s="809">
        <v>20458.400000000001</v>
      </c>
      <c r="G63" s="809">
        <v>20114.97</v>
      </c>
      <c r="H63" s="864">
        <v>20807.86</v>
      </c>
      <c r="I63" s="1"/>
      <c r="J63" s="1"/>
      <c r="K63" s="1"/>
      <c r="L63" s="1"/>
      <c r="M63" s="1"/>
      <c r="N63" s="1"/>
      <c r="O63" s="1"/>
      <c r="P63" s="1"/>
      <c r="Q63" s="6"/>
      <c r="R63" s="6"/>
    </row>
    <row r="64" spans="1:18" s="20" customFormat="1" ht="13.5" customHeight="1" x14ac:dyDescent="0.3">
      <c r="A64" s="1074"/>
      <c r="B64" s="1071"/>
      <c r="C64" s="878" t="s">
        <v>961</v>
      </c>
      <c r="D64" s="817">
        <v>39790.11</v>
      </c>
      <c r="E64" s="817">
        <v>49747.06</v>
      </c>
      <c r="F64" s="817">
        <v>38174.410000000003</v>
      </c>
      <c r="G64" s="817">
        <v>35652.1</v>
      </c>
      <c r="H64" s="879">
        <v>37908.86</v>
      </c>
      <c r="I64" s="1"/>
      <c r="J64" s="1"/>
      <c r="K64" s="1"/>
      <c r="L64" s="1"/>
      <c r="M64" s="1"/>
      <c r="N64" s="1"/>
      <c r="O64" s="1"/>
      <c r="P64" s="1"/>
      <c r="Q64" s="6"/>
      <c r="R64" s="6"/>
    </row>
    <row r="65" spans="1:18" s="20" customFormat="1" ht="13.5" customHeight="1" x14ac:dyDescent="0.3">
      <c r="A65" s="1074"/>
      <c r="B65" s="1071"/>
      <c r="C65" s="880" t="s">
        <v>819</v>
      </c>
      <c r="D65" s="818">
        <v>12801.17</v>
      </c>
      <c r="E65" s="818">
        <v>15104.67</v>
      </c>
      <c r="F65" s="818">
        <v>11937.74</v>
      </c>
      <c r="G65" s="818">
        <v>10954.04</v>
      </c>
      <c r="H65" s="881">
        <v>11834.74</v>
      </c>
      <c r="I65" s="1"/>
      <c r="J65" s="1"/>
      <c r="K65" s="1"/>
      <c r="L65" s="1"/>
      <c r="M65" s="1"/>
      <c r="N65" s="1"/>
      <c r="O65" s="1"/>
      <c r="P65" s="1"/>
      <c r="Q65" s="6"/>
      <c r="R65" s="6"/>
    </row>
    <row r="66" spans="1:18" s="20" customFormat="1" ht="13.5" customHeight="1" x14ac:dyDescent="0.3">
      <c r="A66" s="1074"/>
      <c r="B66" s="1071"/>
      <c r="C66" s="878" t="s">
        <v>769</v>
      </c>
      <c r="D66" s="818">
        <v>5753.96</v>
      </c>
      <c r="E66" s="818">
        <v>5746.86</v>
      </c>
      <c r="F66" s="818">
        <v>5025.42</v>
      </c>
      <c r="G66" s="818">
        <v>5209.83</v>
      </c>
      <c r="H66" s="881">
        <v>5726.6100000000006</v>
      </c>
      <c r="I66" s="1"/>
      <c r="J66" s="1"/>
      <c r="K66" s="1"/>
      <c r="L66" s="1"/>
      <c r="M66" s="1"/>
      <c r="N66" s="1"/>
      <c r="O66" s="1"/>
      <c r="P66" s="1"/>
      <c r="Q66" s="6"/>
      <c r="R66" s="6"/>
    </row>
    <row r="67" spans="1:18" s="20" customFormat="1" ht="13.5" customHeight="1" x14ac:dyDescent="0.3">
      <c r="A67" s="1074"/>
      <c r="B67" s="1071"/>
      <c r="C67" s="878" t="s">
        <v>57</v>
      </c>
      <c r="D67" s="818">
        <v>-1809.1200000000001</v>
      </c>
      <c r="E67" s="818">
        <v>2767.58</v>
      </c>
      <c r="F67" s="818">
        <v>752.85</v>
      </c>
      <c r="G67" s="818">
        <v>-626.74</v>
      </c>
      <c r="H67" s="881">
        <v>-460.37</v>
      </c>
      <c r="I67" s="1"/>
      <c r="J67" s="1"/>
      <c r="K67" s="1"/>
      <c r="L67" s="1"/>
      <c r="M67" s="1"/>
      <c r="N67" s="1"/>
      <c r="O67" s="1"/>
      <c r="P67" s="1"/>
      <c r="Q67" s="6"/>
      <c r="R67" s="6"/>
    </row>
    <row r="68" spans="1:18" s="20" customFormat="1" ht="13.5" customHeight="1" x14ac:dyDescent="0.3">
      <c r="A68" s="1074"/>
      <c r="B68" s="1071"/>
      <c r="C68" s="819" t="s">
        <v>1303</v>
      </c>
      <c r="D68" s="811">
        <v>0.57914165102835857</v>
      </c>
      <c r="E68" s="811">
        <v>0.5252157614942472</v>
      </c>
      <c r="F68" s="811">
        <v>0.53591921918374119</v>
      </c>
      <c r="G68" s="811">
        <v>0.56420154773491604</v>
      </c>
      <c r="H68" s="867">
        <v>0.54889173665470292</v>
      </c>
      <c r="I68" s="1"/>
      <c r="J68" s="1"/>
      <c r="K68" s="1"/>
      <c r="L68" s="1"/>
      <c r="M68" s="1"/>
      <c r="N68" s="1"/>
      <c r="O68" s="1"/>
      <c r="P68" s="1"/>
      <c r="Q68" s="6"/>
      <c r="R68" s="6"/>
    </row>
    <row r="69" spans="1:18" s="20" customFormat="1" ht="13.5" customHeight="1" thickBot="1" x14ac:dyDescent="0.35">
      <c r="A69" s="1075"/>
      <c r="B69" s="1072"/>
      <c r="C69" s="869" t="s">
        <v>43</v>
      </c>
      <c r="D69" s="815">
        <v>0.85383531179809202</v>
      </c>
      <c r="E69" s="815">
        <v>0.75421874760950391</v>
      </c>
      <c r="F69" s="815">
        <v>0.77976359042515675</v>
      </c>
      <c r="G69" s="815">
        <v>0.81443522284746261</v>
      </c>
      <c r="H69" s="870">
        <v>0.79802731597461385</v>
      </c>
      <c r="I69" s="1"/>
      <c r="J69" s="1"/>
      <c r="K69" s="1"/>
      <c r="L69" s="1"/>
      <c r="M69" s="1"/>
      <c r="N69" s="1"/>
      <c r="O69" s="1"/>
      <c r="P69" s="1"/>
      <c r="Q69" s="6"/>
      <c r="R69" s="6"/>
    </row>
    <row r="70" spans="1:18" s="20" customFormat="1" ht="13.5" customHeight="1" x14ac:dyDescent="0.3">
      <c r="A70" s="1073" t="s">
        <v>817</v>
      </c>
      <c r="B70" s="1079" t="s">
        <v>124</v>
      </c>
      <c r="C70" s="860" t="s">
        <v>36</v>
      </c>
      <c r="D70" s="861">
        <v>2019.48</v>
      </c>
      <c r="E70" s="861">
        <v>1855.0700000000002</v>
      </c>
      <c r="F70" s="861">
        <v>2067.42</v>
      </c>
      <c r="G70" s="861">
        <v>2039.69</v>
      </c>
      <c r="H70" s="862">
        <v>2042.87</v>
      </c>
      <c r="I70" s="1"/>
      <c r="J70" s="1"/>
      <c r="K70" s="1"/>
      <c r="L70" s="1"/>
      <c r="M70" s="1"/>
      <c r="N70" s="1"/>
      <c r="O70" s="1"/>
      <c r="P70" s="6"/>
      <c r="Q70" s="6"/>
      <c r="R70" s="6"/>
    </row>
    <row r="71" spans="1:18" s="20" customFormat="1" ht="13.5" customHeight="1" x14ac:dyDescent="0.3">
      <c r="A71" s="1074"/>
      <c r="B71" s="1071"/>
      <c r="C71" s="107" t="s">
        <v>50</v>
      </c>
      <c r="D71" s="808">
        <v>901.88</v>
      </c>
      <c r="E71" s="808">
        <v>795.43</v>
      </c>
      <c r="F71" s="808">
        <v>998.61</v>
      </c>
      <c r="G71" s="808">
        <v>1043.26</v>
      </c>
      <c r="H71" s="863">
        <v>941.01</v>
      </c>
      <c r="I71" s="1"/>
      <c r="J71" s="1"/>
      <c r="K71" s="1"/>
      <c r="L71" s="1"/>
      <c r="M71" s="1"/>
      <c r="N71" s="1"/>
      <c r="O71" s="1"/>
      <c r="P71" s="6"/>
      <c r="Q71" s="6"/>
      <c r="R71" s="6"/>
    </row>
    <row r="72" spans="1:18" s="20" customFormat="1" ht="13.5" customHeight="1" x14ac:dyDescent="0.3">
      <c r="A72" s="1074"/>
      <c r="B72" s="1071"/>
      <c r="C72" s="107" t="s">
        <v>51</v>
      </c>
      <c r="D72" s="808">
        <v>0</v>
      </c>
      <c r="E72" s="808">
        <v>0</v>
      </c>
      <c r="F72" s="808">
        <v>0</v>
      </c>
      <c r="G72" s="808">
        <v>0</v>
      </c>
      <c r="H72" s="863">
        <v>0</v>
      </c>
      <c r="I72" s="1"/>
      <c r="J72" s="1"/>
      <c r="K72" s="1"/>
      <c r="L72" s="1"/>
      <c r="M72" s="1"/>
      <c r="N72" s="1"/>
      <c r="O72" s="1"/>
      <c r="P72" s="6"/>
      <c r="Q72" s="6"/>
      <c r="R72" s="6"/>
    </row>
    <row r="73" spans="1:18" s="20" customFormat="1" ht="13.5" customHeight="1" x14ac:dyDescent="0.3">
      <c r="A73" s="1074"/>
      <c r="B73" s="1071"/>
      <c r="C73" s="107" t="s">
        <v>38</v>
      </c>
      <c r="D73" s="808">
        <v>2327.4899999999998</v>
      </c>
      <c r="E73" s="808">
        <v>3321.67</v>
      </c>
      <c r="F73" s="808">
        <v>1033.93</v>
      </c>
      <c r="G73" s="808">
        <v>4076.8</v>
      </c>
      <c r="H73" s="863">
        <v>2052.9500000000003</v>
      </c>
      <c r="I73" s="1"/>
      <c r="J73" s="1"/>
      <c r="K73" s="1"/>
      <c r="L73" s="1"/>
      <c r="M73" s="1"/>
      <c r="N73" s="1"/>
      <c r="O73" s="1"/>
      <c r="P73" s="6"/>
      <c r="Q73" s="6"/>
      <c r="R73" s="6"/>
    </row>
    <row r="74" spans="1:18" s="20" customFormat="1" ht="13.5" customHeight="1" x14ac:dyDescent="0.3">
      <c r="A74" s="1074"/>
      <c r="B74" s="1071"/>
      <c r="C74" s="107" t="s">
        <v>39</v>
      </c>
      <c r="D74" s="808">
        <v>122.10000000000001</v>
      </c>
      <c r="E74" s="808">
        <v>86.84</v>
      </c>
      <c r="F74" s="808">
        <v>198.11</v>
      </c>
      <c r="G74" s="808">
        <v>258</v>
      </c>
      <c r="H74" s="863">
        <v>229.08</v>
      </c>
      <c r="I74" s="1"/>
      <c r="J74" s="1"/>
      <c r="K74" s="1"/>
      <c r="L74" s="1"/>
      <c r="M74" s="1"/>
      <c r="N74" s="1"/>
      <c r="O74" s="1"/>
      <c r="P74" s="6"/>
      <c r="Q74" s="6"/>
      <c r="R74" s="6"/>
    </row>
    <row r="75" spans="1:18" s="20" customFormat="1" ht="13.5" customHeight="1" x14ac:dyDescent="0.3">
      <c r="A75" s="1074"/>
      <c r="B75" s="1071"/>
      <c r="C75" s="21" t="s">
        <v>40</v>
      </c>
      <c r="D75" s="809">
        <v>5370.93</v>
      </c>
      <c r="E75" s="809">
        <v>6059.01</v>
      </c>
      <c r="F75" s="809">
        <v>4298.0599999999995</v>
      </c>
      <c r="G75" s="809">
        <v>7417.75</v>
      </c>
      <c r="H75" s="864">
        <v>5265.92</v>
      </c>
      <c r="I75" s="1"/>
      <c r="J75" s="1"/>
      <c r="K75" s="1"/>
      <c r="L75" s="1"/>
      <c r="M75" s="1"/>
      <c r="N75" s="1"/>
      <c r="O75" s="1"/>
      <c r="P75" s="6"/>
      <c r="Q75" s="6"/>
      <c r="R75" s="6"/>
    </row>
    <row r="76" spans="1:18" s="20" customFormat="1" ht="13.5" customHeight="1" x14ac:dyDescent="0.3">
      <c r="A76" s="1074"/>
      <c r="B76" s="1071"/>
      <c r="C76" s="21" t="s">
        <v>959</v>
      </c>
      <c r="D76" s="809">
        <v>27131.660000000003</v>
      </c>
      <c r="E76" s="809">
        <v>26868.059999999998</v>
      </c>
      <c r="F76" s="809">
        <v>29384.73</v>
      </c>
      <c r="G76" s="809">
        <v>30785.030000000002</v>
      </c>
      <c r="H76" s="864">
        <v>29188.899999999998</v>
      </c>
      <c r="I76" s="1"/>
      <c r="J76" s="1"/>
      <c r="K76" s="1"/>
      <c r="L76" s="1"/>
      <c r="M76" s="1"/>
      <c r="N76" s="1"/>
      <c r="O76" s="1"/>
      <c r="P76" s="6"/>
      <c r="Q76" s="6"/>
      <c r="R76" s="6"/>
    </row>
    <row r="77" spans="1:18" s="20" customFormat="1" ht="13.5" customHeight="1" x14ac:dyDescent="0.3">
      <c r="A77" s="1074"/>
      <c r="B77" s="1071"/>
      <c r="C77" s="93" t="s">
        <v>961</v>
      </c>
      <c r="D77" s="810">
        <v>32502.589999999997</v>
      </c>
      <c r="E77" s="810">
        <v>32927.06</v>
      </c>
      <c r="F77" s="810">
        <v>33682.79</v>
      </c>
      <c r="G77" s="810">
        <v>38202.770000000004</v>
      </c>
      <c r="H77" s="865">
        <v>34454.810000000005</v>
      </c>
      <c r="I77" s="1"/>
      <c r="J77" s="1"/>
      <c r="K77" s="1"/>
      <c r="L77" s="1"/>
      <c r="M77" s="1"/>
      <c r="N77" s="1"/>
      <c r="O77" s="1"/>
      <c r="P77" s="6"/>
      <c r="Q77" s="6"/>
      <c r="R77" s="6"/>
    </row>
    <row r="78" spans="1:18" s="20" customFormat="1" ht="13.5" customHeight="1" x14ac:dyDescent="0.3">
      <c r="A78" s="1074"/>
      <c r="B78" s="1071"/>
      <c r="C78" s="104" t="s">
        <v>819</v>
      </c>
      <c r="D78" s="812">
        <v>39.440000000000005</v>
      </c>
      <c r="E78" s="812">
        <v>0.67</v>
      </c>
      <c r="F78" s="812">
        <v>0</v>
      </c>
      <c r="G78" s="812">
        <v>0</v>
      </c>
      <c r="H78" s="866">
        <v>0</v>
      </c>
      <c r="I78" s="1"/>
      <c r="J78" s="1"/>
      <c r="K78" s="1"/>
      <c r="L78" s="1"/>
      <c r="M78" s="1"/>
      <c r="N78" s="1"/>
      <c r="O78" s="1"/>
      <c r="P78" s="6"/>
      <c r="Q78" s="6"/>
      <c r="R78" s="6"/>
    </row>
    <row r="79" spans="1:18" s="20" customFormat="1" ht="13.5" customHeight="1" x14ac:dyDescent="0.3">
      <c r="A79" s="1074"/>
      <c r="B79" s="1071"/>
      <c r="C79" s="93" t="s">
        <v>769</v>
      </c>
      <c r="D79" s="812">
        <v>7437.0199999999995</v>
      </c>
      <c r="E79" s="812">
        <v>7132.29</v>
      </c>
      <c r="F79" s="812">
        <v>7726.98</v>
      </c>
      <c r="G79" s="812">
        <v>7314.76</v>
      </c>
      <c r="H79" s="866">
        <v>6634.71</v>
      </c>
      <c r="I79" s="1"/>
      <c r="J79" s="1"/>
      <c r="K79" s="1"/>
      <c r="L79" s="1"/>
      <c r="M79" s="1"/>
      <c r="N79" s="1"/>
      <c r="O79" s="1"/>
      <c r="P79" s="6"/>
      <c r="Q79" s="6"/>
      <c r="R79" s="6"/>
    </row>
    <row r="80" spans="1:18" s="20" customFormat="1" ht="13.5" customHeight="1" x14ac:dyDescent="0.3">
      <c r="A80" s="1074"/>
      <c r="B80" s="1071"/>
      <c r="C80" s="93" t="s">
        <v>57</v>
      </c>
      <c r="D80" s="812">
        <v>-2105.5300000000002</v>
      </c>
      <c r="E80" s="812">
        <v>-1073.9499999999998</v>
      </c>
      <c r="F80" s="812">
        <v>-3428.92</v>
      </c>
      <c r="G80" s="812">
        <v>102.99</v>
      </c>
      <c r="H80" s="866">
        <v>-1368.79</v>
      </c>
      <c r="I80" s="1"/>
      <c r="J80" s="1"/>
      <c r="K80" s="1"/>
      <c r="L80" s="1"/>
      <c r="M80" s="1"/>
      <c r="N80" s="1"/>
      <c r="O80" s="1"/>
      <c r="P80" s="6"/>
      <c r="Q80" s="6"/>
      <c r="R80" s="6"/>
    </row>
    <row r="81" spans="1:18" s="20" customFormat="1" ht="13.5" customHeight="1" x14ac:dyDescent="0.3">
      <c r="A81" s="1074"/>
      <c r="B81" s="1071"/>
      <c r="C81" s="819" t="s">
        <v>1303</v>
      </c>
      <c r="D81" s="811">
        <v>0.83475378423688718</v>
      </c>
      <c r="E81" s="811">
        <v>0.81598721537847596</v>
      </c>
      <c r="F81" s="811">
        <v>0.87239596244847883</v>
      </c>
      <c r="G81" s="811">
        <v>0.80583240429947878</v>
      </c>
      <c r="H81" s="867">
        <v>0.84716473548976157</v>
      </c>
      <c r="I81" s="1"/>
      <c r="J81" s="1"/>
      <c r="K81" s="1"/>
      <c r="L81" s="1"/>
      <c r="M81" s="1"/>
      <c r="N81" s="1"/>
      <c r="O81" s="1"/>
      <c r="P81" s="6"/>
      <c r="Q81" s="6"/>
      <c r="R81" s="6"/>
    </row>
    <row r="82" spans="1:18" s="20" customFormat="1" ht="13.5" customHeight="1" x14ac:dyDescent="0.3">
      <c r="A82" s="1074"/>
      <c r="B82" s="1080"/>
      <c r="C82" s="859" t="s">
        <v>43</v>
      </c>
      <c r="D82" s="811">
        <v>0.83576793995653553</v>
      </c>
      <c r="E82" s="811">
        <v>0.81600381942873168</v>
      </c>
      <c r="F82" s="811">
        <v>0.87239596244847883</v>
      </c>
      <c r="G82" s="811">
        <v>0.80583240429947878</v>
      </c>
      <c r="H82" s="867">
        <v>0.84716473548976157</v>
      </c>
      <c r="I82" s="1"/>
      <c r="J82" s="1"/>
      <c r="K82" s="1"/>
      <c r="L82" s="1"/>
      <c r="M82" s="1"/>
      <c r="N82" s="1"/>
      <c r="O82" s="1"/>
      <c r="P82" s="6"/>
      <c r="Q82" s="6"/>
      <c r="R82" s="6"/>
    </row>
    <row r="83" spans="1:18" s="20" customFormat="1" ht="13.5" customHeight="1" x14ac:dyDescent="0.3">
      <c r="A83" s="1074"/>
      <c r="B83" s="1070" t="s">
        <v>113</v>
      </c>
      <c r="C83" s="109" t="s">
        <v>36</v>
      </c>
      <c r="D83" s="858">
        <v>0</v>
      </c>
      <c r="E83" s="858">
        <v>0</v>
      </c>
      <c r="F83" s="858">
        <v>0</v>
      </c>
      <c r="G83" s="858">
        <v>0</v>
      </c>
      <c r="H83" s="868">
        <v>0</v>
      </c>
      <c r="I83" s="1"/>
      <c r="J83" s="1"/>
      <c r="K83" s="1"/>
      <c r="L83" s="1"/>
      <c r="M83" s="1"/>
      <c r="N83" s="1"/>
      <c r="O83" s="6"/>
      <c r="P83" s="6"/>
      <c r="Q83" s="6"/>
      <c r="R83" s="6"/>
    </row>
    <row r="84" spans="1:18" s="20" customFormat="1" ht="13.5" customHeight="1" x14ac:dyDescent="0.3">
      <c r="A84" s="1074"/>
      <c r="B84" s="1071"/>
      <c r="C84" s="107" t="s">
        <v>50</v>
      </c>
      <c r="D84" s="808">
        <v>3128.16</v>
      </c>
      <c r="E84" s="808">
        <v>3029.74</v>
      </c>
      <c r="F84" s="808">
        <v>979.79</v>
      </c>
      <c r="G84" s="808">
        <v>0</v>
      </c>
      <c r="H84" s="863">
        <v>0</v>
      </c>
      <c r="I84" s="1"/>
      <c r="J84" s="1"/>
      <c r="K84" s="1"/>
      <c r="L84" s="1"/>
      <c r="M84" s="1"/>
      <c r="N84" s="1"/>
      <c r="O84" s="6"/>
      <c r="P84" s="6"/>
      <c r="Q84" s="6"/>
      <c r="R84" s="6"/>
    </row>
    <row r="85" spans="1:18" s="20" customFormat="1" ht="13.5" customHeight="1" x14ac:dyDescent="0.3">
      <c r="A85" s="1074"/>
      <c r="B85" s="1071"/>
      <c r="C85" s="107" t="s">
        <v>51</v>
      </c>
      <c r="D85" s="808">
        <v>46843.62</v>
      </c>
      <c r="E85" s="808">
        <v>48578.18</v>
      </c>
      <c r="F85" s="808">
        <v>49217.93</v>
      </c>
      <c r="G85" s="808">
        <v>43020.05</v>
      </c>
      <c r="H85" s="863">
        <v>34719.35</v>
      </c>
      <c r="I85" s="1"/>
      <c r="J85" s="1"/>
      <c r="K85" s="1"/>
      <c r="L85" s="1"/>
      <c r="M85" s="1"/>
      <c r="N85" s="1"/>
      <c r="O85" s="6"/>
      <c r="P85" s="6"/>
      <c r="Q85" s="6"/>
      <c r="R85" s="6"/>
    </row>
    <row r="86" spans="1:18" s="20" customFormat="1" ht="13.5" customHeight="1" x14ac:dyDescent="0.3">
      <c r="A86" s="1074"/>
      <c r="B86" s="1071"/>
      <c r="C86" s="107" t="s">
        <v>38</v>
      </c>
      <c r="D86" s="808">
        <v>76.260000000000005</v>
      </c>
      <c r="E86" s="808">
        <v>79.02</v>
      </c>
      <c r="F86" s="808">
        <v>76.849999999999994</v>
      </c>
      <c r="G86" s="808">
        <v>42.05</v>
      </c>
      <c r="H86" s="863">
        <v>47.17</v>
      </c>
      <c r="I86" s="1"/>
      <c r="J86" s="1"/>
      <c r="K86" s="1"/>
      <c r="L86" s="1"/>
      <c r="M86" s="1"/>
      <c r="N86" s="1"/>
      <c r="O86" s="6"/>
      <c r="P86" s="6"/>
      <c r="Q86" s="6"/>
      <c r="R86" s="6"/>
    </row>
    <row r="87" spans="1:18" s="20" customFormat="1" ht="13.5" customHeight="1" x14ac:dyDescent="0.3">
      <c r="A87" s="1074"/>
      <c r="B87" s="1071"/>
      <c r="C87" s="107" t="s">
        <v>39</v>
      </c>
      <c r="D87" s="808">
        <v>2184.11</v>
      </c>
      <c r="E87" s="808">
        <v>2200.21</v>
      </c>
      <c r="F87" s="808">
        <v>1986.25</v>
      </c>
      <c r="G87" s="808">
        <v>1927.66</v>
      </c>
      <c r="H87" s="863">
        <v>1607.5</v>
      </c>
      <c r="I87" s="1"/>
      <c r="J87" s="1"/>
      <c r="K87" s="1"/>
      <c r="L87" s="1"/>
      <c r="M87" s="1"/>
      <c r="N87" s="1"/>
      <c r="O87" s="6"/>
      <c r="P87" s="6"/>
      <c r="Q87" s="6"/>
      <c r="R87" s="6"/>
    </row>
    <row r="88" spans="1:18" s="20" customFormat="1" ht="13.5" customHeight="1" x14ac:dyDescent="0.3">
      <c r="A88" s="1074"/>
      <c r="B88" s="1071"/>
      <c r="C88" s="21" t="s">
        <v>40</v>
      </c>
      <c r="D88" s="809">
        <v>52232.149999999994</v>
      </c>
      <c r="E88" s="809">
        <v>53887.15</v>
      </c>
      <c r="F88" s="809">
        <v>52260.81</v>
      </c>
      <c r="G88" s="809">
        <v>44989.760000000002</v>
      </c>
      <c r="H88" s="864">
        <v>36374.019999999997</v>
      </c>
      <c r="I88" s="1"/>
      <c r="J88" s="1"/>
      <c r="K88" s="1"/>
      <c r="L88" s="1"/>
      <c r="M88" s="1"/>
      <c r="N88" s="1"/>
      <c r="O88" s="6"/>
      <c r="P88" s="6"/>
      <c r="Q88" s="6"/>
      <c r="R88" s="6"/>
    </row>
    <row r="89" spans="1:18" s="20" customFormat="1" ht="13.5" customHeight="1" x14ac:dyDescent="0.3">
      <c r="A89" s="1074"/>
      <c r="B89" s="1071"/>
      <c r="C89" s="21" t="s">
        <v>959</v>
      </c>
      <c r="D89" s="809">
        <v>16327.79</v>
      </c>
      <c r="E89" s="809">
        <v>16463.73</v>
      </c>
      <c r="F89" s="809">
        <v>7597.02</v>
      </c>
      <c r="G89" s="809">
        <v>2820.45</v>
      </c>
      <c r="H89" s="864">
        <v>2201.9699999999998</v>
      </c>
      <c r="I89" s="1"/>
      <c r="J89" s="1"/>
      <c r="K89" s="1"/>
      <c r="L89" s="1"/>
      <c r="M89" s="1"/>
      <c r="N89" s="1"/>
      <c r="O89" s="6"/>
      <c r="P89" s="6"/>
      <c r="Q89" s="6"/>
      <c r="R89" s="6"/>
    </row>
    <row r="90" spans="1:18" s="20" customFormat="1" ht="13.5" customHeight="1" x14ac:dyDescent="0.3">
      <c r="A90" s="1074"/>
      <c r="B90" s="1071"/>
      <c r="C90" s="93" t="s">
        <v>961</v>
      </c>
      <c r="D90" s="810">
        <v>68559.929999999993</v>
      </c>
      <c r="E90" s="810">
        <v>70350.880000000005</v>
      </c>
      <c r="F90" s="810">
        <v>59857.83</v>
      </c>
      <c r="G90" s="810">
        <v>47810.21</v>
      </c>
      <c r="H90" s="865">
        <v>38575.99</v>
      </c>
      <c r="I90" s="1"/>
      <c r="J90" s="1"/>
      <c r="K90" s="1"/>
      <c r="L90" s="1"/>
      <c r="M90" s="1"/>
      <c r="N90" s="1"/>
      <c r="O90" s="6"/>
      <c r="P90" s="6"/>
      <c r="Q90" s="6"/>
      <c r="R90" s="6"/>
    </row>
    <row r="91" spans="1:18" s="20" customFormat="1" ht="13.5" customHeight="1" x14ac:dyDescent="0.3">
      <c r="A91" s="1074"/>
      <c r="B91" s="1071"/>
      <c r="C91" s="104" t="s">
        <v>819</v>
      </c>
      <c r="D91" s="812">
        <v>50505.7</v>
      </c>
      <c r="E91" s="812">
        <v>52325.250000000007</v>
      </c>
      <c r="F91" s="812">
        <v>50702.38</v>
      </c>
      <c r="G91" s="812">
        <v>43478.44</v>
      </c>
      <c r="H91" s="866">
        <v>35151.360000000001</v>
      </c>
      <c r="I91" s="1"/>
      <c r="J91" s="1"/>
      <c r="K91" s="1"/>
      <c r="L91" s="1"/>
      <c r="M91" s="1"/>
      <c r="N91" s="1"/>
      <c r="O91" s="6"/>
      <c r="P91" s="6"/>
      <c r="Q91" s="6"/>
      <c r="R91" s="6"/>
    </row>
    <row r="92" spans="1:18" s="20" customFormat="1" ht="13.5" customHeight="1" x14ac:dyDescent="0.3">
      <c r="A92" s="1074"/>
      <c r="B92" s="1071"/>
      <c r="C92" s="93" t="s">
        <v>769</v>
      </c>
      <c r="D92" s="812">
        <v>1545.5500000000002</v>
      </c>
      <c r="E92" s="812">
        <v>1667.78</v>
      </c>
      <c r="F92" s="812">
        <v>1533.3899999999999</v>
      </c>
      <c r="G92" s="812">
        <v>1511.31</v>
      </c>
      <c r="H92" s="866">
        <v>1222.6600000000001</v>
      </c>
      <c r="I92" s="1"/>
      <c r="J92" s="1"/>
      <c r="K92" s="1"/>
      <c r="L92" s="1"/>
      <c r="M92" s="1"/>
      <c r="N92" s="1"/>
      <c r="O92" s="6"/>
      <c r="P92" s="6"/>
      <c r="Q92" s="6"/>
      <c r="R92" s="6"/>
    </row>
    <row r="93" spans="1:18" s="20" customFormat="1" ht="13.5" customHeight="1" x14ac:dyDescent="0.3">
      <c r="A93" s="1074"/>
      <c r="B93" s="1071"/>
      <c r="C93" s="93" t="s">
        <v>57</v>
      </c>
      <c r="D93" s="812">
        <v>180.89999999999998</v>
      </c>
      <c r="E93" s="812">
        <v>-105.89</v>
      </c>
      <c r="F93" s="812">
        <v>25.03</v>
      </c>
      <c r="G93" s="812">
        <v>0</v>
      </c>
      <c r="H93" s="866">
        <v>0</v>
      </c>
      <c r="I93" s="1"/>
      <c r="J93" s="1"/>
      <c r="K93" s="1"/>
      <c r="L93" s="1"/>
      <c r="M93" s="1"/>
      <c r="N93" s="1"/>
      <c r="O93" s="6"/>
      <c r="P93" s="6"/>
      <c r="Q93" s="6"/>
      <c r="R93" s="6"/>
    </row>
    <row r="94" spans="1:18" s="20" customFormat="1" ht="13.5" customHeight="1" x14ac:dyDescent="0.3">
      <c r="A94" s="1074"/>
      <c r="B94" s="1071"/>
      <c r="C94" s="819" t="s">
        <v>1303</v>
      </c>
      <c r="D94" s="811">
        <v>0.23815353953832805</v>
      </c>
      <c r="E94" s="811">
        <v>0.23402308542551278</v>
      </c>
      <c r="F94" s="811">
        <v>0.12691773156494313</v>
      </c>
      <c r="G94" s="811">
        <v>5.8992629398615902E-2</v>
      </c>
      <c r="H94" s="867">
        <v>5.7081360711675834E-2</v>
      </c>
      <c r="I94" s="1"/>
      <c r="J94" s="1"/>
      <c r="K94" s="1"/>
      <c r="L94" s="1"/>
      <c r="M94" s="1"/>
      <c r="N94" s="1"/>
      <c r="O94" s="6"/>
      <c r="P94" s="6"/>
      <c r="Q94" s="6"/>
      <c r="R94" s="6"/>
    </row>
    <row r="95" spans="1:18" s="20" customFormat="1" ht="13.5" customHeight="1" x14ac:dyDescent="0.3">
      <c r="A95" s="1074"/>
      <c r="B95" s="1080"/>
      <c r="C95" s="859" t="s">
        <v>43</v>
      </c>
      <c r="D95" s="811">
        <v>0.90437476425192354</v>
      </c>
      <c r="E95" s="811">
        <v>0.91335115610383666</v>
      </c>
      <c r="F95" s="811">
        <v>0.82978116859356965</v>
      </c>
      <c r="G95" s="811">
        <v>0.65110797664695996</v>
      </c>
      <c r="H95" s="867">
        <v>0.64298040956249336</v>
      </c>
      <c r="I95" s="1"/>
      <c r="J95" s="1"/>
      <c r="K95" s="1"/>
      <c r="L95" s="1"/>
      <c r="M95" s="1"/>
      <c r="N95" s="1"/>
      <c r="O95" s="6"/>
      <c r="P95" s="6"/>
      <c r="Q95" s="6"/>
      <c r="R95" s="6"/>
    </row>
    <row r="96" spans="1:18" s="20" customFormat="1" ht="13.5" customHeight="1" x14ac:dyDescent="0.3">
      <c r="A96" s="1074"/>
      <c r="B96" s="1070" t="s">
        <v>816</v>
      </c>
      <c r="C96" s="873" t="s">
        <v>36</v>
      </c>
      <c r="D96" s="874">
        <v>2019.48</v>
      </c>
      <c r="E96" s="874">
        <v>1855.0700000000002</v>
      </c>
      <c r="F96" s="874">
        <v>2067.42</v>
      </c>
      <c r="G96" s="874">
        <v>2039.69</v>
      </c>
      <c r="H96" s="875">
        <v>2042.87</v>
      </c>
      <c r="I96" s="1"/>
      <c r="J96" s="1"/>
      <c r="K96" s="1"/>
      <c r="L96" s="1"/>
      <c r="M96" s="1"/>
      <c r="N96" s="6"/>
      <c r="O96" s="6"/>
      <c r="P96" s="6"/>
      <c r="Q96" s="6"/>
      <c r="R96" s="6"/>
    </row>
    <row r="97" spans="1:18" s="20" customFormat="1" ht="13.5" customHeight="1" x14ac:dyDescent="0.3">
      <c r="A97" s="1074"/>
      <c r="B97" s="1071"/>
      <c r="C97" s="876" t="s">
        <v>50</v>
      </c>
      <c r="D97" s="816">
        <v>4030.04</v>
      </c>
      <c r="E97" s="816">
        <v>3825.1699999999996</v>
      </c>
      <c r="F97" s="816">
        <v>1978.4</v>
      </c>
      <c r="G97" s="816">
        <v>1043.26</v>
      </c>
      <c r="H97" s="877">
        <v>941.01</v>
      </c>
      <c r="I97" s="1"/>
      <c r="J97" s="1"/>
      <c r="K97" s="1"/>
      <c r="L97" s="1"/>
      <c r="M97" s="1"/>
      <c r="N97" s="6"/>
      <c r="O97" s="6"/>
      <c r="P97" s="6"/>
      <c r="Q97" s="6"/>
      <c r="R97" s="6"/>
    </row>
    <row r="98" spans="1:18" s="20" customFormat="1" ht="13.5" customHeight="1" x14ac:dyDescent="0.3">
      <c r="A98" s="1074"/>
      <c r="B98" s="1071"/>
      <c r="C98" s="876" t="s">
        <v>51</v>
      </c>
      <c r="D98" s="816">
        <v>46843.62</v>
      </c>
      <c r="E98" s="816">
        <v>48578.18</v>
      </c>
      <c r="F98" s="816">
        <v>49217.93</v>
      </c>
      <c r="G98" s="816">
        <v>43020.05</v>
      </c>
      <c r="H98" s="877">
        <v>34719.35</v>
      </c>
      <c r="I98" s="1"/>
      <c r="J98" s="1"/>
      <c r="K98" s="1"/>
      <c r="L98" s="1"/>
      <c r="M98" s="1"/>
      <c r="N98" s="6"/>
      <c r="O98" s="6"/>
      <c r="P98" s="6"/>
      <c r="Q98" s="6"/>
      <c r="R98" s="6"/>
    </row>
    <row r="99" spans="1:18" s="20" customFormat="1" ht="13.5" customHeight="1" x14ac:dyDescent="0.3">
      <c r="A99" s="1074"/>
      <c r="B99" s="1071"/>
      <c r="C99" s="876" t="s">
        <v>38</v>
      </c>
      <c r="D99" s="816">
        <v>2403.75</v>
      </c>
      <c r="E99" s="816">
        <v>3400.69</v>
      </c>
      <c r="F99" s="816">
        <v>1110.78</v>
      </c>
      <c r="G99" s="816">
        <v>4118.8500000000004</v>
      </c>
      <c r="H99" s="877">
        <v>2100.1200000000003</v>
      </c>
      <c r="I99" s="1"/>
      <c r="J99" s="1"/>
      <c r="K99" s="1"/>
      <c r="L99" s="1"/>
      <c r="M99" s="1"/>
      <c r="N99" s="6"/>
      <c r="O99" s="6"/>
      <c r="P99" s="6"/>
      <c r="Q99" s="6"/>
      <c r="R99" s="6"/>
    </row>
    <row r="100" spans="1:18" s="20" customFormat="1" ht="13.5" customHeight="1" x14ac:dyDescent="0.3">
      <c r="A100" s="1074"/>
      <c r="B100" s="1071"/>
      <c r="C100" s="876" t="s">
        <v>39</v>
      </c>
      <c r="D100" s="816">
        <v>2306.21</v>
      </c>
      <c r="E100" s="816">
        <v>2287.0500000000002</v>
      </c>
      <c r="F100" s="816">
        <v>2184.36</v>
      </c>
      <c r="G100" s="816">
        <v>2185.66</v>
      </c>
      <c r="H100" s="877">
        <v>1836.58</v>
      </c>
      <c r="I100" s="1"/>
      <c r="J100" s="1"/>
      <c r="K100" s="1"/>
      <c r="L100" s="1"/>
      <c r="M100" s="1"/>
      <c r="N100" s="6"/>
      <c r="O100" s="6"/>
      <c r="P100" s="6"/>
      <c r="Q100" s="6"/>
      <c r="R100" s="6"/>
    </row>
    <row r="101" spans="1:18" s="20" customFormat="1" ht="13.5" customHeight="1" x14ac:dyDescent="0.3">
      <c r="A101" s="1074"/>
      <c r="B101" s="1071"/>
      <c r="C101" s="21" t="s">
        <v>40</v>
      </c>
      <c r="D101" s="809">
        <v>57603.079999999994</v>
      </c>
      <c r="E101" s="809">
        <v>59946.16</v>
      </c>
      <c r="F101" s="809">
        <v>56558.869999999995</v>
      </c>
      <c r="G101" s="809">
        <v>52407.51</v>
      </c>
      <c r="H101" s="864">
        <v>41639.939999999995</v>
      </c>
      <c r="I101" s="1"/>
      <c r="J101" s="1"/>
      <c r="K101" s="1"/>
      <c r="L101" s="1"/>
      <c r="M101" s="1"/>
      <c r="N101" s="6"/>
      <c r="O101" s="6"/>
      <c r="P101" s="6"/>
      <c r="Q101" s="6"/>
      <c r="R101" s="6"/>
    </row>
    <row r="102" spans="1:18" s="20" customFormat="1" ht="13.5" customHeight="1" x14ac:dyDescent="0.3">
      <c r="A102" s="1074"/>
      <c r="B102" s="1071"/>
      <c r="C102" s="21" t="s">
        <v>959</v>
      </c>
      <c r="D102" s="809">
        <v>43459.450000000004</v>
      </c>
      <c r="E102" s="809">
        <v>43331.789999999994</v>
      </c>
      <c r="F102" s="809">
        <v>36981.75</v>
      </c>
      <c r="G102" s="809">
        <v>33605.480000000003</v>
      </c>
      <c r="H102" s="864">
        <v>31390.87</v>
      </c>
      <c r="I102" s="1"/>
      <c r="J102" s="1"/>
      <c r="K102" s="1"/>
      <c r="L102" s="1"/>
      <c r="M102" s="1"/>
      <c r="N102" s="6"/>
      <c r="O102" s="6"/>
      <c r="P102" s="6"/>
      <c r="Q102" s="6"/>
      <c r="R102" s="6"/>
    </row>
    <row r="103" spans="1:18" s="20" customFormat="1" ht="13.5" customHeight="1" x14ac:dyDescent="0.3">
      <c r="A103" s="1074"/>
      <c r="B103" s="1071"/>
      <c r="C103" s="878" t="s">
        <v>961</v>
      </c>
      <c r="D103" s="817">
        <v>101062.51999999999</v>
      </c>
      <c r="E103" s="817">
        <v>103277.94</v>
      </c>
      <c r="F103" s="817">
        <v>93540.62</v>
      </c>
      <c r="G103" s="817">
        <v>86012.98000000001</v>
      </c>
      <c r="H103" s="879">
        <v>73030.8</v>
      </c>
      <c r="I103" s="1"/>
      <c r="J103" s="1"/>
      <c r="K103" s="1"/>
      <c r="L103" s="1"/>
      <c r="M103" s="1"/>
      <c r="N103" s="6"/>
      <c r="O103" s="6"/>
      <c r="P103" s="6"/>
      <c r="Q103" s="6"/>
      <c r="R103" s="6"/>
    </row>
    <row r="104" spans="1:18" s="20" customFormat="1" ht="13.5" customHeight="1" x14ac:dyDescent="0.3">
      <c r="A104" s="1074"/>
      <c r="B104" s="1071"/>
      <c r="C104" s="880" t="s">
        <v>819</v>
      </c>
      <c r="D104" s="818">
        <v>50545.14</v>
      </c>
      <c r="E104" s="818">
        <v>52325.920000000006</v>
      </c>
      <c r="F104" s="818">
        <v>50702.38</v>
      </c>
      <c r="G104" s="818">
        <v>43478.44</v>
      </c>
      <c r="H104" s="881">
        <v>35151.360000000001</v>
      </c>
      <c r="I104" s="1"/>
      <c r="J104" s="1"/>
      <c r="K104" s="1"/>
      <c r="L104" s="1"/>
      <c r="M104" s="1"/>
      <c r="N104" s="6"/>
      <c r="O104" s="6"/>
      <c r="P104" s="6"/>
      <c r="Q104" s="6"/>
      <c r="R104" s="6"/>
    </row>
    <row r="105" spans="1:18" s="20" customFormat="1" ht="13.5" customHeight="1" x14ac:dyDescent="0.3">
      <c r="A105" s="1074"/>
      <c r="B105" s="1071"/>
      <c r="C105" s="878" t="s">
        <v>769</v>
      </c>
      <c r="D105" s="818">
        <v>8982.57</v>
      </c>
      <c r="E105" s="818">
        <v>8800.07</v>
      </c>
      <c r="F105" s="818">
        <v>9260.369999999999</v>
      </c>
      <c r="G105" s="818">
        <v>8826.07</v>
      </c>
      <c r="H105" s="881">
        <v>7857.37</v>
      </c>
      <c r="I105" s="1"/>
      <c r="J105" s="1"/>
      <c r="K105" s="1"/>
      <c r="L105" s="1"/>
      <c r="M105" s="1"/>
      <c r="N105" s="6"/>
      <c r="O105" s="6"/>
      <c r="P105" s="6"/>
      <c r="Q105" s="6"/>
      <c r="R105" s="6"/>
    </row>
    <row r="106" spans="1:18" s="20" customFormat="1" ht="13.5" customHeight="1" x14ac:dyDescent="0.3">
      <c r="A106" s="1074"/>
      <c r="B106" s="1071"/>
      <c r="C106" s="878" t="s">
        <v>57</v>
      </c>
      <c r="D106" s="818">
        <v>-1924.63</v>
      </c>
      <c r="E106" s="818">
        <v>-1179.8399999999999</v>
      </c>
      <c r="F106" s="818">
        <v>-3403.89</v>
      </c>
      <c r="G106" s="818">
        <v>102.99</v>
      </c>
      <c r="H106" s="881">
        <v>-1368.79</v>
      </c>
      <c r="I106" s="1"/>
      <c r="J106" s="1"/>
      <c r="K106" s="1"/>
      <c r="L106" s="1"/>
      <c r="M106" s="1"/>
      <c r="N106" s="6"/>
      <c r="O106" s="6"/>
      <c r="P106" s="6"/>
      <c r="Q106" s="6"/>
      <c r="R106" s="6"/>
    </row>
    <row r="107" spans="1:18" s="20" customFormat="1" ht="13.5" customHeight="1" x14ac:dyDescent="0.3">
      <c r="A107" s="1074"/>
      <c r="B107" s="1071"/>
      <c r="C107" s="819" t="s">
        <v>1303</v>
      </c>
      <c r="D107" s="811">
        <v>0.43002539418174024</v>
      </c>
      <c r="E107" s="811">
        <v>0.41956481703643578</v>
      </c>
      <c r="F107" s="811">
        <v>0.39535498054214308</v>
      </c>
      <c r="G107" s="811">
        <v>0.39070242654073839</v>
      </c>
      <c r="H107" s="867">
        <v>0.42983056463848129</v>
      </c>
      <c r="I107" s="1"/>
      <c r="J107" s="1"/>
      <c r="K107" s="1"/>
      <c r="L107" s="1"/>
      <c r="M107" s="1"/>
      <c r="N107" s="6"/>
      <c r="O107" s="6"/>
      <c r="P107" s="6"/>
      <c r="Q107" s="6"/>
      <c r="R107" s="6"/>
    </row>
    <row r="108" spans="1:18" s="20" customFormat="1" ht="13.5" customHeight="1" thickBot="1" x14ac:dyDescent="0.35">
      <c r="A108" s="1075"/>
      <c r="B108" s="1072"/>
      <c r="C108" s="869" t="s">
        <v>43</v>
      </c>
      <c r="D108" s="815">
        <v>0.86028709327364195</v>
      </c>
      <c r="E108" s="815">
        <v>0.8504430246337632</v>
      </c>
      <c r="F108" s="815">
        <v>0.86328826767859745</v>
      </c>
      <c r="G108" s="815">
        <v>0.79007507780735364</v>
      </c>
      <c r="H108" s="870">
        <v>0.82870470101986715</v>
      </c>
      <c r="I108" s="1"/>
      <c r="J108" s="1"/>
      <c r="K108" s="1"/>
      <c r="L108" s="1"/>
      <c r="M108" s="1"/>
      <c r="N108" s="6"/>
      <c r="O108" s="6"/>
      <c r="P108" s="6"/>
      <c r="Q108" s="6"/>
      <c r="R108" s="6"/>
    </row>
    <row r="109" spans="1:18" s="20" customFormat="1" ht="13.5" customHeight="1" x14ac:dyDescent="0.3">
      <c r="A109" s="1073" t="s">
        <v>818</v>
      </c>
      <c r="B109" s="1076"/>
      <c r="C109" s="860" t="s">
        <v>36</v>
      </c>
      <c r="D109" s="861">
        <v>507.79</v>
      </c>
      <c r="E109" s="861">
        <v>392.22</v>
      </c>
      <c r="F109" s="861">
        <v>523.80999999999995</v>
      </c>
      <c r="G109" s="861">
        <v>498.97</v>
      </c>
      <c r="H109" s="862">
        <v>469.14</v>
      </c>
      <c r="I109" s="1"/>
      <c r="J109" s="1"/>
      <c r="K109" s="1"/>
      <c r="L109" s="1"/>
      <c r="M109" s="6"/>
      <c r="N109" s="6"/>
      <c r="O109" s="6"/>
      <c r="P109" s="6"/>
      <c r="Q109" s="6"/>
      <c r="R109" s="6"/>
    </row>
    <row r="110" spans="1:18" s="20" customFormat="1" ht="13.5" customHeight="1" x14ac:dyDescent="0.3">
      <c r="A110" s="1074"/>
      <c r="B110" s="1077"/>
      <c r="C110" s="107" t="s">
        <v>50</v>
      </c>
      <c r="D110" s="808">
        <v>0</v>
      </c>
      <c r="E110" s="808">
        <v>0</v>
      </c>
      <c r="F110" s="808">
        <v>0</v>
      </c>
      <c r="G110" s="808">
        <v>0</v>
      </c>
      <c r="H110" s="863">
        <v>0</v>
      </c>
      <c r="I110" s="1"/>
      <c r="J110" s="1"/>
      <c r="K110" s="1"/>
      <c r="L110" s="1"/>
      <c r="M110" s="6"/>
      <c r="N110" s="6"/>
      <c r="O110" s="6"/>
      <c r="P110" s="6"/>
      <c r="Q110" s="6"/>
      <c r="R110" s="6"/>
    </row>
    <row r="111" spans="1:18" s="20" customFormat="1" ht="13.5" customHeight="1" x14ac:dyDescent="0.3">
      <c r="A111" s="1074"/>
      <c r="B111" s="1077"/>
      <c r="C111" s="107" t="s">
        <v>51</v>
      </c>
      <c r="D111" s="808">
        <v>0</v>
      </c>
      <c r="E111" s="808">
        <v>0</v>
      </c>
      <c r="F111" s="808">
        <v>0</v>
      </c>
      <c r="G111" s="808">
        <v>0</v>
      </c>
      <c r="H111" s="863">
        <v>0</v>
      </c>
      <c r="I111" s="1"/>
      <c r="J111" s="1"/>
      <c r="K111" s="1"/>
      <c r="L111" s="1"/>
      <c r="M111" s="6"/>
      <c r="N111" s="6"/>
      <c r="O111" s="6"/>
      <c r="P111" s="6"/>
      <c r="Q111" s="6"/>
      <c r="R111" s="6"/>
    </row>
    <row r="112" spans="1:18" s="20" customFormat="1" ht="13.5" customHeight="1" x14ac:dyDescent="0.3">
      <c r="A112" s="1074"/>
      <c r="B112" s="1077"/>
      <c r="C112" s="107" t="s">
        <v>38</v>
      </c>
      <c r="D112" s="808">
        <v>214.49</v>
      </c>
      <c r="E112" s="808">
        <v>178.88</v>
      </c>
      <c r="F112" s="808">
        <v>92.29</v>
      </c>
      <c r="G112" s="808">
        <v>117.15</v>
      </c>
      <c r="H112" s="863">
        <v>108.28</v>
      </c>
      <c r="I112" s="1"/>
      <c r="J112" s="1"/>
      <c r="K112" s="1"/>
      <c r="L112" s="1"/>
      <c r="M112" s="6"/>
      <c r="N112" s="6"/>
      <c r="O112" s="6"/>
      <c r="P112" s="6"/>
      <c r="Q112" s="6"/>
      <c r="R112" s="6"/>
    </row>
    <row r="113" spans="1:18" s="20" customFormat="1" ht="13.5" customHeight="1" x14ac:dyDescent="0.3">
      <c r="A113" s="1074"/>
      <c r="B113" s="1077"/>
      <c r="C113" s="107" t="s">
        <v>39</v>
      </c>
      <c r="D113" s="808">
        <v>148.49</v>
      </c>
      <c r="E113" s="808">
        <v>144.84</v>
      </c>
      <c r="F113" s="808">
        <v>119.38</v>
      </c>
      <c r="G113" s="808">
        <v>100.80000000000001</v>
      </c>
      <c r="H113" s="863">
        <v>121.83000000000001</v>
      </c>
      <c r="I113" s="1"/>
      <c r="J113" s="1"/>
      <c r="K113" s="1"/>
      <c r="L113" s="1"/>
      <c r="M113" s="6"/>
      <c r="N113" s="6"/>
      <c r="O113" s="6"/>
      <c r="P113" s="6"/>
      <c r="Q113" s="6"/>
      <c r="R113" s="6"/>
    </row>
    <row r="114" spans="1:18" s="20" customFormat="1" ht="13.5" customHeight="1" x14ac:dyDescent="0.3">
      <c r="A114" s="1074"/>
      <c r="B114" s="1077"/>
      <c r="C114" s="21" t="s">
        <v>40</v>
      </c>
      <c r="D114" s="809">
        <v>870.77</v>
      </c>
      <c r="E114" s="809">
        <v>715.93999999999994</v>
      </c>
      <c r="F114" s="809">
        <v>735.49</v>
      </c>
      <c r="G114" s="809">
        <v>716.92</v>
      </c>
      <c r="H114" s="864">
        <v>699.25000000000011</v>
      </c>
      <c r="I114" s="1"/>
      <c r="J114" s="1"/>
      <c r="K114" s="1"/>
      <c r="L114" s="1"/>
      <c r="M114" s="6"/>
      <c r="N114" s="6"/>
      <c r="O114" s="6"/>
      <c r="P114" s="6"/>
      <c r="Q114" s="6"/>
      <c r="R114" s="6"/>
    </row>
    <row r="115" spans="1:18" s="20" customFormat="1" ht="13.5" customHeight="1" x14ac:dyDescent="0.3">
      <c r="A115" s="1074"/>
      <c r="B115" s="1077"/>
      <c r="C115" s="21" t="s">
        <v>959</v>
      </c>
      <c r="D115" s="809">
        <v>16.350000000000001</v>
      </c>
      <c r="E115" s="809">
        <v>6.95</v>
      </c>
      <c r="F115" s="809">
        <v>8.1199999999999992</v>
      </c>
      <c r="G115" s="809">
        <v>12.64</v>
      </c>
      <c r="H115" s="864">
        <v>10.09</v>
      </c>
      <c r="I115" s="1"/>
      <c r="J115" s="1"/>
      <c r="K115" s="1"/>
      <c r="L115" s="1"/>
      <c r="M115" s="6"/>
      <c r="N115" s="6"/>
      <c r="O115" s="6"/>
      <c r="P115" s="6"/>
      <c r="Q115" s="6"/>
      <c r="R115" s="6"/>
    </row>
    <row r="116" spans="1:18" s="20" customFormat="1" ht="13.5" customHeight="1" x14ac:dyDescent="0.3">
      <c r="A116" s="1074"/>
      <c r="B116" s="1077"/>
      <c r="C116" s="93" t="s">
        <v>961</v>
      </c>
      <c r="D116" s="810">
        <v>887.11999999999989</v>
      </c>
      <c r="E116" s="810">
        <v>722.88999999999987</v>
      </c>
      <c r="F116" s="810">
        <v>743.61</v>
      </c>
      <c r="G116" s="810">
        <v>729.56999999999994</v>
      </c>
      <c r="H116" s="865">
        <v>709.34</v>
      </c>
      <c r="I116" s="1"/>
      <c r="J116" s="1"/>
      <c r="K116" s="1"/>
      <c r="L116" s="1"/>
      <c r="M116" s="6"/>
      <c r="N116" s="6"/>
      <c r="O116" s="6"/>
      <c r="P116" s="6"/>
      <c r="Q116" s="6"/>
      <c r="R116" s="6"/>
    </row>
    <row r="117" spans="1:18" s="20" customFormat="1" ht="13.5" customHeight="1" x14ac:dyDescent="0.3">
      <c r="A117" s="1074"/>
      <c r="B117" s="1077"/>
      <c r="C117" s="104" t="s">
        <v>819</v>
      </c>
      <c r="D117" s="812">
        <v>513.14</v>
      </c>
      <c r="E117" s="812">
        <v>364.76</v>
      </c>
      <c r="F117" s="812">
        <v>601.27</v>
      </c>
      <c r="G117" s="812">
        <v>481.65999999999997</v>
      </c>
      <c r="H117" s="866">
        <v>394.29</v>
      </c>
      <c r="I117" s="53"/>
      <c r="J117" s="1"/>
      <c r="K117" s="1"/>
      <c r="L117" s="1"/>
      <c r="M117" s="6"/>
      <c r="N117" s="6"/>
      <c r="O117" s="6"/>
      <c r="P117" s="6"/>
      <c r="Q117" s="6"/>
      <c r="R117" s="6"/>
    </row>
    <row r="118" spans="1:18" s="20" customFormat="1" ht="13.5" customHeight="1" x14ac:dyDescent="0.3">
      <c r="A118" s="1074"/>
      <c r="B118" s="1077"/>
      <c r="C118" s="93" t="s">
        <v>769</v>
      </c>
      <c r="D118" s="812">
        <v>247</v>
      </c>
      <c r="E118" s="812">
        <v>238.77</v>
      </c>
      <c r="F118" s="812">
        <v>213.32</v>
      </c>
      <c r="G118" s="812">
        <v>107.47</v>
      </c>
      <c r="H118" s="866">
        <v>122.57000000000001</v>
      </c>
      <c r="I118" s="1"/>
      <c r="J118" s="1"/>
      <c r="K118" s="1"/>
      <c r="L118" s="1"/>
      <c r="M118" s="6"/>
      <c r="N118" s="6"/>
      <c r="O118" s="6"/>
      <c r="P118" s="6"/>
      <c r="Q118" s="6"/>
      <c r="R118" s="6"/>
    </row>
    <row r="119" spans="1:18" s="20" customFormat="1" ht="13.5" customHeight="1" x14ac:dyDescent="0.3">
      <c r="A119" s="1074"/>
      <c r="B119" s="1077"/>
      <c r="C119" s="93" t="s">
        <v>57</v>
      </c>
      <c r="D119" s="812">
        <v>110.64</v>
      </c>
      <c r="E119" s="812">
        <v>112.41</v>
      </c>
      <c r="F119" s="812">
        <v>-79.110000000000014</v>
      </c>
      <c r="G119" s="812">
        <v>127.78</v>
      </c>
      <c r="H119" s="866">
        <v>182.41</v>
      </c>
      <c r="I119" s="53"/>
      <c r="J119" s="1"/>
      <c r="K119" s="1"/>
      <c r="L119" s="1"/>
      <c r="M119" s="6"/>
      <c r="N119" s="6"/>
      <c r="O119" s="6"/>
      <c r="P119" s="6"/>
      <c r="Q119" s="6"/>
      <c r="R119" s="6"/>
    </row>
    <row r="120" spans="1:18" s="20" customFormat="1" ht="13.5" customHeight="1" x14ac:dyDescent="0.3">
      <c r="A120" s="1074"/>
      <c r="B120" s="1077"/>
      <c r="C120" s="819" t="s">
        <v>1303</v>
      </c>
      <c r="D120" s="811">
        <v>1.8430426548832181E-2</v>
      </c>
      <c r="E120" s="811">
        <v>9.6141874974062461E-3</v>
      </c>
      <c r="F120" s="811">
        <v>1.0919702532241362E-2</v>
      </c>
      <c r="G120" s="811">
        <v>1.7325273791411383E-2</v>
      </c>
      <c r="H120" s="867">
        <v>1.4224490371331095E-2</v>
      </c>
      <c r="I120" s="1"/>
      <c r="J120" s="1"/>
      <c r="K120" s="1"/>
      <c r="L120" s="1"/>
      <c r="M120" s="6"/>
      <c r="N120" s="6"/>
      <c r="O120" s="6"/>
      <c r="P120" s="6"/>
      <c r="Q120" s="6"/>
      <c r="R120" s="6"/>
    </row>
    <row r="121" spans="1:18" s="20" customFormat="1" ht="13.5" customHeight="1" thickBot="1" x14ac:dyDescent="0.35">
      <c r="A121" s="1075"/>
      <c r="B121" s="1078"/>
      <c r="C121" s="869" t="s">
        <v>43</v>
      </c>
      <c r="D121" s="815">
        <v>4.3718915450024078E-2</v>
      </c>
      <c r="E121" s="815">
        <v>1.9406360818697128E-2</v>
      </c>
      <c r="F121" s="815">
        <v>5.7046508360264141E-2</v>
      </c>
      <c r="G121" s="815">
        <v>5.0986245008269142E-2</v>
      </c>
      <c r="H121" s="870">
        <v>3.2026662434534198E-2</v>
      </c>
      <c r="I121" s="1"/>
      <c r="J121" s="1"/>
      <c r="K121" s="1"/>
      <c r="L121" s="1"/>
      <c r="M121" s="6"/>
      <c r="N121" s="6"/>
      <c r="O121" s="6"/>
      <c r="P121" s="6"/>
      <c r="Q121" s="6"/>
      <c r="R121" s="6"/>
    </row>
    <row r="122" spans="1:18" s="20" customFormat="1" ht="13.5" customHeight="1" x14ac:dyDescent="0.3">
      <c r="A122" s="1073" t="s">
        <v>812</v>
      </c>
      <c r="B122" s="1076"/>
      <c r="C122" s="882" t="s">
        <v>36</v>
      </c>
      <c r="D122" s="883">
        <v>111722.615853</v>
      </c>
      <c r="E122" s="883">
        <v>99323.441650000008</v>
      </c>
      <c r="F122" s="883">
        <v>96749.452000000005</v>
      </c>
      <c r="G122" s="883">
        <v>112828.26</v>
      </c>
      <c r="H122" s="947">
        <v>102636</v>
      </c>
      <c r="I122" s="1"/>
      <c r="J122" s="1"/>
      <c r="K122" s="1"/>
      <c r="L122" s="6"/>
      <c r="M122" s="6"/>
      <c r="N122" s="6"/>
      <c r="O122" s="6"/>
      <c r="P122" s="6"/>
      <c r="Q122" s="6"/>
      <c r="R122" s="6"/>
    </row>
    <row r="123" spans="1:18" s="20" customFormat="1" ht="13.5" customHeight="1" x14ac:dyDescent="0.3">
      <c r="A123" s="1074"/>
      <c r="B123" s="1077"/>
      <c r="C123" s="876" t="s">
        <v>50</v>
      </c>
      <c r="D123" s="816">
        <v>68177.043892200003</v>
      </c>
      <c r="E123" s="816">
        <v>60475.317999999999</v>
      </c>
      <c r="F123" s="816">
        <v>49787.892999999996</v>
      </c>
      <c r="G123" s="816">
        <v>56351.750520000001</v>
      </c>
      <c r="H123" s="946">
        <v>67182</v>
      </c>
      <c r="I123" s="1"/>
      <c r="J123" s="1"/>
      <c r="K123" s="1"/>
      <c r="L123" s="6"/>
      <c r="M123" s="6"/>
      <c r="N123" s="6"/>
      <c r="O123" s="6"/>
      <c r="P123" s="6"/>
      <c r="Q123" s="6"/>
      <c r="R123" s="6"/>
    </row>
    <row r="124" spans="1:18" s="20" customFormat="1" ht="13.5" customHeight="1" x14ac:dyDescent="0.3">
      <c r="A124" s="1074"/>
      <c r="B124" s="1077"/>
      <c r="C124" s="876" t="s">
        <v>51</v>
      </c>
      <c r="D124" s="816">
        <v>46843.615387200007</v>
      </c>
      <c r="E124" s="816">
        <v>48578.18</v>
      </c>
      <c r="F124" s="816">
        <v>49217.925000000003</v>
      </c>
      <c r="G124" s="816">
        <v>43020.046999999999</v>
      </c>
      <c r="H124" s="877">
        <v>34719.35</v>
      </c>
      <c r="I124" s="1"/>
      <c r="J124" s="1"/>
      <c r="K124" s="1"/>
      <c r="L124" s="6"/>
      <c r="M124" s="6"/>
      <c r="N124" s="6"/>
      <c r="O124" s="6"/>
      <c r="P124" s="6"/>
      <c r="Q124" s="6"/>
      <c r="R124" s="6"/>
    </row>
    <row r="125" spans="1:18" s="20" customFormat="1" ht="13.5" customHeight="1" x14ac:dyDescent="0.3">
      <c r="A125" s="1074"/>
      <c r="B125" s="1077"/>
      <c r="C125" s="876" t="s">
        <v>38</v>
      </c>
      <c r="D125" s="816">
        <v>52750.215124599999</v>
      </c>
      <c r="E125" s="816">
        <v>57153.051017999998</v>
      </c>
      <c r="F125" s="816">
        <v>41982.817999999999</v>
      </c>
      <c r="G125" s="816">
        <v>53023.411690000001</v>
      </c>
      <c r="H125" s="877">
        <v>54475.21</v>
      </c>
      <c r="I125" s="1"/>
      <c r="J125" s="1"/>
      <c r="K125" s="1"/>
      <c r="L125" s="6"/>
      <c r="M125" s="6"/>
      <c r="N125" s="6"/>
      <c r="O125" s="6"/>
      <c r="P125" s="6"/>
      <c r="Q125" s="6"/>
      <c r="R125" s="6"/>
    </row>
    <row r="126" spans="1:18" s="20" customFormat="1" ht="13.5" customHeight="1" x14ac:dyDescent="0.3">
      <c r="A126" s="1074"/>
      <c r="B126" s="1077"/>
      <c r="C126" s="876" t="s">
        <v>39</v>
      </c>
      <c r="D126" s="816">
        <v>31126.656659299999</v>
      </c>
      <c r="E126" s="816">
        <v>37033.731</v>
      </c>
      <c r="F126" s="816">
        <v>23560.609</v>
      </c>
      <c r="G126" s="816">
        <v>31581.965390000001</v>
      </c>
      <c r="H126" s="877">
        <v>32669.37</v>
      </c>
      <c r="I126" s="1"/>
      <c r="J126" s="1"/>
      <c r="K126" s="1"/>
      <c r="L126" s="6"/>
      <c r="M126" s="6"/>
      <c r="N126" s="6"/>
      <c r="O126" s="6"/>
      <c r="P126" s="6"/>
      <c r="Q126" s="6"/>
      <c r="R126" s="6"/>
    </row>
    <row r="127" spans="1:18" s="20" customFormat="1" ht="13.5" customHeight="1" x14ac:dyDescent="0.3">
      <c r="A127" s="1074"/>
      <c r="B127" s="1077"/>
      <c r="C127" s="21" t="s">
        <v>40</v>
      </c>
      <c r="D127" s="809">
        <v>310620.1469163</v>
      </c>
      <c r="E127" s="809">
        <v>302563.72166799998</v>
      </c>
      <c r="F127" s="809">
        <v>261298.69700000001</v>
      </c>
      <c r="G127" s="809">
        <v>296805.43460000004</v>
      </c>
      <c r="H127" s="864">
        <v>291681.89</v>
      </c>
      <c r="I127" s="1"/>
      <c r="J127" s="1"/>
      <c r="K127" s="1"/>
      <c r="L127" s="6"/>
      <c r="M127" s="6"/>
      <c r="N127" s="6"/>
      <c r="O127" s="6"/>
      <c r="P127" s="6"/>
      <c r="Q127" s="6"/>
      <c r="R127" s="6"/>
    </row>
    <row r="128" spans="1:18" s="20" customFormat="1" ht="13.5" customHeight="1" x14ac:dyDescent="0.3">
      <c r="A128" s="1074"/>
      <c r="B128" s="1077"/>
      <c r="C128" s="21" t="s">
        <v>959</v>
      </c>
      <c r="D128" s="809">
        <v>1377971.2770751</v>
      </c>
      <c r="E128" s="809">
        <v>1408513.2650000001</v>
      </c>
      <c r="F128" s="809">
        <v>1231053.2290000001</v>
      </c>
      <c r="G128" s="809">
        <v>1325183.9607599999</v>
      </c>
      <c r="H128" s="864">
        <v>1526886.01</v>
      </c>
      <c r="I128" s="1"/>
      <c r="J128" s="1"/>
      <c r="K128" s="1"/>
      <c r="L128" s="6"/>
      <c r="M128" s="6"/>
      <c r="N128" s="6"/>
      <c r="O128" s="6"/>
      <c r="P128" s="6"/>
      <c r="Q128" s="6"/>
      <c r="R128" s="6"/>
    </row>
    <row r="129" spans="1:59" s="20" customFormat="1" ht="13.5" customHeight="1" x14ac:dyDescent="0.3">
      <c r="A129" s="1074"/>
      <c r="B129" s="1077"/>
      <c r="C129" s="878" t="s">
        <v>961</v>
      </c>
      <c r="D129" s="817">
        <v>1688591.4239914</v>
      </c>
      <c r="E129" s="817">
        <v>1711076.986668</v>
      </c>
      <c r="F129" s="817">
        <v>1492351.926</v>
      </c>
      <c r="G129" s="817">
        <v>1621989.39536</v>
      </c>
      <c r="H129" s="879">
        <v>1818567.9</v>
      </c>
      <c r="I129" s="1"/>
      <c r="J129" s="1"/>
      <c r="K129" s="1"/>
      <c r="L129" s="6"/>
      <c r="M129" s="6"/>
      <c r="N129" s="6"/>
      <c r="O129" s="6"/>
      <c r="P129" s="6"/>
      <c r="Q129" s="6"/>
      <c r="R129" s="6"/>
    </row>
    <row r="130" spans="1:59" s="20" customFormat="1" ht="13.5" customHeight="1" x14ac:dyDescent="0.3">
      <c r="A130" s="1074"/>
      <c r="B130" s="1077"/>
      <c r="C130" s="880" t="s">
        <v>819</v>
      </c>
      <c r="D130" s="818">
        <v>106182.5231912</v>
      </c>
      <c r="E130" s="818">
        <v>95884.563999999998</v>
      </c>
      <c r="F130" s="818">
        <v>101962.79800000001</v>
      </c>
      <c r="G130" s="818">
        <v>106126.93945000001</v>
      </c>
      <c r="H130" s="881">
        <v>97346.5</v>
      </c>
      <c r="I130" s="1"/>
      <c r="J130" s="1"/>
      <c r="K130" s="1"/>
      <c r="L130" s="6"/>
      <c r="M130" s="6"/>
      <c r="N130" s="6"/>
      <c r="O130" s="6"/>
      <c r="P130" s="6"/>
      <c r="Q130" s="6"/>
      <c r="R130" s="6"/>
    </row>
    <row r="131" spans="1:59" s="20" customFormat="1" ht="13.5" customHeight="1" x14ac:dyDescent="0.3">
      <c r="A131" s="1074"/>
      <c r="B131" s="1077"/>
      <c r="C131" s="878" t="s">
        <v>769</v>
      </c>
      <c r="D131" s="818">
        <f t="shared" ref="D131:G131" si="0">D53+D66+D105+D118</f>
        <v>192663.41999999998</v>
      </c>
      <c r="E131" s="818">
        <f t="shared" si="0"/>
        <v>192792.34</v>
      </c>
      <c r="F131" s="818">
        <f t="shared" si="0"/>
        <v>166752.21000000002</v>
      </c>
      <c r="G131" s="818">
        <f t="shared" si="0"/>
        <v>184713.77000000002</v>
      </c>
      <c r="H131" s="881">
        <f>H53+H66+H105+H118</f>
        <v>197982.58000000002</v>
      </c>
      <c r="I131" s="1"/>
      <c r="J131" s="1"/>
      <c r="K131" s="1"/>
      <c r="L131" s="6"/>
      <c r="M131" s="6"/>
      <c r="N131" s="6"/>
      <c r="O131" s="6"/>
      <c r="P131" s="6"/>
      <c r="Q131" s="6"/>
      <c r="R131" s="6"/>
    </row>
    <row r="132" spans="1:59" s="20" customFormat="1" ht="13.5" customHeight="1" x14ac:dyDescent="0.3">
      <c r="A132" s="1074"/>
      <c r="B132" s="1077"/>
      <c r="C132" s="878" t="s">
        <v>57</v>
      </c>
      <c r="D132" s="818">
        <f t="shared" ref="D132:G132" si="1">D127-D130-D131</f>
        <v>11774.203725100029</v>
      </c>
      <c r="E132" s="818">
        <f t="shared" si="1"/>
        <v>13886.817667999974</v>
      </c>
      <c r="F132" s="818">
        <f t="shared" si="1"/>
        <v>-7416.3110000000161</v>
      </c>
      <c r="G132" s="818">
        <f t="shared" si="1"/>
        <v>5964.7251500000129</v>
      </c>
      <c r="H132" s="881">
        <f>H127-H130-H131</f>
        <v>-3647.1900000000023</v>
      </c>
      <c r="I132" s="1"/>
      <c r="J132" s="1"/>
      <c r="K132" s="1"/>
      <c r="L132" s="6"/>
      <c r="M132" s="6"/>
      <c r="N132" s="6"/>
      <c r="O132" s="6"/>
      <c r="P132" s="6"/>
      <c r="Q132" s="6"/>
      <c r="R132" s="6"/>
    </row>
    <row r="133" spans="1:59" s="20" customFormat="1" ht="13.5" customHeight="1" x14ac:dyDescent="0.3">
      <c r="A133" s="1074"/>
      <c r="B133" s="1077"/>
      <c r="C133" s="819" t="s">
        <v>1303</v>
      </c>
      <c r="D133" s="811">
        <v>0.81604777656511296</v>
      </c>
      <c r="E133" s="811">
        <v>0.82317351935333682</v>
      </c>
      <c r="F133" s="811">
        <v>0.82490812492173515</v>
      </c>
      <c r="G133" s="811">
        <v>0.81679999999999997</v>
      </c>
      <c r="H133" s="867">
        <v>0.83960000000000001</v>
      </c>
      <c r="I133" s="1"/>
      <c r="J133" s="1"/>
      <c r="K133" s="1"/>
      <c r="L133" s="6"/>
      <c r="M133" s="6"/>
      <c r="N133" s="6"/>
      <c r="O133" s="6"/>
      <c r="P133" s="6"/>
      <c r="Q133" s="6"/>
      <c r="R133" s="6"/>
    </row>
    <row r="134" spans="1:59" s="20" customFormat="1" ht="13.5" customHeight="1" thickBot="1" x14ac:dyDescent="0.35">
      <c r="A134" s="1075"/>
      <c r="B134" s="1078"/>
      <c r="C134" s="869" t="s">
        <v>43</v>
      </c>
      <c r="D134" s="815">
        <v>0.87080607065486104</v>
      </c>
      <c r="E134" s="815">
        <v>0.87204053537682902</v>
      </c>
      <c r="F134" s="815">
        <v>0.88540193835577807</v>
      </c>
      <c r="G134" s="815">
        <v>0.87400000000000011</v>
      </c>
      <c r="H134" s="870">
        <v>0.8871</v>
      </c>
      <c r="I134" s="1"/>
      <c r="J134" s="1"/>
      <c r="K134" s="1"/>
      <c r="L134" s="6"/>
      <c r="M134" s="6"/>
      <c r="N134" s="6"/>
      <c r="O134" s="6"/>
      <c r="P134" s="6"/>
      <c r="Q134" s="6"/>
      <c r="R134" s="6"/>
    </row>
    <row r="135" spans="1:59" s="7" customFormat="1" ht="13.5" x14ac:dyDescent="0.3">
      <c r="A135" s="1"/>
      <c r="B135" s="1"/>
      <c r="C135" s="85"/>
      <c r="D135" s="805"/>
      <c r="E135" s="805"/>
      <c r="F135" s="805"/>
      <c r="G135" s="805"/>
      <c r="H135" s="805"/>
      <c r="I135" s="805"/>
      <c r="J135" s="805"/>
      <c r="K135" s="805"/>
      <c r="L135" s="805"/>
      <c r="M135" s="806"/>
      <c r="N135" s="805"/>
      <c r="O135" s="805"/>
      <c r="P135" s="805"/>
      <c r="Q135" s="805"/>
      <c r="R135" s="805"/>
      <c r="S135" s="805"/>
      <c r="T135" s="805"/>
      <c r="U135" s="805"/>
      <c r="V135" s="805"/>
      <c r="W135" s="806"/>
      <c r="X135" s="805"/>
      <c r="Y135" s="805"/>
      <c r="Z135" s="805"/>
      <c r="AA135" s="805"/>
      <c r="AB135" s="805"/>
      <c r="AC135" s="805"/>
      <c r="AD135" s="805"/>
      <c r="AE135" s="805"/>
      <c r="AF135" s="805"/>
      <c r="AG135" s="806"/>
      <c r="AH135" s="805"/>
      <c r="AI135" s="805"/>
      <c r="AJ135" s="805"/>
      <c r="AK135" s="805"/>
      <c r="AL135" s="805"/>
      <c r="AM135" s="805"/>
      <c r="AN135" s="805"/>
      <c r="AO135" s="805"/>
      <c r="AP135" s="805"/>
      <c r="AQ135" s="806"/>
      <c r="AR135" s="805"/>
      <c r="AS135" s="805"/>
      <c r="AT135" s="805"/>
      <c r="AU135" s="805"/>
      <c r="AV135" s="805"/>
      <c r="AW135" s="805"/>
      <c r="AX135" s="805"/>
      <c r="AY135" s="805"/>
      <c r="AZ135" s="805"/>
      <c r="BA135" s="806"/>
      <c r="BB135" s="1"/>
      <c r="BC135" s="1"/>
      <c r="BD135" s="1"/>
      <c r="BE135" s="1"/>
      <c r="BF135" s="1"/>
      <c r="BG135" s="1"/>
    </row>
    <row r="136" spans="1:59" s="47" customFormat="1" ht="11.45" customHeight="1" x14ac:dyDescent="0.25">
      <c r="A136" s="1044" t="s">
        <v>44</v>
      </c>
      <c r="B136" s="1044"/>
      <c r="C136" s="1044"/>
      <c r="D136" s="1044"/>
      <c r="E136" s="1044"/>
      <c r="F136" s="1044"/>
      <c r="G136" s="1044"/>
      <c r="H136" s="1044"/>
      <c r="I136" s="781"/>
      <c r="J136" s="781"/>
      <c r="K136" s="781"/>
      <c r="L136" s="781"/>
      <c r="M136" s="781"/>
      <c r="N136" s="781"/>
      <c r="O136" s="781"/>
      <c r="P136" s="781"/>
      <c r="Q136" s="781"/>
      <c r="R136" s="781"/>
      <c r="S136" s="781"/>
      <c r="T136" s="781"/>
      <c r="U136" s="781"/>
      <c r="V136" s="781"/>
      <c r="W136" s="781"/>
      <c r="X136" s="781"/>
      <c r="Y136" s="781"/>
      <c r="Z136" s="781"/>
      <c r="AA136" s="781"/>
      <c r="AB136" s="781"/>
      <c r="AC136" s="781"/>
      <c r="AD136" s="781"/>
      <c r="AE136" s="781"/>
      <c r="AF136" s="781"/>
      <c r="AG136" s="781"/>
      <c r="AH136" s="781"/>
      <c r="AI136" s="781"/>
      <c r="AJ136" s="781"/>
      <c r="AK136" s="781"/>
      <c r="AL136" s="781"/>
      <c r="AM136" s="781"/>
      <c r="AN136" s="781"/>
      <c r="AO136" s="781"/>
      <c r="AP136" s="781"/>
      <c r="AQ136" s="781"/>
      <c r="AR136" s="781"/>
      <c r="AS136" s="781"/>
      <c r="AT136" s="781"/>
      <c r="AU136" s="781"/>
      <c r="AV136" s="781"/>
      <c r="AW136" s="781"/>
      <c r="AX136" s="781"/>
      <c r="AY136" s="781"/>
      <c r="AZ136" s="781"/>
      <c r="BA136" s="781"/>
      <c r="BB136" s="46"/>
      <c r="BC136" s="46"/>
      <c r="BD136" s="46"/>
      <c r="BE136" s="46"/>
      <c r="BF136" s="46"/>
      <c r="BG136" s="46"/>
    </row>
    <row r="137" spans="1:59" s="47" customFormat="1" ht="9" x14ac:dyDescent="0.25">
      <c r="A137" s="1044"/>
      <c r="B137" s="1044"/>
      <c r="C137" s="1044"/>
      <c r="D137" s="1044"/>
      <c r="E137" s="1044"/>
      <c r="F137" s="1044"/>
      <c r="G137" s="1044"/>
      <c r="H137" s="1044"/>
      <c r="I137" s="781"/>
      <c r="J137" s="781"/>
      <c r="K137" s="781"/>
      <c r="L137" s="781"/>
      <c r="M137" s="781"/>
      <c r="N137" s="781"/>
      <c r="O137" s="781"/>
      <c r="P137" s="781"/>
      <c r="Q137" s="781"/>
      <c r="R137" s="781"/>
      <c r="S137" s="781"/>
      <c r="T137" s="781"/>
      <c r="U137" s="781"/>
      <c r="V137" s="781"/>
      <c r="W137" s="781"/>
      <c r="X137" s="781"/>
      <c r="Y137" s="781"/>
      <c r="Z137" s="781"/>
      <c r="AA137" s="781"/>
      <c r="AB137" s="781"/>
      <c r="AC137" s="781"/>
      <c r="AD137" s="781"/>
      <c r="AE137" s="781"/>
      <c r="AF137" s="781"/>
      <c r="AG137" s="781"/>
      <c r="AH137" s="781"/>
      <c r="AI137" s="781"/>
      <c r="AJ137" s="781"/>
      <c r="AK137" s="781"/>
      <c r="AL137" s="781"/>
      <c r="AM137" s="781"/>
      <c r="AN137" s="781"/>
      <c r="AO137" s="781"/>
      <c r="AP137" s="781"/>
      <c r="AQ137" s="781"/>
      <c r="AR137" s="781"/>
      <c r="AS137" s="781"/>
      <c r="AT137" s="781"/>
      <c r="AU137" s="781"/>
      <c r="AV137" s="781"/>
      <c r="AW137" s="781"/>
      <c r="AX137" s="781"/>
      <c r="AY137" s="781"/>
      <c r="AZ137" s="781"/>
      <c r="BA137" s="781"/>
      <c r="BB137" s="46"/>
      <c r="BC137" s="46"/>
      <c r="BD137" s="46"/>
      <c r="BE137" s="46"/>
      <c r="BF137" s="46"/>
      <c r="BG137" s="46"/>
    </row>
    <row r="138" spans="1:59" s="47" customFormat="1" ht="15" x14ac:dyDescent="0.25">
      <c r="A138" s="885" t="s">
        <v>45</v>
      </c>
      <c r="B138" s="5"/>
      <c r="C138" s="46"/>
      <c r="D138" s="781"/>
      <c r="E138" s="781"/>
      <c r="F138" s="781"/>
      <c r="G138" s="781"/>
      <c r="H138" s="781"/>
      <c r="I138" s="781"/>
      <c r="J138" s="781"/>
      <c r="K138" s="781"/>
      <c r="L138" s="781"/>
      <c r="M138" s="781"/>
      <c r="N138" s="781"/>
      <c r="O138" s="781"/>
      <c r="P138" s="781"/>
      <c r="Q138" s="781"/>
      <c r="R138" s="781"/>
      <c r="S138" s="781"/>
      <c r="T138" s="781"/>
      <c r="U138" s="781"/>
      <c r="V138" s="781"/>
      <c r="W138" s="781"/>
      <c r="X138" s="781"/>
      <c r="Y138" s="781"/>
      <c r="Z138" s="781"/>
      <c r="AA138" s="781"/>
      <c r="AB138" s="781"/>
      <c r="AC138" s="781"/>
      <c r="AD138" s="781"/>
      <c r="AE138" s="781"/>
      <c r="AF138" s="781"/>
      <c r="AG138" s="781"/>
      <c r="AH138" s="781"/>
      <c r="AI138" s="781"/>
      <c r="AJ138" s="781"/>
      <c r="AK138" s="781"/>
      <c r="AL138" s="781"/>
      <c r="AM138" s="781"/>
      <c r="AN138" s="781"/>
      <c r="AO138" s="781"/>
      <c r="AP138" s="781"/>
      <c r="AQ138" s="781"/>
      <c r="AR138" s="781"/>
      <c r="AS138" s="781"/>
      <c r="AT138" s="781"/>
      <c r="AU138" s="781"/>
      <c r="AV138" s="781"/>
      <c r="AW138" s="781"/>
      <c r="AX138" s="781"/>
      <c r="AY138" s="781"/>
      <c r="AZ138" s="781"/>
      <c r="BA138" s="781"/>
      <c r="BB138" s="46"/>
      <c r="BC138" s="46"/>
      <c r="BD138" s="46"/>
      <c r="BE138" s="46"/>
      <c r="BF138" s="46"/>
      <c r="BG138" s="46"/>
    </row>
    <row r="139" spans="1:59" s="47" customFormat="1" ht="9" x14ac:dyDescent="0.25">
      <c r="A139" s="885" t="s">
        <v>691</v>
      </c>
      <c r="B139" s="46"/>
      <c r="C139" s="46"/>
      <c r="D139" s="781"/>
      <c r="E139" s="781"/>
      <c r="F139" s="781"/>
      <c r="G139" s="781"/>
      <c r="H139" s="781"/>
      <c r="I139" s="781"/>
      <c r="J139" s="781"/>
      <c r="K139" s="781"/>
      <c r="L139" s="781"/>
      <c r="M139" s="781"/>
      <c r="N139" s="781"/>
      <c r="O139" s="781"/>
      <c r="P139" s="781"/>
      <c r="Q139" s="781"/>
      <c r="R139" s="781"/>
      <c r="S139" s="781"/>
      <c r="T139" s="781"/>
      <c r="U139" s="781"/>
      <c r="V139" s="781"/>
      <c r="W139" s="781"/>
      <c r="X139" s="781"/>
      <c r="Y139" s="781"/>
      <c r="Z139" s="781"/>
      <c r="AA139" s="781"/>
      <c r="AB139" s="781"/>
      <c r="AC139" s="781"/>
      <c r="AD139" s="781"/>
      <c r="AE139" s="781"/>
      <c r="AF139" s="781"/>
      <c r="AG139" s="781"/>
      <c r="AH139" s="781"/>
      <c r="AI139" s="781"/>
      <c r="AJ139" s="781"/>
      <c r="AK139" s="781"/>
      <c r="AL139" s="781"/>
      <c r="AM139" s="781"/>
      <c r="AN139" s="781"/>
      <c r="AO139" s="781"/>
      <c r="AP139" s="781"/>
      <c r="AQ139" s="781"/>
      <c r="AR139" s="781"/>
      <c r="AS139" s="781"/>
      <c r="AT139" s="781"/>
      <c r="AU139" s="781"/>
      <c r="AV139" s="781"/>
      <c r="AW139" s="781"/>
      <c r="AX139" s="781"/>
      <c r="AY139" s="781"/>
      <c r="AZ139" s="781"/>
      <c r="BA139" s="781"/>
      <c r="BB139" s="46"/>
      <c r="BC139" s="46"/>
      <c r="BD139" s="46"/>
      <c r="BE139" s="46"/>
      <c r="BF139" s="46"/>
      <c r="BG139" s="46"/>
    </row>
    <row r="140" spans="1:59" s="47" customFormat="1" ht="15" x14ac:dyDescent="0.25">
      <c r="A140" s="885" t="s">
        <v>46</v>
      </c>
      <c r="B140" s="5"/>
      <c r="C140" s="46"/>
      <c r="D140" s="781"/>
      <c r="E140" s="781"/>
      <c r="F140" s="781"/>
      <c r="G140" s="781"/>
      <c r="H140" s="781"/>
      <c r="I140" s="781"/>
      <c r="J140" s="781"/>
      <c r="K140" s="781"/>
      <c r="L140" s="781"/>
      <c r="M140" s="781"/>
      <c r="N140" s="781"/>
      <c r="O140" s="781"/>
      <c r="P140" s="781"/>
      <c r="Q140" s="781"/>
      <c r="R140" s="781"/>
      <c r="S140" s="781"/>
      <c r="T140" s="781"/>
      <c r="U140" s="781"/>
      <c r="V140" s="781"/>
      <c r="W140" s="781"/>
      <c r="X140" s="781"/>
      <c r="Y140" s="781"/>
      <c r="Z140" s="781"/>
      <c r="AA140" s="781"/>
      <c r="AB140" s="781"/>
      <c r="AC140" s="781"/>
      <c r="AD140" s="781"/>
      <c r="AE140" s="781"/>
      <c r="AF140" s="781"/>
      <c r="AG140" s="781"/>
      <c r="AH140" s="781"/>
      <c r="AI140" s="781"/>
      <c r="AJ140" s="781"/>
      <c r="AK140" s="781"/>
      <c r="AL140" s="781"/>
      <c r="AM140" s="781"/>
      <c r="AN140" s="781"/>
      <c r="AO140" s="781"/>
      <c r="AP140" s="781"/>
      <c r="AQ140" s="781"/>
      <c r="AR140" s="781"/>
      <c r="AS140" s="781"/>
      <c r="AT140" s="781"/>
      <c r="AU140" s="781"/>
      <c r="AV140" s="781"/>
      <c r="AW140" s="781"/>
      <c r="AX140" s="781"/>
      <c r="AY140" s="781"/>
      <c r="AZ140" s="781"/>
      <c r="BA140" s="781"/>
      <c r="BB140" s="46"/>
      <c r="BC140" s="46"/>
      <c r="BD140" s="46"/>
      <c r="BE140" s="46"/>
      <c r="BF140" s="46"/>
      <c r="BG140" s="46"/>
    </row>
    <row r="141" spans="1:59" x14ac:dyDescent="0.3">
      <c r="A141" s="5"/>
      <c r="B141" s="5"/>
      <c r="C141" s="1"/>
      <c r="D141" s="319"/>
      <c r="E141" s="319"/>
      <c r="F141" s="319"/>
      <c r="G141" s="319"/>
      <c r="H141" s="319"/>
      <c r="I141" s="319"/>
      <c r="J141" s="319"/>
      <c r="K141" s="319"/>
      <c r="L141" s="814"/>
      <c r="M141" s="814"/>
      <c r="N141" s="319"/>
      <c r="O141" s="319"/>
      <c r="P141" s="319"/>
      <c r="Q141" s="319"/>
      <c r="R141" s="319"/>
      <c r="S141" s="319"/>
      <c r="T141" s="319"/>
      <c r="U141" s="319"/>
      <c r="V141" s="814"/>
      <c r="W141" s="814"/>
      <c r="X141" s="319"/>
      <c r="Y141" s="319"/>
      <c r="Z141" s="319"/>
      <c r="AA141" s="319"/>
      <c r="AB141" s="319"/>
      <c r="AC141" s="319"/>
      <c r="AD141" s="319"/>
      <c r="AE141" s="319"/>
      <c r="AF141" s="814"/>
      <c r="AG141" s="814"/>
      <c r="AH141" s="319"/>
      <c r="AI141" s="319"/>
      <c r="AJ141" s="319"/>
      <c r="AK141" s="319"/>
      <c r="AL141" s="319"/>
      <c r="AM141" s="319"/>
      <c r="AN141" s="319"/>
      <c r="AO141" s="319"/>
      <c r="AP141" s="814"/>
      <c r="AQ141" s="814"/>
      <c r="AR141" s="319"/>
      <c r="AS141" s="319"/>
      <c r="AT141" s="319"/>
      <c r="AU141" s="319"/>
      <c r="AV141" s="319"/>
      <c r="AW141" s="319"/>
      <c r="AX141" s="319"/>
      <c r="AY141" s="319"/>
      <c r="AZ141" s="814"/>
      <c r="BA141" s="814"/>
      <c r="BB141" s="5"/>
      <c r="BC141" s="5"/>
      <c r="BD141" s="5"/>
      <c r="BE141" s="5"/>
      <c r="BF141" s="5"/>
      <c r="BG141" s="5"/>
    </row>
    <row r="142" spans="1:59" x14ac:dyDescent="0.3">
      <c r="A142" s="5"/>
      <c r="B142" s="5"/>
      <c r="C142" s="1"/>
      <c r="D142" s="319"/>
      <c r="E142" s="319"/>
      <c r="F142" s="319"/>
      <c r="G142" s="319"/>
      <c r="H142" s="319"/>
      <c r="I142" s="319"/>
      <c r="J142" s="319"/>
      <c r="K142" s="319"/>
      <c r="L142" s="814"/>
      <c r="M142" s="814"/>
      <c r="N142" s="319"/>
      <c r="O142" s="319"/>
      <c r="P142" s="319"/>
      <c r="Q142" s="319"/>
      <c r="R142" s="319"/>
      <c r="S142" s="319"/>
      <c r="T142" s="319"/>
      <c r="U142" s="319"/>
      <c r="V142" s="814"/>
      <c r="W142" s="814"/>
      <c r="X142" s="319"/>
      <c r="Y142" s="319"/>
      <c r="Z142" s="319"/>
      <c r="AA142" s="319"/>
      <c r="AB142" s="319"/>
      <c r="AC142" s="319"/>
      <c r="AD142" s="319"/>
      <c r="AE142" s="319"/>
      <c r="AF142" s="814"/>
      <c r="AG142" s="814"/>
      <c r="AH142" s="319"/>
      <c r="AI142" s="319"/>
      <c r="AJ142" s="319"/>
      <c r="AK142" s="319"/>
      <c r="AL142" s="319"/>
      <c r="AM142" s="319"/>
      <c r="AN142" s="319"/>
      <c r="AO142" s="319"/>
      <c r="AP142" s="814"/>
      <c r="AQ142" s="814"/>
      <c r="AR142" s="319"/>
      <c r="AS142" s="319"/>
      <c r="AT142" s="319"/>
      <c r="AU142" s="319"/>
      <c r="AV142" s="319"/>
      <c r="AW142" s="319"/>
      <c r="AX142" s="319"/>
      <c r="AY142" s="319"/>
      <c r="AZ142" s="814"/>
      <c r="BA142" s="814"/>
      <c r="BB142" s="5"/>
      <c r="BC142" s="5"/>
      <c r="BD142" s="5"/>
      <c r="BE142" s="5"/>
      <c r="BF142" s="5"/>
      <c r="BG142" s="5"/>
    </row>
    <row r="143" spans="1:59" x14ac:dyDescent="0.3">
      <c r="A143" s="5"/>
      <c r="B143" s="5"/>
      <c r="C143" s="1"/>
      <c r="D143" s="319"/>
      <c r="E143" s="319"/>
      <c r="F143" s="319"/>
      <c r="G143" s="319"/>
      <c r="H143" s="319"/>
      <c r="I143" s="319"/>
      <c r="J143" s="319"/>
      <c r="K143" s="319"/>
      <c r="L143" s="814"/>
      <c r="M143" s="814"/>
      <c r="N143" s="319"/>
      <c r="O143" s="319"/>
      <c r="P143" s="319"/>
      <c r="Q143" s="319"/>
      <c r="R143" s="319"/>
      <c r="S143" s="319"/>
      <c r="T143" s="319"/>
      <c r="U143" s="319"/>
      <c r="V143" s="814"/>
      <c r="W143" s="814"/>
      <c r="X143" s="319"/>
      <c r="Y143" s="319"/>
      <c r="Z143" s="319"/>
      <c r="AA143" s="319"/>
      <c r="AB143" s="319"/>
      <c r="AC143" s="319"/>
      <c r="AD143" s="319"/>
      <c r="AE143" s="319"/>
      <c r="AF143" s="814"/>
      <c r="AG143" s="814"/>
      <c r="AH143" s="319"/>
      <c r="AI143" s="319"/>
      <c r="AJ143" s="319"/>
      <c r="AK143" s="319"/>
      <c r="AL143" s="319"/>
      <c r="AM143" s="319"/>
      <c r="AN143" s="319"/>
      <c r="AO143" s="319"/>
      <c r="AP143" s="814"/>
      <c r="AQ143" s="814"/>
      <c r="AR143" s="319"/>
      <c r="AS143" s="319"/>
      <c r="AT143" s="319"/>
      <c r="AU143" s="319"/>
      <c r="AV143" s="319"/>
      <c r="AW143" s="319"/>
      <c r="AX143" s="319"/>
      <c r="AY143" s="319"/>
      <c r="AZ143" s="814"/>
      <c r="BA143" s="814"/>
      <c r="BB143" s="5"/>
      <c r="BC143" s="5"/>
      <c r="BD143" s="5"/>
      <c r="BE143" s="5"/>
      <c r="BF143" s="5"/>
      <c r="BG143" s="5"/>
    </row>
    <row r="144" spans="1:59" x14ac:dyDescent="0.3">
      <c r="A144" s="5"/>
      <c r="B144" s="5"/>
      <c r="C144" s="1"/>
      <c r="D144" s="319"/>
      <c r="E144" s="319"/>
      <c r="F144" s="319"/>
      <c r="G144" s="319"/>
      <c r="H144" s="319"/>
      <c r="I144" s="319"/>
      <c r="J144" s="319"/>
      <c r="K144" s="319"/>
      <c r="L144" s="814"/>
      <c r="M144" s="814"/>
      <c r="N144" s="319"/>
      <c r="O144" s="319"/>
      <c r="P144" s="319"/>
      <c r="Q144" s="319"/>
      <c r="R144" s="319"/>
      <c r="S144" s="319"/>
      <c r="T144" s="319"/>
      <c r="U144" s="319"/>
      <c r="V144" s="814"/>
      <c r="W144" s="814"/>
      <c r="X144" s="319"/>
      <c r="Y144" s="319"/>
      <c r="Z144" s="319"/>
      <c r="AA144" s="319"/>
      <c r="AB144" s="319"/>
      <c r="AC144" s="319"/>
      <c r="AD144" s="319"/>
      <c r="AE144" s="319"/>
      <c r="AF144" s="814"/>
      <c r="AG144" s="814"/>
      <c r="AH144" s="319"/>
      <c r="AI144" s="319"/>
      <c r="AJ144" s="319"/>
      <c r="AK144" s="319"/>
      <c r="AL144" s="319"/>
      <c r="AM144" s="319"/>
      <c r="AN144" s="319"/>
      <c r="AO144" s="319"/>
      <c r="AP144" s="814"/>
      <c r="AQ144" s="814"/>
      <c r="AR144" s="319"/>
      <c r="AS144" s="319"/>
      <c r="AT144" s="319"/>
      <c r="AU144" s="319"/>
      <c r="AV144" s="319"/>
      <c r="AW144" s="319"/>
      <c r="AX144" s="319"/>
      <c r="AY144" s="319"/>
      <c r="AZ144" s="814"/>
      <c r="BA144" s="814"/>
      <c r="BB144" s="5"/>
      <c r="BC144" s="5"/>
      <c r="BD144" s="5"/>
      <c r="BE144" s="5"/>
      <c r="BF144" s="5"/>
      <c r="BG144" s="5"/>
    </row>
    <row r="145" spans="1:59" x14ac:dyDescent="0.3">
      <c r="A145" s="5"/>
      <c r="B145" s="5"/>
      <c r="C145" s="1"/>
      <c r="D145" s="319"/>
      <c r="E145" s="319"/>
      <c r="F145" s="319"/>
      <c r="G145" s="319"/>
      <c r="H145" s="319"/>
      <c r="I145" s="319"/>
      <c r="J145" s="319"/>
      <c r="K145" s="319"/>
      <c r="L145" s="814"/>
      <c r="M145" s="814"/>
      <c r="N145" s="319"/>
      <c r="O145" s="319"/>
      <c r="P145" s="319"/>
      <c r="Q145" s="319"/>
      <c r="R145" s="319"/>
      <c r="S145" s="319"/>
      <c r="T145" s="319"/>
      <c r="U145" s="319"/>
      <c r="V145" s="814"/>
      <c r="W145" s="814"/>
      <c r="X145" s="319"/>
      <c r="Y145" s="319"/>
      <c r="Z145" s="319"/>
      <c r="AA145" s="319"/>
      <c r="AB145" s="319"/>
      <c r="AC145" s="319"/>
      <c r="AD145" s="319"/>
      <c r="AE145" s="319"/>
      <c r="AF145" s="814"/>
      <c r="AG145" s="814"/>
      <c r="AH145" s="319"/>
      <c r="AI145" s="319"/>
      <c r="AJ145" s="319"/>
      <c r="AK145" s="319"/>
      <c r="AL145" s="319"/>
      <c r="AM145" s="319"/>
      <c r="AN145" s="319"/>
      <c r="AO145" s="319"/>
      <c r="AP145" s="814"/>
      <c r="AQ145" s="814"/>
      <c r="AR145" s="319"/>
      <c r="AS145" s="319"/>
      <c r="AT145" s="319"/>
      <c r="AU145" s="319"/>
      <c r="AV145" s="319"/>
      <c r="AW145" s="319"/>
      <c r="AX145" s="319"/>
      <c r="AY145" s="319"/>
      <c r="AZ145" s="814"/>
      <c r="BA145" s="814"/>
      <c r="BB145" s="5"/>
      <c r="BC145" s="5"/>
      <c r="BD145" s="5"/>
      <c r="BE145" s="5"/>
      <c r="BF145" s="5"/>
      <c r="BG145" s="5"/>
    </row>
    <row r="146" spans="1:59" x14ac:dyDescent="0.3">
      <c r="A146" s="5"/>
      <c r="B146" s="5"/>
      <c r="C146" s="1"/>
      <c r="D146" s="319"/>
      <c r="E146" s="319"/>
      <c r="F146" s="319"/>
      <c r="G146" s="319"/>
      <c r="H146" s="319"/>
      <c r="I146" s="319"/>
      <c r="J146" s="319"/>
      <c r="K146" s="319"/>
      <c r="L146" s="814"/>
      <c r="M146" s="814"/>
      <c r="N146" s="319"/>
      <c r="O146" s="319"/>
      <c r="P146" s="319"/>
      <c r="Q146" s="319"/>
      <c r="R146" s="319"/>
      <c r="S146" s="319"/>
      <c r="T146" s="319"/>
      <c r="U146" s="319"/>
      <c r="V146" s="814"/>
      <c r="W146" s="814"/>
      <c r="X146" s="319"/>
      <c r="Y146" s="319"/>
      <c r="Z146" s="319"/>
      <c r="AA146" s="319"/>
      <c r="AB146" s="319"/>
      <c r="AC146" s="319"/>
      <c r="AD146" s="319"/>
      <c r="AE146" s="319"/>
      <c r="AF146" s="814"/>
      <c r="AG146" s="814"/>
      <c r="AH146" s="319"/>
      <c r="AI146" s="319"/>
      <c r="AJ146" s="319"/>
      <c r="AK146" s="319"/>
      <c r="AL146" s="319"/>
      <c r="AM146" s="319"/>
      <c r="AN146" s="319"/>
      <c r="AO146" s="319"/>
      <c r="AP146" s="814"/>
      <c r="AQ146" s="814"/>
      <c r="AR146" s="319"/>
      <c r="AS146" s="319"/>
      <c r="AT146" s="319"/>
      <c r="AU146" s="319"/>
      <c r="AV146" s="319"/>
      <c r="AW146" s="319"/>
      <c r="AX146" s="319"/>
      <c r="AY146" s="319"/>
      <c r="AZ146" s="814"/>
      <c r="BA146" s="814"/>
      <c r="BB146" s="5"/>
      <c r="BC146" s="5"/>
      <c r="BD146" s="5"/>
      <c r="BE146" s="5"/>
      <c r="BF146" s="5"/>
      <c r="BG146" s="5"/>
    </row>
    <row r="147" spans="1:59" x14ac:dyDescent="0.3">
      <c r="A147" s="5"/>
      <c r="B147" s="5"/>
      <c r="C147" s="1"/>
      <c r="D147" s="319"/>
      <c r="E147" s="319"/>
      <c r="F147" s="319"/>
      <c r="G147" s="319"/>
      <c r="H147" s="319"/>
      <c r="I147" s="319"/>
      <c r="J147" s="319"/>
      <c r="K147" s="319"/>
      <c r="L147" s="814"/>
      <c r="M147" s="814"/>
      <c r="N147" s="319"/>
      <c r="O147" s="319"/>
      <c r="P147" s="319"/>
      <c r="Q147" s="319"/>
      <c r="R147" s="319"/>
      <c r="S147" s="319"/>
      <c r="T147" s="319"/>
      <c r="U147" s="319"/>
      <c r="V147" s="814"/>
      <c r="W147" s="814"/>
      <c r="X147" s="319"/>
      <c r="Y147" s="319"/>
      <c r="Z147" s="319"/>
      <c r="AA147" s="319"/>
      <c r="AB147" s="319"/>
      <c r="AC147" s="319"/>
      <c r="AD147" s="319"/>
      <c r="AE147" s="319"/>
      <c r="AF147" s="814"/>
      <c r="AG147" s="814"/>
      <c r="AH147" s="319"/>
      <c r="AI147" s="319"/>
      <c r="AJ147" s="319"/>
      <c r="AK147" s="319"/>
      <c r="AL147" s="319"/>
      <c r="AM147" s="319"/>
      <c r="AN147" s="319"/>
      <c r="AO147" s="319"/>
      <c r="AP147" s="814"/>
      <c r="AQ147" s="814"/>
      <c r="AR147" s="319"/>
      <c r="AS147" s="319"/>
      <c r="AT147" s="319"/>
      <c r="AU147" s="319"/>
      <c r="AV147" s="319"/>
      <c r="AW147" s="319"/>
      <c r="AX147" s="319"/>
      <c r="AY147" s="319"/>
      <c r="AZ147" s="814"/>
      <c r="BA147" s="814"/>
      <c r="BB147" s="5"/>
      <c r="BC147" s="5"/>
      <c r="BD147" s="5"/>
      <c r="BE147" s="5"/>
      <c r="BF147" s="5"/>
      <c r="BG147" s="5"/>
    </row>
    <row r="148" spans="1:59" x14ac:dyDescent="0.3">
      <c r="A148" s="5"/>
      <c r="B148" s="5"/>
      <c r="C148" s="1"/>
      <c r="D148" s="319"/>
      <c r="E148" s="319"/>
      <c r="F148" s="319"/>
      <c r="G148" s="319"/>
      <c r="H148" s="319"/>
      <c r="I148" s="319"/>
      <c r="J148" s="319"/>
      <c r="K148" s="319"/>
      <c r="L148" s="814"/>
      <c r="M148" s="814"/>
      <c r="N148" s="319"/>
      <c r="O148" s="319"/>
      <c r="P148" s="319"/>
      <c r="Q148" s="319"/>
      <c r="R148" s="319"/>
      <c r="S148" s="319"/>
      <c r="T148" s="319"/>
      <c r="U148" s="319"/>
      <c r="V148" s="814"/>
      <c r="W148" s="814"/>
      <c r="X148" s="319"/>
      <c r="Y148" s="319"/>
      <c r="Z148" s="319"/>
      <c r="AA148" s="319"/>
      <c r="AB148" s="319"/>
      <c r="AC148" s="319"/>
      <c r="AD148" s="319"/>
      <c r="AE148" s="319"/>
      <c r="AF148" s="814"/>
      <c r="AG148" s="814"/>
      <c r="AH148" s="319"/>
      <c r="AI148" s="319"/>
      <c r="AJ148" s="319"/>
      <c r="AK148" s="319"/>
      <c r="AL148" s="319"/>
      <c r="AM148" s="319"/>
      <c r="AN148" s="319"/>
      <c r="AO148" s="319"/>
      <c r="AP148" s="814"/>
      <c r="AQ148" s="814"/>
      <c r="AR148" s="319"/>
      <c r="AS148" s="319"/>
      <c r="AT148" s="319"/>
      <c r="AU148" s="319"/>
      <c r="AV148" s="319"/>
      <c r="AW148" s="319"/>
      <c r="AX148" s="319"/>
      <c r="AY148" s="319"/>
      <c r="AZ148" s="814"/>
      <c r="BA148" s="814"/>
      <c r="BB148" s="5"/>
      <c r="BC148" s="5"/>
      <c r="BD148" s="5"/>
      <c r="BE148" s="5"/>
      <c r="BF148" s="5"/>
      <c r="BG148" s="5"/>
    </row>
    <row r="149" spans="1:59" x14ac:dyDescent="0.3">
      <c r="A149" s="5"/>
      <c r="B149" s="5"/>
      <c r="C149" s="1"/>
      <c r="D149" s="319"/>
      <c r="E149" s="319"/>
      <c r="F149" s="319"/>
      <c r="G149" s="319"/>
      <c r="H149" s="319"/>
      <c r="I149" s="319"/>
      <c r="J149" s="319"/>
      <c r="K149" s="319"/>
      <c r="L149" s="814"/>
      <c r="M149" s="814"/>
      <c r="N149" s="319"/>
      <c r="O149" s="319"/>
      <c r="P149" s="319"/>
      <c r="Q149" s="319"/>
      <c r="R149" s="319"/>
      <c r="S149" s="319"/>
      <c r="T149" s="319"/>
      <c r="U149" s="319"/>
      <c r="V149" s="814"/>
      <c r="W149" s="814"/>
      <c r="X149" s="319"/>
      <c r="Y149" s="319"/>
      <c r="Z149" s="319"/>
      <c r="AA149" s="319"/>
      <c r="AB149" s="319"/>
      <c r="AC149" s="319"/>
      <c r="AD149" s="319"/>
      <c r="AE149" s="319"/>
      <c r="AF149" s="814"/>
      <c r="AG149" s="814"/>
      <c r="AH149" s="319"/>
      <c r="AI149" s="319"/>
      <c r="AJ149" s="319"/>
      <c r="AK149" s="319"/>
      <c r="AL149" s="319"/>
      <c r="AM149" s="319"/>
      <c r="AN149" s="319"/>
      <c r="AO149" s="319"/>
      <c r="AP149" s="814"/>
      <c r="AQ149" s="814"/>
      <c r="AR149" s="319"/>
      <c r="AS149" s="319"/>
      <c r="AT149" s="319"/>
      <c r="AU149" s="319"/>
      <c r="AV149" s="319"/>
      <c r="AW149" s="319"/>
      <c r="AX149" s="319"/>
      <c r="AY149" s="319"/>
      <c r="AZ149" s="814"/>
      <c r="BA149" s="814"/>
      <c r="BB149" s="5"/>
      <c r="BC149" s="5"/>
      <c r="BD149" s="5"/>
      <c r="BE149" s="5"/>
      <c r="BF149" s="5"/>
      <c r="BG149" s="5"/>
    </row>
    <row r="150" spans="1:59" x14ac:dyDescent="0.3">
      <c r="A150" s="5"/>
      <c r="B150" s="5"/>
      <c r="C150" s="1"/>
      <c r="D150" s="319"/>
      <c r="E150" s="319"/>
      <c r="F150" s="319"/>
      <c r="G150" s="319"/>
      <c r="H150" s="319"/>
      <c r="I150" s="319"/>
      <c r="J150" s="319"/>
      <c r="K150" s="319"/>
      <c r="L150" s="814"/>
      <c r="M150" s="814"/>
      <c r="N150" s="319"/>
      <c r="O150" s="319"/>
      <c r="P150" s="319"/>
      <c r="Q150" s="319"/>
      <c r="R150" s="319"/>
      <c r="S150" s="319"/>
      <c r="T150" s="319"/>
      <c r="U150" s="319"/>
      <c r="V150" s="814"/>
      <c r="W150" s="814"/>
      <c r="X150" s="319"/>
      <c r="Y150" s="319"/>
      <c r="Z150" s="319"/>
      <c r="AA150" s="319"/>
      <c r="AB150" s="319"/>
      <c r="AC150" s="319"/>
      <c r="AD150" s="319"/>
      <c r="AE150" s="319"/>
      <c r="AF150" s="814"/>
      <c r="AG150" s="814"/>
      <c r="AH150" s="319"/>
      <c r="AI150" s="319"/>
      <c r="AJ150" s="319"/>
      <c r="AK150" s="319"/>
      <c r="AL150" s="319"/>
      <c r="AM150" s="319"/>
      <c r="AN150" s="319"/>
      <c r="AO150" s="319"/>
      <c r="AP150" s="814"/>
      <c r="AQ150" s="814"/>
      <c r="AR150" s="319"/>
      <c r="AS150" s="319"/>
      <c r="AT150" s="319"/>
      <c r="AU150" s="319"/>
      <c r="AV150" s="319"/>
      <c r="AW150" s="319"/>
      <c r="AX150" s="319"/>
      <c r="AY150" s="319"/>
      <c r="AZ150" s="814"/>
      <c r="BA150" s="814"/>
      <c r="BB150" s="5"/>
      <c r="BC150" s="5"/>
      <c r="BD150" s="5"/>
      <c r="BE150" s="5"/>
      <c r="BF150" s="5"/>
      <c r="BG150" s="5"/>
    </row>
    <row r="151" spans="1:59" x14ac:dyDescent="0.3">
      <c r="A151" s="5"/>
      <c r="B151" s="5"/>
      <c r="C151" s="1"/>
      <c r="D151" s="319"/>
      <c r="E151" s="319"/>
      <c r="F151" s="319"/>
      <c r="G151" s="319"/>
      <c r="H151" s="319"/>
      <c r="I151" s="319"/>
      <c r="J151" s="319"/>
      <c r="K151" s="319"/>
      <c r="L151" s="814"/>
      <c r="M151" s="814"/>
      <c r="N151" s="319"/>
      <c r="O151" s="319"/>
      <c r="P151" s="319"/>
      <c r="Q151" s="319"/>
      <c r="R151" s="319"/>
      <c r="S151" s="319"/>
      <c r="T151" s="319"/>
      <c r="U151" s="319"/>
      <c r="V151" s="814"/>
      <c r="W151" s="814"/>
      <c r="X151" s="319"/>
      <c r="Y151" s="319"/>
      <c r="Z151" s="319"/>
      <c r="AA151" s="319"/>
      <c r="AB151" s="319"/>
      <c r="AC151" s="319"/>
      <c r="AD151" s="319"/>
      <c r="AE151" s="319"/>
      <c r="AF151" s="814"/>
      <c r="AG151" s="814"/>
      <c r="AH151" s="319"/>
      <c r="AI151" s="319"/>
      <c r="AJ151" s="319"/>
      <c r="AK151" s="319"/>
      <c r="AL151" s="319"/>
      <c r="AM151" s="319"/>
      <c r="AN151" s="319"/>
      <c r="AO151" s="319"/>
      <c r="AP151" s="814"/>
      <c r="AQ151" s="814"/>
      <c r="AR151" s="319"/>
      <c r="AS151" s="319"/>
      <c r="AT151" s="319"/>
      <c r="AU151" s="319"/>
      <c r="AV151" s="319"/>
      <c r="AW151" s="319"/>
      <c r="AX151" s="319"/>
      <c r="AY151" s="319"/>
      <c r="AZ151" s="814"/>
      <c r="BA151" s="814"/>
      <c r="BB151" s="5"/>
      <c r="BC151" s="5"/>
      <c r="BD151" s="5"/>
      <c r="BE151" s="5"/>
      <c r="BF151" s="5"/>
      <c r="BG151" s="5"/>
    </row>
    <row r="152" spans="1:59" x14ac:dyDescent="0.3">
      <c r="A152" s="5"/>
      <c r="B152" s="5"/>
      <c r="C152" s="1"/>
      <c r="D152" s="319"/>
      <c r="E152" s="319"/>
      <c r="F152" s="319"/>
      <c r="G152" s="319"/>
      <c r="H152" s="319"/>
      <c r="I152" s="319"/>
      <c r="J152" s="319"/>
      <c r="K152" s="319"/>
      <c r="L152" s="814"/>
      <c r="M152" s="814"/>
      <c r="N152" s="319"/>
      <c r="O152" s="319"/>
      <c r="P152" s="319"/>
      <c r="Q152" s="319"/>
      <c r="R152" s="319"/>
      <c r="S152" s="319"/>
      <c r="T152" s="319"/>
      <c r="U152" s="319"/>
      <c r="V152" s="814"/>
      <c r="W152" s="814"/>
      <c r="X152" s="319"/>
      <c r="Y152" s="319"/>
      <c r="Z152" s="319"/>
      <c r="AA152" s="319"/>
      <c r="AB152" s="319"/>
      <c r="AC152" s="319"/>
      <c r="AD152" s="319"/>
      <c r="AE152" s="319"/>
      <c r="AF152" s="814"/>
      <c r="AG152" s="814"/>
      <c r="AH152" s="319"/>
      <c r="AI152" s="319"/>
      <c r="AJ152" s="319"/>
      <c r="AK152" s="319"/>
      <c r="AL152" s="319"/>
      <c r="AM152" s="319"/>
      <c r="AN152" s="319"/>
      <c r="AO152" s="319"/>
      <c r="AP152" s="814"/>
      <c r="AQ152" s="814"/>
      <c r="AR152" s="319"/>
      <c r="AS152" s="319"/>
      <c r="AT152" s="319"/>
      <c r="AU152" s="319"/>
      <c r="AV152" s="319"/>
      <c r="AW152" s="319"/>
      <c r="AX152" s="319"/>
      <c r="AY152" s="319"/>
      <c r="AZ152" s="814"/>
      <c r="BA152" s="814"/>
      <c r="BB152" s="5"/>
      <c r="BC152" s="5"/>
      <c r="BD152" s="5"/>
      <c r="BE152" s="5"/>
      <c r="BF152" s="5"/>
      <c r="BG152" s="5"/>
    </row>
    <row r="153" spans="1:59" x14ac:dyDescent="0.3">
      <c r="A153" s="5"/>
      <c r="B153" s="5"/>
      <c r="C153" s="1"/>
      <c r="D153" s="319"/>
      <c r="E153" s="319"/>
      <c r="F153" s="319"/>
      <c r="G153" s="319"/>
      <c r="H153" s="319"/>
      <c r="I153" s="319"/>
      <c r="J153" s="319"/>
      <c r="K153" s="319"/>
      <c r="L153" s="319"/>
      <c r="M153" s="319"/>
      <c r="N153" s="319"/>
      <c r="O153" s="319"/>
      <c r="P153" s="319"/>
      <c r="Q153" s="319"/>
      <c r="R153" s="319"/>
      <c r="S153" s="319"/>
      <c r="T153" s="319"/>
      <c r="U153" s="319"/>
      <c r="V153" s="319"/>
      <c r="W153" s="319"/>
      <c r="X153" s="319"/>
      <c r="Y153" s="319"/>
      <c r="Z153" s="319"/>
      <c r="AA153" s="319"/>
      <c r="AB153" s="319"/>
      <c r="AC153" s="319"/>
      <c r="AD153" s="319"/>
      <c r="AE153" s="319"/>
      <c r="AF153" s="319"/>
      <c r="AG153" s="319"/>
      <c r="AH153" s="319"/>
      <c r="AI153" s="319"/>
      <c r="AJ153" s="319"/>
      <c r="AK153" s="319"/>
      <c r="AL153" s="319"/>
      <c r="AM153" s="319"/>
      <c r="AN153" s="319"/>
      <c r="AO153" s="319"/>
      <c r="AP153" s="319"/>
      <c r="AQ153" s="319"/>
      <c r="AR153" s="319"/>
      <c r="AS153" s="319"/>
      <c r="AT153" s="319"/>
      <c r="AU153" s="319"/>
      <c r="AV153" s="319"/>
      <c r="AW153" s="319"/>
      <c r="AX153" s="319"/>
      <c r="AY153" s="319"/>
      <c r="AZ153" s="319"/>
      <c r="BA153" s="319"/>
      <c r="BB153" s="5"/>
      <c r="BC153" s="5"/>
      <c r="BD153" s="5"/>
      <c r="BE153" s="5"/>
      <c r="BF153" s="5"/>
      <c r="BG153" s="5"/>
    </row>
    <row r="154" spans="1:59" x14ac:dyDescent="0.3">
      <c r="A154" s="5"/>
      <c r="B154" s="5"/>
      <c r="C154" s="1"/>
      <c r="D154" s="319"/>
      <c r="E154" s="319"/>
      <c r="F154" s="319"/>
      <c r="G154" s="319"/>
      <c r="H154" s="319"/>
      <c r="I154" s="319"/>
      <c r="J154" s="319"/>
      <c r="K154" s="319"/>
      <c r="L154" s="319"/>
      <c r="M154" s="319"/>
      <c r="N154" s="319"/>
      <c r="O154" s="319"/>
      <c r="P154" s="319"/>
      <c r="Q154" s="319"/>
      <c r="R154" s="319"/>
      <c r="S154" s="319"/>
      <c r="T154" s="319"/>
      <c r="U154" s="319"/>
      <c r="V154" s="319"/>
      <c r="W154" s="319"/>
      <c r="X154" s="319"/>
      <c r="Y154" s="319"/>
      <c r="Z154" s="319"/>
      <c r="AA154" s="319"/>
      <c r="AB154" s="319"/>
      <c r="AC154" s="319"/>
      <c r="AD154" s="319"/>
      <c r="AE154" s="319"/>
      <c r="AF154" s="319"/>
      <c r="AG154" s="319"/>
      <c r="AH154" s="319"/>
      <c r="AI154" s="319"/>
      <c r="AJ154" s="319"/>
      <c r="AK154" s="319"/>
      <c r="AL154" s="319"/>
      <c r="AM154" s="319"/>
      <c r="AN154" s="319"/>
      <c r="AO154" s="319"/>
      <c r="AP154" s="319"/>
      <c r="AQ154" s="319"/>
      <c r="AR154" s="319"/>
      <c r="AS154" s="319"/>
      <c r="AT154" s="319"/>
      <c r="AU154" s="319"/>
      <c r="AV154" s="319"/>
      <c r="AW154" s="319"/>
      <c r="AX154" s="319"/>
      <c r="AY154" s="319"/>
      <c r="AZ154" s="319"/>
      <c r="BA154" s="319"/>
      <c r="BB154" s="5"/>
      <c r="BC154" s="5"/>
      <c r="BD154" s="5"/>
      <c r="BE154" s="5"/>
      <c r="BF154" s="5"/>
      <c r="BG154" s="5"/>
    </row>
    <row r="155" spans="1:59" x14ac:dyDescent="0.3">
      <c r="A155" s="5"/>
      <c r="B155" s="5"/>
      <c r="C155" s="1"/>
      <c r="D155" s="319"/>
      <c r="E155" s="319"/>
      <c r="F155" s="319"/>
      <c r="G155" s="319"/>
      <c r="H155" s="319"/>
      <c r="I155" s="319"/>
      <c r="J155" s="319"/>
      <c r="K155" s="319"/>
      <c r="L155" s="319"/>
      <c r="M155" s="319"/>
      <c r="N155" s="319"/>
      <c r="O155" s="319"/>
      <c r="P155" s="319"/>
      <c r="Q155" s="319"/>
      <c r="R155" s="319"/>
      <c r="S155" s="319"/>
      <c r="T155" s="319"/>
      <c r="U155" s="319"/>
      <c r="V155" s="319"/>
      <c r="W155" s="319"/>
      <c r="X155" s="319"/>
      <c r="Y155" s="319"/>
      <c r="Z155" s="319"/>
      <c r="AA155" s="319"/>
      <c r="AB155" s="319"/>
      <c r="AC155" s="319"/>
      <c r="AD155" s="319"/>
      <c r="AE155" s="319"/>
      <c r="AF155" s="319"/>
      <c r="AG155" s="319"/>
      <c r="AH155" s="319"/>
      <c r="AI155" s="319"/>
      <c r="AJ155" s="319"/>
      <c r="AK155" s="319"/>
      <c r="AL155" s="319"/>
      <c r="AM155" s="319"/>
      <c r="AN155" s="319"/>
      <c r="AO155" s="319"/>
      <c r="AP155" s="319"/>
      <c r="AQ155" s="319"/>
      <c r="AR155" s="319"/>
      <c r="AS155" s="319"/>
      <c r="AT155" s="319"/>
      <c r="AU155" s="319"/>
      <c r="AV155" s="319"/>
      <c r="AW155" s="319"/>
      <c r="AX155" s="319"/>
      <c r="AY155" s="319"/>
      <c r="AZ155" s="319"/>
      <c r="BA155" s="319"/>
      <c r="BB155" s="5"/>
      <c r="BC155" s="5"/>
      <c r="BD155" s="5"/>
      <c r="BE155" s="5"/>
      <c r="BF155" s="5"/>
      <c r="BG155" s="5"/>
    </row>
    <row r="156" spans="1:59" x14ac:dyDescent="0.3">
      <c r="A156" s="5"/>
      <c r="B156" s="5"/>
      <c r="C156" s="1"/>
      <c r="D156" s="319"/>
      <c r="E156" s="319"/>
      <c r="F156" s="319"/>
      <c r="G156" s="319"/>
      <c r="H156" s="319"/>
      <c r="I156" s="319"/>
      <c r="J156" s="319"/>
      <c r="K156" s="319"/>
      <c r="L156" s="319"/>
      <c r="M156" s="319"/>
      <c r="N156" s="319"/>
      <c r="O156" s="319"/>
      <c r="P156" s="319"/>
      <c r="Q156" s="319"/>
      <c r="R156" s="319"/>
      <c r="S156" s="319"/>
      <c r="T156" s="319"/>
      <c r="U156" s="319"/>
      <c r="V156" s="319"/>
      <c r="W156" s="319"/>
      <c r="X156" s="319"/>
      <c r="Y156" s="319"/>
      <c r="Z156" s="319"/>
      <c r="AA156" s="319"/>
      <c r="AB156" s="319"/>
      <c r="AC156" s="319"/>
      <c r="AD156" s="319"/>
      <c r="AE156" s="319"/>
      <c r="AF156" s="319"/>
      <c r="AG156" s="319"/>
      <c r="AH156" s="319"/>
      <c r="AI156" s="319"/>
      <c r="AJ156" s="319"/>
      <c r="AK156" s="319"/>
      <c r="AL156" s="319"/>
      <c r="AM156" s="319"/>
      <c r="AN156" s="319"/>
      <c r="AO156" s="319"/>
      <c r="AP156" s="319"/>
      <c r="AQ156" s="319"/>
      <c r="AR156" s="319"/>
      <c r="AS156" s="319"/>
      <c r="AT156" s="319"/>
      <c r="AU156" s="319"/>
      <c r="AV156" s="319"/>
      <c r="AW156" s="319"/>
      <c r="AX156" s="319"/>
      <c r="AY156" s="319"/>
      <c r="AZ156" s="319"/>
      <c r="BA156" s="319"/>
      <c r="BB156" s="5"/>
      <c r="BC156" s="5"/>
      <c r="BD156" s="5"/>
      <c r="BE156" s="5"/>
      <c r="BF156" s="5"/>
      <c r="BG156" s="5"/>
    </row>
    <row r="157" spans="1:59" x14ac:dyDescent="0.3">
      <c r="A157" s="5"/>
      <c r="B157" s="5"/>
      <c r="C157" s="1"/>
      <c r="D157" s="319"/>
      <c r="E157" s="319"/>
      <c r="F157" s="319"/>
      <c r="G157" s="319"/>
      <c r="H157" s="319"/>
      <c r="I157" s="319"/>
      <c r="J157" s="319"/>
      <c r="K157" s="319"/>
      <c r="L157" s="319"/>
      <c r="M157" s="319"/>
      <c r="N157" s="319"/>
      <c r="O157" s="319"/>
      <c r="P157" s="319"/>
      <c r="Q157" s="319"/>
      <c r="R157" s="319"/>
      <c r="S157" s="319"/>
      <c r="T157" s="319"/>
      <c r="U157" s="319"/>
      <c r="V157" s="319"/>
      <c r="W157" s="319"/>
      <c r="X157" s="319"/>
      <c r="Y157" s="319"/>
      <c r="Z157" s="319"/>
      <c r="AA157" s="319"/>
      <c r="AB157" s="319"/>
      <c r="AC157" s="319"/>
      <c r="AD157" s="319"/>
      <c r="AE157" s="319"/>
      <c r="AF157" s="319"/>
      <c r="AG157" s="319"/>
      <c r="AH157" s="319"/>
      <c r="AI157" s="319"/>
      <c r="AJ157" s="319"/>
      <c r="AK157" s="319"/>
      <c r="AL157" s="319"/>
      <c r="AM157" s="319"/>
      <c r="AN157" s="319"/>
      <c r="AO157" s="319"/>
      <c r="AP157" s="319"/>
      <c r="AQ157" s="319"/>
      <c r="AR157" s="319"/>
      <c r="AS157" s="319"/>
      <c r="AT157" s="319"/>
      <c r="AU157" s="319"/>
      <c r="AV157" s="319"/>
      <c r="AW157" s="319"/>
      <c r="AX157" s="319"/>
      <c r="AY157" s="319"/>
      <c r="AZ157" s="319"/>
      <c r="BA157" s="319"/>
      <c r="BB157" s="5"/>
      <c r="BC157" s="5"/>
      <c r="BD157" s="5"/>
      <c r="BE157" s="5"/>
      <c r="BF157" s="5"/>
      <c r="BG157" s="5"/>
    </row>
    <row r="158" spans="1:59" x14ac:dyDescent="0.3">
      <c r="A158" s="5"/>
      <c r="B158" s="5"/>
      <c r="C158" s="1"/>
      <c r="D158" s="319"/>
      <c r="E158" s="319"/>
      <c r="F158" s="319"/>
      <c r="G158" s="319"/>
      <c r="H158" s="319"/>
      <c r="I158" s="319"/>
      <c r="J158" s="319"/>
      <c r="K158" s="319"/>
      <c r="L158" s="319"/>
      <c r="M158" s="319"/>
      <c r="N158" s="319"/>
      <c r="O158" s="319"/>
      <c r="P158" s="319"/>
      <c r="Q158" s="319"/>
      <c r="R158" s="319"/>
      <c r="S158" s="319"/>
      <c r="T158" s="319"/>
      <c r="U158" s="319"/>
      <c r="V158" s="319"/>
      <c r="W158" s="319"/>
      <c r="X158" s="319"/>
      <c r="Y158" s="319"/>
      <c r="Z158" s="319"/>
      <c r="AA158" s="319"/>
      <c r="AB158" s="319"/>
      <c r="AC158" s="319"/>
      <c r="AD158" s="319"/>
      <c r="AE158" s="319"/>
      <c r="AF158" s="319"/>
      <c r="AG158" s="319"/>
      <c r="AH158" s="319"/>
      <c r="AI158" s="319"/>
      <c r="AJ158" s="319"/>
      <c r="AK158" s="319"/>
      <c r="AL158" s="319"/>
      <c r="AM158" s="319"/>
      <c r="AN158" s="319"/>
      <c r="AO158" s="319"/>
      <c r="AP158" s="319"/>
      <c r="AQ158" s="319"/>
      <c r="AR158" s="319"/>
      <c r="AS158" s="319"/>
      <c r="AT158" s="319"/>
      <c r="AU158" s="319"/>
      <c r="AV158" s="319"/>
      <c r="AW158" s="319"/>
      <c r="AX158" s="319"/>
      <c r="AY158" s="319"/>
      <c r="AZ158" s="319"/>
      <c r="BA158" s="319"/>
      <c r="BB158" s="5"/>
      <c r="BC158" s="5"/>
      <c r="BD158" s="5"/>
      <c r="BE158" s="5"/>
      <c r="BF158" s="5"/>
      <c r="BG158" s="5"/>
    </row>
    <row r="159" spans="1:59" x14ac:dyDescent="0.3">
      <c r="A159" s="5"/>
      <c r="B159" s="5"/>
      <c r="C159" s="1"/>
      <c r="D159" s="319"/>
      <c r="E159" s="319"/>
      <c r="F159" s="319"/>
      <c r="G159" s="319"/>
      <c r="H159" s="319"/>
      <c r="I159" s="319"/>
      <c r="J159" s="319"/>
      <c r="K159" s="319"/>
      <c r="L159" s="319"/>
      <c r="M159" s="319"/>
      <c r="N159" s="319"/>
      <c r="O159" s="319"/>
      <c r="P159" s="319"/>
      <c r="Q159" s="319"/>
      <c r="R159" s="319"/>
      <c r="S159" s="319"/>
      <c r="T159" s="319"/>
      <c r="U159" s="319"/>
      <c r="V159" s="319"/>
      <c r="W159" s="319"/>
      <c r="X159" s="319"/>
      <c r="Y159" s="319"/>
      <c r="Z159" s="319"/>
      <c r="AA159" s="319"/>
      <c r="AB159" s="319"/>
      <c r="AC159" s="319"/>
      <c r="AD159" s="319"/>
      <c r="AE159" s="319"/>
      <c r="AF159" s="319"/>
      <c r="AG159" s="319"/>
      <c r="AH159" s="319"/>
      <c r="AI159" s="319"/>
      <c r="AJ159" s="319"/>
      <c r="AK159" s="319"/>
      <c r="AL159" s="319"/>
      <c r="AM159" s="319"/>
      <c r="AN159" s="319"/>
      <c r="AO159" s="319"/>
      <c r="AP159" s="319"/>
      <c r="AQ159" s="319"/>
      <c r="AR159" s="319"/>
      <c r="AS159" s="319"/>
      <c r="AT159" s="319"/>
      <c r="AU159" s="319"/>
      <c r="AV159" s="319"/>
      <c r="AW159" s="319"/>
      <c r="AX159" s="319"/>
      <c r="AY159" s="319"/>
      <c r="AZ159" s="319"/>
      <c r="BA159" s="319"/>
      <c r="BB159" s="5"/>
      <c r="BC159" s="5"/>
      <c r="BD159" s="5"/>
      <c r="BE159" s="5"/>
      <c r="BF159" s="5"/>
      <c r="BG159" s="5"/>
    </row>
    <row r="160" spans="1:59" x14ac:dyDescent="0.3">
      <c r="A160" s="5"/>
      <c r="B160" s="5"/>
      <c r="C160" s="1"/>
      <c r="D160" s="319"/>
      <c r="E160" s="319"/>
      <c r="F160" s="319"/>
      <c r="G160" s="319"/>
      <c r="H160" s="319"/>
      <c r="I160" s="319"/>
      <c r="J160" s="319"/>
      <c r="K160" s="319"/>
      <c r="L160" s="319"/>
      <c r="M160" s="319"/>
      <c r="N160" s="319"/>
      <c r="O160" s="319"/>
      <c r="P160" s="319"/>
      <c r="Q160" s="319"/>
      <c r="R160" s="319"/>
      <c r="S160" s="319"/>
      <c r="T160" s="319"/>
      <c r="U160" s="319"/>
      <c r="V160" s="319"/>
      <c r="W160" s="319"/>
      <c r="X160" s="319"/>
      <c r="Y160" s="319"/>
      <c r="Z160" s="319"/>
      <c r="AA160" s="319"/>
      <c r="AB160" s="319"/>
      <c r="AC160" s="319"/>
      <c r="AD160" s="319"/>
      <c r="AE160" s="319"/>
      <c r="AF160" s="319"/>
      <c r="AG160" s="319"/>
      <c r="AH160" s="319"/>
      <c r="AI160" s="319"/>
      <c r="AJ160" s="319"/>
      <c r="AK160" s="319"/>
      <c r="AL160" s="319"/>
      <c r="AM160" s="319"/>
      <c r="AN160" s="319"/>
      <c r="AO160" s="319"/>
      <c r="AP160" s="319"/>
      <c r="AQ160" s="319"/>
      <c r="AR160" s="319"/>
      <c r="AS160" s="319"/>
      <c r="AT160" s="319"/>
      <c r="AU160" s="319"/>
      <c r="AV160" s="319"/>
      <c r="AW160" s="319"/>
      <c r="AX160" s="319"/>
      <c r="AY160" s="319"/>
      <c r="AZ160" s="319"/>
      <c r="BA160" s="319"/>
      <c r="BB160" s="5"/>
      <c r="BC160" s="5"/>
      <c r="BD160" s="5"/>
      <c r="BE160" s="5"/>
      <c r="BF160" s="5"/>
      <c r="BG160" s="5"/>
    </row>
    <row r="161" spans="1:53" x14ac:dyDescent="0.3">
      <c r="A161" s="5"/>
      <c r="B161" s="5"/>
      <c r="C161" s="1"/>
      <c r="D161" s="319"/>
      <c r="E161" s="319"/>
      <c r="F161" s="319"/>
      <c r="G161" s="319"/>
      <c r="H161" s="319"/>
      <c r="I161" s="319"/>
      <c r="J161" s="319"/>
      <c r="K161" s="319"/>
      <c r="L161" s="319"/>
      <c r="M161" s="319"/>
      <c r="N161" s="319"/>
      <c r="O161" s="319"/>
      <c r="P161" s="319"/>
      <c r="Q161" s="319"/>
      <c r="R161" s="319"/>
      <c r="S161" s="319"/>
      <c r="T161" s="319"/>
      <c r="U161" s="319"/>
      <c r="V161" s="319"/>
      <c r="W161" s="319"/>
      <c r="X161" s="319"/>
      <c r="Y161" s="319"/>
      <c r="Z161" s="319"/>
      <c r="AA161" s="319"/>
      <c r="AB161" s="319"/>
      <c r="AC161" s="319"/>
      <c r="AD161" s="319"/>
      <c r="AE161" s="319"/>
      <c r="AF161" s="319"/>
      <c r="AG161" s="319"/>
      <c r="AH161" s="319"/>
      <c r="AI161" s="319"/>
      <c r="AJ161" s="319"/>
      <c r="AK161" s="319"/>
      <c r="AL161" s="319"/>
      <c r="AM161" s="319"/>
      <c r="AN161" s="319"/>
      <c r="AO161" s="319"/>
      <c r="AP161" s="319"/>
      <c r="AQ161" s="319"/>
      <c r="AR161" s="319"/>
      <c r="AS161" s="319"/>
      <c r="AT161" s="319"/>
      <c r="AU161" s="319"/>
      <c r="AV161" s="319"/>
      <c r="AW161" s="319"/>
      <c r="AX161" s="319"/>
      <c r="AY161" s="319"/>
      <c r="AZ161" s="319"/>
      <c r="BA161" s="319"/>
    </row>
  </sheetData>
  <sheetProtection algorithmName="SHA-512" hashValue="DSBL0x9yRkDXSmiEyC59OfFNl5GjfWGytoEGeUnIWqTePas480XeKqqEAQ3GWH7/gn1v9HBsLkHb0F0/u2cuPQ==" saltValue="9BVxGKrhuyT08Z8Un3/9Fw==" spinCount="100000" sheet="1" objects="1" scenarios="1"/>
  <mergeCells count="14">
    <mergeCell ref="B57:B69"/>
    <mergeCell ref="A57:A69"/>
    <mergeCell ref="B70:B82"/>
    <mergeCell ref="B83:B95"/>
    <mergeCell ref="B5:B17"/>
    <mergeCell ref="B18:B30"/>
    <mergeCell ref="B31:B43"/>
    <mergeCell ref="B44:B56"/>
    <mergeCell ref="A5:A56"/>
    <mergeCell ref="B96:B108"/>
    <mergeCell ref="A70:A108"/>
    <mergeCell ref="A109:B121"/>
    <mergeCell ref="A122:B134"/>
    <mergeCell ref="A136:H137"/>
  </mergeCells>
  <printOptions horizontalCentered="1"/>
  <pageMargins left="0.25" right="0.25" top="0.75" bottom="0.75" header="0.3" footer="0.3"/>
  <pageSetup scale="70" fitToHeight="0" orientation="portrait" r:id="rId1"/>
  <headerFooter>
    <oddFooter>&amp;C&amp;"Century Gothic,Regular"&amp;9Page &amp;P of &amp;N</oddFooter>
  </headerFooter>
  <rowBreaks count="1" manualBreakCount="1">
    <brk id="69" max="7"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D655E-3C55-4401-96E6-6CE4EC24919F}">
  <sheetPr codeName="Sheet16">
    <pageSetUpPr fitToPage="1"/>
  </sheetPr>
  <dimension ref="A1:L72"/>
  <sheetViews>
    <sheetView zoomScale="130" zoomScaleNormal="130" zoomScaleSheetLayoutView="160" workbookViewId="0">
      <pane ySplit="3" topLeftCell="A4" activePane="bottomLeft" state="frozen"/>
      <selection activeCell="A7" sqref="A7"/>
      <selection pane="bottomLeft" activeCell="A4" sqref="A4"/>
    </sheetView>
  </sheetViews>
  <sheetFormatPr baseColWidth="10" defaultColWidth="9.140625" defaultRowHeight="15.75" x14ac:dyDescent="0.3"/>
  <cols>
    <col min="1" max="1" width="45.5703125" style="7" customWidth="1"/>
    <col min="2" max="4" width="13.5703125" style="67" customWidth="1"/>
    <col min="5" max="6" width="14.7109375" style="67" bestFit="1" customWidth="1"/>
  </cols>
  <sheetData>
    <row r="1" spans="1:12" s="7" customFormat="1" ht="20.65" customHeight="1" x14ac:dyDescent="0.3">
      <c r="A1" s="89" t="s">
        <v>791</v>
      </c>
      <c r="B1" s="33"/>
      <c r="C1" s="33"/>
      <c r="D1" s="33"/>
      <c r="E1" s="33"/>
      <c r="F1" s="34"/>
      <c r="G1" s="1"/>
      <c r="H1" s="1"/>
      <c r="I1" s="1"/>
      <c r="J1" s="1"/>
      <c r="K1" s="1"/>
    </row>
    <row r="2" spans="1:12" s="7" customFormat="1" ht="15" customHeight="1" x14ac:dyDescent="0.3">
      <c r="A2" s="90" t="s">
        <v>35</v>
      </c>
      <c r="B2" s="35"/>
      <c r="C2" s="35"/>
      <c r="D2" s="35"/>
      <c r="E2" s="35"/>
      <c r="F2" s="36"/>
      <c r="G2" s="1"/>
      <c r="H2" s="1"/>
      <c r="I2" s="1"/>
      <c r="J2" s="1"/>
      <c r="K2" s="1"/>
    </row>
    <row r="3" spans="1:12" s="7" customFormat="1" ht="15" customHeight="1" x14ac:dyDescent="0.3">
      <c r="A3" s="91"/>
      <c r="B3" s="68">
        <v>2018</v>
      </c>
      <c r="C3" s="68">
        <v>2019</v>
      </c>
      <c r="D3" s="68">
        <v>2020</v>
      </c>
      <c r="E3" s="68">
        <v>2021</v>
      </c>
      <c r="F3" s="69">
        <v>2022</v>
      </c>
      <c r="G3" s="1"/>
      <c r="H3" s="1"/>
      <c r="I3" s="1"/>
      <c r="J3" s="1"/>
      <c r="K3" s="1"/>
    </row>
    <row r="4" spans="1:12" s="7" customFormat="1" ht="15.75" customHeight="1" x14ac:dyDescent="0.3">
      <c r="A4" s="101" t="s">
        <v>88</v>
      </c>
      <c r="B4" s="70"/>
      <c r="C4" s="70"/>
      <c r="D4" s="70"/>
      <c r="E4" s="70"/>
      <c r="F4" s="71"/>
      <c r="G4" s="1"/>
      <c r="H4" s="1"/>
      <c r="I4" s="1"/>
      <c r="J4" s="1"/>
      <c r="K4" s="1"/>
      <c r="L4" s="72"/>
    </row>
    <row r="5" spans="1:12" s="7" customFormat="1" ht="13.5" customHeight="1" x14ac:dyDescent="0.3">
      <c r="A5" s="93" t="s">
        <v>89</v>
      </c>
      <c r="B5" s="43">
        <v>324</v>
      </c>
      <c r="C5" s="43">
        <v>309</v>
      </c>
      <c r="D5" s="43">
        <v>259</v>
      </c>
      <c r="E5" s="43">
        <v>294.92780327999998</v>
      </c>
      <c r="F5" s="340">
        <v>330.58397828</v>
      </c>
      <c r="G5" s="1"/>
      <c r="H5" s="1"/>
      <c r="I5" s="1"/>
      <c r="J5" s="1"/>
      <c r="K5" s="1"/>
      <c r="L5" s="72"/>
    </row>
    <row r="6" spans="1:12" s="7" customFormat="1" ht="13.5" customHeight="1" x14ac:dyDescent="0.3">
      <c r="A6" s="93" t="s">
        <v>90</v>
      </c>
      <c r="B6" s="73">
        <v>371</v>
      </c>
      <c r="C6" s="73">
        <v>445</v>
      </c>
      <c r="D6" s="73">
        <v>349</v>
      </c>
      <c r="E6" s="73">
        <v>364.69754065999996</v>
      </c>
      <c r="F6" s="341">
        <v>414.03965205000003</v>
      </c>
      <c r="G6" s="1"/>
      <c r="H6" s="1"/>
      <c r="I6" s="1"/>
      <c r="J6" s="1"/>
      <c r="K6" s="1"/>
      <c r="L6" s="72"/>
    </row>
    <row r="7" spans="1:12" s="7" customFormat="1" ht="13.5" customHeight="1" x14ac:dyDescent="0.3">
      <c r="A7" s="118" t="s">
        <v>239</v>
      </c>
      <c r="B7" s="74">
        <v>0.58730000000000004</v>
      </c>
      <c r="C7" s="74">
        <v>0.53200000000000003</v>
      </c>
      <c r="D7" s="74">
        <v>0.62949999999999995</v>
      </c>
      <c r="E7" s="74">
        <v>0.58226259999999996</v>
      </c>
      <c r="F7" s="342">
        <v>0.68339799999999995</v>
      </c>
      <c r="G7" s="1"/>
      <c r="H7" s="1"/>
      <c r="I7" s="1"/>
      <c r="J7" s="1"/>
      <c r="K7" s="1"/>
      <c r="L7" s="72"/>
    </row>
    <row r="8" spans="1:12" s="7" customFormat="1" ht="8.1" customHeight="1" x14ac:dyDescent="0.3">
      <c r="A8" s="119"/>
      <c r="B8" s="45"/>
      <c r="C8" s="45"/>
      <c r="D8" s="45"/>
      <c r="E8" s="45"/>
      <c r="F8" s="45"/>
      <c r="G8" s="1"/>
      <c r="H8" s="1"/>
      <c r="I8" s="1"/>
      <c r="J8" s="1"/>
      <c r="K8" s="1"/>
    </row>
    <row r="9" spans="1:12" s="7" customFormat="1" ht="27" customHeight="1" x14ac:dyDescent="0.3">
      <c r="A9" s="999"/>
      <c r="B9" s="999"/>
      <c r="C9" s="999"/>
      <c r="D9" s="999"/>
      <c r="E9" s="999"/>
      <c r="F9" s="999"/>
      <c r="G9" s="1"/>
      <c r="H9" s="1"/>
      <c r="I9" s="1"/>
      <c r="J9" s="1"/>
      <c r="K9" s="1"/>
    </row>
    <row r="10" spans="1:12" s="7" customFormat="1" ht="13.5" x14ac:dyDescent="0.3">
      <c r="A10" s="1"/>
      <c r="B10" s="48"/>
      <c r="C10" s="48"/>
      <c r="D10" s="48"/>
      <c r="E10" s="48"/>
      <c r="F10" s="48"/>
      <c r="G10" s="1"/>
      <c r="H10" s="1"/>
      <c r="I10" s="1"/>
      <c r="J10" s="1"/>
      <c r="K10" s="1"/>
    </row>
    <row r="11" spans="1:12" x14ac:dyDescent="0.3">
      <c r="A11" s="1"/>
      <c r="B11" s="48"/>
      <c r="C11" s="48"/>
      <c r="D11" s="48"/>
      <c r="E11" s="48"/>
      <c r="F11" s="48"/>
      <c r="G11" s="5"/>
      <c r="H11" s="5"/>
      <c r="I11" s="5"/>
      <c r="J11" s="5"/>
      <c r="K11" s="5"/>
    </row>
    <row r="12" spans="1:12" x14ac:dyDescent="0.3">
      <c r="A12" s="1"/>
      <c r="B12" s="48"/>
      <c r="C12" s="48"/>
      <c r="D12" s="48"/>
      <c r="E12" s="48"/>
      <c r="F12" s="48"/>
      <c r="G12" s="5"/>
      <c r="H12" s="5"/>
      <c r="I12" s="5"/>
      <c r="J12" s="5"/>
      <c r="K12" s="5"/>
    </row>
    <row r="13" spans="1:12" x14ac:dyDescent="0.3">
      <c r="A13" s="1"/>
      <c r="B13" s="48"/>
      <c r="C13" s="48"/>
      <c r="D13" s="48"/>
      <c r="E13" s="48"/>
      <c r="F13" s="48"/>
      <c r="G13" s="5"/>
      <c r="H13" s="5"/>
      <c r="I13" s="5"/>
      <c r="J13" s="5"/>
      <c r="K13" s="5"/>
    </row>
    <row r="14" spans="1:12" x14ac:dyDescent="0.3">
      <c r="A14" s="1"/>
      <c r="B14" s="48"/>
      <c r="C14" s="48"/>
      <c r="D14" s="48"/>
      <c r="E14" s="48"/>
      <c r="F14" s="48"/>
      <c r="G14" s="5"/>
      <c r="H14" s="5"/>
      <c r="I14" s="5"/>
      <c r="J14" s="5"/>
      <c r="K14" s="5"/>
    </row>
    <row r="15" spans="1:12" x14ac:dyDescent="0.3">
      <c r="A15" s="1"/>
      <c r="B15" s="48"/>
      <c r="C15" s="48"/>
      <c r="D15" s="48"/>
      <c r="E15" s="48"/>
      <c r="F15" s="48"/>
      <c r="G15" s="5"/>
      <c r="H15" s="5"/>
      <c r="I15" s="5"/>
      <c r="J15" s="5"/>
      <c r="K15" s="5"/>
    </row>
    <row r="16" spans="1:12" x14ac:dyDescent="0.3">
      <c r="A16" s="1"/>
      <c r="B16" s="48"/>
      <c r="C16" s="48"/>
      <c r="D16" s="48"/>
      <c r="E16" s="48"/>
      <c r="F16" s="48"/>
      <c r="G16" s="5"/>
      <c r="H16" s="5"/>
      <c r="I16" s="5"/>
      <c r="J16" s="5"/>
      <c r="K16" s="5"/>
    </row>
    <row r="17" spans="1:11" x14ac:dyDescent="0.3">
      <c r="A17" s="1"/>
      <c r="B17" s="48"/>
      <c r="C17" s="48"/>
      <c r="D17" s="48"/>
      <c r="E17" s="48"/>
      <c r="F17" s="48"/>
      <c r="G17" s="5"/>
      <c r="H17" s="5"/>
      <c r="I17" s="5"/>
      <c r="J17" s="5"/>
      <c r="K17" s="5"/>
    </row>
    <row r="18" spans="1:11" x14ac:dyDescent="0.3">
      <c r="A18" s="1"/>
      <c r="B18" s="48"/>
      <c r="C18" s="48"/>
      <c r="D18" s="48"/>
      <c r="E18" s="48"/>
      <c r="F18" s="48"/>
      <c r="G18" s="5"/>
      <c r="H18" s="5"/>
      <c r="I18" s="5"/>
      <c r="J18" s="5"/>
      <c r="K18" s="5"/>
    </row>
    <row r="19" spans="1:11" x14ac:dyDescent="0.3">
      <c r="A19" s="1"/>
      <c r="B19" s="48"/>
      <c r="C19" s="48"/>
      <c r="D19" s="48"/>
      <c r="E19" s="48"/>
      <c r="F19" s="48"/>
      <c r="G19" s="5"/>
      <c r="H19" s="5"/>
      <c r="I19" s="5"/>
      <c r="J19" s="5"/>
      <c r="K19" s="5"/>
    </row>
    <row r="20" spans="1:11" x14ac:dyDescent="0.3">
      <c r="A20" s="1"/>
      <c r="B20" s="48"/>
      <c r="C20" s="48"/>
      <c r="D20" s="48"/>
      <c r="E20" s="48"/>
      <c r="F20" s="48"/>
      <c r="G20" s="5"/>
      <c r="H20" s="5"/>
      <c r="I20" s="5"/>
      <c r="J20" s="5"/>
      <c r="K20" s="5"/>
    </row>
    <row r="21" spans="1:11" x14ac:dyDescent="0.3">
      <c r="A21" s="1"/>
      <c r="B21" s="48"/>
      <c r="C21" s="48"/>
      <c r="D21" s="48"/>
      <c r="E21" s="48"/>
      <c r="F21" s="48"/>
      <c r="G21" s="5"/>
      <c r="H21" s="5"/>
      <c r="I21" s="5"/>
      <c r="J21" s="5"/>
      <c r="K21" s="5"/>
    </row>
    <row r="22" spans="1:11" x14ac:dyDescent="0.3">
      <c r="A22" s="1"/>
      <c r="B22" s="48"/>
      <c r="C22" s="48"/>
      <c r="D22" s="48"/>
      <c r="E22" s="48"/>
      <c r="F22" s="48"/>
      <c r="G22" s="5"/>
      <c r="H22" s="5"/>
      <c r="I22" s="5"/>
      <c r="J22" s="5"/>
      <c r="K22" s="5"/>
    </row>
    <row r="23" spans="1:11" x14ac:dyDescent="0.3">
      <c r="A23" s="1"/>
      <c r="B23" s="48"/>
      <c r="C23" s="48"/>
      <c r="D23" s="48"/>
      <c r="E23" s="48"/>
      <c r="F23" s="48"/>
      <c r="G23" s="5"/>
      <c r="H23" s="5"/>
      <c r="I23" s="5"/>
      <c r="J23" s="5"/>
      <c r="K23" s="5"/>
    </row>
    <row r="24" spans="1:11" x14ac:dyDescent="0.3">
      <c r="A24" s="1"/>
      <c r="B24" s="48"/>
      <c r="C24" s="48"/>
      <c r="D24" s="48"/>
      <c r="E24" s="48"/>
      <c r="F24" s="48"/>
      <c r="G24" s="5"/>
      <c r="H24" s="5"/>
      <c r="I24" s="5"/>
      <c r="J24" s="5"/>
      <c r="K24" s="5"/>
    </row>
    <row r="25" spans="1:11" x14ac:dyDescent="0.3">
      <c r="A25" s="1"/>
      <c r="B25" s="48"/>
      <c r="C25" s="48"/>
      <c r="D25" s="48"/>
      <c r="E25" s="48"/>
      <c r="F25" s="48"/>
      <c r="G25" s="5"/>
      <c r="H25" s="5"/>
      <c r="I25" s="5"/>
      <c r="J25" s="5"/>
      <c r="K25" s="5"/>
    </row>
    <row r="26" spans="1:11" x14ac:dyDescent="0.3">
      <c r="A26" s="1"/>
      <c r="B26" s="48"/>
      <c r="C26" s="48"/>
      <c r="D26" s="48"/>
      <c r="E26" s="48"/>
      <c r="F26" s="48"/>
      <c r="G26" s="5"/>
      <c r="H26" s="5"/>
      <c r="I26" s="5"/>
      <c r="J26" s="5"/>
      <c r="K26" s="5"/>
    </row>
    <row r="27" spans="1:11" x14ac:dyDescent="0.3">
      <c r="A27" s="1"/>
      <c r="B27" s="48"/>
      <c r="C27" s="48"/>
      <c r="D27" s="48"/>
      <c r="E27" s="48"/>
      <c r="F27" s="48"/>
      <c r="G27" s="5"/>
      <c r="H27" s="5"/>
      <c r="I27" s="5"/>
      <c r="J27" s="5"/>
      <c r="K27" s="5"/>
    </row>
    <row r="28" spans="1:11" x14ac:dyDescent="0.3">
      <c r="A28" s="1"/>
      <c r="B28" s="48"/>
      <c r="C28" s="48"/>
      <c r="D28" s="48"/>
      <c r="E28" s="48"/>
      <c r="F28" s="48"/>
      <c r="G28" s="5"/>
      <c r="H28" s="5"/>
      <c r="I28" s="5"/>
      <c r="J28" s="5"/>
      <c r="K28" s="5"/>
    </row>
    <row r="29" spans="1:11" x14ac:dyDescent="0.3">
      <c r="A29" s="1"/>
      <c r="B29" s="48"/>
      <c r="C29" s="48"/>
      <c r="D29" s="48"/>
      <c r="E29" s="48"/>
      <c r="F29" s="48"/>
      <c r="G29" s="5"/>
      <c r="H29" s="5"/>
      <c r="I29" s="5"/>
      <c r="J29" s="5"/>
      <c r="K29" s="5"/>
    </row>
    <row r="30" spans="1:11" x14ac:dyDescent="0.3">
      <c r="A30" s="1"/>
      <c r="B30" s="48"/>
      <c r="C30" s="48"/>
      <c r="D30" s="48"/>
      <c r="E30" s="48"/>
      <c r="F30" s="48"/>
      <c r="G30" s="5"/>
      <c r="H30" s="5"/>
      <c r="I30" s="5"/>
      <c r="J30" s="5"/>
      <c r="K30" s="5"/>
    </row>
    <row r="31" spans="1:11" x14ac:dyDescent="0.3">
      <c r="A31" s="1"/>
      <c r="B31" s="48"/>
      <c r="C31" s="48"/>
      <c r="D31" s="48"/>
      <c r="E31" s="48"/>
      <c r="F31" s="48"/>
      <c r="G31" s="5"/>
      <c r="H31" s="5"/>
      <c r="I31" s="5"/>
      <c r="J31" s="5"/>
      <c r="K31" s="5"/>
    </row>
    <row r="32" spans="1:11" x14ac:dyDescent="0.3">
      <c r="A32" s="1"/>
      <c r="B32" s="48"/>
      <c r="C32" s="48"/>
      <c r="D32" s="48"/>
      <c r="E32" s="48"/>
      <c r="F32" s="48"/>
      <c r="G32" s="5"/>
      <c r="H32" s="5"/>
      <c r="I32" s="5"/>
      <c r="J32" s="5"/>
      <c r="K32" s="5"/>
    </row>
    <row r="33" spans="1:11" x14ac:dyDescent="0.3">
      <c r="A33" s="1"/>
      <c r="B33" s="48"/>
      <c r="C33" s="48"/>
      <c r="D33" s="48"/>
      <c r="E33" s="48"/>
      <c r="F33" s="48"/>
      <c r="G33" s="5"/>
      <c r="H33" s="5"/>
      <c r="I33" s="5"/>
      <c r="J33" s="5"/>
      <c r="K33" s="5"/>
    </row>
    <row r="34" spans="1:11" x14ac:dyDescent="0.3">
      <c r="A34" s="1"/>
      <c r="B34" s="48"/>
      <c r="C34" s="48"/>
      <c r="D34" s="48"/>
      <c r="E34" s="48"/>
      <c r="F34" s="48"/>
      <c r="G34" s="5"/>
      <c r="H34" s="5"/>
      <c r="I34" s="5"/>
      <c r="J34" s="5"/>
      <c r="K34" s="5"/>
    </row>
    <row r="35" spans="1:11" x14ac:dyDescent="0.3">
      <c r="A35" s="1"/>
      <c r="B35" s="48"/>
      <c r="C35" s="48"/>
      <c r="D35" s="48"/>
      <c r="E35" s="48"/>
      <c r="F35" s="48"/>
      <c r="G35" s="5"/>
      <c r="H35" s="5"/>
      <c r="I35" s="5"/>
      <c r="J35" s="5"/>
      <c r="K35" s="5"/>
    </row>
    <row r="36" spans="1:11" x14ac:dyDescent="0.3">
      <c r="A36" s="1"/>
      <c r="B36" s="48"/>
      <c r="C36" s="48"/>
      <c r="D36" s="48"/>
      <c r="E36" s="48"/>
      <c r="F36" s="48"/>
      <c r="G36" s="5"/>
      <c r="H36" s="5"/>
      <c r="I36" s="5"/>
      <c r="J36" s="5"/>
      <c r="K36" s="5"/>
    </row>
    <row r="37" spans="1:11" x14ac:dyDescent="0.3">
      <c r="A37" s="1"/>
      <c r="B37" s="48"/>
      <c r="C37" s="48"/>
      <c r="D37" s="48"/>
      <c r="E37" s="48"/>
      <c r="F37" s="48"/>
      <c r="G37" s="5"/>
      <c r="H37" s="5"/>
      <c r="I37" s="5"/>
      <c r="J37" s="5"/>
      <c r="K37" s="5"/>
    </row>
    <row r="38" spans="1:11" x14ac:dyDescent="0.3">
      <c r="A38" s="1"/>
      <c r="B38" s="48"/>
      <c r="C38" s="48"/>
      <c r="D38" s="48"/>
      <c r="E38" s="48"/>
      <c r="F38" s="48"/>
      <c r="G38" s="5"/>
      <c r="H38" s="5"/>
      <c r="I38" s="5"/>
      <c r="J38" s="5"/>
      <c r="K38" s="5"/>
    </row>
    <row r="39" spans="1:11" x14ac:dyDescent="0.3">
      <c r="A39" s="1"/>
      <c r="B39" s="48"/>
      <c r="C39" s="48"/>
      <c r="D39" s="48"/>
      <c r="E39" s="48"/>
      <c r="F39" s="48"/>
      <c r="G39" s="5"/>
      <c r="H39" s="5"/>
      <c r="I39" s="5"/>
      <c r="J39" s="5"/>
      <c r="K39" s="5"/>
    </row>
    <row r="40" spans="1:11" x14ac:dyDescent="0.3">
      <c r="A40" s="1"/>
      <c r="B40" s="48"/>
      <c r="C40" s="48"/>
      <c r="D40" s="48"/>
      <c r="E40" s="48"/>
      <c r="F40" s="48"/>
      <c r="G40" s="5"/>
      <c r="H40" s="5"/>
      <c r="I40" s="5"/>
      <c r="J40" s="5"/>
      <c r="K40" s="5"/>
    </row>
    <row r="41" spans="1:11" x14ac:dyDescent="0.3">
      <c r="A41" s="1"/>
      <c r="B41" s="48"/>
      <c r="C41" s="48"/>
      <c r="D41" s="48"/>
      <c r="E41" s="48"/>
      <c r="F41" s="48"/>
      <c r="G41" s="5"/>
      <c r="H41" s="5"/>
      <c r="I41" s="5"/>
      <c r="J41" s="5"/>
      <c r="K41" s="5"/>
    </row>
    <row r="42" spans="1:11" x14ac:dyDescent="0.3">
      <c r="A42" s="1"/>
      <c r="B42" s="48"/>
      <c r="C42" s="48"/>
      <c r="D42" s="48"/>
      <c r="E42" s="48"/>
      <c r="F42" s="48"/>
      <c r="G42" s="5"/>
      <c r="H42" s="5"/>
      <c r="I42" s="5"/>
      <c r="J42" s="5"/>
      <c r="K42" s="5"/>
    </row>
    <row r="43" spans="1:11" x14ac:dyDescent="0.3">
      <c r="A43" s="1"/>
      <c r="B43" s="48"/>
      <c r="C43" s="48"/>
      <c r="D43" s="48"/>
      <c r="E43" s="48"/>
      <c r="F43" s="48"/>
      <c r="G43" s="5"/>
      <c r="H43" s="5"/>
      <c r="I43" s="5"/>
      <c r="J43" s="5"/>
      <c r="K43" s="5"/>
    </row>
    <row r="44" spans="1:11" x14ac:dyDescent="0.3">
      <c r="A44" s="1"/>
      <c r="B44" s="48"/>
      <c r="C44" s="48"/>
      <c r="D44" s="48"/>
      <c r="E44" s="48"/>
      <c r="F44" s="48"/>
      <c r="G44" s="5"/>
      <c r="H44" s="5"/>
      <c r="I44" s="5"/>
      <c r="J44" s="5"/>
      <c r="K44" s="5"/>
    </row>
    <row r="45" spans="1:11" x14ac:dyDescent="0.3">
      <c r="A45" s="1"/>
      <c r="B45" s="48"/>
      <c r="C45" s="48"/>
      <c r="D45" s="48"/>
      <c r="E45" s="48"/>
      <c r="F45" s="48"/>
      <c r="G45" s="5"/>
      <c r="H45" s="5"/>
      <c r="I45" s="5"/>
      <c r="J45" s="5"/>
      <c r="K45" s="5"/>
    </row>
    <row r="46" spans="1:11" x14ac:dyDescent="0.3">
      <c r="A46" s="1"/>
      <c r="B46" s="48"/>
      <c r="C46" s="48"/>
      <c r="D46" s="48"/>
      <c r="E46" s="48"/>
      <c r="F46" s="48"/>
      <c r="G46" s="5"/>
      <c r="H46" s="5"/>
      <c r="I46" s="5"/>
      <c r="J46" s="5"/>
      <c r="K46" s="5"/>
    </row>
    <row r="47" spans="1:11" x14ac:dyDescent="0.3">
      <c r="A47" s="1"/>
      <c r="B47" s="48"/>
      <c r="C47" s="48"/>
      <c r="D47" s="48"/>
      <c r="E47" s="48"/>
      <c r="F47" s="48"/>
      <c r="G47" s="5"/>
      <c r="H47" s="5"/>
      <c r="I47" s="5"/>
      <c r="J47" s="5"/>
      <c r="K47" s="5"/>
    </row>
    <row r="48" spans="1:11" x14ac:dyDescent="0.3">
      <c r="A48" s="1"/>
      <c r="B48" s="48"/>
      <c r="C48" s="48"/>
      <c r="D48" s="48"/>
      <c r="E48" s="48"/>
      <c r="F48" s="48"/>
      <c r="G48" s="5"/>
      <c r="H48" s="5"/>
      <c r="I48" s="5"/>
      <c r="J48" s="5"/>
      <c r="K48" s="5"/>
    </row>
    <row r="49" spans="1:11" x14ac:dyDescent="0.3">
      <c r="A49" s="1"/>
      <c r="B49" s="48"/>
      <c r="C49" s="48"/>
      <c r="D49" s="48"/>
      <c r="E49" s="48"/>
      <c r="F49" s="48"/>
      <c r="G49" s="5"/>
      <c r="H49" s="5"/>
      <c r="I49" s="5"/>
      <c r="J49" s="5"/>
      <c r="K49" s="5"/>
    </row>
    <row r="50" spans="1:11" x14ac:dyDescent="0.3">
      <c r="A50" s="1"/>
      <c r="B50" s="48"/>
      <c r="C50" s="48"/>
      <c r="D50" s="48"/>
      <c r="E50" s="48"/>
      <c r="F50" s="48"/>
      <c r="G50" s="5"/>
      <c r="H50" s="5"/>
      <c r="I50" s="5"/>
      <c r="J50" s="5"/>
      <c r="K50" s="5"/>
    </row>
    <row r="51" spans="1:11" x14ac:dyDescent="0.3">
      <c r="A51" s="1"/>
      <c r="B51" s="48"/>
      <c r="C51" s="48"/>
      <c r="D51" s="48"/>
      <c r="E51" s="48"/>
      <c r="F51" s="48"/>
      <c r="G51" s="5"/>
      <c r="H51" s="5"/>
      <c r="I51" s="5"/>
      <c r="J51" s="5"/>
      <c r="K51" s="5"/>
    </row>
    <row r="52" spans="1:11" x14ac:dyDescent="0.3">
      <c r="A52" s="1"/>
      <c r="B52" s="48"/>
      <c r="C52" s="48"/>
      <c r="D52" s="48"/>
      <c r="E52" s="48"/>
      <c r="F52" s="48"/>
      <c r="G52" s="5"/>
      <c r="H52" s="5"/>
      <c r="I52" s="5"/>
      <c r="J52" s="5"/>
      <c r="K52" s="5"/>
    </row>
    <row r="53" spans="1:11" x14ac:dyDescent="0.3">
      <c r="A53" s="1"/>
      <c r="B53" s="48"/>
      <c r="C53" s="48"/>
      <c r="D53" s="48"/>
      <c r="E53" s="48"/>
      <c r="F53" s="48"/>
      <c r="G53" s="5"/>
      <c r="H53" s="5"/>
      <c r="I53" s="5"/>
      <c r="J53" s="5"/>
      <c r="K53" s="5"/>
    </row>
    <row r="54" spans="1:11" x14ac:dyDescent="0.3">
      <c r="A54" s="1"/>
      <c r="B54" s="48"/>
      <c r="C54" s="48"/>
      <c r="D54" s="48"/>
      <c r="E54" s="48"/>
      <c r="F54" s="48"/>
      <c r="G54" s="5"/>
      <c r="H54" s="5"/>
      <c r="I54" s="5"/>
      <c r="J54" s="5"/>
      <c r="K54" s="5"/>
    </row>
    <row r="55" spans="1:11" x14ac:dyDescent="0.3">
      <c r="A55" s="1"/>
      <c r="B55" s="48"/>
      <c r="C55" s="48"/>
      <c r="D55" s="48"/>
      <c r="E55" s="48"/>
      <c r="F55" s="48"/>
      <c r="G55" s="5"/>
      <c r="H55" s="5"/>
      <c r="I55" s="5"/>
      <c r="J55" s="5"/>
      <c r="K55" s="5"/>
    </row>
    <row r="56" spans="1:11" x14ac:dyDescent="0.3">
      <c r="A56" s="1"/>
      <c r="B56" s="48"/>
      <c r="C56" s="48"/>
      <c r="D56" s="48"/>
      <c r="E56" s="48"/>
      <c r="F56" s="48"/>
      <c r="G56" s="5"/>
      <c r="H56" s="5"/>
      <c r="I56" s="5"/>
      <c r="J56" s="5"/>
      <c r="K56" s="5"/>
    </row>
    <row r="57" spans="1:11" x14ac:dyDescent="0.3">
      <c r="A57" s="1"/>
      <c r="B57" s="48"/>
      <c r="C57" s="48"/>
      <c r="D57" s="48"/>
      <c r="E57" s="48"/>
      <c r="F57" s="48"/>
      <c r="G57" s="5"/>
      <c r="H57" s="5"/>
      <c r="I57" s="5"/>
      <c r="J57" s="5"/>
      <c r="K57" s="5"/>
    </row>
    <row r="58" spans="1:11" x14ac:dyDescent="0.3">
      <c r="A58" s="1"/>
      <c r="B58" s="48"/>
      <c r="C58" s="48"/>
      <c r="D58" s="48"/>
      <c r="E58" s="48"/>
      <c r="F58" s="48"/>
      <c r="G58" s="5"/>
      <c r="H58" s="5"/>
      <c r="I58" s="5"/>
      <c r="J58" s="5"/>
      <c r="K58" s="5"/>
    </row>
    <row r="59" spans="1:11" x14ac:dyDescent="0.3">
      <c r="A59" s="1"/>
      <c r="B59" s="48"/>
      <c r="C59" s="48"/>
      <c r="D59" s="48"/>
      <c r="E59" s="48"/>
      <c r="F59" s="48"/>
      <c r="G59" s="5"/>
      <c r="H59" s="5"/>
      <c r="I59" s="5"/>
      <c r="J59" s="5"/>
      <c r="K59" s="5"/>
    </row>
    <row r="60" spans="1:11" x14ac:dyDescent="0.3">
      <c r="A60" s="1"/>
      <c r="B60" s="48"/>
      <c r="C60" s="48"/>
      <c r="D60" s="48"/>
      <c r="E60" s="48"/>
      <c r="F60" s="48"/>
      <c r="G60" s="5"/>
      <c r="H60" s="5"/>
      <c r="I60" s="5"/>
      <c r="J60" s="5"/>
      <c r="K60" s="5"/>
    </row>
    <row r="61" spans="1:11" x14ac:dyDescent="0.3">
      <c r="A61" s="1"/>
      <c r="B61" s="48"/>
      <c r="C61" s="48"/>
      <c r="D61" s="48"/>
      <c r="E61" s="48"/>
      <c r="F61" s="48"/>
      <c r="G61" s="5"/>
      <c r="H61" s="5"/>
      <c r="I61" s="5"/>
      <c r="J61" s="5"/>
      <c r="K61" s="5"/>
    </row>
    <row r="62" spans="1:11" x14ac:dyDescent="0.3">
      <c r="A62" s="1"/>
      <c r="B62" s="48"/>
      <c r="C62" s="48"/>
      <c r="D62" s="48"/>
      <c r="E62" s="48"/>
      <c r="F62" s="48"/>
      <c r="G62" s="5"/>
      <c r="H62" s="5"/>
      <c r="I62" s="5"/>
      <c r="J62" s="5"/>
      <c r="K62" s="5"/>
    </row>
    <row r="63" spans="1:11" x14ac:dyDescent="0.3">
      <c r="A63" s="1"/>
      <c r="B63" s="48"/>
      <c r="C63" s="48"/>
      <c r="D63" s="48"/>
      <c r="E63" s="48"/>
      <c r="F63" s="48"/>
      <c r="G63" s="5"/>
      <c r="H63" s="5"/>
      <c r="I63" s="5"/>
      <c r="J63" s="5"/>
      <c r="K63" s="5"/>
    </row>
    <row r="64" spans="1:11" x14ac:dyDescent="0.3">
      <c r="A64" s="1"/>
      <c r="B64" s="48"/>
      <c r="C64" s="48"/>
      <c r="D64" s="48"/>
      <c r="E64" s="48"/>
      <c r="F64" s="48"/>
      <c r="G64" s="5"/>
      <c r="H64" s="5"/>
      <c r="I64" s="5"/>
      <c r="J64" s="5"/>
      <c r="K64" s="5"/>
    </row>
    <row r="65" spans="1:11" x14ac:dyDescent="0.3">
      <c r="A65" s="1"/>
      <c r="B65" s="48"/>
      <c r="C65" s="48"/>
      <c r="D65" s="48"/>
      <c r="E65" s="48"/>
      <c r="F65" s="48"/>
      <c r="G65" s="5"/>
      <c r="H65" s="5"/>
      <c r="I65" s="5"/>
      <c r="J65" s="5"/>
      <c r="K65" s="5"/>
    </row>
    <row r="66" spans="1:11" x14ac:dyDescent="0.3">
      <c r="A66" s="1"/>
      <c r="B66" s="48"/>
      <c r="C66" s="48"/>
      <c r="D66" s="48"/>
      <c r="E66" s="48"/>
      <c r="F66" s="48"/>
      <c r="G66" s="5"/>
      <c r="H66" s="5"/>
      <c r="I66" s="5"/>
      <c r="J66" s="5"/>
      <c r="K66" s="5"/>
    </row>
    <row r="67" spans="1:11" x14ac:dyDescent="0.3">
      <c r="A67" s="1"/>
      <c r="B67" s="48"/>
      <c r="C67" s="48"/>
      <c r="D67" s="48"/>
      <c r="E67" s="48"/>
      <c r="F67" s="48"/>
      <c r="G67" s="5"/>
      <c r="H67" s="5"/>
      <c r="I67" s="5"/>
      <c r="J67" s="5"/>
      <c r="K67" s="5"/>
    </row>
    <row r="68" spans="1:11" x14ac:dyDescent="0.3">
      <c r="A68" s="1"/>
      <c r="B68" s="48"/>
      <c r="C68" s="48"/>
      <c r="D68" s="48"/>
      <c r="E68" s="48"/>
      <c r="F68" s="48"/>
      <c r="G68" s="5"/>
      <c r="H68" s="5"/>
      <c r="I68" s="5"/>
      <c r="J68" s="5"/>
      <c r="K68" s="5"/>
    </row>
    <row r="69" spans="1:11" x14ac:dyDescent="0.3">
      <c r="A69" s="1"/>
      <c r="B69" s="48"/>
      <c r="C69" s="48"/>
      <c r="D69" s="48"/>
      <c r="E69" s="48"/>
      <c r="F69" s="48"/>
      <c r="G69" s="5"/>
      <c r="H69" s="5"/>
      <c r="I69" s="5"/>
      <c r="J69" s="5"/>
      <c r="K69" s="5"/>
    </row>
    <row r="70" spans="1:11" x14ac:dyDescent="0.3">
      <c r="A70" s="1"/>
      <c r="B70" s="48"/>
      <c r="C70" s="48"/>
      <c r="D70" s="48"/>
      <c r="E70" s="48"/>
      <c r="F70" s="48"/>
      <c r="G70" s="5"/>
      <c r="H70" s="5"/>
      <c r="I70" s="5"/>
      <c r="J70" s="5"/>
      <c r="K70" s="5"/>
    </row>
    <row r="71" spans="1:11" x14ac:dyDescent="0.3">
      <c r="A71" s="1"/>
      <c r="B71" s="48"/>
      <c r="C71" s="48"/>
      <c r="D71" s="48"/>
      <c r="E71" s="48"/>
      <c r="F71" s="48"/>
      <c r="G71" s="5"/>
      <c r="H71" s="5"/>
      <c r="I71" s="5"/>
      <c r="J71" s="5"/>
      <c r="K71" s="5"/>
    </row>
    <row r="72" spans="1:11" x14ac:dyDescent="0.3">
      <c r="A72" s="1"/>
      <c r="B72" s="48"/>
      <c r="C72" s="48"/>
      <c r="D72" s="48"/>
      <c r="E72" s="48"/>
      <c r="F72" s="48"/>
      <c r="G72" s="5"/>
      <c r="H72" s="5"/>
      <c r="I72" s="5"/>
      <c r="J72" s="5"/>
      <c r="K72" s="5"/>
    </row>
  </sheetData>
  <sheetProtection algorithmName="SHA-512" hashValue="i6aKMob5zf3s2eQoMfbA0kwa+aBdzdCrnxV5PKr2+69pzoIMTQDjOJgZQdxzGKShev+FKn0l86ARxFFAvCTw1Q==" saltValue="Mg0jdYYTZvYI/tBF+Myuaw==" spinCount="100000" sheet="1" objects="1" scenarios="1"/>
  <mergeCells count="1">
    <mergeCell ref="A9:F9"/>
  </mergeCells>
  <printOptions horizontalCentered="1"/>
  <pageMargins left="0.25" right="0.25" top="0.75" bottom="0.75" header="0.3" footer="0.3"/>
  <pageSetup scale="47" orientation="landscape" r:id="rId1"/>
  <headerFooter>
    <oddFooter>&amp;C&amp;"Century Gothic,Regular"&amp;9Page &amp;P of &amp;N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50284-FAD3-4A1D-978D-3026C474C58C}">
  <sheetPr codeName="Sheet28">
    <pageSetUpPr fitToPage="1"/>
  </sheetPr>
  <dimension ref="A1:L84"/>
  <sheetViews>
    <sheetView zoomScale="130" zoomScaleNormal="130" zoomScaleSheetLayoutView="160" workbookViewId="0">
      <pane ySplit="3" topLeftCell="A4" activePane="bottomLeft" state="frozen"/>
      <selection activeCell="A7" sqref="A7"/>
      <selection pane="bottomLeft" activeCell="A4" sqref="A4"/>
    </sheetView>
  </sheetViews>
  <sheetFormatPr baseColWidth="10" defaultColWidth="8.85546875" defaultRowHeight="15.75" x14ac:dyDescent="0.3"/>
  <cols>
    <col min="1" max="1" width="45.5703125" style="7" customWidth="1"/>
    <col min="2" max="4" width="13.5703125" style="67" customWidth="1"/>
    <col min="5" max="6" width="14.7109375" style="67" bestFit="1" customWidth="1"/>
  </cols>
  <sheetData>
    <row r="1" spans="1:12" s="7" customFormat="1" ht="20.65" customHeight="1" x14ac:dyDescent="0.3">
      <c r="A1" s="89" t="s">
        <v>791</v>
      </c>
      <c r="B1" s="33"/>
      <c r="C1" s="33"/>
      <c r="D1" s="33"/>
      <c r="E1" s="33"/>
      <c r="F1" s="34"/>
      <c r="G1" s="1"/>
      <c r="H1" s="1"/>
      <c r="I1" s="1"/>
      <c r="J1" s="1"/>
      <c r="K1" s="1"/>
    </row>
    <row r="2" spans="1:12" s="7" customFormat="1" ht="15" customHeight="1" x14ac:dyDescent="0.3">
      <c r="A2" s="90" t="s">
        <v>35</v>
      </c>
      <c r="B2" s="35"/>
      <c r="C2" s="35"/>
      <c r="D2" s="35"/>
      <c r="E2" s="35"/>
      <c r="F2" s="36"/>
      <c r="G2" s="1"/>
      <c r="H2" s="1"/>
      <c r="I2" s="1"/>
      <c r="J2" s="1"/>
      <c r="K2" s="1"/>
    </row>
    <row r="3" spans="1:12" s="7" customFormat="1" ht="15" customHeight="1" x14ac:dyDescent="0.3">
      <c r="A3" s="91"/>
      <c r="B3" s="442">
        <v>2018</v>
      </c>
      <c r="C3" s="442">
        <v>2019</v>
      </c>
      <c r="D3" s="442">
        <v>2020</v>
      </c>
      <c r="E3" s="442">
        <v>2021</v>
      </c>
      <c r="F3" s="443">
        <v>2022</v>
      </c>
      <c r="G3" s="1"/>
      <c r="H3" s="1"/>
      <c r="I3" s="1"/>
      <c r="J3" s="1"/>
      <c r="K3" s="1"/>
    </row>
    <row r="4" spans="1:12" s="7" customFormat="1" ht="15.75" customHeight="1" x14ac:dyDescent="0.3">
      <c r="A4" s="92" t="s">
        <v>966</v>
      </c>
      <c r="B4" s="457"/>
      <c r="C4" s="457"/>
      <c r="D4" s="457"/>
      <c r="E4" s="457"/>
      <c r="F4" s="458"/>
      <c r="G4" s="39"/>
      <c r="H4" s="1"/>
      <c r="I4" s="1"/>
      <c r="J4" s="1"/>
      <c r="K4" s="1"/>
      <c r="L4" s="72"/>
    </row>
    <row r="5" spans="1:12" s="20" customFormat="1" ht="13.5" customHeight="1" x14ac:dyDescent="0.3">
      <c r="A5" s="31" t="s">
        <v>356</v>
      </c>
      <c r="B5" s="196"/>
      <c r="C5" s="196"/>
      <c r="D5" s="196"/>
      <c r="E5" s="196"/>
      <c r="F5" s="197"/>
      <c r="G5" s="6"/>
      <c r="H5" s="6"/>
      <c r="I5" s="6"/>
      <c r="J5" s="6"/>
      <c r="K5" s="6"/>
    </row>
    <row r="6" spans="1:12" s="20" customFormat="1" ht="13.5" customHeight="1" x14ac:dyDescent="0.3">
      <c r="A6" s="107" t="s">
        <v>91</v>
      </c>
      <c r="B6" s="459">
        <v>74.58587999999996</v>
      </c>
      <c r="C6" s="459">
        <v>92.08583923999997</v>
      </c>
      <c r="D6" s="459">
        <v>61.307735000000001</v>
      </c>
      <c r="E6" s="459">
        <v>118.29687</v>
      </c>
      <c r="F6" s="460">
        <v>126.52</v>
      </c>
      <c r="G6" s="354"/>
      <c r="H6" s="354"/>
      <c r="I6" s="354"/>
      <c r="J6" s="354"/>
      <c r="K6" s="354"/>
    </row>
    <row r="7" spans="1:12" s="7" customFormat="1" ht="13.5" customHeight="1" x14ac:dyDescent="0.3">
      <c r="A7" s="107" t="s">
        <v>92</v>
      </c>
      <c r="B7" s="459">
        <v>58.9</v>
      </c>
      <c r="C7" s="459">
        <v>77.7</v>
      </c>
      <c r="D7" s="459">
        <v>52.7</v>
      </c>
      <c r="E7" s="459">
        <v>59.807180000000002</v>
      </c>
      <c r="F7" s="460">
        <v>62.68</v>
      </c>
      <c r="G7" s="355"/>
      <c r="H7" s="355"/>
      <c r="I7" s="355"/>
      <c r="J7" s="355"/>
      <c r="K7" s="355"/>
    </row>
    <row r="8" spans="1:12" s="7" customFormat="1" ht="13.5" customHeight="1" x14ac:dyDescent="0.3">
      <c r="A8" s="107" t="s">
        <v>93</v>
      </c>
      <c r="B8" s="459">
        <v>4.3</v>
      </c>
      <c r="C8" s="459">
        <v>4</v>
      </c>
      <c r="D8" s="459">
        <v>16.100000000000001</v>
      </c>
      <c r="E8" s="459">
        <v>23.061580000000003</v>
      </c>
      <c r="F8" s="460">
        <v>25.14</v>
      </c>
      <c r="G8" s="181"/>
      <c r="H8" s="181"/>
      <c r="I8" s="181"/>
      <c r="J8" s="181"/>
      <c r="K8" s="181"/>
    </row>
    <row r="9" spans="1:12" s="7" customFormat="1" ht="13.5" customHeight="1" x14ac:dyDescent="0.3">
      <c r="A9" s="107" t="s">
        <v>94</v>
      </c>
      <c r="B9" s="459">
        <v>41.9</v>
      </c>
      <c r="C9" s="459">
        <v>61.4</v>
      </c>
      <c r="D9" s="459">
        <v>25</v>
      </c>
      <c r="E9" s="459">
        <v>30.921299999999999</v>
      </c>
      <c r="F9" s="460">
        <v>27.42</v>
      </c>
      <c r="G9" s="1"/>
      <c r="H9" s="1"/>
      <c r="I9" s="1"/>
      <c r="J9" s="1"/>
      <c r="K9" s="1"/>
    </row>
    <row r="10" spans="1:12" s="7" customFormat="1" ht="13.5" customHeight="1" x14ac:dyDescent="0.3">
      <c r="A10" s="21" t="s">
        <v>95</v>
      </c>
      <c r="B10" s="461">
        <f>B6+B7+B8+B9</f>
        <v>179.68587999999997</v>
      </c>
      <c r="C10" s="461">
        <f>C6+C7+C8+C9</f>
        <v>235.18583923999998</v>
      </c>
      <c r="D10" s="461">
        <f>D6+D7+D8+D9</f>
        <v>155.10773499999999</v>
      </c>
      <c r="E10" s="461">
        <f>E6+E7+E8+E9</f>
        <v>232.08693</v>
      </c>
      <c r="F10" s="462">
        <f>F6+F7+F8+F9</f>
        <v>241.76</v>
      </c>
      <c r="G10" s="1"/>
      <c r="H10" s="1"/>
      <c r="I10" s="1"/>
      <c r="J10" s="1"/>
      <c r="K10" s="1"/>
      <c r="L10" s="72"/>
    </row>
    <row r="11" spans="1:12" s="20" customFormat="1" ht="13.5" customHeight="1" x14ac:dyDescent="0.3">
      <c r="A11" s="31" t="s">
        <v>357</v>
      </c>
      <c r="B11" s="395"/>
      <c r="C11" s="395"/>
      <c r="D11" s="395"/>
      <c r="E11" s="395"/>
      <c r="F11" s="396"/>
      <c r="G11" s="6"/>
      <c r="H11" s="6"/>
      <c r="I11" s="6"/>
      <c r="J11" s="6"/>
      <c r="K11" s="6"/>
    </row>
    <row r="12" spans="1:12" s="20" customFormat="1" ht="13.5" customHeight="1" x14ac:dyDescent="0.3">
      <c r="A12" s="107" t="s">
        <v>91</v>
      </c>
      <c r="B12" s="459">
        <v>48.083181000000003</v>
      </c>
      <c r="C12" s="459">
        <v>51.412273999999996</v>
      </c>
      <c r="D12" s="459">
        <v>52.675684800000013</v>
      </c>
      <c r="E12" s="459">
        <v>7.0624099999999999</v>
      </c>
      <c r="F12" s="460">
        <v>7.37</v>
      </c>
      <c r="G12" s="6"/>
      <c r="H12" s="6"/>
      <c r="I12" s="6"/>
      <c r="J12" s="6"/>
      <c r="K12" s="6"/>
    </row>
    <row r="13" spans="1:12" s="7" customFormat="1" ht="13.5" customHeight="1" x14ac:dyDescent="0.3">
      <c r="A13" s="107" t="s">
        <v>92</v>
      </c>
      <c r="B13" s="459">
        <v>27.3</v>
      </c>
      <c r="C13" s="459">
        <v>26.6</v>
      </c>
      <c r="D13" s="459">
        <v>4</v>
      </c>
      <c r="E13" s="459">
        <v>4.4901</v>
      </c>
      <c r="F13" s="460">
        <v>6.7</v>
      </c>
      <c r="G13" s="1"/>
      <c r="H13" s="1"/>
      <c r="I13" s="1"/>
      <c r="J13" s="1"/>
      <c r="K13" s="1"/>
    </row>
    <row r="14" spans="1:12" s="7" customFormat="1" ht="13.5" customHeight="1" x14ac:dyDescent="0.3">
      <c r="A14" s="107" t="s">
        <v>96</v>
      </c>
      <c r="B14" s="459">
        <v>0</v>
      </c>
      <c r="C14" s="459">
        <v>0</v>
      </c>
      <c r="D14" s="459">
        <v>0</v>
      </c>
      <c r="E14" s="459">
        <v>0</v>
      </c>
      <c r="F14" s="460">
        <v>0</v>
      </c>
      <c r="G14" s="1"/>
      <c r="H14" s="1"/>
      <c r="I14" s="1"/>
      <c r="J14" s="1"/>
      <c r="K14" s="1"/>
    </row>
    <row r="15" spans="1:12" s="7" customFormat="1" ht="13.5" customHeight="1" x14ac:dyDescent="0.3">
      <c r="A15" s="107" t="s">
        <v>97</v>
      </c>
      <c r="B15" s="459">
        <v>22.6</v>
      </c>
      <c r="C15" s="459">
        <v>25.7</v>
      </c>
      <c r="D15" s="459">
        <v>17.5</v>
      </c>
      <c r="E15" s="459">
        <v>17.865919999999999</v>
      </c>
      <c r="F15" s="460">
        <v>18.510000000000002</v>
      </c>
      <c r="G15" s="1"/>
      <c r="H15" s="1"/>
      <c r="I15" s="1"/>
      <c r="J15" s="1"/>
      <c r="K15" s="1"/>
    </row>
    <row r="16" spans="1:12" s="7" customFormat="1" ht="13.5" customHeight="1" x14ac:dyDescent="0.3">
      <c r="A16" s="21" t="s">
        <v>98</v>
      </c>
      <c r="B16" s="461">
        <f>B12+B13+B14+B15</f>
        <v>97.983181000000002</v>
      </c>
      <c r="C16" s="461">
        <f>C12+C13+C14+C15</f>
        <v>103.71227399999999</v>
      </c>
      <c r="D16" s="461">
        <f>D12+D13+D14+D15</f>
        <v>74.175684800000013</v>
      </c>
      <c r="E16" s="461">
        <f>E12+E13+E14+E15</f>
        <v>29.418430000000001</v>
      </c>
      <c r="F16" s="462">
        <f>F12+F13+F14+F15</f>
        <v>32.58</v>
      </c>
      <c r="G16" s="1"/>
      <c r="H16" s="1"/>
      <c r="I16" s="1"/>
      <c r="J16" s="1"/>
      <c r="K16" s="1"/>
      <c r="L16" s="72"/>
    </row>
    <row r="17" spans="1:12" s="20" customFormat="1" ht="5.0999999999999996" customHeight="1" x14ac:dyDescent="0.3">
      <c r="A17" s="51"/>
      <c r="B17" s="463"/>
      <c r="C17" s="463"/>
      <c r="D17" s="463"/>
      <c r="E17" s="463"/>
      <c r="F17" s="464"/>
      <c r="G17" s="6"/>
      <c r="H17" s="6"/>
      <c r="I17" s="6"/>
      <c r="J17" s="6"/>
      <c r="K17" s="6"/>
    </row>
    <row r="18" spans="1:12" s="7" customFormat="1" ht="13.5" customHeight="1" x14ac:dyDescent="0.3">
      <c r="A18" s="103" t="s">
        <v>967</v>
      </c>
      <c r="B18" s="461">
        <f>B16+B10</f>
        <v>277.66906099999994</v>
      </c>
      <c r="C18" s="461">
        <f>C16+C10</f>
        <v>338.89811323999999</v>
      </c>
      <c r="D18" s="461">
        <f>D16+D10</f>
        <v>229.28341979999999</v>
      </c>
      <c r="E18" s="461">
        <f>E16+E10</f>
        <v>261.50536</v>
      </c>
      <c r="F18" s="462">
        <f>F16+F10</f>
        <v>274.33999999999997</v>
      </c>
      <c r="G18" s="39"/>
      <c r="H18" s="1"/>
      <c r="I18" s="1"/>
      <c r="J18" s="1"/>
      <c r="K18" s="1"/>
      <c r="L18" s="72"/>
    </row>
    <row r="19" spans="1:12" s="7" customFormat="1" ht="13.5" customHeight="1" x14ac:dyDescent="0.3">
      <c r="A19" s="120" t="s">
        <v>99</v>
      </c>
      <c r="B19" s="465">
        <f>(B6+B12)/B18</f>
        <v>0.4417815242296656</v>
      </c>
      <c r="C19" s="465">
        <f>(C6+C12)/C18</f>
        <v>0.42342553007480993</v>
      </c>
      <c r="D19" s="465">
        <f>(D6+D12)/D18</f>
        <v>0.49712892410373938</v>
      </c>
      <c r="E19" s="465">
        <f>(E6+E12)/E18</f>
        <v>0.4793755661451834</v>
      </c>
      <c r="F19" s="466">
        <f>(F6+F12)/F18</f>
        <v>0.48804403295181159</v>
      </c>
      <c r="G19" s="1"/>
      <c r="H19" s="1"/>
      <c r="I19" s="1"/>
      <c r="J19" s="1"/>
      <c r="K19" s="1"/>
    </row>
    <row r="20" spans="1:12" s="7" customFormat="1" ht="8.1" customHeight="1" x14ac:dyDescent="0.3">
      <c r="A20" s="119"/>
      <c r="B20" s="45"/>
      <c r="C20" s="45"/>
      <c r="D20" s="45"/>
      <c r="E20" s="45"/>
      <c r="F20" s="45"/>
      <c r="G20" s="1"/>
      <c r="H20" s="1"/>
      <c r="I20" s="1"/>
      <c r="J20" s="1"/>
      <c r="K20" s="1"/>
    </row>
    <row r="21" spans="1:12" s="7" customFormat="1" ht="27" customHeight="1" x14ac:dyDescent="0.3">
      <c r="A21" s="999"/>
      <c r="B21" s="999"/>
      <c r="C21" s="999"/>
      <c r="D21" s="999"/>
      <c r="E21" s="999"/>
      <c r="F21" s="999"/>
      <c r="G21" s="1"/>
      <c r="H21" s="1"/>
      <c r="I21" s="1"/>
      <c r="J21" s="1"/>
      <c r="K21" s="1"/>
    </row>
    <row r="22" spans="1:12" s="7" customFormat="1" ht="13.5" x14ac:dyDescent="0.3">
      <c r="A22" s="1"/>
      <c r="B22" s="48"/>
      <c r="C22" s="48"/>
      <c r="D22" s="48"/>
      <c r="E22" s="48"/>
      <c r="F22" s="48"/>
      <c r="G22" s="1"/>
      <c r="H22" s="1"/>
      <c r="I22" s="1"/>
      <c r="J22" s="1"/>
      <c r="K22" s="1"/>
    </row>
    <row r="23" spans="1:12" x14ac:dyDescent="0.3">
      <c r="A23" s="1"/>
      <c r="B23" s="48"/>
      <c r="C23" s="48"/>
      <c r="D23" s="48"/>
      <c r="E23" s="48"/>
      <c r="F23" s="48"/>
      <c r="G23" s="5"/>
      <c r="H23" s="5"/>
      <c r="I23" s="5"/>
      <c r="J23" s="5"/>
      <c r="K23" s="5"/>
    </row>
    <row r="24" spans="1:12" x14ac:dyDescent="0.3">
      <c r="A24" s="1"/>
      <c r="B24" s="48"/>
      <c r="C24" s="48"/>
      <c r="D24" s="48"/>
      <c r="E24" s="48"/>
      <c r="F24" s="48"/>
      <c r="G24" s="5"/>
      <c r="H24" s="5"/>
      <c r="I24" s="5"/>
      <c r="J24" s="5"/>
      <c r="K24" s="5"/>
    </row>
    <row r="25" spans="1:12" x14ac:dyDescent="0.3">
      <c r="A25" s="1"/>
      <c r="B25" s="48"/>
      <c r="C25" s="48"/>
      <c r="D25" s="48"/>
      <c r="E25" s="48"/>
      <c r="F25" s="48"/>
      <c r="G25" s="5"/>
      <c r="H25" s="5"/>
      <c r="I25" s="5"/>
      <c r="J25" s="5"/>
      <c r="K25" s="5"/>
    </row>
    <row r="26" spans="1:12" x14ac:dyDescent="0.3">
      <c r="A26" s="1"/>
      <c r="B26" s="48"/>
      <c r="C26" s="48"/>
      <c r="D26" s="48"/>
      <c r="E26" s="48"/>
      <c r="F26" s="48"/>
      <c r="G26" s="5"/>
      <c r="H26" s="5"/>
      <c r="I26" s="5"/>
      <c r="J26" s="5"/>
      <c r="K26" s="5"/>
    </row>
    <row r="27" spans="1:12" x14ac:dyDescent="0.3">
      <c r="A27" s="1"/>
      <c r="B27" s="48"/>
      <c r="C27" s="48"/>
      <c r="D27" s="48"/>
      <c r="E27" s="48"/>
      <c r="F27" s="48"/>
      <c r="G27" s="5"/>
      <c r="H27" s="5"/>
      <c r="I27" s="5"/>
      <c r="J27" s="5"/>
      <c r="K27" s="5"/>
    </row>
    <row r="28" spans="1:12" x14ac:dyDescent="0.3">
      <c r="A28" s="1"/>
      <c r="B28" s="48"/>
      <c r="C28" s="48"/>
      <c r="D28" s="48"/>
      <c r="E28" s="48"/>
      <c r="F28" s="48"/>
      <c r="G28" s="5"/>
      <c r="H28" s="5"/>
      <c r="I28" s="5"/>
      <c r="J28" s="5"/>
      <c r="K28" s="5"/>
    </row>
    <row r="29" spans="1:12" x14ac:dyDescent="0.3">
      <c r="A29" s="1"/>
      <c r="B29" s="48"/>
      <c r="C29" s="48"/>
      <c r="D29" s="48"/>
      <c r="E29" s="48"/>
      <c r="F29" s="48"/>
      <c r="G29" s="5"/>
      <c r="H29" s="5"/>
      <c r="I29" s="5"/>
      <c r="J29" s="5"/>
      <c r="K29" s="5"/>
    </row>
    <row r="30" spans="1:12" x14ac:dyDescent="0.3">
      <c r="A30" s="1"/>
      <c r="B30" s="48"/>
      <c r="C30" s="48"/>
      <c r="D30" s="48"/>
      <c r="E30" s="48"/>
      <c r="F30" s="48"/>
      <c r="G30" s="5"/>
      <c r="H30" s="5"/>
      <c r="I30" s="5"/>
      <c r="J30" s="5"/>
      <c r="K30" s="5"/>
    </row>
    <row r="31" spans="1:12" x14ac:dyDescent="0.3">
      <c r="A31" s="1"/>
      <c r="B31" s="48"/>
      <c r="C31" s="48"/>
      <c r="D31" s="48"/>
      <c r="E31" s="48"/>
      <c r="F31" s="48"/>
      <c r="G31" s="5"/>
      <c r="H31" s="5"/>
      <c r="I31" s="5"/>
      <c r="J31" s="5"/>
      <c r="K31" s="5"/>
    </row>
    <row r="32" spans="1:12" x14ac:dyDescent="0.3">
      <c r="A32" s="1"/>
      <c r="B32" s="48"/>
      <c r="C32" s="48"/>
      <c r="D32" s="48"/>
      <c r="E32" s="48"/>
      <c r="F32" s="48"/>
      <c r="G32" s="5"/>
      <c r="H32" s="5"/>
      <c r="I32" s="5"/>
      <c r="J32" s="5"/>
      <c r="K32" s="5"/>
    </row>
    <row r="33" spans="1:11" x14ac:dyDescent="0.3">
      <c r="A33" s="1"/>
      <c r="B33" s="48"/>
      <c r="C33" s="48"/>
      <c r="D33" s="48"/>
      <c r="E33" s="48"/>
      <c r="F33" s="48"/>
      <c r="G33" s="5"/>
      <c r="H33" s="5"/>
      <c r="I33" s="5"/>
      <c r="J33" s="5"/>
      <c r="K33" s="5"/>
    </row>
    <row r="34" spans="1:11" x14ac:dyDescent="0.3">
      <c r="A34" s="1"/>
      <c r="B34" s="48"/>
      <c r="C34" s="48"/>
      <c r="D34" s="48"/>
      <c r="E34" s="48"/>
      <c r="F34" s="48"/>
      <c r="G34" s="5"/>
      <c r="H34" s="5"/>
      <c r="I34" s="5"/>
      <c r="J34" s="5"/>
      <c r="K34" s="5"/>
    </row>
    <row r="35" spans="1:11" x14ac:dyDescent="0.3">
      <c r="A35" s="1"/>
      <c r="B35" s="48"/>
      <c r="C35" s="48"/>
      <c r="D35" s="48"/>
      <c r="E35" s="48"/>
      <c r="F35" s="48"/>
      <c r="G35" s="5"/>
      <c r="H35" s="5"/>
      <c r="I35" s="5"/>
      <c r="J35" s="5"/>
      <c r="K35" s="5"/>
    </row>
    <row r="36" spans="1:11" x14ac:dyDescent="0.3">
      <c r="A36" s="1"/>
      <c r="B36" s="48"/>
      <c r="C36" s="48"/>
      <c r="D36" s="48"/>
      <c r="E36" s="48"/>
      <c r="F36" s="48"/>
      <c r="G36" s="5"/>
      <c r="H36" s="5"/>
      <c r="I36" s="5"/>
      <c r="J36" s="5"/>
      <c r="K36" s="5"/>
    </row>
    <row r="37" spans="1:11" x14ac:dyDescent="0.3">
      <c r="A37" s="1"/>
      <c r="B37" s="48"/>
      <c r="C37" s="48"/>
      <c r="D37" s="48"/>
      <c r="E37" s="48"/>
      <c r="F37" s="48"/>
      <c r="G37" s="5"/>
      <c r="H37" s="5"/>
      <c r="I37" s="5"/>
      <c r="J37" s="5"/>
      <c r="K37" s="5"/>
    </row>
    <row r="38" spans="1:11" x14ac:dyDescent="0.3">
      <c r="A38" s="1"/>
      <c r="B38" s="48"/>
      <c r="C38" s="48"/>
      <c r="D38" s="48"/>
      <c r="E38" s="48"/>
      <c r="F38" s="48"/>
      <c r="G38" s="5"/>
      <c r="H38" s="5"/>
      <c r="I38" s="5"/>
      <c r="J38" s="5"/>
      <c r="K38" s="5"/>
    </row>
    <row r="39" spans="1:11" x14ac:dyDescent="0.3">
      <c r="A39" s="1"/>
      <c r="B39" s="48"/>
      <c r="C39" s="48"/>
      <c r="D39" s="48"/>
      <c r="E39" s="48"/>
      <c r="F39" s="48"/>
      <c r="G39" s="5"/>
      <c r="H39" s="5"/>
      <c r="I39" s="5"/>
      <c r="J39" s="5"/>
      <c r="K39" s="5"/>
    </row>
    <row r="40" spans="1:11" x14ac:dyDescent="0.3">
      <c r="A40" s="1"/>
      <c r="B40" s="48"/>
      <c r="C40" s="48"/>
      <c r="D40" s="48"/>
      <c r="E40" s="48"/>
      <c r="F40" s="48"/>
      <c r="G40" s="5"/>
      <c r="H40" s="5"/>
      <c r="I40" s="5"/>
      <c r="J40" s="5"/>
      <c r="K40" s="5"/>
    </row>
    <row r="41" spans="1:11" x14ac:dyDescent="0.3">
      <c r="A41" s="1"/>
      <c r="B41" s="48"/>
      <c r="C41" s="48"/>
      <c r="D41" s="48"/>
      <c r="E41" s="48"/>
      <c r="F41" s="48"/>
      <c r="G41" s="5"/>
      <c r="H41" s="5"/>
      <c r="I41" s="5"/>
      <c r="J41" s="5"/>
      <c r="K41" s="5"/>
    </row>
    <row r="42" spans="1:11" x14ac:dyDescent="0.3">
      <c r="A42" s="1"/>
      <c r="B42" s="48"/>
      <c r="C42" s="48"/>
      <c r="D42" s="48"/>
      <c r="E42" s="48"/>
      <c r="F42" s="48"/>
      <c r="G42" s="5"/>
      <c r="H42" s="5"/>
      <c r="I42" s="5"/>
      <c r="J42" s="5"/>
      <c r="K42" s="5"/>
    </row>
    <row r="43" spans="1:11" x14ac:dyDescent="0.3">
      <c r="A43" s="1"/>
      <c r="B43" s="48"/>
      <c r="C43" s="48"/>
      <c r="D43" s="48"/>
      <c r="E43" s="48"/>
      <c r="F43" s="48"/>
      <c r="G43" s="5"/>
      <c r="H43" s="5"/>
      <c r="I43" s="5"/>
      <c r="J43" s="5"/>
      <c r="K43" s="5"/>
    </row>
    <row r="44" spans="1:11" x14ac:dyDescent="0.3">
      <c r="A44" s="1"/>
      <c r="B44" s="48"/>
      <c r="C44" s="48"/>
      <c r="D44" s="48"/>
      <c r="E44" s="48"/>
      <c r="F44" s="48"/>
      <c r="G44" s="5"/>
      <c r="H44" s="5"/>
      <c r="I44" s="5"/>
      <c r="J44" s="5"/>
      <c r="K44" s="5"/>
    </row>
    <row r="45" spans="1:11" x14ac:dyDescent="0.3">
      <c r="A45" s="1"/>
      <c r="B45" s="48"/>
      <c r="C45" s="48"/>
      <c r="D45" s="48"/>
      <c r="E45" s="48"/>
      <c r="F45" s="48"/>
      <c r="G45" s="5"/>
      <c r="H45" s="5"/>
      <c r="I45" s="5"/>
      <c r="J45" s="5"/>
      <c r="K45" s="5"/>
    </row>
    <row r="46" spans="1:11" x14ac:dyDescent="0.3">
      <c r="A46" s="1"/>
      <c r="B46" s="48"/>
      <c r="C46" s="48"/>
      <c r="D46" s="48"/>
      <c r="E46" s="48"/>
      <c r="F46" s="48"/>
      <c r="G46" s="5"/>
      <c r="H46" s="5"/>
      <c r="I46" s="5"/>
      <c r="J46" s="5"/>
      <c r="K46" s="5"/>
    </row>
    <row r="47" spans="1:11" x14ac:dyDescent="0.3">
      <c r="A47" s="1"/>
      <c r="B47" s="48"/>
      <c r="C47" s="48"/>
      <c r="D47" s="48"/>
      <c r="E47" s="48"/>
      <c r="F47" s="48"/>
      <c r="G47" s="5"/>
      <c r="H47" s="5"/>
      <c r="I47" s="5"/>
      <c r="J47" s="5"/>
      <c r="K47" s="5"/>
    </row>
    <row r="48" spans="1:11" x14ac:dyDescent="0.3">
      <c r="A48" s="1"/>
      <c r="B48" s="48"/>
      <c r="C48" s="48"/>
      <c r="D48" s="48"/>
      <c r="E48" s="48"/>
      <c r="F48" s="48"/>
      <c r="G48" s="5"/>
      <c r="H48" s="5"/>
      <c r="I48" s="5"/>
      <c r="J48" s="5"/>
      <c r="K48" s="5"/>
    </row>
    <row r="49" spans="1:11" x14ac:dyDescent="0.3">
      <c r="A49" s="1"/>
      <c r="B49" s="48"/>
      <c r="C49" s="48"/>
      <c r="D49" s="48"/>
      <c r="E49" s="48"/>
      <c r="F49" s="48"/>
      <c r="G49" s="5"/>
      <c r="H49" s="5"/>
      <c r="I49" s="5"/>
      <c r="J49" s="5"/>
      <c r="K49" s="5"/>
    </row>
    <row r="50" spans="1:11" x14ac:dyDescent="0.3">
      <c r="A50" s="1"/>
      <c r="B50" s="48"/>
      <c r="C50" s="48"/>
      <c r="D50" s="48"/>
      <c r="E50" s="48"/>
      <c r="F50" s="48"/>
      <c r="G50" s="5"/>
      <c r="H50" s="5"/>
      <c r="I50" s="5"/>
      <c r="J50" s="5"/>
      <c r="K50" s="5"/>
    </row>
    <row r="51" spans="1:11" x14ac:dyDescent="0.3">
      <c r="A51" s="1"/>
      <c r="B51" s="48"/>
      <c r="C51" s="48"/>
      <c r="D51" s="48"/>
      <c r="E51" s="48"/>
      <c r="F51" s="48"/>
      <c r="G51" s="5"/>
      <c r="H51" s="5"/>
      <c r="I51" s="5"/>
      <c r="J51" s="5"/>
      <c r="K51" s="5"/>
    </row>
    <row r="52" spans="1:11" x14ac:dyDescent="0.3">
      <c r="A52" s="1"/>
      <c r="B52" s="48"/>
      <c r="C52" s="48"/>
      <c r="D52" s="48"/>
      <c r="E52" s="48"/>
      <c r="F52" s="48"/>
      <c r="G52" s="5"/>
      <c r="H52" s="5"/>
      <c r="I52" s="5"/>
      <c r="J52" s="5"/>
      <c r="K52" s="5"/>
    </row>
    <row r="53" spans="1:11" x14ac:dyDescent="0.3">
      <c r="A53" s="1"/>
      <c r="B53" s="48"/>
      <c r="C53" s="48"/>
      <c r="D53" s="48"/>
      <c r="E53" s="48"/>
      <c r="F53" s="48"/>
      <c r="G53" s="5"/>
      <c r="H53" s="5"/>
      <c r="I53" s="5"/>
      <c r="J53" s="5"/>
      <c r="K53" s="5"/>
    </row>
    <row r="54" spans="1:11" x14ac:dyDescent="0.3">
      <c r="A54" s="1"/>
      <c r="B54" s="48"/>
      <c r="C54" s="48"/>
      <c r="D54" s="48"/>
      <c r="E54" s="48"/>
      <c r="F54" s="48"/>
      <c r="G54" s="5"/>
      <c r="H54" s="5"/>
      <c r="I54" s="5"/>
      <c r="J54" s="5"/>
      <c r="K54" s="5"/>
    </row>
    <row r="55" spans="1:11" x14ac:dyDescent="0.3">
      <c r="A55" s="1"/>
      <c r="B55" s="48"/>
      <c r="C55" s="48"/>
      <c r="D55" s="48"/>
      <c r="E55" s="48"/>
      <c r="F55" s="48"/>
      <c r="G55" s="5"/>
      <c r="H55" s="5"/>
      <c r="I55" s="5"/>
      <c r="J55" s="5"/>
      <c r="K55" s="5"/>
    </row>
    <row r="56" spans="1:11" x14ac:dyDescent="0.3">
      <c r="A56" s="1"/>
      <c r="B56" s="48"/>
      <c r="C56" s="48"/>
      <c r="D56" s="48"/>
      <c r="E56" s="48"/>
      <c r="F56" s="48"/>
      <c r="G56" s="5"/>
      <c r="H56" s="5"/>
      <c r="I56" s="5"/>
      <c r="J56" s="5"/>
      <c r="K56" s="5"/>
    </row>
    <row r="57" spans="1:11" x14ac:dyDescent="0.3">
      <c r="A57" s="1"/>
      <c r="B57" s="48"/>
      <c r="C57" s="48"/>
      <c r="D57" s="48"/>
      <c r="E57" s="48"/>
      <c r="F57" s="48"/>
      <c r="G57" s="5"/>
      <c r="H57" s="5"/>
      <c r="I57" s="5"/>
      <c r="J57" s="5"/>
      <c r="K57" s="5"/>
    </row>
    <row r="58" spans="1:11" x14ac:dyDescent="0.3">
      <c r="A58" s="1"/>
      <c r="B58" s="48"/>
      <c r="C58" s="48"/>
      <c r="D58" s="48"/>
      <c r="E58" s="48"/>
      <c r="F58" s="48"/>
      <c r="G58" s="5"/>
      <c r="H58" s="5"/>
      <c r="I58" s="5"/>
      <c r="J58" s="5"/>
      <c r="K58" s="5"/>
    </row>
    <row r="59" spans="1:11" x14ac:dyDescent="0.3">
      <c r="A59" s="1"/>
      <c r="B59" s="48"/>
      <c r="C59" s="48"/>
      <c r="D59" s="48"/>
      <c r="E59" s="48"/>
      <c r="F59" s="48"/>
      <c r="G59" s="5"/>
      <c r="H59" s="5"/>
      <c r="I59" s="5"/>
      <c r="J59" s="5"/>
      <c r="K59" s="5"/>
    </row>
    <row r="60" spans="1:11" x14ac:dyDescent="0.3">
      <c r="A60" s="1"/>
      <c r="B60" s="48"/>
      <c r="C60" s="48"/>
      <c r="D60" s="48"/>
      <c r="E60" s="48"/>
      <c r="F60" s="48"/>
      <c r="G60" s="5"/>
      <c r="H60" s="5"/>
      <c r="I60" s="5"/>
      <c r="J60" s="5"/>
      <c r="K60" s="5"/>
    </row>
    <row r="61" spans="1:11" x14ac:dyDescent="0.3">
      <c r="A61" s="1"/>
      <c r="B61" s="48"/>
      <c r="C61" s="48"/>
      <c r="D61" s="48"/>
      <c r="E61" s="48"/>
      <c r="F61" s="48"/>
      <c r="G61" s="5"/>
      <c r="H61" s="5"/>
      <c r="I61" s="5"/>
      <c r="J61" s="5"/>
      <c r="K61" s="5"/>
    </row>
    <row r="62" spans="1:11" x14ac:dyDescent="0.3">
      <c r="A62" s="1"/>
      <c r="B62" s="48"/>
      <c r="C62" s="48"/>
      <c r="D62" s="48"/>
      <c r="E62" s="48"/>
      <c r="F62" s="48"/>
      <c r="G62" s="5"/>
      <c r="H62" s="5"/>
      <c r="I62" s="5"/>
      <c r="J62" s="5"/>
      <c r="K62" s="5"/>
    </row>
    <row r="63" spans="1:11" x14ac:dyDescent="0.3">
      <c r="A63" s="1"/>
      <c r="B63" s="48"/>
      <c r="C63" s="48"/>
      <c r="D63" s="48"/>
      <c r="E63" s="48"/>
      <c r="F63" s="48"/>
      <c r="G63" s="5"/>
      <c r="H63" s="5"/>
      <c r="I63" s="5"/>
      <c r="J63" s="5"/>
      <c r="K63" s="5"/>
    </row>
    <row r="64" spans="1:11" x14ac:dyDescent="0.3">
      <c r="A64" s="1"/>
      <c r="B64" s="48"/>
      <c r="C64" s="48"/>
      <c r="D64" s="48"/>
      <c r="E64" s="48"/>
      <c r="F64" s="48"/>
      <c r="G64" s="5"/>
      <c r="H64" s="5"/>
      <c r="I64" s="5"/>
      <c r="J64" s="5"/>
      <c r="K64" s="5"/>
    </row>
    <row r="65" spans="1:11" x14ac:dyDescent="0.3">
      <c r="A65" s="1"/>
      <c r="B65" s="48"/>
      <c r="C65" s="48"/>
      <c r="D65" s="48"/>
      <c r="E65" s="48"/>
      <c r="F65" s="48"/>
      <c r="G65" s="5"/>
      <c r="H65" s="5"/>
      <c r="I65" s="5"/>
      <c r="J65" s="5"/>
      <c r="K65" s="5"/>
    </row>
    <row r="66" spans="1:11" x14ac:dyDescent="0.3">
      <c r="A66" s="1"/>
      <c r="B66" s="48"/>
      <c r="C66" s="48"/>
      <c r="D66" s="48"/>
      <c r="E66" s="48"/>
      <c r="F66" s="48"/>
      <c r="G66" s="5"/>
      <c r="H66" s="5"/>
      <c r="I66" s="5"/>
      <c r="J66" s="5"/>
      <c r="K66" s="5"/>
    </row>
    <row r="67" spans="1:11" x14ac:dyDescent="0.3">
      <c r="A67" s="1"/>
      <c r="B67" s="48"/>
      <c r="C67" s="48"/>
      <c r="D67" s="48"/>
      <c r="E67" s="48"/>
      <c r="F67" s="48"/>
      <c r="G67" s="5"/>
      <c r="H67" s="5"/>
      <c r="I67" s="5"/>
      <c r="J67" s="5"/>
      <c r="K67" s="5"/>
    </row>
    <row r="68" spans="1:11" x14ac:dyDescent="0.3">
      <c r="A68" s="1"/>
      <c r="B68" s="48"/>
      <c r="C68" s="48"/>
      <c r="D68" s="48"/>
      <c r="E68" s="48"/>
      <c r="F68" s="48"/>
      <c r="G68" s="5"/>
      <c r="H68" s="5"/>
      <c r="I68" s="5"/>
      <c r="J68" s="5"/>
      <c r="K68" s="5"/>
    </row>
    <row r="69" spans="1:11" x14ac:dyDescent="0.3">
      <c r="A69" s="1"/>
      <c r="B69" s="48"/>
      <c r="C69" s="48"/>
      <c r="D69" s="48"/>
      <c r="E69" s="48"/>
      <c r="F69" s="48"/>
      <c r="G69" s="5"/>
      <c r="H69" s="5"/>
      <c r="I69" s="5"/>
      <c r="J69" s="5"/>
      <c r="K69" s="5"/>
    </row>
    <row r="70" spans="1:11" x14ac:dyDescent="0.3">
      <c r="A70" s="1"/>
      <c r="B70" s="48"/>
      <c r="C70" s="48"/>
      <c r="D70" s="48"/>
      <c r="E70" s="48"/>
      <c r="F70" s="48"/>
      <c r="G70" s="5"/>
      <c r="H70" s="5"/>
      <c r="I70" s="5"/>
      <c r="J70" s="5"/>
      <c r="K70" s="5"/>
    </row>
    <row r="71" spans="1:11" x14ac:dyDescent="0.3">
      <c r="A71" s="1"/>
      <c r="B71" s="48"/>
      <c r="C71" s="48"/>
      <c r="D71" s="48"/>
      <c r="E71" s="48"/>
      <c r="F71" s="48"/>
      <c r="G71" s="5"/>
      <c r="H71" s="5"/>
      <c r="I71" s="5"/>
      <c r="J71" s="5"/>
      <c r="K71" s="5"/>
    </row>
    <row r="72" spans="1:11" x14ac:dyDescent="0.3">
      <c r="A72" s="1"/>
      <c r="B72" s="48"/>
      <c r="C72" s="48"/>
      <c r="D72" s="48"/>
      <c r="E72" s="48"/>
      <c r="F72" s="48"/>
      <c r="G72" s="5"/>
      <c r="H72" s="5"/>
      <c r="I72" s="5"/>
      <c r="J72" s="5"/>
      <c r="K72" s="5"/>
    </row>
    <row r="73" spans="1:11" x14ac:dyDescent="0.3">
      <c r="A73" s="1"/>
      <c r="B73" s="48"/>
      <c r="C73" s="48"/>
      <c r="D73" s="48"/>
      <c r="E73" s="48"/>
      <c r="F73" s="48"/>
      <c r="G73" s="5"/>
      <c r="H73" s="5"/>
      <c r="I73" s="5"/>
      <c r="J73" s="5"/>
      <c r="K73" s="5"/>
    </row>
    <row r="74" spans="1:11" x14ac:dyDescent="0.3">
      <c r="A74" s="1"/>
      <c r="B74" s="48"/>
      <c r="C74" s="48"/>
      <c r="D74" s="48"/>
      <c r="E74" s="48"/>
      <c r="F74" s="48"/>
      <c r="G74" s="5"/>
      <c r="H74" s="5"/>
      <c r="I74" s="5"/>
      <c r="J74" s="5"/>
      <c r="K74" s="5"/>
    </row>
    <row r="75" spans="1:11" x14ac:dyDescent="0.3">
      <c r="A75" s="1"/>
      <c r="B75" s="48"/>
      <c r="C75" s="48"/>
      <c r="D75" s="48"/>
      <c r="E75" s="48"/>
      <c r="F75" s="48"/>
      <c r="G75" s="5"/>
      <c r="H75" s="5"/>
      <c r="I75" s="5"/>
      <c r="J75" s="5"/>
      <c r="K75" s="5"/>
    </row>
    <row r="76" spans="1:11" x14ac:dyDescent="0.3">
      <c r="A76" s="1"/>
      <c r="B76" s="48"/>
      <c r="C76" s="48"/>
      <c r="D76" s="48"/>
      <c r="E76" s="48"/>
      <c r="F76" s="48"/>
      <c r="G76" s="5"/>
      <c r="H76" s="5"/>
      <c r="I76" s="5"/>
      <c r="J76" s="5"/>
      <c r="K76" s="5"/>
    </row>
    <row r="77" spans="1:11" x14ac:dyDescent="0.3">
      <c r="A77" s="1"/>
      <c r="B77" s="48"/>
      <c r="C77" s="48"/>
      <c r="D77" s="48"/>
      <c r="E77" s="48"/>
      <c r="F77" s="48"/>
      <c r="G77" s="5"/>
      <c r="H77" s="5"/>
      <c r="I77" s="5"/>
      <c r="J77" s="5"/>
      <c r="K77" s="5"/>
    </row>
    <row r="78" spans="1:11" x14ac:dyDescent="0.3">
      <c r="A78" s="1"/>
      <c r="B78" s="48"/>
      <c r="C78" s="48"/>
      <c r="D78" s="48"/>
      <c r="E78" s="48"/>
      <c r="F78" s="48"/>
      <c r="G78" s="5"/>
      <c r="H78" s="5"/>
      <c r="I78" s="5"/>
      <c r="J78" s="5"/>
      <c r="K78" s="5"/>
    </row>
    <row r="79" spans="1:11" x14ac:dyDescent="0.3">
      <c r="A79" s="1"/>
      <c r="B79" s="48"/>
      <c r="C79" s="48"/>
      <c r="D79" s="48"/>
      <c r="E79" s="48"/>
      <c r="F79" s="48"/>
      <c r="G79" s="5"/>
      <c r="H79" s="5"/>
      <c r="I79" s="5"/>
      <c r="J79" s="5"/>
      <c r="K79" s="5"/>
    </row>
    <row r="80" spans="1:11" x14ac:dyDescent="0.3">
      <c r="A80" s="1"/>
      <c r="B80" s="48"/>
      <c r="C80" s="48"/>
      <c r="D80" s="48"/>
      <c r="E80" s="48"/>
      <c r="F80" s="48"/>
      <c r="G80" s="5"/>
      <c r="H80" s="5"/>
      <c r="I80" s="5"/>
      <c r="J80" s="5"/>
      <c r="K80" s="5"/>
    </row>
    <row r="81" spans="1:11" x14ac:dyDescent="0.3">
      <c r="A81" s="1"/>
      <c r="B81" s="48"/>
      <c r="C81" s="48"/>
      <c r="D81" s="48"/>
      <c r="E81" s="48"/>
      <c r="F81" s="48"/>
      <c r="G81" s="5"/>
      <c r="H81" s="5"/>
      <c r="I81" s="5"/>
      <c r="J81" s="5"/>
      <c r="K81" s="5"/>
    </row>
    <row r="82" spans="1:11" x14ac:dyDescent="0.3">
      <c r="A82" s="1"/>
      <c r="B82" s="48"/>
      <c r="C82" s="48"/>
      <c r="D82" s="48"/>
      <c r="E82" s="48"/>
      <c r="F82" s="48"/>
      <c r="G82" s="5"/>
      <c r="H82" s="5"/>
      <c r="I82" s="5"/>
      <c r="J82" s="5"/>
      <c r="K82" s="5"/>
    </row>
    <row r="83" spans="1:11" x14ac:dyDescent="0.3">
      <c r="A83" s="1"/>
      <c r="B83" s="48"/>
      <c r="C83" s="48"/>
      <c r="D83" s="48"/>
      <c r="E83" s="48"/>
      <c r="F83" s="48"/>
      <c r="G83" s="5"/>
      <c r="H83" s="5"/>
      <c r="I83" s="5"/>
      <c r="J83" s="5"/>
      <c r="K83" s="5"/>
    </row>
    <row r="84" spans="1:11" x14ac:dyDescent="0.3">
      <c r="A84" s="1"/>
      <c r="B84" s="48"/>
      <c r="C84" s="48"/>
      <c r="D84" s="48"/>
      <c r="E84" s="48"/>
      <c r="F84" s="48"/>
      <c r="G84" s="5"/>
      <c r="H84" s="5"/>
      <c r="I84" s="5"/>
      <c r="J84" s="5"/>
      <c r="K84" s="5"/>
    </row>
  </sheetData>
  <sheetProtection algorithmName="SHA-512" hashValue="tlcY1SvkMXtulImT1yX9ZzZ6Qj6Y2vljV58ma3okpk8meGfbWkCVB+8HKHfFyMRvKp2OlS+dU+kty0WB3W8Jfg==" saltValue="H26Zt3LSQG2yhBzT8O1fGQ==" spinCount="100000" sheet="1" objects="1" scenarios="1"/>
  <mergeCells count="1">
    <mergeCell ref="A21:F21"/>
  </mergeCells>
  <printOptions horizontalCentered="1"/>
  <pageMargins left="0.25" right="0.25" top="0.75" bottom="0.75" header="0.3" footer="0.3"/>
  <pageSetup scale="42" orientation="landscape" r:id="rId1"/>
  <headerFooter>
    <oddFooter>&amp;C&amp;"Century Gothic,Regular"&amp;9Page &amp;P of &amp;N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1D42D-DE2D-48A4-B783-16C62B756FBF}">
  <sheetPr codeName="Sheet14">
    <pageSetUpPr fitToPage="1"/>
  </sheetPr>
  <dimension ref="A1:M96"/>
  <sheetViews>
    <sheetView zoomScale="130" zoomScaleNormal="130" zoomScaleSheetLayoutView="160" workbookViewId="0">
      <pane xSplit="1" ySplit="1" topLeftCell="B2" activePane="bottomRight" state="frozen"/>
      <selection activeCell="A7" sqref="A7"/>
      <selection pane="topRight" activeCell="A7" sqref="A7"/>
      <selection pane="bottomLeft" activeCell="A7" sqref="A7"/>
      <selection pane="bottomRight" activeCell="B2" sqref="B2"/>
    </sheetView>
  </sheetViews>
  <sheetFormatPr baseColWidth="10" defaultColWidth="9.140625" defaultRowHeight="15.75" x14ac:dyDescent="0.3"/>
  <cols>
    <col min="1" max="1" width="45.5703125" style="7" customWidth="1"/>
    <col min="2" max="6" width="13.5703125" style="67" customWidth="1"/>
    <col min="7" max="7" width="45.28515625" customWidth="1"/>
  </cols>
  <sheetData>
    <row r="1" spans="1:13" s="7" customFormat="1" ht="20.65" customHeight="1" x14ac:dyDescent="0.3">
      <c r="A1" s="89" t="s">
        <v>791</v>
      </c>
      <c r="B1" s="33"/>
      <c r="C1" s="33"/>
      <c r="D1" s="33"/>
      <c r="E1" s="33"/>
      <c r="F1" s="34"/>
      <c r="G1" s="1"/>
      <c r="H1" s="1"/>
      <c r="I1" s="1"/>
      <c r="J1" s="1"/>
      <c r="K1" s="1"/>
      <c r="L1" s="1"/>
    </row>
    <row r="2" spans="1:13" s="7" customFormat="1" ht="15" customHeight="1" x14ac:dyDescent="0.3">
      <c r="A2" s="90" t="s">
        <v>35</v>
      </c>
      <c r="B2" s="35"/>
      <c r="C2" s="35"/>
      <c r="D2" s="35"/>
      <c r="E2" s="35"/>
      <c r="F2" s="36"/>
      <c r="G2" s="1"/>
      <c r="H2" s="1"/>
      <c r="I2" s="1"/>
      <c r="J2" s="1"/>
      <c r="K2" s="1"/>
      <c r="L2" s="1"/>
    </row>
    <row r="3" spans="1:13" s="7" customFormat="1" ht="15" customHeight="1" x14ac:dyDescent="0.3">
      <c r="A3" s="91"/>
      <c r="B3" s="122">
        <v>2018</v>
      </c>
      <c r="C3" s="122">
        <v>2019</v>
      </c>
      <c r="D3" s="122">
        <v>2020</v>
      </c>
      <c r="E3" s="122">
        <v>2021</v>
      </c>
      <c r="F3" s="123">
        <v>2022</v>
      </c>
      <c r="G3" s="1"/>
      <c r="H3" s="1"/>
      <c r="I3" s="1"/>
      <c r="J3" s="1"/>
      <c r="K3" s="1"/>
      <c r="L3" s="1"/>
    </row>
    <row r="4" spans="1:13" s="7" customFormat="1" ht="15.75" customHeight="1" x14ac:dyDescent="0.3">
      <c r="A4" s="92" t="s">
        <v>100</v>
      </c>
      <c r="B4" s="446"/>
      <c r="C4" s="446"/>
      <c r="D4" s="446"/>
      <c r="E4" s="446"/>
      <c r="F4" s="447"/>
      <c r="G4" s="75"/>
      <c r="H4" s="1"/>
      <c r="I4" s="1"/>
      <c r="J4" s="1"/>
      <c r="K4" s="1"/>
      <c r="L4" s="1"/>
      <c r="M4" s="72"/>
    </row>
    <row r="5" spans="1:13" s="7" customFormat="1" ht="13.5" customHeight="1" x14ac:dyDescent="0.3">
      <c r="A5" s="104" t="s">
        <v>101</v>
      </c>
      <c r="B5" s="76">
        <v>971.36</v>
      </c>
      <c r="C5" s="76">
        <v>1465.14</v>
      </c>
      <c r="D5" s="76">
        <v>586.55999999999995</v>
      </c>
      <c r="E5" s="76">
        <v>577.70000000000005</v>
      </c>
      <c r="F5" s="343">
        <v>976.17</v>
      </c>
      <c r="G5" s="75"/>
      <c r="H5" s="1"/>
      <c r="I5" s="1"/>
      <c r="J5" s="1"/>
      <c r="K5" s="1"/>
      <c r="L5" s="1"/>
      <c r="M5" s="72"/>
    </row>
    <row r="6" spans="1:13" s="7" customFormat="1" ht="13.5" customHeight="1" x14ac:dyDescent="0.3">
      <c r="A6" s="104" t="s">
        <v>131</v>
      </c>
      <c r="B6" s="76">
        <v>80.2</v>
      </c>
      <c r="C6" s="76">
        <v>40.5</v>
      </c>
      <c r="D6" s="76">
        <v>35</v>
      </c>
      <c r="E6" s="76">
        <v>43</v>
      </c>
      <c r="F6" s="343">
        <v>102.84</v>
      </c>
      <c r="G6" s="75"/>
      <c r="H6" s="1"/>
      <c r="I6" s="1"/>
      <c r="J6" s="1"/>
      <c r="K6" s="1"/>
      <c r="L6" s="1"/>
      <c r="M6" s="72"/>
    </row>
    <row r="7" spans="1:13" s="7" customFormat="1" ht="13.5" customHeight="1" x14ac:dyDescent="0.3">
      <c r="A7" s="104" t="s">
        <v>132</v>
      </c>
      <c r="B7" s="76">
        <v>60963.66</v>
      </c>
      <c r="C7" s="76">
        <v>62388.3</v>
      </c>
      <c r="D7" s="76">
        <v>62912.79</v>
      </c>
      <c r="E7" s="76">
        <v>63444.42</v>
      </c>
      <c r="F7" s="343">
        <v>64317.75</v>
      </c>
      <c r="G7" s="75"/>
      <c r="H7" s="1"/>
      <c r="I7" s="1"/>
      <c r="J7" s="1"/>
      <c r="K7" s="1"/>
      <c r="L7" s="1"/>
      <c r="M7" s="72"/>
    </row>
    <row r="8" spans="1:13" s="7" customFormat="1" ht="26.45" customHeight="1" x14ac:dyDescent="0.3">
      <c r="A8" s="104" t="s">
        <v>693</v>
      </c>
      <c r="B8" s="76">
        <v>547853</v>
      </c>
      <c r="C8" s="76">
        <v>548194</v>
      </c>
      <c r="D8" s="76">
        <v>544898</v>
      </c>
      <c r="E8" s="76">
        <v>547526</v>
      </c>
      <c r="F8" s="330">
        <v>547764</v>
      </c>
      <c r="G8" s="75"/>
      <c r="H8" s="1"/>
      <c r="I8" s="1"/>
      <c r="J8" s="1"/>
      <c r="K8" s="1"/>
      <c r="L8" s="1"/>
      <c r="M8" s="72"/>
    </row>
    <row r="9" spans="1:13" s="7" customFormat="1" ht="8.1" customHeight="1" x14ac:dyDescent="0.3">
      <c r="A9" s="77"/>
      <c r="B9" s="78"/>
      <c r="C9" s="78"/>
      <c r="D9" s="78"/>
      <c r="E9" s="78"/>
      <c r="F9" s="78"/>
      <c r="G9" s="1"/>
      <c r="H9" s="1"/>
      <c r="I9" s="1"/>
      <c r="J9" s="1"/>
      <c r="K9" s="1"/>
      <c r="L9" s="1"/>
    </row>
    <row r="10" spans="1:13" s="80" customFormat="1" ht="13.5" x14ac:dyDescent="0.3">
      <c r="A10" s="1024" t="s">
        <v>794</v>
      </c>
      <c r="B10" s="1024"/>
      <c r="C10" s="1024"/>
      <c r="D10" s="1024"/>
      <c r="E10" s="1024"/>
      <c r="F10" s="1024"/>
      <c r="G10" s="79"/>
      <c r="H10" s="44"/>
      <c r="I10" s="44"/>
      <c r="J10" s="44"/>
      <c r="K10" s="44"/>
      <c r="L10" s="44"/>
    </row>
    <row r="11" spans="1:13" s="7" customFormat="1" ht="13.5" x14ac:dyDescent="0.3">
      <c r="A11" s="1"/>
      <c r="B11" s="48"/>
      <c r="C11" s="48"/>
      <c r="D11" s="48"/>
      <c r="E11" s="48"/>
      <c r="F11" s="48"/>
      <c r="G11" s="1"/>
      <c r="H11" s="1"/>
      <c r="I11" s="1"/>
      <c r="J11" s="1"/>
      <c r="K11" s="1"/>
      <c r="L11" s="1"/>
    </row>
    <row r="12" spans="1:13" x14ac:dyDescent="0.3">
      <c r="A12" s="1"/>
      <c r="B12" s="48"/>
      <c r="C12" s="48"/>
      <c r="D12" s="48"/>
      <c r="E12" s="48"/>
      <c r="F12" s="48"/>
      <c r="G12" s="5"/>
      <c r="H12" s="5"/>
      <c r="I12" s="5"/>
      <c r="J12" s="5"/>
      <c r="K12" s="5"/>
      <c r="L12" s="5"/>
    </row>
    <row r="13" spans="1:13" s="7" customFormat="1" ht="15.75" customHeight="1" x14ac:dyDescent="0.3">
      <c r="A13" s="101" t="s">
        <v>700</v>
      </c>
      <c r="B13" s="70"/>
      <c r="C13" s="70"/>
      <c r="D13" s="70"/>
      <c r="E13" s="70"/>
      <c r="F13" s="71"/>
      <c r="G13" s="75"/>
      <c r="H13" s="1"/>
      <c r="I13" s="1"/>
      <c r="J13" s="1"/>
      <c r="K13" s="1"/>
      <c r="L13" s="1"/>
      <c r="M13" s="72"/>
    </row>
    <row r="14" spans="1:13" s="7" customFormat="1" ht="13.5" customHeight="1" x14ac:dyDescent="0.3">
      <c r="A14" s="1084" t="s">
        <v>701</v>
      </c>
      <c r="B14" s="1085"/>
      <c r="C14" s="1085"/>
      <c r="D14" s="1085"/>
      <c r="E14" s="1085"/>
      <c r="F14" s="330">
        <v>1</v>
      </c>
      <c r="G14" s="75"/>
      <c r="H14" s="1"/>
      <c r="I14" s="1"/>
      <c r="J14" s="1"/>
      <c r="K14" s="1"/>
      <c r="L14" s="1"/>
      <c r="M14" s="72"/>
    </row>
    <row r="15" spans="1:13" s="7" customFormat="1" ht="13.5" customHeight="1" x14ac:dyDescent="0.3">
      <c r="A15" s="1086" t="s">
        <v>702</v>
      </c>
      <c r="B15" s="1087"/>
      <c r="C15" s="1087"/>
      <c r="D15" s="1087"/>
      <c r="E15" s="1087"/>
      <c r="F15" s="398">
        <v>1</v>
      </c>
      <c r="G15" s="75"/>
      <c r="H15" s="1"/>
      <c r="I15" s="1"/>
      <c r="J15" s="1"/>
      <c r="K15" s="1"/>
      <c r="L15" s="1"/>
      <c r="M15" s="72"/>
    </row>
    <row r="16" spans="1:13" s="331" customFormat="1" ht="13.5" customHeight="1" x14ac:dyDescent="0.2">
      <c r="A16" s="1024" t="s">
        <v>703</v>
      </c>
      <c r="B16" s="1024"/>
      <c r="C16" s="1024"/>
      <c r="D16" s="1024"/>
      <c r="E16" s="1024"/>
      <c r="F16" s="1024"/>
      <c r="G16" s="320"/>
      <c r="H16" s="320"/>
      <c r="I16" s="320"/>
      <c r="J16" s="320"/>
      <c r="K16" s="320"/>
      <c r="L16" s="320"/>
    </row>
    <row r="17" spans="1:12" s="331" customFormat="1" ht="10.15" customHeight="1" x14ac:dyDescent="0.2">
      <c r="A17" s="1024"/>
      <c r="B17" s="1024"/>
      <c r="C17" s="1024"/>
      <c r="D17" s="1024"/>
      <c r="E17" s="1024"/>
      <c r="F17" s="1024"/>
      <c r="G17" s="320"/>
      <c r="H17" s="320"/>
      <c r="I17" s="320"/>
      <c r="J17" s="320"/>
      <c r="K17" s="320"/>
      <c r="L17" s="320"/>
    </row>
    <row r="18" spans="1:12" x14ac:dyDescent="0.3">
      <c r="A18" s="1"/>
      <c r="B18" s="48"/>
      <c r="C18" s="48"/>
      <c r="D18" s="48"/>
      <c r="E18" s="48"/>
      <c r="F18" s="48"/>
      <c r="G18" s="5"/>
      <c r="H18" s="5"/>
      <c r="I18" s="5"/>
      <c r="J18" s="5"/>
      <c r="K18" s="5"/>
      <c r="L18" s="5"/>
    </row>
    <row r="19" spans="1:12" x14ac:dyDescent="0.3">
      <c r="A19" s="1"/>
      <c r="B19" s="48"/>
      <c r="C19" s="48"/>
      <c r="D19" s="48"/>
      <c r="E19" s="48"/>
      <c r="F19" s="48"/>
      <c r="G19" s="5"/>
      <c r="H19" s="5"/>
      <c r="I19" s="5"/>
      <c r="J19" s="5"/>
      <c r="K19" s="5"/>
      <c r="L19" s="5"/>
    </row>
    <row r="20" spans="1:12" x14ac:dyDescent="0.3">
      <c r="A20" s="1"/>
      <c r="B20" s="48"/>
      <c r="C20" s="48"/>
      <c r="D20" s="48"/>
      <c r="E20" s="48"/>
      <c r="F20" s="48"/>
      <c r="G20" s="5"/>
      <c r="H20" s="5"/>
      <c r="I20" s="5"/>
      <c r="J20" s="5"/>
      <c r="K20" s="5"/>
      <c r="L20" s="5"/>
    </row>
    <row r="21" spans="1:12" x14ac:dyDescent="0.3">
      <c r="A21" s="1"/>
      <c r="B21" s="48"/>
      <c r="C21" s="48"/>
      <c r="D21" s="48"/>
      <c r="E21" s="48"/>
      <c r="F21" s="48"/>
      <c r="G21" s="5"/>
      <c r="H21" s="5"/>
      <c r="I21" s="5"/>
      <c r="J21" s="5"/>
      <c r="K21" s="5"/>
      <c r="L21" s="5"/>
    </row>
    <row r="22" spans="1:12" x14ac:dyDescent="0.3">
      <c r="A22" s="1"/>
      <c r="B22" s="48"/>
      <c r="C22" s="48"/>
      <c r="D22" s="48"/>
      <c r="E22" s="48"/>
      <c r="F22" s="48"/>
      <c r="G22" s="5"/>
      <c r="H22" s="5"/>
      <c r="I22" s="5"/>
      <c r="J22" s="5"/>
      <c r="K22" s="5"/>
      <c r="L22" s="5"/>
    </row>
    <row r="23" spans="1:12" x14ac:dyDescent="0.3">
      <c r="A23" s="1"/>
      <c r="B23" s="48"/>
      <c r="C23" s="48"/>
      <c r="D23" s="48"/>
      <c r="E23" s="48"/>
      <c r="F23" s="48"/>
      <c r="G23" s="5"/>
      <c r="H23" s="5"/>
      <c r="I23" s="5"/>
      <c r="J23" s="5"/>
      <c r="K23" s="5"/>
      <c r="L23" s="5"/>
    </row>
    <row r="24" spans="1:12" x14ac:dyDescent="0.3">
      <c r="A24" s="1"/>
      <c r="B24" s="48"/>
      <c r="C24" s="48"/>
      <c r="D24" s="48"/>
      <c r="E24" s="48"/>
      <c r="F24" s="48"/>
      <c r="G24" s="5"/>
      <c r="H24" s="5"/>
      <c r="I24" s="5"/>
      <c r="J24" s="5"/>
      <c r="K24" s="5"/>
      <c r="L24" s="5"/>
    </row>
    <row r="25" spans="1:12" x14ac:dyDescent="0.3">
      <c r="A25" s="1"/>
      <c r="B25" s="48"/>
      <c r="C25" s="48"/>
      <c r="D25" s="48"/>
      <c r="E25" s="48"/>
      <c r="F25" s="48"/>
      <c r="G25" s="5"/>
      <c r="H25" s="5"/>
      <c r="I25" s="5"/>
      <c r="J25" s="5"/>
      <c r="K25" s="5"/>
      <c r="L25" s="5"/>
    </row>
    <row r="26" spans="1:12" x14ac:dyDescent="0.3">
      <c r="A26" s="1"/>
      <c r="B26" s="48"/>
      <c r="C26" s="48"/>
      <c r="D26" s="48"/>
      <c r="E26" s="48"/>
      <c r="F26" s="48"/>
      <c r="G26" s="5"/>
      <c r="H26" s="5"/>
      <c r="I26" s="5"/>
      <c r="J26" s="5"/>
      <c r="K26" s="5"/>
      <c r="L26" s="5"/>
    </row>
    <row r="27" spans="1:12" x14ac:dyDescent="0.3">
      <c r="A27" s="1"/>
      <c r="B27" s="48"/>
      <c r="C27" s="48"/>
      <c r="D27" s="48"/>
      <c r="E27" s="48"/>
      <c r="F27" s="48"/>
      <c r="G27" s="5"/>
      <c r="H27" s="5"/>
      <c r="I27" s="5"/>
      <c r="J27" s="5"/>
      <c r="K27" s="5"/>
      <c r="L27" s="5"/>
    </row>
    <row r="28" spans="1:12" x14ac:dyDescent="0.3">
      <c r="A28" s="1"/>
      <c r="B28" s="48"/>
      <c r="C28" s="48"/>
      <c r="D28" s="48"/>
      <c r="E28" s="48"/>
      <c r="F28" s="48"/>
      <c r="G28" s="5"/>
      <c r="H28" s="5"/>
      <c r="I28" s="5"/>
      <c r="J28" s="5"/>
      <c r="K28" s="5"/>
      <c r="L28" s="5"/>
    </row>
    <row r="29" spans="1:12" x14ac:dyDescent="0.3">
      <c r="A29" s="1"/>
      <c r="B29" s="48"/>
      <c r="C29" s="48"/>
      <c r="D29" s="48"/>
      <c r="E29" s="48"/>
      <c r="F29" s="48"/>
      <c r="G29" s="5"/>
      <c r="H29" s="5"/>
      <c r="I29" s="5"/>
      <c r="J29" s="5"/>
      <c r="K29" s="5"/>
      <c r="L29" s="5"/>
    </row>
    <row r="30" spans="1:12" x14ac:dyDescent="0.3">
      <c r="A30" s="1"/>
      <c r="B30" s="48"/>
      <c r="C30" s="48"/>
      <c r="D30" s="48"/>
      <c r="E30" s="48"/>
      <c r="F30" s="48"/>
      <c r="G30" s="5"/>
      <c r="H30" s="5"/>
      <c r="I30" s="5"/>
      <c r="J30" s="5"/>
      <c r="K30" s="5"/>
      <c r="L30" s="5"/>
    </row>
    <row r="31" spans="1:12" x14ac:dyDescent="0.3">
      <c r="A31" s="1"/>
      <c r="B31" s="48"/>
      <c r="C31" s="48"/>
      <c r="D31" s="48"/>
      <c r="E31" s="48"/>
      <c r="F31" s="48"/>
      <c r="G31" s="5"/>
      <c r="H31" s="5"/>
      <c r="I31" s="5"/>
      <c r="J31" s="5"/>
      <c r="K31" s="5"/>
      <c r="L31" s="5"/>
    </row>
    <row r="32" spans="1:12" x14ac:dyDescent="0.3">
      <c r="A32" s="1"/>
      <c r="B32" s="48"/>
      <c r="C32" s="48"/>
      <c r="D32" s="48"/>
      <c r="E32" s="48"/>
      <c r="F32" s="48"/>
      <c r="G32" s="5"/>
      <c r="H32" s="5"/>
      <c r="I32" s="5"/>
      <c r="J32" s="5"/>
      <c r="K32" s="5"/>
      <c r="L32" s="5"/>
    </row>
    <row r="33" spans="1:12" x14ac:dyDescent="0.3">
      <c r="A33" s="1"/>
      <c r="B33" s="48"/>
      <c r="C33" s="48"/>
      <c r="D33" s="48"/>
      <c r="E33" s="48"/>
      <c r="F33" s="48"/>
      <c r="G33" s="5"/>
      <c r="H33" s="5"/>
      <c r="I33" s="5"/>
      <c r="J33" s="5"/>
      <c r="K33" s="5"/>
      <c r="L33" s="5"/>
    </row>
    <row r="34" spans="1:12" x14ac:dyDescent="0.3">
      <c r="A34" s="1"/>
      <c r="B34" s="48"/>
      <c r="C34" s="48"/>
      <c r="D34" s="48"/>
      <c r="E34" s="48"/>
      <c r="F34" s="48"/>
      <c r="G34" s="5"/>
      <c r="H34" s="5"/>
      <c r="I34" s="5"/>
      <c r="J34" s="5"/>
      <c r="K34" s="5"/>
      <c r="L34" s="5"/>
    </row>
    <row r="35" spans="1:12" x14ac:dyDescent="0.3">
      <c r="A35" s="1"/>
      <c r="B35" s="48"/>
      <c r="C35" s="48"/>
      <c r="D35" s="48"/>
      <c r="E35" s="48"/>
      <c r="F35" s="48"/>
      <c r="G35" s="5"/>
      <c r="H35" s="5"/>
      <c r="I35" s="5"/>
      <c r="J35" s="5"/>
      <c r="K35" s="5"/>
      <c r="L35" s="5"/>
    </row>
    <row r="36" spans="1:12" x14ac:dyDescent="0.3">
      <c r="A36" s="1"/>
      <c r="B36" s="48"/>
      <c r="C36" s="48"/>
      <c r="D36" s="48"/>
      <c r="E36" s="48"/>
      <c r="F36" s="48"/>
      <c r="G36" s="5"/>
      <c r="H36" s="5"/>
      <c r="I36" s="5"/>
      <c r="J36" s="5"/>
      <c r="K36" s="5"/>
      <c r="L36" s="5"/>
    </row>
    <row r="37" spans="1:12" x14ac:dyDescent="0.3">
      <c r="A37" s="1"/>
      <c r="B37" s="48"/>
      <c r="C37" s="48"/>
      <c r="D37" s="48"/>
      <c r="E37" s="48"/>
      <c r="F37" s="48"/>
      <c r="G37" s="5"/>
      <c r="H37" s="5"/>
      <c r="I37" s="5"/>
      <c r="J37" s="5"/>
      <c r="K37" s="5"/>
      <c r="L37" s="5"/>
    </row>
    <row r="38" spans="1:12" x14ac:dyDescent="0.3">
      <c r="A38" s="1"/>
      <c r="B38" s="48"/>
      <c r="C38" s="48"/>
      <c r="D38" s="48"/>
      <c r="E38" s="48"/>
      <c r="F38" s="48"/>
      <c r="G38" s="5"/>
      <c r="H38" s="5"/>
      <c r="I38" s="5"/>
      <c r="J38" s="5"/>
      <c r="K38" s="5"/>
      <c r="L38" s="5"/>
    </row>
    <row r="39" spans="1:12" x14ac:dyDescent="0.3">
      <c r="A39" s="1"/>
      <c r="B39" s="48"/>
      <c r="C39" s="48"/>
      <c r="D39" s="48"/>
      <c r="E39" s="48"/>
      <c r="F39" s="48"/>
      <c r="G39" s="5"/>
      <c r="H39" s="5"/>
      <c r="I39" s="5"/>
      <c r="J39" s="5"/>
      <c r="K39" s="5"/>
      <c r="L39" s="5"/>
    </row>
    <row r="40" spans="1:12" x14ac:dyDescent="0.3">
      <c r="A40" s="1"/>
      <c r="B40" s="48"/>
      <c r="C40" s="48"/>
      <c r="D40" s="48"/>
      <c r="E40" s="48"/>
      <c r="F40" s="48"/>
      <c r="G40" s="5"/>
      <c r="H40" s="5"/>
      <c r="I40" s="5"/>
      <c r="J40" s="5"/>
      <c r="K40" s="5"/>
      <c r="L40" s="5"/>
    </row>
    <row r="41" spans="1:12" x14ac:dyDescent="0.3">
      <c r="A41" s="1"/>
      <c r="B41" s="48"/>
      <c r="C41" s="48"/>
      <c r="D41" s="48"/>
      <c r="E41" s="48"/>
      <c r="F41" s="48"/>
      <c r="G41" s="5"/>
      <c r="H41" s="5"/>
      <c r="I41" s="5"/>
      <c r="J41" s="5"/>
      <c r="K41" s="5"/>
      <c r="L41" s="5"/>
    </row>
    <row r="42" spans="1:12" x14ac:dyDescent="0.3">
      <c r="A42" s="1"/>
      <c r="B42" s="48"/>
      <c r="C42" s="48"/>
      <c r="D42" s="48"/>
      <c r="E42" s="48"/>
      <c r="F42" s="48"/>
      <c r="G42" s="5"/>
      <c r="H42" s="5"/>
      <c r="I42" s="5"/>
      <c r="J42" s="5"/>
      <c r="K42" s="5"/>
      <c r="L42" s="5"/>
    </row>
    <row r="43" spans="1:12" x14ac:dyDescent="0.3">
      <c r="A43" s="1"/>
      <c r="B43" s="48"/>
      <c r="C43" s="48"/>
      <c r="D43" s="48"/>
      <c r="E43" s="48"/>
      <c r="F43" s="48"/>
      <c r="G43" s="5"/>
      <c r="H43" s="5"/>
      <c r="I43" s="5"/>
      <c r="J43" s="5"/>
      <c r="K43" s="5"/>
      <c r="L43" s="5"/>
    </row>
    <row r="44" spans="1:12" x14ac:dyDescent="0.3">
      <c r="A44" s="1"/>
      <c r="B44" s="48"/>
      <c r="C44" s="48"/>
      <c r="D44" s="48"/>
      <c r="E44" s="48"/>
      <c r="F44" s="48"/>
      <c r="G44" s="5"/>
      <c r="H44" s="5"/>
      <c r="I44" s="5"/>
      <c r="J44" s="5"/>
      <c r="K44" s="5"/>
      <c r="L44" s="5"/>
    </row>
    <row r="45" spans="1:12" x14ac:dyDescent="0.3">
      <c r="A45" s="1"/>
      <c r="B45" s="48"/>
      <c r="C45" s="48"/>
      <c r="D45" s="48"/>
      <c r="E45" s="48"/>
      <c r="F45" s="48"/>
      <c r="G45" s="5"/>
      <c r="H45" s="5"/>
      <c r="I45" s="5"/>
      <c r="J45" s="5"/>
      <c r="K45" s="5"/>
      <c r="L45" s="5"/>
    </row>
    <row r="46" spans="1:12" x14ac:dyDescent="0.3">
      <c r="A46" s="1"/>
      <c r="B46" s="48"/>
      <c r="C46" s="48"/>
      <c r="D46" s="48"/>
      <c r="E46" s="48"/>
      <c r="F46" s="48"/>
      <c r="G46" s="5"/>
      <c r="H46" s="5"/>
      <c r="I46" s="5"/>
      <c r="J46" s="5"/>
      <c r="K46" s="5"/>
      <c r="L46" s="5"/>
    </row>
    <row r="47" spans="1:12" x14ac:dyDescent="0.3">
      <c r="A47" s="1"/>
      <c r="B47" s="48"/>
      <c r="C47" s="48"/>
      <c r="D47" s="48"/>
      <c r="E47" s="48"/>
      <c r="F47" s="48"/>
      <c r="G47" s="5"/>
      <c r="H47" s="5"/>
      <c r="I47" s="5"/>
      <c r="J47" s="5"/>
      <c r="K47" s="5"/>
      <c r="L47" s="5"/>
    </row>
    <row r="48" spans="1:12" x14ac:dyDescent="0.3">
      <c r="A48" s="1"/>
      <c r="B48" s="48"/>
      <c r="C48" s="48"/>
      <c r="D48" s="48"/>
      <c r="E48" s="48"/>
      <c r="F48" s="48"/>
      <c r="G48" s="5"/>
      <c r="H48" s="5"/>
      <c r="I48" s="5"/>
      <c r="J48" s="5"/>
      <c r="K48" s="5"/>
      <c r="L48" s="5"/>
    </row>
    <row r="49" spans="1:12" x14ac:dyDescent="0.3">
      <c r="A49" s="1"/>
      <c r="B49" s="48"/>
      <c r="C49" s="48"/>
      <c r="D49" s="48"/>
      <c r="E49" s="48"/>
      <c r="F49" s="48"/>
      <c r="G49" s="5"/>
      <c r="H49" s="5"/>
      <c r="I49" s="5"/>
      <c r="J49" s="5"/>
      <c r="K49" s="5"/>
      <c r="L49" s="5"/>
    </row>
    <row r="50" spans="1:12" x14ac:dyDescent="0.3">
      <c r="A50" s="1"/>
      <c r="B50" s="48"/>
      <c r="C50" s="48"/>
      <c r="D50" s="48"/>
      <c r="E50" s="48"/>
      <c r="F50" s="48"/>
      <c r="G50" s="5"/>
      <c r="H50" s="5"/>
      <c r="I50" s="5"/>
      <c r="J50" s="5"/>
      <c r="K50" s="5"/>
      <c r="L50" s="5"/>
    </row>
    <row r="51" spans="1:12" x14ac:dyDescent="0.3">
      <c r="A51" s="1"/>
      <c r="B51" s="48"/>
      <c r="C51" s="48"/>
      <c r="D51" s="48"/>
      <c r="E51" s="48"/>
      <c r="F51" s="48"/>
      <c r="G51" s="5"/>
      <c r="H51" s="5"/>
      <c r="I51" s="5"/>
      <c r="J51" s="5"/>
      <c r="K51" s="5"/>
      <c r="L51" s="5"/>
    </row>
    <row r="52" spans="1:12" x14ac:dyDescent="0.3">
      <c r="A52" s="1"/>
      <c r="B52" s="48"/>
      <c r="C52" s="48"/>
      <c r="D52" s="48"/>
      <c r="E52" s="48"/>
      <c r="F52" s="48"/>
      <c r="G52" s="5"/>
      <c r="H52" s="5"/>
      <c r="I52" s="5"/>
      <c r="J52" s="5"/>
      <c r="K52" s="5"/>
      <c r="L52" s="5"/>
    </row>
    <row r="53" spans="1:12" x14ac:dyDescent="0.3">
      <c r="A53" s="1"/>
      <c r="B53" s="48"/>
      <c r="C53" s="48"/>
      <c r="D53" s="48"/>
      <c r="E53" s="48"/>
      <c r="F53" s="48"/>
      <c r="G53" s="5"/>
      <c r="H53" s="5"/>
      <c r="I53" s="5"/>
      <c r="J53" s="5"/>
      <c r="K53" s="5"/>
      <c r="L53" s="5"/>
    </row>
    <row r="54" spans="1:12" x14ac:dyDescent="0.3">
      <c r="A54" s="1"/>
      <c r="B54" s="48"/>
      <c r="C54" s="48"/>
      <c r="D54" s="48"/>
      <c r="E54" s="48"/>
      <c r="F54" s="48"/>
      <c r="G54" s="5"/>
      <c r="H54" s="5"/>
      <c r="I54" s="5"/>
      <c r="J54" s="5"/>
      <c r="K54" s="5"/>
      <c r="L54" s="5"/>
    </row>
    <row r="55" spans="1:12" x14ac:dyDescent="0.3">
      <c r="A55" s="1"/>
      <c r="B55" s="48"/>
      <c r="C55" s="48"/>
      <c r="D55" s="48"/>
      <c r="E55" s="48"/>
      <c r="F55" s="48"/>
      <c r="G55" s="5"/>
      <c r="H55" s="5"/>
      <c r="I55" s="5"/>
      <c r="J55" s="5"/>
      <c r="K55" s="5"/>
      <c r="L55" s="5"/>
    </row>
    <row r="56" spans="1:12" x14ac:dyDescent="0.3">
      <c r="A56" s="1"/>
      <c r="B56" s="48"/>
      <c r="C56" s="48"/>
      <c r="D56" s="48"/>
      <c r="E56" s="48"/>
      <c r="F56" s="48"/>
      <c r="G56" s="5"/>
      <c r="H56" s="5"/>
      <c r="I56" s="5"/>
      <c r="J56" s="5"/>
      <c r="K56" s="5"/>
      <c r="L56" s="5"/>
    </row>
    <row r="57" spans="1:12" x14ac:dyDescent="0.3">
      <c r="A57" s="1"/>
      <c r="B57" s="48"/>
      <c r="C57" s="48"/>
      <c r="D57" s="48"/>
      <c r="E57" s="48"/>
      <c r="F57" s="48"/>
      <c r="G57" s="5"/>
      <c r="H57" s="5"/>
      <c r="I57" s="5"/>
      <c r="J57" s="5"/>
      <c r="K57" s="5"/>
      <c r="L57" s="5"/>
    </row>
    <row r="58" spans="1:12" x14ac:dyDescent="0.3">
      <c r="A58" s="1"/>
      <c r="B58" s="48"/>
      <c r="C58" s="48"/>
      <c r="D58" s="48"/>
      <c r="E58" s="48"/>
      <c r="F58" s="48"/>
      <c r="G58" s="5"/>
      <c r="H58" s="5"/>
      <c r="I58" s="5"/>
      <c r="J58" s="5"/>
      <c r="K58" s="5"/>
      <c r="L58" s="5"/>
    </row>
    <row r="59" spans="1:12" x14ac:dyDescent="0.3">
      <c r="A59" s="1"/>
      <c r="B59" s="48"/>
      <c r="C59" s="48"/>
      <c r="D59" s="48"/>
      <c r="E59" s="48"/>
      <c r="F59" s="48"/>
      <c r="G59" s="5"/>
      <c r="H59" s="5"/>
      <c r="I59" s="5"/>
      <c r="J59" s="5"/>
      <c r="K59" s="5"/>
      <c r="L59" s="5"/>
    </row>
    <row r="60" spans="1:12" x14ac:dyDescent="0.3">
      <c r="A60" s="1"/>
      <c r="B60" s="48"/>
      <c r="C60" s="48"/>
      <c r="D60" s="48"/>
      <c r="E60" s="48"/>
      <c r="F60" s="48"/>
      <c r="G60" s="5"/>
      <c r="H60" s="5"/>
      <c r="I60" s="5"/>
      <c r="J60" s="5"/>
      <c r="K60" s="5"/>
      <c r="L60" s="5"/>
    </row>
    <row r="61" spans="1:12" x14ac:dyDescent="0.3">
      <c r="A61" s="1"/>
      <c r="B61" s="48"/>
      <c r="C61" s="48"/>
      <c r="D61" s="48"/>
      <c r="E61" s="48"/>
      <c r="F61" s="48"/>
      <c r="G61" s="5"/>
      <c r="H61" s="5"/>
      <c r="I61" s="5"/>
      <c r="J61" s="5"/>
      <c r="K61" s="5"/>
      <c r="L61" s="5"/>
    </row>
    <row r="62" spans="1:12" x14ac:dyDescent="0.3">
      <c r="A62" s="1"/>
      <c r="B62" s="48"/>
      <c r="C62" s="48"/>
      <c r="D62" s="48"/>
      <c r="E62" s="48"/>
      <c r="F62" s="48"/>
      <c r="G62" s="5"/>
      <c r="H62" s="5"/>
      <c r="I62" s="5"/>
      <c r="J62" s="5"/>
      <c r="K62" s="5"/>
      <c r="L62" s="5"/>
    </row>
    <row r="63" spans="1:12" x14ac:dyDescent="0.3">
      <c r="A63" s="1"/>
      <c r="B63" s="48"/>
      <c r="C63" s="48"/>
      <c r="D63" s="48"/>
      <c r="E63" s="48"/>
      <c r="F63" s="48"/>
      <c r="G63" s="5"/>
      <c r="H63" s="5"/>
      <c r="I63" s="5"/>
      <c r="J63" s="5"/>
      <c r="K63" s="5"/>
      <c r="L63" s="5"/>
    </row>
    <row r="64" spans="1:12" x14ac:dyDescent="0.3">
      <c r="A64" s="1"/>
      <c r="B64" s="48"/>
      <c r="C64" s="48"/>
      <c r="D64" s="48"/>
      <c r="E64" s="48"/>
      <c r="F64" s="48"/>
      <c r="G64" s="5"/>
      <c r="H64" s="5"/>
      <c r="I64" s="5"/>
      <c r="J64" s="5"/>
      <c r="K64" s="5"/>
      <c r="L64" s="5"/>
    </row>
    <row r="65" spans="1:12" x14ac:dyDescent="0.3">
      <c r="A65" s="1"/>
      <c r="B65" s="48"/>
      <c r="C65" s="48"/>
      <c r="D65" s="48"/>
      <c r="E65" s="48"/>
      <c r="F65" s="48"/>
      <c r="G65" s="5"/>
      <c r="H65" s="5"/>
      <c r="I65" s="5"/>
      <c r="J65" s="5"/>
      <c r="K65" s="5"/>
      <c r="L65" s="5"/>
    </row>
    <row r="66" spans="1:12" x14ac:dyDescent="0.3">
      <c r="A66" s="1"/>
      <c r="B66" s="48"/>
      <c r="C66" s="48"/>
      <c r="D66" s="48"/>
      <c r="E66" s="48"/>
      <c r="F66" s="48"/>
      <c r="G66" s="5"/>
      <c r="H66" s="5"/>
      <c r="I66" s="5"/>
      <c r="J66" s="5"/>
      <c r="K66" s="5"/>
      <c r="L66" s="5"/>
    </row>
    <row r="67" spans="1:12" x14ac:dyDescent="0.3">
      <c r="A67" s="1"/>
      <c r="B67" s="48"/>
      <c r="C67" s="48"/>
      <c r="D67" s="48"/>
      <c r="E67" s="48"/>
      <c r="F67" s="48"/>
      <c r="G67" s="5"/>
      <c r="H67" s="5"/>
      <c r="I67" s="5"/>
      <c r="J67" s="5"/>
      <c r="K67" s="5"/>
      <c r="L67" s="5"/>
    </row>
    <row r="68" spans="1:12" x14ac:dyDescent="0.3">
      <c r="A68" s="1"/>
      <c r="B68" s="48"/>
      <c r="C68" s="48"/>
      <c r="D68" s="48"/>
      <c r="E68" s="48"/>
      <c r="F68" s="48"/>
      <c r="G68" s="5"/>
      <c r="H68" s="5"/>
      <c r="I68" s="5"/>
      <c r="J68" s="5"/>
      <c r="K68" s="5"/>
      <c r="L68" s="5"/>
    </row>
    <row r="69" spans="1:12" x14ac:dyDescent="0.3">
      <c r="A69" s="1"/>
      <c r="B69" s="48"/>
      <c r="C69" s="48"/>
      <c r="D69" s="48"/>
      <c r="E69" s="48"/>
      <c r="F69" s="48"/>
      <c r="G69" s="5"/>
      <c r="H69" s="5"/>
      <c r="I69" s="5"/>
      <c r="J69" s="5"/>
      <c r="K69" s="5"/>
      <c r="L69" s="5"/>
    </row>
    <row r="70" spans="1:12" x14ac:dyDescent="0.3">
      <c r="A70" s="1"/>
      <c r="B70" s="48"/>
      <c r="C70" s="48"/>
      <c r="D70" s="48"/>
      <c r="E70" s="48"/>
      <c r="F70" s="48"/>
      <c r="G70" s="5"/>
      <c r="H70" s="5"/>
      <c r="I70" s="5"/>
      <c r="J70" s="5"/>
      <c r="K70" s="5"/>
      <c r="L70" s="5"/>
    </row>
    <row r="71" spans="1:12" x14ac:dyDescent="0.3">
      <c r="A71" s="1"/>
      <c r="B71" s="48"/>
      <c r="C71" s="48"/>
      <c r="D71" s="48"/>
      <c r="E71" s="48"/>
      <c r="F71" s="48"/>
      <c r="G71" s="5"/>
      <c r="H71" s="5"/>
      <c r="I71" s="5"/>
      <c r="J71" s="5"/>
      <c r="K71" s="5"/>
      <c r="L71" s="5"/>
    </row>
    <row r="72" spans="1:12" x14ac:dyDescent="0.3">
      <c r="A72" s="1"/>
      <c r="B72" s="48"/>
      <c r="C72" s="48"/>
      <c r="D72" s="48"/>
      <c r="E72" s="48"/>
      <c r="F72" s="48"/>
      <c r="G72" s="5"/>
      <c r="H72" s="5"/>
      <c r="I72" s="5"/>
      <c r="J72" s="5"/>
      <c r="K72" s="5"/>
      <c r="L72" s="5"/>
    </row>
    <row r="73" spans="1:12" x14ac:dyDescent="0.3">
      <c r="A73" s="1"/>
      <c r="B73" s="48"/>
      <c r="C73" s="48"/>
      <c r="D73" s="48"/>
      <c r="E73" s="48"/>
      <c r="F73" s="48"/>
      <c r="G73" s="5"/>
      <c r="H73" s="5"/>
      <c r="I73" s="5"/>
      <c r="J73" s="5"/>
      <c r="K73" s="5"/>
      <c r="L73" s="5"/>
    </row>
    <row r="74" spans="1:12" x14ac:dyDescent="0.3">
      <c r="A74" s="1"/>
      <c r="B74" s="48"/>
      <c r="C74" s="48"/>
      <c r="D74" s="48"/>
      <c r="E74" s="48"/>
      <c r="F74" s="48"/>
      <c r="G74" s="5"/>
      <c r="H74" s="5"/>
      <c r="I74" s="5"/>
      <c r="J74" s="5"/>
      <c r="K74" s="5"/>
      <c r="L74" s="5"/>
    </row>
    <row r="75" spans="1:12" x14ac:dyDescent="0.3">
      <c r="A75" s="1"/>
      <c r="B75" s="48"/>
      <c r="C75" s="48"/>
      <c r="D75" s="48"/>
      <c r="E75" s="48"/>
      <c r="F75" s="48"/>
      <c r="G75" s="5"/>
      <c r="H75" s="5"/>
      <c r="I75" s="5"/>
      <c r="J75" s="5"/>
      <c r="K75" s="5"/>
      <c r="L75" s="5"/>
    </row>
    <row r="76" spans="1:12" x14ac:dyDescent="0.3">
      <c r="A76" s="1"/>
      <c r="B76" s="48"/>
      <c r="C76" s="48"/>
      <c r="D76" s="48"/>
      <c r="E76" s="48"/>
      <c r="F76" s="48"/>
      <c r="G76" s="5"/>
      <c r="H76" s="5"/>
      <c r="I76" s="5"/>
      <c r="J76" s="5"/>
      <c r="K76" s="5"/>
      <c r="L76" s="5"/>
    </row>
    <row r="77" spans="1:12" x14ac:dyDescent="0.3">
      <c r="A77" s="1"/>
      <c r="B77" s="48"/>
      <c r="C77" s="48"/>
      <c r="D77" s="48"/>
      <c r="E77" s="48"/>
      <c r="F77" s="48"/>
      <c r="G77" s="5"/>
      <c r="H77" s="5"/>
      <c r="I77" s="5"/>
      <c r="J77" s="5"/>
      <c r="K77" s="5"/>
      <c r="L77" s="5"/>
    </row>
    <row r="78" spans="1:12" x14ac:dyDescent="0.3">
      <c r="A78" s="1"/>
      <c r="B78" s="48"/>
      <c r="C78" s="48"/>
      <c r="D78" s="48"/>
      <c r="E78" s="48"/>
      <c r="F78" s="48"/>
      <c r="G78" s="5"/>
      <c r="H78" s="5"/>
      <c r="I78" s="5"/>
      <c r="J78" s="5"/>
      <c r="K78" s="5"/>
      <c r="L78" s="5"/>
    </row>
    <row r="79" spans="1:12" x14ac:dyDescent="0.3">
      <c r="A79" s="1"/>
      <c r="B79" s="48"/>
      <c r="C79" s="48"/>
      <c r="D79" s="48"/>
      <c r="E79" s="48"/>
      <c r="F79" s="48"/>
      <c r="G79" s="5"/>
      <c r="H79" s="5"/>
      <c r="I79" s="5"/>
      <c r="J79" s="5"/>
      <c r="K79" s="5"/>
      <c r="L79" s="5"/>
    </row>
    <row r="80" spans="1:12" x14ac:dyDescent="0.3">
      <c r="A80" s="1"/>
      <c r="B80" s="48"/>
      <c r="C80" s="48"/>
      <c r="D80" s="48"/>
      <c r="E80" s="48"/>
      <c r="F80" s="48"/>
      <c r="G80" s="5"/>
      <c r="H80" s="5"/>
      <c r="I80" s="5"/>
      <c r="J80" s="5"/>
      <c r="K80" s="5"/>
      <c r="L80" s="5"/>
    </row>
    <row r="81" spans="1:12" x14ac:dyDescent="0.3">
      <c r="A81" s="1"/>
      <c r="B81" s="48"/>
      <c r="C81" s="48"/>
      <c r="D81" s="48"/>
      <c r="E81" s="48"/>
      <c r="F81" s="48"/>
      <c r="G81" s="5"/>
      <c r="H81" s="5"/>
      <c r="I81" s="5"/>
      <c r="J81" s="5"/>
      <c r="K81" s="5"/>
      <c r="L81" s="5"/>
    </row>
    <row r="82" spans="1:12" x14ac:dyDescent="0.3">
      <c r="A82" s="1"/>
      <c r="B82" s="48"/>
      <c r="C82" s="48"/>
      <c r="D82" s="48"/>
      <c r="E82" s="48"/>
      <c r="F82" s="48"/>
      <c r="G82" s="5"/>
      <c r="H82" s="5"/>
      <c r="I82" s="5"/>
      <c r="J82" s="5"/>
      <c r="K82" s="5"/>
      <c r="L82" s="5"/>
    </row>
    <row r="83" spans="1:12" x14ac:dyDescent="0.3">
      <c r="A83" s="1"/>
      <c r="B83" s="48"/>
      <c r="C83" s="48"/>
      <c r="D83" s="48"/>
      <c r="E83" s="48"/>
      <c r="F83" s="48"/>
      <c r="G83" s="5"/>
      <c r="H83" s="5"/>
      <c r="I83" s="5"/>
      <c r="J83" s="5"/>
      <c r="K83" s="5"/>
      <c r="L83" s="5"/>
    </row>
    <row r="84" spans="1:12" x14ac:dyDescent="0.3">
      <c r="A84" s="1"/>
      <c r="B84" s="48"/>
      <c r="C84" s="48"/>
      <c r="D84" s="48"/>
      <c r="E84" s="48"/>
      <c r="F84" s="48"/>
      <c r="G84" s="5"/>
      <c r="H84" s="5"/>
      <c r="I84" s="5"/>
      <c r="J84" s="5"/>
      <c r="K84" s="5"/>
      <c r="L84" s="5"/>
    </row>
    <row r="85" spans="1:12" x14ac:dyDescent="0.3">
      <c r="A85" s="1"/>
      <c r="B85" s="48"/>
      <c r="C85" s="48"/>
      <c r="D85" s="48"/>
      <c r="E85" s="48"/>
      <c r="F85" s="48"/>
      <c r="G85" s="5"/>
      <c r="H85" s="5"/>
      <c r="I85" s="5"/>
      <c r="J85" s="5"/>
      <c r="K85" s="5"/>
      <c r="L85" s="5"/>
    </row>
    <row r="86" spans="1:12" x14ac:dyDescent="0.3">
      <c r="A86" s="1"/>
      <c r="B86" s="48"/>
      <c r="C86" s="48"/>
      <c r="D86" s="48"/>
      <c r="E86" s="48"/>
      <c r="F86" s="48"/>
      <c r="G86" s="5"/>
      <c r="H86" s="5"/>
      <c r="I86" s="5"/>
      <c r="J86" s="5"/>
      <c r="K86" s="5"/>
      <c r="L86" s="5"/>
    </row>
    <row r="87" spans="1:12" x14ac:dyDescent="0.3">
      <c r="A87" s="1"/>
      <c r="B87" s="48"/>
      <c r="C87" s="48"/>
      <c r="D87" s="48"/>
      <c r="E87" s="48"/>
      <c r="F87" s="48"/>
      <c r="G87" s="5"/>
      <c r="H87" s="5"/>
      <c r="I87" s="5"/>
      <c r="J87" s="5"/>
      <c r="K87" s="5"/>
      <c r="L87" s="5"/>
    </row>
    <row r="88" spans="1:12" x14ac:dyDescent="0.3">
      <c r="A88" s="1"/>
      <c r="B88" s="48"/>
      <c r="C88" s="48"/>
      <c r="D88" s="48"/>
      <c r="E88" s="48"/>
      <c r="F88" s="48"/>
      <c r="G88" s="5"/>
      <c r="H88" s="5"/>
      <c r="I88" s="5"/>
      <c r="J88" s="5"/>
      <c r="K88" s="5"/>
      <c r="L88" s="5"/>
    </row>
    <row r="89" spans="1:12" x14ac:dyDescent="0.3">
      <c r="A89" s="1"/>
      <c r="B89" s="48"/>
      <c r="C89" s="48"/>
      <c r="D89" s="48"/>
      <c r="E89" s="48"/>
      <c r="F89" s="48"/>
      <c r="G89" s="5"/>
      <c r="H89" s="5"/>
      <c r="I89" s="5"/>
      <c r="J89" s="5"/>
      <c r="K89" s="5"/>
      <c r="L89" s="5"/>
    </row>
    <row r="90" spans="1:12" x14ac:dyDescent="0.3">
      <c r="A90" s="1"/>
      <c r="B90" s="48"/>
      <c r="C90" s="48"/>
      <c r="D90" s="48"/>
      <c r="E90" s="48"/>
      <c r="F90" s="48"/>
      <c r="G90" s="5"/>
      <c r="H90" s="5"/>
      <c r="I90" s="5"/>
      <c r="J90" s="5"/>
      <c r="K90" s="5"/>
      <c r="L90" s="5"/>
    </row>
    <row r="91" spans="1:12" x14ac:dyDescent="0.3">
      <c r="A91" s="1"/>
      <c r="B91" s="48"/>
      <c r="C91" s="48"/>
      <c r="D91" s="48"/>
      <c r="E91" s="48"/>
      <c r="F91" s="48"/>
      <c r="G91" s="5"/>
      <c r="H91" s="5"/>
      <c r="I91" s="5"/>
      <c r="J91" s="5"/>
      <c r="K91" s="5"/>
      <c r="L91" s="5"/>
    </row>
    <row r="92" spans="1:12" x14ac:dyDescent="0.3">
      <c r="A92" s="1"/>
      <c r="B92" s="48"/>
      <c r="C92" s="48"/>
      <c r="D92" s="48"/>
      <c r="E92" s="48"/>
      <c r="F92" s="48"/>
      <c r="G92" s="5"/>
      <c r="H92" s="5"/>
      <c r="I92" s="5"/>
      <c r="J92" s="5"/>
      <c r="K92" s="5"/>
      <c r="L92" s="5"/>
    </row>
    <row r="93" spans="1:12" x14ac:dyDescent="0.3">
      <c r="A93" s="1"/>
      <c r="B93" s="48"/>
      <c r="C93" s="48"/>
      <c r="D93" s="48"/>
      <c r="E93" s="48"/>
      <c r="F93" s="48"/>
      <c r="G93" s="5"/>
      <c r="H93" s="5"/>
      <c r="I93" s="5"/>
      <c r="J93" s="5"/>
      <c r="K93" s="5"/>
      <c r="L93" s="5"/>
    </row>
    <row r="94" spans="1:12" x14ac:dyDescent="0.3">
      <c r="A94" s="1"/>
      <c r="B94" s="48"/>
      <c r="C94" s="48"/>
      <c r="D94" s="48"/>
      <c r="E94" s="48"/>
      <c r="F94" s="48"/>
      <c r="G94" s="5"/>
      <c r="H94" s="5"/>
      <c r="I94" s="5"/>
      <c r="J94" s="5"/>
      <c r="K94" s="5"/>
      <c r="L94" s="5"/>
    </row>
    <row r="95" spans="1:12" x14ac:dyDescent="0.3">
      <c r="A95" s="1"/>
      <c r="B95" s="48"/>
      <c r="C95" s="48"/>
      <c r="D95" s="48"/>
      <c r="E95" s="48"/>
      <c r="F95" s="48"/>
      <c r="G95" s="5"/>
      <c r="H95" s="5"/>
      <c r="I95" s="5"/>
      <c r="J95" s="5"/>
      <c r="K95" s="5"/>
      <c r="L95" s="5"/>
    </row>
    <row r="96" spans="1:12" x14ac:dyDescent="0.3">
      <c r="A96" s="1"/>
      <c r="B96" s="48"/>
      <c r="C96" s="48"/>
      <c r="D96" s="48"/>
      <c r="E96" s="48"/>
      <c r="F96" s="48"/>
      <c r="G96" s="5"/>
      <c r="H96" s="5"/>
      <c r="I96" s="5"/>
      <c r="J96" s="5"/>
      <c r="K96" s="5"/>
      <c r="L96" s="5"/>
    </row>
  </sheetData>
  <sheetProtection algorithmName="SHA-512" hashValue="8yFs+eSkYbdhskS/Fcsyg1as6dtXHqTN2otst+yX7ksVVo6KBHAZUKDn++UWqmrmPXg2hO90ql+nsoOfYK4LmA==" saltValue="TLTQ9AgRNVkE4EL2atA5eQ==" spinCount="100000" sheet="1" objects="1" scenarios="1"/>
  <mergeCells count="4">
    <mergeCell ref="A10:F10"/>
    <mergeCell ref="A14:E14"/>
    <mergeCell ref="A15:E15"/>
    <mergeCell ref="A16:F17"/>
  </mergeCells>
  <printOptions horizontalCentered="1"/>
  <pageMargins left="0.25" right="0.25" top="0.75" bottom="0.75" header="0.3" footer="0.3"/>
  <pageSetup orientation="landscape" r:id="rId1"/>
  <headerFooter>
    <oddFooter>&amp;C&amp;"Century Gothic,Regular"&amp;9Page &amp;P of &amp;N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3C902-EEE7-4D5B-926E-1BBE32582D49}">
  <sheetPr codeName="Sheet15">
    <pageSetUpPr fitToPage="1"/>
  </sheetPr>
  <dimension ref="A1:N98"/>
  <sheetViews>
    <sheetView zoomScale="130" zoomScaleNormal="130" zoomScaleSheetLayoutView="160" workbookViewId="0">
      <pane ySplit="4" topLeftCell="A5" activePane="bottomLeft" state="frozen"/>
      <selection activeCell="A7" sqref="A7"/>
      <selection pane="bottomLeft" activeCell="A5" sqref="A5"/>
    </sheetView>
  </sheetViews>
  <sheetFormatPr baseColWidth="10" defaultColWidth="9.140625" defaultRowHeight="15" x14ac:dyDescent="0.25"/>
  <cols>
    <col min="1" max="1" width="45.7109375" customWidth="1"/>
    <col min="2" max="6" width="13.7109375" customWidth="1"/>
    <col min="7" max="7" width="45.140625" customWidth="1"/>
  </cols>
  <sheetData>
    <row r="1" spans="1:14" s="7" customFormat="1" ht="20.45" customHeight="1" x14ac:dyDescent="0.3">
      <c r="A1" s="89" t="s">
        <v>791</v>
      </c>
      <c r="B1" s="33"/>
      <c r="C1" s="33"/>
      <c r="D1" s="33"/>
      <c r="E1" s="33"/>
      <c r="F1" s="34"/>
      <c r="G1" s="1"/>
      <c r="H1" s="1"/>
      <c r="I1" s="1"/>
      <c r="J1" s="1"/>
      <c r="K1" s="1"/>
      <c r="L1" s="1"/>
      <c r="M1"/>
      <c r="N1"/>
    </row>
    <row r="2" spans="1:14" s="7" customFormat="1" ht="15" customHeight="1" x14ac:dyDescent="0.3">
      <c r="A2" s="90" t="s">
        <v>35</v>
      </c>
      <c r="B2" s="35"/>
      <c r="C2" s="35"/>
      <c r="D2" s="35"/>
      <c r="E2" s="35"/>
      <c r="F2" s="36"/>
      <c r="G2" s="1"/>
      <c r="H2" s="1"/>
      <c r="I2" s="1"/>
      <c r="J2" s="1"/>
      <c r="K2" s="1"/>
      <c r="L2" s="1"/>
      <c r="M2"/>
      <c r="N2"/>
    </row>
    <row r="3" spans="1:14" s="7" customFormat="1" ht="15" customHeight="1" x14ac:dyDescent="0.3">
      <c r="A3" s="91"/>
      <c r="B3" s="122">
        <v>2018</v>
      </c>
      <c r="C3" s="122">
        <v>2019</v>
      </c>
      <c r="D3" s="122">
        <v>2020</v>
      </c>
      <c r="E3" s="122">
        <v>2021</v>
      </c>
      <c r="F3" s="123">
        <v>2022</v>
      </c>
      <c r="G3" s="1"/>
      <c r="H3" s="1"/>
      <c r="I3" s="1"/>
      <c r="J3" s="1"/>
      <c r="K3" s="1"/>
      <c r="L3" s="1"/>
      <c r="M3"/>
      <c r="N3"/>
    </row>
    <row r="4" spans="1:14" s="7" customFormat="1" ht="15.75" customHeight="1" x14ac:dyDescent="0.3">
      <c r="A4" s="92" t="s">
        <v>176</v>
      </c>
      <c r="B4" s="446"/>
      <c r="C4" s="446"/>
      <c r="D4" s="446"/>
      <c r="E4" s="446"/>
      <c r="F4" s="447"/>
      <c r="G4" s="75"/>
      <c r="H4" s="1"/>
      <c r="I4" s="1"/>
      <c r="J4" s="1"/>
      <c r="K4" s="1"/>
      <c r="L4" s="1"/>
      <c r="M4"/>
      <c r="N4"/>
    </row>
    <row r="5" spans="1:14" s="7" customFormat="1" ht="13.5" customHeight="1" x14ac:dyDescent="0.3">
      <c r="A5" s="105" t="s">
        <v>717</v>
      </c>
      <c r="B5" s="448">
        <v>19</v>
      </c>
      <c r="C5" s="448">
        <v>18</v>
      </c>
      <c r="D5" s="448">
        <v>17</v>
      </c>
      <c r="E5" s="448">
        <v>16</v>
      </c>
      <c r="F5" s="449">
        <v>15</v>
      </c>
      <c r="G5" s="75"/>
      <c r="H5" s="1"/>
      <c r="I5" s="1"/>
      <c r="J5" s="1"/>
      <c r="K5" s="1"/>
      <c r="L5" s="1"/>
      <c r="M5"/>
      <c r="N5"/>
    </row>
    <row r="6" spans="1:14" s="7" customFormat="1" ht="13.5" customHeight="1" x14ac:dyDescent="0.3">
      <c r="A6" s="105" t="s">
        <v>795</v>
      </c>
      <c r="B6" s="450">
        <v>55</v>
      </c>
      <c r="C6" s="450">
        <v>58</v>
      </c>
      <c r="D6" s="450">
        <v>56</v>
      </c>
      <c r="E6" s="450">
        <v>52</v>
      </c>
      <c r="F6" s="451">
        <v>48</v>
      </c>
      <c r="G6" s="75"/>
      <c r="H6" s="1"/>
      <c r="I6" s="1"/>
      <c r="J6" s="1"/>
      <c r="K6" s="1"/>
      <c r="L6" s="1"/>
      <c r="M6"/>
      <c r="N6"/>
    </row>
    <row r="7" spans="1:14" s="7" customFormat="1" ht="13.5" customHeight="1" x14ac:dyDescent="0.3">
      <c r="A7" s="51" t="s">
        <v>796</v>
      </c>
      <c r="B7" s="452">
        <v>0</v>
      </c>
      <c r="C7" s="452">
        <v>0</v>
      </c>
      <c r="D7" s="452">
        <v>0</v>
      </c>
      <c r="E7" s="452">
        <v>5</v>
      </c>
      <c r="F7" s="453">
        <v>9</v>
      </c>
      <c r="G7" s="75"/>
      <c r="H7" s="1"/>
      <c r="I7" s="1"/>
      <c r="J7" s="1"/>
      <c r="K7" s="1"/>
      <c r="L7" s="1"/>
      <c r="M7"/>
      <c r="N7"/>
    </row>
    <row r="8" spans="1:14" s="20" customFormat="1" ht="13.5" customHeight="1" x14ac:dyDescent="0.3">
      <c r="A8" s="561" t="s">
        <v>175</v>
      </c>
      <c r="B8" s="454">
        <f t="shared" ref="B8:D8" si="0">B5+B6+B7</f>
        <v>74</v>
      </c>
      <c r="C8" s="454">
        <f t="shared" si="0"/>
        <v>76</v>
      </c>
      <c r="D8" s="454">
        <f t="shared" si="0"/>
        <v>73</v>
      </c>
      <c r="E8" s="454">
        <f>E5+E6+E7</f>
        <v>73</v>
      </c>
      <c r="F8" s="455">
        <f>F5+F6+F7</f>
        <v>72</v>
      </c>
      <c r="G8" s="39"/>
      <c r="H8" s="6"/>
      <c r="I8" s="6"/>
      <c r="J8" s="6"/>
      <c r="K8" s="6"/>
      <c r="L8" s="6"/>
      <c r="M8"/>
      <c r="N8"/>
    </row>
    <row r="9" spans="1:14" s="7" customFormat="1" ht="8.1" customHeight="1" x14ac:dyDescent="0.3">
      <c r="A9" s="8"/>
      <c r="B9" s="45"/>
      <c r="C9" s="45"/>
      <c r="D9" s="45"/>
      <c r="E9" s="45"/>
      <c r="F9" s="45"/>
      <c r="G9" s="1"/>
      <c r="H9" s="1"/>
      <c r="I9" s="1"/>
      <c r="J9" s="1"/>
      <c r="K9" s="1"/>
      <c r="L9" s="1"/>
      <c r="M9"/>
      <c r="N9"/>
    </row>
    <row r="10" spans="1:14" s="60" customFormat="1" x14ac:dyDescent="0.25">
      <c r="A10" s="999" t="s">
        <v>747</v>
      </c>
      <c r="B10" s="999"/>
      <c r="C10" s="999"/>
      <c r="D10" s="999"/>
      <c r="E10" s="999"/>
      <c r="F10" s="999"/>
      <c r="G10" s="46"/>
      <c r="H10" s="59"/>
      <c r="I10" s="59"/>
      <c r="J10" s="59"/>
      <c r="K10" s="59"/>
      <c r="L10" s="59"/>
      <c r="M10"/>
      <c r="N10"/>
    </row>
    <row r="11" spans="1:14" s="60" customFormat="1" x14ac:dyDescent="0.25">
      <c r="A11" s="999"/>
      <c r="B11" s="999"/>
      <c r="C11" s="999"/>
      <c r="D11" s="999"/>
      <c r="E11" s="999"/>
      <c r="F11" s="999"/>
      <c r="G11" s="46"/>
      <c r="H11" s="59"/>
      <c r="I11" s="59"/>
      <c r="J11" s="59"/>
      <c r="K11" s="59"/>
      <c r="L11" s="59"/>
      <c r="M11"/>
      <c r="N11"/>
    </row>
    <row r="12" spans="1:14" s="60" customFormat="1" x14ac:dyDescent="0.25">
      <c r="A12" s="999"/>
      <c r="B12" s="999"/>
      <c r="C12" s="999"/>
      <c r="D12" s="999"/>
      <c r="E12" s="999"/>
      <c r="F12" s="999"/>
      <c r="G12" s="46"/>
      <c r="H12" s="59"/>
      <c r="I12" s="59"/>
      <c r="J12" s="59"/>
      <c r="K12" s="59"/>
      <c r="L12" s="59"/>
      <c r="M12"/>
      <c r="N12"/>
    </row>
    <row r="13" spans="1:14" s="60" customFormat="1" x14ac:dyDescent="0.25">
      <c r="A13" s="999" t="s">
        <v>797</v>
      </c>
      <c r="B13" s="999"/>
      <c r="C13" s="999"/>
      <c r="D13" s="999"/>
      <c r="E13" s="999"/>
      <c r="F13" s="999"/>
      <c r="G13" s="46"/>
      <c r="H13" s="59"/>
      <c r="I13" s="59"/>
      <c r="J13" s="59"/>
      <c r="K13" s="59"/>
      <c r="L13" s="59"/>
      <c r="M13"/>
      <c r="N13"/>
    </row>
    <row r="14" spans="1:14" s="60" customFormat="1" x14ac:dyDescent="0.25">
      <c r="A14" s="999" t="s">
        <v>798</v>
      </c>
      <c r="B14" s="999"/>
      <c r="C14" s="999"/>
      <c r="D14" s="999"/>
      <c r="E14" s="999"/>
      <c r="F14" s="999"/>
      <c r="G14" s="46"/>
      <c r="H14" s="59"/>
      <c r="I14" s="59"/>
      <c r="J14" s="59"/>
      <c r="K14" s="59"/>
      <c r="L14" s="59"/>
      <c r="M14"/>
      <c r="N14"/>
    </row>
    <row r="15" spans="1:14" s="5" customFormat="1" x14ac:dyDescent="0.25">
      <c r="A15" s="1024" t="s">
        <v>963</v>
      </c>
      <c r="B15" s="1024"/>
      <c r="C15" s="1024"/>
      <c r="D15" s="1024"/>
      <c r="E15" s="1024"/>
      <c r="F15" s="1024"/>
      <c r="M15"/>
      <c r="N15"/>
    </row>
    <row r="16" spans="1:14" s="5" customFormat="1" x14ac:dyDescent="0.25">
      <c r="A16" s="1024"/>
      <c r="B16" s="1024"/>
      <c r="C16" s="1024"/>
      <c r="D16" s="1024"/>
      <c r="E16" s="1024"/>
      <c r="F16" s="1024"/>
      <c r="M16"/>
      <c r="N16"/>
    </row>
    <row r="17" spans="1:14" s="5" customFormat="1" x14ac:dyDescent="0.25">
      <c r="A17" s="1024"/>
      <c r="B17" s="1024"/>
      <c r="C17" s="1024"/>
      <c r="D17" s="1024"/>
      <c r="E17" s="1024"/>
      <c r="F17" s="1024"/>
      <c r="M17"/>
      <c r="N17"/>
    </row>
    <row r="18" spans="1:14" s="5" customFormat="1" ht="15.75" x14ac:dyDescent="0.3">
      <c r="A18" s="1"/>
      <c r="B18" s="48"/>
      <c r="C18" s="48"/>
      <c r="D18" s="48"/>
      <c r="E18" s="48"/>
      <c r="F18" s="48"/>
      <c r="M18"/>
      <c r="N18"/>
    </row>
    <row r="19" spans="1:14" s="5" customFormat="1" ht="15.75" x14ac:dyDescent="0.3">
      <c r="A19" s="1"/>
      <c r="B19" s="48"/>
      <c r="C19" s="48"/>
      <c r="D19" s="48"/>
      <c r="E19" s="48"/>
      <c r="F19" s="48"/>
      <c r="M19"/>
      <c r="N19"/>
    </row>
    <row r="20" spans="1:14" s="5" customFormat="1" ht="15.75" x14ac:dyDescent="0.3">
      <c r="A20" s="1"/>
      <c r="B20" s="48"/>
      <c r="C20" s="48"/>
      <c r="D20" s="48"/>
      <c r="E20" s="48"/>
      <c r="F20" s="48"/>
      <c r="M20"/>
      <c r="N20"/>
    </row>
    <row r="21" spans="1:14" s="5" customFormat="1" ht="15.75" x14ac:dyDescent="0.3">
      <c r="A21" s="1"/>
      <c r="B21" s="48"/>
      <c r="C21" s="48"/>
      <c r="D21" s="48"/>
      <c r="E21" s="48"/>
      <c r="F21" s="48"/>
      <c r="M21"/>
      <c r="N21"/>
    </row>
    <row r="22" spans="1:14" s="5" customFormat="1" ht="15.75" x14ac:dyDescent="0.3">
      <c r="A22" s="1"/>
      <c r="B22" s="48"/>
      <c r="C22" s="48"/>
      <c r="D22" s="48"/>
      <c r="E22" s="48"/>
      <c r="F22" s="48"/>
      <c r="M22"/>
      <c r="N22"/>
    </row>
    <row r="23" spans="1:14" s="5" customFormat="1" ht="15.75" x14ac:dyDescent="0.3">
      <c r="A23" s="1"/>
      <c r="B23" s="48"/>
      <c r="C23" s="48"/>
      <c r="D23" s="48"/>
      <c r="E23" s="48"/>
      <c r="F23" s="48"/>
      <c r="M23"/>
      <c r="N23"/>
    </row>
    <row r="24" spans="1:14" s="5" customFormat="1" ht="15.75" x14ac:dyDescent="0.3">
      <c r="A24" s="1"/>
      <c r="B24" s="48"/>
      <c r="C24" s="48"/>
      <c r="D24" s="48"/>
      <c r="E24" s="48"/>
      <c r="F24" s="48"/>
      <c r="M24"/>
      <c r="N24"/>
    </row>
    <row r="25" spans="1:14" s="5" customFormat="1" ht="15.75" x14ac:dyDescent="0.3">
      <c r="A25" s="1"/>
      <c r="B25" s="48"/>
      <c r="C25" s="48"/>
      <c r="D25" s="48"/>
      <c r="E25" s="48"/>
      <c r="F25" s="48"/>
      <c r="M25"/>
      <c r="N25"/>
    </row>
    <row r="26" spans="1:14" s="5" customFormat="1" ht="15.75" x14ac:dyDescent="0.3">
      <c r="A26" s="1"/>
      <c r="B26" s="48"/>
      <c r="C26" s="48"/>
      <c r="D26" s="48"/>
      <c r="E26" s="48"/>
      <c r="F26" s="48"/>
      <c r="M26"/>
      <c r="N26"/>
    </row>
    <row r="27" spans="1:14" s="5" customFormat="1" ht="15.75" x14ac:dyDescent="0.3">
      <c r="A27" s="1"/>
      <c r="B27" s="48"/>
      <c r="C27" s="48"/>
      <c r="D27" s="48"/>
      <c r="E27" s="48"/>
      <c r="F27" s="48"/>
      <c r="M27"/>
      <c r="N27"/>
    </row>
    <row r="28" spans="1:14" s="5" customFormat="1" ht="15.75" x14ac:dyDescent="0.3">
      <c r="A28" s="1"/>
      <c r="B28" s="48"/>
      <c r="C28" s="48"/>
      <c r="D28" s="48"/>
      <c r="E28" s="48"/>
      <c r="F28" s="48"/>
      <c r="M28"/>
      <c r="N28"/>
    </row>
    <row r="29" spans="1:14" s="5" customFormat="1" ht="15.75" x14ac:dyDescent="0.3">
      <c r="A29" s="1"/>
      <c r="B29" s="48"/>
      <c r="C29" s="48"/>
      <c r="D29" s="48"/>
      <c r="E29" s="48"/>
      <c r="F29" s="48"/>
      <c r="M29"/>
      <c r="N29"/>
    </row>
    <row r="30" spans="1:14" s="5" customFormat="1" ht="15.75" x14ac:dyDescent="0.3">
      <c r="A30" s="1"/>
      <c r="B30" s="48"/>
      <c r="C30" s="48"/>
      <c r="D30" s="48"/>
      <c r="E30" s="48"/>
      <c r="F30" s="48"/>
      <c r="M30"/>
      <c r="N30"/>
    </row>
    <row r="31" spans="1:14" s="5" customFormat="1" ht="15.75" x14ac:dyDescent="0.3">
      <c r="A31" s="1"/>
      <c r="B31" s="48"/>
      <c r="C31" s="48"/>
      <c r="D31" s="48"/>
      <c r="E31" s="48"/>
      <c r="F31" s="48"/>
      <c r="M31"/>
      <c r="N31"/>
    </row>
    <row r="32" spans="1:14" s="5" customFormat="1" ht="15.75" x14ac:dyDescent="0.3">
      <c r="A32" s="1"/>
      <c r="B32" s="48"/>
      <c r="C32" s="48"/>
      <c r="D32" s="48"/>
      <c r="E32" s="48"/>
      <c r="F32" s="48"/>
      <c r="M32"/>
      <c r="N32"/>
    </row>
    <row r="33" spans="1:14" s="5" customFormat="1" ht="15.75" x14ac:dyDescent="0.3">
      <c r="A33" s="1"/>
      <c r="B33" s="48"/>
      <c r="C33" s="48"/>
      <c r="D33" s="48"/>
      <c r="E33" s="48"/>
      <c r="F33" s="48"/>
      <c r="M33"/>
      <c r="N33"/>
    </row>
    <row r="34" spans="1:14" s="5" customFormat="1" ht="15.75" x14ac:dyDescent="0.3">
      <c r="A34" s="1"/>
      <c r="B34" s="48"/>
      <c r="C34" s="48"/>
      <c r="D34" s="48"/>
      <c r="E34" s="48"/>
      <c r="F34" s="48"/>
      <c r="M34"/>
      <c r="N34"/>
    </row>
    <row r="35" spans="1:14" s="5" customFormat="1" ht="15.75" x14ac:dyDescent="0.3">
      <c r="A35" s="1"/>
      <c r="B35" s="48"/>
      <c r="C35" s="48"/>
      <c r="D35" s="48"/>
      <c r="E35" s="48"/>
      <c r="F35" s="48"/>
      <c r="M35"/>
      <c r="N35"/>
    </row>
    <row r="36" spans="1:14" s="5" customFormat="1" ht="15.75" x14ac:dyDescent="0.3">
      <c r="A36" s="1"/>
      <c r="B36" s="48"/>
      <c r="C36" s="48"/>
      <c r="D36" s="48"/>
      <c r="E36" s="48"/>
      <c r="F36" s="48"/>
      <c r="M36"/>
      <c r="N36"/>
    </row>
    <row r="37" spans="1:14" s="5" customFormat="1" ht="15.75" x14ac:dyDescent="0.3">
      <c r="A37" s="1"/>
      <c r="B37" s="48"/>
      <c r="C37" s="48"/>
      <c r="D37" s="48"/>
      <c r="E37" s="48"/>
      <c r="F37" s="48"/>
      <c r="M37"/>
      <c r="N37"/>
    </row>
    <row r="38" spans="1:14" s="5" customFormat="1" ht="15.75" x14ac:dyDescent="0.3">
      <c r="A38" s="1"/>
      <c r="B38" s="48"/>
      <c r="C38" s="48"/>
      <c r="D38" s="48"/>
      <c r="E38" s="48"/>
      <c r="F38" s="48"/>
      <c r="M38"/>
      <c r="N38"/>
    </row>
    <row r="39" spans="1:14" s="5" customFormat="1" ht="15.75" x14ac:dyDescent="0.3">
      <c r="A39" s="1"/>
      <c r="B39" s="48"/>
      <c r="C39" s="48"/>
      <c r="D39" s="48"/>
      <c r="E39" s="48"/>
      <c r="F39" s="48"/>
      <c r="M39"/>
      <c r="N39"/>
    </row>
    <row r="40" spans="1:14" s="5" customFormat="1" ht="15.75" x14ac:dyDescent="0.3">
      <c r="A40" s="1"/>
      <c r="B40" s="48"/>
      <c r="C40" s="48"/>
      <c r="D40" s="48"/>
      <c r="E40" s="48"/>
      <c r="F40" s="48"/>
      <c r="M40"/>
      <c r="N40"/>
    </row>
    <row r="41" spans="1:14" s="5" customFormat="1" ht="15.75" x14ac:dyDescent="0.3">
      <c r="A41" s="1"/>
      <c r="B41" s="48"/>
      <c r="C41" s="48"/>
      <c r="D41" s="48"/>
      <c r="E41" s="48"/>
      <c r="F41" s="48"/>
      <c r="M41"/>
      <c r="N41"/>
    </row>
    <row r="42" spans="1:14" s="5" customFormat="1" ht="15.75" x14ac:dyDescent="0.3">
      <c r="A42" s="1"/>
      <c r="B42" s="48"/>
      <c r="C42" s="48"/>
      <c r="D42" s="48"/>
      <c r="E42" s="48"/>
      <c r="F42" s="48"/>
      <c r="M42"/>
      <c r="N42"/>
    </row>
    <row r="43" spans="1:14" s="5" customFormat="1" ht="15.75" x14ac:dyDescent="0.3">
      <c r="A43" s="1"/>
      <c r="B43" s="48"/>
      <c r="C43" s="48"/>
      <c r="D43" s="48"/>
      <c r="E43" s="48"/>
      <c r="F43" s="48"/>
      <c r="M43"/>
      <c r="N43"/>
    </row>
    <row r="44" spans="1:14" s="5" customFormat="1" ht="15.75" x14ac:dyDescent="0.3">
      <c r="A44" s="1"/>
      <c r="B44" s="48"/>
      <c r="C44" s="48"/>
      <c r="D44" s="48"/>
      <c r="E44" s="48"/>
      <c r="F44" s="48"/>
      <c r="M44"/>
      <c r="N44"/>
    </row>
    <row r="45" spans="1:14" s="5" customFormat="1" ht="15.75" x14ac:dyDescent="0.3">
      <c r="A45" s="1"/>
      <c r="B45" s="48"/>
      <c r="C45" s="48"/>
      <c r="D45" s="48"/>
      <c r="E45" s="48"/>
      <c r="F45" s="48"/>
      <c r="M45"/>
      <c r="N45"/>
    </row>
    <row r="46" spans="1:14" s="5" customFormat="1" ht="15.75" x14ac:dyDescent="0.3">
      <c r="A46" s="1"/>
      <c r="B46" s="48"/>
      <c r="C46" s="48"/>
      <c r="D46" s="48"/>
      <c r="E46" s="48"/>
      <c r="F46" s="48"/>
      <c r="M46"/>
      <c r="N46"/>
    </row>
    <row r="47" spans="1:14" s="5" customFormat="1" ht="15.75" x14ac:dyDescent="0.3">
      <c r="A47" s="1"/>
      <c r="B47" s="48"/>
      <c r="C47" s="48"/>
      <c r="D47" s="48"/>
      <c r="E47" s="48"/>
      <c r="F47" s="48"/>
      <c r="M47"/>
      <c r="N47"/>
    </row>
    <row r="48" spans="1:14" s="5" customFormat="1" ht="15.75" x14ac:dyDescent="0.3">
      <c r="A48" s="1"/>
      <c r="B48" s="48"/>
      <c r="C48" s="48"/>
      <c r="D48" s="48"/>
      <c r="E48" s="48"/>
      <c r="F48" s="48"/>
      <c r="M48"/>
      <c r="N48"/>
    </row>
    <row r="49" spans="1:14" s="5" customFormat="1" ht="15.75" x14ac:dyDescent="0.3">
      <c r="A49" s="1"/>
      <c r="B49" s="48"/>
      <c r="C49" s="48"/>
      <c r="D49" s="48"/>
      <c r="E49" s="48"/>
      <c r="F49" s="48"/>
      <c r="M49"/>
      <c r="N49"/>
    </row>
    <row r="50" spans="1:14" s="5" customFormat="1" ht="15.75" x14ac:dyDescent="0.3">
      <c r="A50" s="1"/>
      <c r="B50" s="48"/>
      <c r="C50" s="48"/>
      <c r="D50" s="48"/>
      <c r="E50" s="48"/>
      <c r="F50" s="48"/>
      <c r="M50"/>
      <c r="N50"/>
    </row>
    <row r="51" spans="1:14" s="5" customFormat="1" ht="15.75" x14ac:dyDescent="0.3">
      <c r="A51" s="1"/>
      <c r="B51" s="48"/>
      <c r="C51" s="48"/>
      <c r="D51" s="48"/>
      <c r="E51" s="48"/>
      <c r="F51" s="48"/>
      <c r="M51"/>
      <c r="N51"/>
    </row>
    <row r="52" spans="1:14" s="5" customFormat="1" ht="15.75" x14ac:dyDescent="0.3">
      <c r="A52" s="1"/>
      <c r="B52" s="48"/>
      <c r="C52" s="48"/>
      <c r="D52" s="48"/>
      <c r="E52" s="48"/>
      <c r="F52" s="48"/>
      <c r="M52"/>
      <c r="N52"/>
    </row>
    <row r="53" spans="1:14" s="5" customFormat="1" ht="15.75" x14ac:dyDescent="0.3">
      <c r="A53" s="1"/>
      <c r="B53" s="48"/>
      <c r="C53" s="48"/>
      <c r="D53" s="48"/>
      <c r="E53" s="48"/>
      <c r="F53" s="48"/>
      <c r="M53"/>
      <c r="N53"/>
    </row>
    <row r="54" spans="1:14" s="5" customFormat="1" ht="15.75" x14ac:dyDescent="0.3">
      <c r="A54" s="1"/>
      <c r="B54" s="48"/>
      <c r="C54" s="48"/>
      <c r="D54" s="48"/>
      <c r="E54" s="48"/>
      <c r="F54" s="48"/>
      <c r="M54"/>
      <c r="N54"/>
    </row>
    <row r="55" spans="1:14" s="5" customFormat="1" ht="15.75" x14ac:dyDescent="0.3">
      <c r="A55" s="1"/>
      <c r="B55" s="48"/>
      <c r="C55" s="48"/>
      <c r="D55" s="48"/>
      <c r="E55" s="48"/>
      <c r="F55" s="48"/>
      <c r="M55"/>
      <c r="N55"/>
    </row>
    <row r="56" spans="1:14" s="5" customFormat="1" ht="15.75" x14ac:dyDescent="0.3">
      <c r="A56" s="1"/>
      <c r="B56" s="48"/>
      <c r="C56" s="48"/>
      <c r="D56" s="48"/>
      <c r="E56" s="48"/>
      <c r="F56" s="48"/>
      <c r="M56"/>
      <c r="N56"/>
    </row>
    <row r="57" spans="1:14" s="5" customFormat="1" ht="15.75" x14ac:dyDescent="0.3">
      <c r="A57" s="1"/>
      <c r="B57" s="48"/>
      <c r="C57" s="48"/>
      <c r="D57" s="48"/>
      <c r="E57" s="48"/>
      <c r="F57" s="48"/>
      <c r="M57"/>
      <c r="N57"/>
    </row>
    <row r="58" spans="1:14" s="5" customFormat="1" ht="15.75" x14ac:dyDescent="0.3">
      <c r="A58" s="1"/>
      <c r="B58" s="48"/>
      <c r="C58" s="48"/>
      <c r="D58" s="48"/>
      <c r="E58" s="48"/>
      <c r="F58" s="48"/>
      <c r="M58"/>
      <c r="N58"/>
    </row>
    <row r="59" spans="1:14" s="5" customFormat="1" ht="15.75" x14ac:dyDescent="0.3">
      <c r="A59" s="1"/>
      <c r="B59" s="48"/>
      <c r="C59" s="48"/>
      <c r="D59" s="48"/>
      <c r="E59" s="48"/>
      <c r="F59" s="48"/>
      <c r="M59"/>
      <c r="N59"/>
    </row>
    <row r="60" spans="1:14" s="5" customFormat="1" ht="15.75" x14ac:dyDescent="0.3">
      <c r="A60" s="1"/>
      <c r="B60" s="48"/>
      <c r="C60" s="48"/>
      <c r="D60" s="48"/>
      <c r="E60" s="48"/>
      <c r="F60" s="48"/>
      <c r="M60"/>
      <c r="N60"/>
    </row>
    <row r="61" spans="1:14" s="5" customFormat="1" ht="15.75" x14ac:dyDescent="0.3">
      <c r="A61" s="1"/>
      <c r="B61" s="48"/>
      <c r="C61" s="48"/>
      <c r="D61" s="48"/>
      <c r="E61" s="48"/>
      <c r="F61" s="48"/>
      <c r="M61"/>
      <c r="N61"/>
    </row>
    <row r="62" spans="1:14" s="5" customFormat="1" ht="15.75" x14ac:dyDescent="0.3">
      <c r="A62" s="1"/>
      <c r="B62" s="48"/>
      <c r="C62" s="48"/>
      <c r="D62" s="48"/>
      <c r="E62" s="48"/>
      <c r="F62" s="48"/>
      <c r="M62"/>
      <c r="N62"/>
    </row>
    <row r="63" spans="1:14" s="5" customFormat="1" ht="15.75" x14ac:dyDescent="0.3">
      <c r="A63" s="1"/>
      <c r="B63" s="48"/>
      <c r="C63" s="48"/>
      <c r="D63" s="48"/>
      <c r="E63" s="48"/>
      <c r="F63" s="48"/>
      <c r="M63"/>
      <c r="N63"/>
    </row>
    <row r="64" spans="1:14" s="5" customFormat="1" ht="15.75" x14ac:dyDescent="0.3">
      <c r="A64" s="1"/>
      <c r="B64" s="48"/>
      <c r="C64" s="48"/>
      <c r="D64" s="48"/>
      <c r="E64" s="48"/>
      <c r="F64" s="48"/>
      <c r="M64"/>
      <c r="N64"/>
    </row>
    <row r="65" spans="1:14" s="5" customFormat="1" ht="15.75" x14ac:dyDescent="0.3">
      <c r="A65" s="1"/>
      <c r="B65" s="48"/>
      <c r="C65" s="48"/>
      <c r="D65" s="48"/>
      <c r="E65" s="48"/>
      <c r="F65" s="48"/>
      <c r="M65"/>
      <c r="N65"/>
    </row>
    <row r="66" spans="1:14" s="5" customFormat="1" ht="15.75" x14ac:dyDescent="0.3">
      <c r="A66" s="1"/>
      <c r="B66" s="48"/>
      <c r="C66" s="48"/>
      <c r="D66" s="48"/>
      <c r="E66" s="48"/>
      <c r="F66" s="48"/>
      <c r="M66"/>
      <c r="N66"/>
    </row>
    <row r="67" spans="1:14" s="5" customFormat="1" ht="15.75" x14ac:dyDescent="0.3">
      <c r="A67" s="1"/>
      <c r="B67" s="48"/>
      <c r="C67" s="48"/>
      <c r="D67" s="48"/>
      <c r="E67" s="48"/>
      <c r="F67" s="48"/>
      <c r="M67"/>
      <c r="N67"/>
    </row>
    <row r="68" spans="1:14" s="5" customFormat="1" ht="15.75" x14ac:dyDescent="0.3">
      <c r="A68" s="1"/>
      <c r="B68" s="48"/>
      <c r="C68" s="48"/>
      <c r="D68" s="48"/>
      <c r="E68" s="48"/>
      <c r="F68" s="48"/>
      <c r="M68"/>
      <c r="N68"/>
    </row>
    <row r="69" spans="1:14" s="5" customFormat="1" ht="15.75" x14ac:dyDescent="0.3">
      <c r="A69" s="1"/>
      <c r="B69" s="48"/>
      <c r="C69" s="48"/>
      <c r="D69" s="48"/>
      <c r="E69" s="48"/>
      <c r="F69" s="48"/>
      <c r="M69"/>
      <c r="N69"/>
    </row>
    <row r="70" spans="1:14" s="5" customFormat="1" ht="15.75" x14ac:dyDescent="0.3">
      <c r="A70" s="1"/>
      <c r="B70" s="48"/>
      <c r="C70" s="48"/>
      <c r="D70" s="48"/>
      <c r="E70" s="48"/>
      <c r="F70" s="48"/>
      <c r="M70"/>
      <c r="N70"/>
    </row>
    <row r="71" spans="1:14" s="5" customFormat="1" ht="15.75" x14ac:dyDescent="0.3">
      <c r="A71" s="1"/>
      <c r="B71" s="48"/>
      <c r="C71" s="48"/>
      <c r="D71" s="48"/>
      <c r="E71" s="48"/>
      <c r="F71" s="48"/>
      <c r="M71"/>
      <c r="N71"/>
    </row>
    <row r="72" spans="1:14" s="5" customFormat="1" ht="15.75" x14ac:dyDescent="0.3">
      <c r="A72" s="1"/>
      <c r="B72" s="48"/>
      <c r="C72" s="48"/>
      <c r="D72" s="48"/>
      <c r="E72" s="48"/>
      <c r="F72" s="48"/>
      <c r="M72"/>
      <c r="N72"/>
    </row>
    <row r="73" spans="1:14" s="5" customFormat="1" ht="15.75" x14ac:dyDescent="0.3">
      <c r="A73" s="1"/>
      <c r="B73" s="48"/>
      <c r="C73" s="48"/>
      <c r="D73" s="48"/>
      <c r="E73" s="48"/>
      <c r="F73" s="48"/>
      <c r="M73"/>
      <c r="N73"/>
    </row>
    <row r="74" spans="1:14" s="5" customFormat="1" ht="15.75" x14ac:dyDescent="0.3">
      <c r="A74" s="1"/>
      <c r="B74" s="48"/>
      <c r="C74" s="48"/>
      <c r="D74" s="48"/>
      <c r="E74" s="48"/>
      <c r="F74" s="48"/>
      <c r="M74"/>
      <c r="N74"/>
    </row>
    <row r="75" spans="1:14" s="5" customFormat="1" ht="15.75" x14ac:dyDescent="0.3">
      <c r="A75" s="1"/>
      <c r="B75" s="48"/>
      <c r="C75" s="48"/>
      <c r="D75" s="48"/>
      <c r="E75" s="48"/>
      <c r="F75" s="48"/>
      <c r="M75"/>
      <c r="N75"/>
    </row>
    <row r="76" spans="1:14" s="5" customFormat="1" ht="15.75" x14ac:dyDescent="0.3">
      <c r="A76" s="1"/>
      <c r="B76" s="48"/>
      <c r="C76" s="48"/>
      <c r="D76" s="48"/>
      <c r="E76" s="48"/>
      <c r="F76" s="48"/>
      <c r="M76"/>
      <c r="N76"/>
    </row>
    <row r="77" spans="1:14" s="5" customFormat="1" ht="15.75" x14ac:dyDescent="0.3">
      <c r="A77" s="1"/>
      <c r="B77" s="48"/>
      <c r="C77" s="48"/>
      <c r="D77" s="48"/>
      <c r="E77" s="48"/>
      <c r="F77" s="48"/>
      <c r="M77"/>
      <c r="N77"/>
    </row>
    <row r="78" spans="1:14" s="5" customFormat="1" ht="15.75" x14ac:dyDescent="0.3">
      <c r="A78" s="1"/>
      <c r="B78" s="48"/>
      <c r="C78" s="48"/>
      <c r="D78" s="48"/>
      <c r="E78" s="48"/>
      <c r="F78" s="48"/>
      <c r="M78"/>
      <c r="N78"/>
    </row>
    <row r="79" spans="1:14" s="5" customFormat="1" ht="15.75" x14ac:dyDescent="0.3">
      <c r="A79" s="1"/>
      <c r="B79" s="48"/>
      <c r="C79" s="48"/>
      <c r="D79" s="48"/>
      <c r="E79" s="48"/>
      <c r="F79" s="48"/>
      <c r="M79"/>
      <c r="N79"/>
    </row>
    <row r="80" spans="1:14" s="5" customFormat="1" ht="15.75" x14ac:dyDescent="0.3">
      <c r="A80" s="1"/>
      <c r="B80" s="48"/>
      <c r="C80" s="48"/>
      <c r="D80" s="48"/>
      <c r="E80" s="48"/>
      <c r="F80" s="48"/>
      <c r="M80"/>
      <c r="N80"/>
    </row>
    <row r="81" spans="1:14" s="5" customFormat="1" ht="15.75" x14ac:dyDescent="0.3">
      <c r="A81" s="1"/>
      <c r="B81" s="48"/>
      <c r="C81" s="48"/>
      <c r="D81" s="48"/>
      <c r="E81" s="48"/>
      <c r="F81" s="48"/>
      <c r="M81"/>
      <c r="N81"/>
    </row>
    <row r="82" spans="1:14" s="5" customFormat="1" ht="15.75" x14ac:dyDescent="0.3">
      <c r="A82" s="1"/>
      <c r="B82" s="48"/>
      <c r="C82" s="48"/>
      <c r="D82" s="48"/>
      <c r="E82" s="48"/>
      <c r="F82" s="48"/>
      <c r="M82"/>
      <c r="N82"/>
    </row>
    <row r="83" spans="1:14" s="5" customFormat="1" ht="15.75" x14ac:dyDescent="0.3">
      <c r="A83" s="1"/>
      <c r="B83" s="48"/>
      <c r="C83" s="48"/>
      <c r="D83" s="48"/>
      <c r="E83" s="48"/>
      <c r="F83" s="48"/>
      <c r="M83"/>
      <c r="N83"/>
    </row>
    <row r="84" spans="1:14" s="5" customFormat="1" ht="15.75" x14ac:dyDescent="0.3">
      <c r="A84" s="1"/>
      <c r="B84" s="48"/>
      <c r="C84" s="48"/>
      <c r="D84" s="48"/>
      <c r="E84" s="48"/>
      <c r="F84" s="48"/>
      <c r="M84"/>
      <c r="N84"/>
    </row>
    <row r="85" spans="1:14" s="5" customFormat="1" ht="15.75" x14ac:dyDescent="0.3">
      <c r="A85" s="1"/>
      <c r="B85" s="48"/>
      <c r="C85" s="48"/>
      <c r="D85" s="48"/>
      <c r="E85" s="48"/>
      <c r="F85" s="48"/>
      <c r="M85"/>
      <c r="N85"/>
    </row>
    <row r="86" spans="1:14" s="5" customFormat="1" ht="15.75" x14ac:dyDescent="0.3">
      <c r="A86" s="1"/>
      <c r="B86" s="48"/>
      <c r="C86" s="48"/>
      <c r="D86" s="48"/>
      <c r="E86" s="48"/>
      <c r="F86" s="48"/>
      <c r="M86"/>
      <c r="N86"/>
    </row>
    <row r="87" spans="1:14" s="5" customFormat="1" ht="15.75" x14ac:dyDescent="0.3">
      <c r="A87" s="1"/>
      <c r="B87" s="48"/>
      <c r="C87" s="48"/>
      <c r="D87" s="48"/>
      <c r="E87" s="48"/>
      <c r="F87" s="48"/>
      <c r="M87"/>
      <c r="N87"/>
    </row>
    <row r="88" spans="1:14" s="5" customFormat="1" ht="15.75" x14ac:dyDescent="0.3">
      <c r="A88" s="1"/>
      <c r="B88" s="48"/>
      <c r="C88" s="48"/>
      <c r="D88" s="48"/>
      <c r="E88" s="48"/>
      <c r="F88" s="48"/>
      <c r="M88"/>
      <c r="N88"/>
    </row>
    <row r="89" spans="1:14" s="5" customFormat="1" ht="15.75" x14ac:dyDescent="0.3">
      <c r="A89" s="1"/>
      <c r="B89" s="48"/>
      <c r="C89" s="48"/>
      <c r="D89" s="48"/>
      <c r="E89" s="48"/>
      <c r="F89" s="48"/>
      <c r="M89"/>
      <c r="N89"/>
    </row>
    <row r="90" spans="1:14" s="5" customFormat="1" ht="15.75" x14ac:dyDescent="0.3">
      <c r="A90" s="1"/>
      <c r="B90" s="48"/>
      <c r="C90" s="48"/>
      <c r="D90" s="48"/>
      <c r="E90" s="48"/>
      <c r="F90" s="48"/>
      <c r="M90"/>
      <c r="N90"/>
    </row>
    <row r="91" spans="1:14" s="5" customFormat="1" ht="15.75" x14ac:dyDescent="0.3">
      <c r="A91" s="1"/>
      <c r="B91" s="48"/>
      <c r="C91" s="48"/>
      <c r="D91" s="48"/>
      <c r="E91" s="48"/>
      <c r="F91" s="48"/>
      <c r="M91"/>
      <c r="N91"/>
    </row>
    <row r="92" spans="1:14" s="5" customFormat="1" ht="15.75" x14ac:dyDescent="0.3">
      <c r="A92" s="1"/>
      <c r="B92" s="48"/>
      <c r="C92" s="48"/>
      <c r="D92" s="48"/>
      <c r="E92" s="48"/>
      <c r="F92" s="48"/>
      <c r="M92"/>
      <c r="N92"/>
    </row>
    <row r="93" spans="1:14" s="5" customFormat="1" ht="15.75" x14ac:dyDescent="0.3">
      <c r="A93" s="1"/>
      <c r="B93" s="48"/>
      <c r="C93" s="48"/>
      <c r="D93" s="48"/>
      <c r="E93" s="48"/>
      <c r="F93" s="48"/>
      <c r="M93"/>
      <c r="N93"/>
    </row>
    <row r="94" spans="1:14" s="5" customFormat="1" ht="15.75" x14ac:dyDescent="0.3">
      <c r="A94" s="1"/>
      <c r="B94" s="48"/>
      <c r="C94" s="48"/>
      <c r="D94" s="48"/>
      <c r="E94" s="48"/>
      <c r="F94" s="48"/>
      <c r="M94"/>
      <c r="N94"/>
    </row>
    <row r="95" spans="1:14" s="5" customFormat="1" ht="15.75" x14ac:dyDescent="0.3">
      <c r="A95" s="1"/>
      <c r="B95" s="48"/>
      <c r="C95" s="48"/>
      <c r="D95" s="48"/>
      <c r="E95" s="48"/>
      <c r="F95" s="48"/>
      <c r="M95"/>
      <c r="N95"/>
    </row>
    <row r="96" spans="1:14" s="5" customFormat="1" ht="15.75" x14ac:dyDescent="0.3">
      <c r="A96" s="1"/>
      <c r="B96" s="48"/>
      <c r="C96" s="48"/>
      <c r="D96" s="48"/>
      <c r="E96" s="48"/>
      <c r="F96" s="48"/>
      <c r="M96"/>
      <c r="N96"/>
    </row>
    <row r="97" spans="1:14" s="5" customFormat="1" ht="15.75" x14ac:dyDescent="0.3">
      <c r="A97" s="1"/>
      <c r="B97" s="48"/>
      <c r="C97" s="48"/>
      <c r="D97" s="48"/>
      <c r="E97" s="48"/>
      <c r="F97" s="48"/>
      <c r="M97"/>
      <c r="N97"/>
    </row>
    <row r="98" spans="1:14" s="5" customFormat="1" ht="15.75" x14ac:dyDescent="0.3">
      <c r="A98" s="1"/>
      <c r="B98" s="48"/>
      <c r="C98" s="48"/>
      <c r="D98" s="48"/>
      <c r="E98" s="48"/>
      <c r="F98" s="48"/>
      <c r="M98"/>
      <c r="N98"/>
    </row>
  </sheetData>
  <sheetProtection algorithmName="SHA-512" hashValue="FQAXWU8ywIIDsPY3eoTJttMHoSBjGqsUeoLBA4AzLe2bHMDcNpJFzVLQAaMwcZVyS86/hDImaKMmXyfoIRLAuQ==" saltValue="5z2Kkhi0fyPIpzngc27VQg==" spinCount="100000" sheet="1" objects="1" scenarios="1"/>
  <mergeCells count="4">
    <mergeCell ref="A15:F17"/>
    <mergeCell ref="A13:F13"/>
    <mergeCell ref="A14:F14"/>
    <mergeCell ref="A10:F12"/>
  </mergeCells>
  <printOptions horizontalCentered="1"/>
  <pageMargins left="0.25" right="0.25" top="0.75" bottom="0.75" header="0.3" footer="0.3"/>
  <pageSetup orientation="landscape" r:id="rId1"/>
  <headerFooter>
    <oddFooter>&amp;C&amp;"Century Gothic,Regular"&amp;9Page &amp;P of &amp;N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889DC-EECF-470D-A41F-8CAADFA515CB}">
  <sheetPr codeName="Sheet12">
    <pageSetUpPr fitToPage="1"/>
  </sheetPr>
  <dimension ref="A1:L94"/>
  <sheetViews>
    <sheetView zoomScale="130" zoomScaleNormal="130" zoomScaleSheetLayoutView="160" workbookViewId="0">
      <pane ySplit="4" topLeftCell="A5" activePane="bottomLeft" state="frozen"/>
      <selection activeCell="A7" sqref="A7"/>
      <selection pane="bottomLeft" activeCell="A5" sqref="A5"/>
    </sheetView>
  </sheetViews>
  <sheetFormatPr baseColWidth="10" defaultColWidth="9.140625" defaultRowHeight="15.75" x14ac:dyDescent="0.3"/>
  <cols>
    <col min="1" max="1" width="50.7109375" style="96" customWidth="1"/>
    <col min="2" max="6" width="13.7109375" style="67" customWidth="1"/>
    <col min="7" max="7" width="45.28515625" customWidth="1"/>
  </cols>
  <sheetData>
    <row r="1" spans="1:12" s="7" customFormat="1" ht="20.65" customHeight="1" x14ac:dyDescent="0.3">
      <c r="A1" s="89" t="s">
        <v>791</v>
      </c>
      <c r="B1" s="33"/>
      <c r="C1" s="33"/>
      <c r="D1" s="33"/>
      <c r="E1" s="33"/>
      <c r="F1" s="34"/>
      <c r="G1" s="1"/>
      <c r="H1" s="1"/>
      <c r="I1" s="1"/>
      <c r="J1" s="1"/>
      <c r="K1" s="1"/>
      <c r="L1" s="1"/>
    </row>
    <row r="2" spans="1:12" s="7" customFormat="1" ht="15" customHeight="1" x14ac:dyDescent="0.3">
      <c r="A2" s="90" t="s">
        <v>35</v>
      </c>
      <c r="B2" s="35"/>
      <c r="C2" s="35"/>
      <c r="D2" s="35"/>
      <c r="E2" s="35"/>
      <c r="F2" s="36"/>
      <c r="G2" s="1"/>
      <c r="H2" s="1"/>
      <c r="I2" s="1"/>
      <c r="J2" s="1"/>
      <c r="K2" s="1"/>
      <c r="L2" s="1"/>
    </row>
    <row r="3" spans="1:12" s="7" customFormat="1" ht="15" customHeight="1" x14ac:dyDescent="0.3">
      <c r="A3" s="91"/>
      <c r="B3" s="12">
        <v>2018</v>
      </c>
      <c r="C3" s="12">
        <v>2019</v>
      </c>
      <c r="D3" s="12">
        <v>2020</v>
      </c>
      <c r="E3" s="12">
        <v>2021</v>
      </c>
      <c r="F3" s="13">
        <v>2022</v>
      </c>
      <c r="G3" s="1"/>
      <c r="H3" s="1"/>
      <c r="I3" s="1"/>
      <c r="J3" s="1"/>
      <c r="K3" s="1"/>
      <c r="L3" s="1"/>
    </row>
    <row r="4" spans="1:12" s="7" customFormat="1" ht="15.75" customHeight="1" x14ac:dyDescent="0.3">
      <c r="A4" s="92" t="s">
        <v>363</v>
      </c>
      <c r="B4" s="37"/>
      <c r="C4" s="37"/>
      <c r="D4" s="37"/>
      <c r="E4" s="37"/>
      <c r="F4" s="38"/>
      <c r="G4" s="1"/>
      <c r="H4" s="1"/>
      <c r="I4" s="1"/>
      <c r="J4" s="1"/>
      <c r="K4" s="1"/>
      <c r="L4" s="1"/>
    </row>
    <row r="5" spans="1:12" s="7" customFormat="1" ht="24.6" customHeight="1" x14ac:dyDescent="0.3">
      <c r="A5" s="93" t="s">
        <v>254</v>
      </c>
      <c r="B5" s="40">
        <v>17</v>
      </c>
      <c r="C5" s="40">
        <v>33</v>
      </c>
      <c r="D5" s="40">
        <v>19</v>
      </c>
      <c r="E5" s="40">
        <v>20</v>
      </c>
      <c r="F5" s="87">
        <v>16</v>
      </c>
      <c r="G5" s="19"/>
      <c r="H5" s="1"/>
      <c r="I5" s="1"/>
      <c r="J5" s="1"/>
      <c r="K5" s="1"/>
      <c r="L5" s="1"/>
    </row>
    <row r="6" spans="1:12" s="7" customFormat="1" ht="24.6" customHeight="1" x14ac:dyDescent="0.3">
      <c r="A6" s="93" t="s">
        <v>109</v>
      </c>
      <c r="B6" s="40">
        <v>10</v>
      </c>
      <c r="C6" s="40">
        <v>5</v>
      </c>
      <c r="D6" s="117">
        <v>6</v>
      </c>
      <c r="E6" s="40">
        <v>9</v>
      </c>
      <c r="F6" s="87">
        <v>12</v>
      </c>
      <c r="G6" s="1"/>
      <c r="H6" s="1"/>
      <c r="I6" s="1"/>
      <c r="J6" s="1"/>
      <c r="K6" s="1"/>
      <c r="L6" s="1"/>
    </row>
    <row r="7" spans="1:12" s="7" customFormat="1" ht="24.6" customHeight="1" x14ac:dyDescent="0.3">
      <c r="A7" s="93" t="s">
        <v>979</v>
      </c>
      <c r="B7" s="40">
        <v>1</v>
      </c>
      <c r="C7" s="40">
        <v>0</v>
      </c>
      <c r="D7" s="40">
        <v>0</v>
      </c>
      <c r="E7" s="40">
        <v>0</v>
      </c>
      <c r="F7" s="87">
        <v>1</v>
      </c>
      <c r="G7" s="19"/>
      <c r="H7" s="1"/>
      <c r="I7" s="1"/>
      <c r="J7" s="1"/>
      <c r="K7" s="1"/>
      <c r="L7" s="1"/>
    </row>
    <row r="8" spans="1:12" s="7" customFormat="1" ht="24.6" customHeight="1" x14ac:dyDescent="0.3">
      <c r="A8" s="93" t="s">
        <v>837</v>
      </c>
      <c r="B8" s="83">
        <v>0</v>
      </c>
      <c r="C8" s="83">
        <v>124682</v>
      </c>
      <c r="D8" s="83">
        <v>67100</v>
      </c>
      <c r="E8" s="325">
        <v>18951</v>
      </c>
      <c r="F8" s="335">
        <v>24301</v>
      </c>
      <c r="G8" s="19"/>
      <c r="H8" s="1"/>
      <c r="I8" s="1"/>
      <c r="J8" s="1"/>
      <c r="K8" s="1"/>
      <c r="L8" s="1"/>
    </row>
    <row r="9" spans="1:12" s="7" customFormat="1" ht="8.1" customHeight="1" x14ac:dyDescent="0.3">
      <c r="A9" s="94"/>
      <c r="B9" s="82"/>
      <c r="C9" s="82"/>
      <c r="D9" s="82"/>
      <c r="E9" s="82"/>
      <c r="F9" s="82"/>
      <c r="G9" s="1"/>
      <c r="H9" s="1"/>
      <c r="I9" s="1"/>
      <c r="J9" s="1"/>
      <c r="K9" s="1"/>
      <c r="L9" s="1"/>
    </row>
    <row r="10" spans="1:12" s="60" customFormat="1" ht="13.5" x14ac:dyDescent="0.25">
      <c r="A10" s="999" t="s">
        <v>718</v>
      </c>
      <c r="B10" s="999"/>
      <c r="C10" s="999"/>
      <c r="D10" s="999"/>
      <c r="E10" s="999"/>
      <c r="F10" s="999"/>
      <c r="G10" s="46"/>
      <c r="H10" s="59"/>
      <c r="I10" s="59"/>
      <c r="J10" s="59"/>
      <c r="K10" s="59"/>
      <c r="L10" s="59"/>
    </row>
    <row r="11" spans="1:12" s="60" customFormat="1" ht="13.5" x14ac:dyDescent="0.25">
      <c r="A11" s="999"/>
      <c r="B11" s="999"/>
      <c r="C11" s="999"/>
      <c r="D11" s="999"/>
      <c r="E11" s="999"/>
      <c r="F11" s="999"/>
      <c r="G11" s="46"/>
      <c r="H11" s="59"/>
      <c r="I11" s="59"/>
      <c r="J11" s="59"/>
      <c r="K11" s="59"/>
      <c r="L11" s="59"/>
    </row>
    <row r="12" spans="1:12" s="86" customFormat="1" ht="13.5" x14ac:dyDescent="0.25">
      <c r="A12" s="999" t="s">
        <v>240</v>
      </c>
      <c r="B12" s="999"/>
      <c r="C12" s="999"/>
      <c r="D12" s="999"/>
      <c r="E12" s="999"/>
      <c r="F12" s="999"/>
      <c r="G12" s="84"/>
      <c r="H12" s="85"/>
      <c r="I12" s="85"/>
      <c r="J12" s="85"/>
      <c r="K12" s="85"/>
      <c r="L12" s="85"/>
    </row>
    <row r="13" spans="1:12" s="60" customFormat="1" ht="13.5" x14ac:dyDescent="0.25">
      <c r="A13" s="1001" t="s">
        <v>364</v>
      </c>
      <c r="B13" s="1001"/>
      <c r="C13" s="1001"/>
      <c r="D13" s="1001"/>
      <c r="E13" s="1001"/>
      <c r="F13" s="1001"/>
      <c r="G13" s="46"/>
      <c r="H13" s="59"/>
      <c r="I13" s="59"/>
      <c r="J13" s="59"/>
      <c r="K13" s="59"/>
      <c r="L13" s="59"/>
    </row>
    <row r="14" spans="1:12" s="60" customFormat="1" ht="11.45" customHeight="1" x14ac:dyDescent="0.25">
      <c r="A14" s="999" t="s">
        <v>1304</v>
      </c>
      <c r="B14" s="999"/>
      <c r="C14" s="999"/>
      <c r="D14" s="999"/>
      <c r="E14" s="999"/>
      <c r="F14" s="999"/>
      <c r="G14" s="46"/>
      <c r="H14" s="59"/>
      <c r="I14" s="59"/>
      <c r="J14" s="59"/>
      <c r="K14" s="59"/>
      <c r="L14" s="59"/>
    </row>
    <row r="15" spans="1:12" s="60" customFormat="1" ht="13.5" x14ac:dyDescent="0.25">
      <c r="A15" s="999"/>
      <c r="B15" s="999"/>
      <c r="C15" s="999"/>
      <c r="D15" s="999"/>
      <c r="E15" s="999"/>
      <c r="F15" s="999"/>
      <c r="G15" s="46"/>
      <c r="H15" s="59"/>
      <c r="I15" s="59"/>
      <c r="J15" s="59"/>
      <c r="K15" s="59"/>
      <c r="L15" s="59"/>
    </row>
    <row r="16" spans="1:12" s="60" customFormat="1" ht="13.5" x14ac:dyDescent="0.25">
      <c r="A16" s="999"/>
      <c r="B16" s="999"/>
      <c r="C16" s="999"/>
      <c r="D16" s="999"/>
      <c r="E16" s="999"/>
      <c r="F16" s="999"/>
      <c r="G16" s="46"/>
      <c r="H16" s="59"/>
      <c r="I16" s="59"/>
      <c r="J16" s="59"/>
      <c r="K16" s="59"/>
      <c r="L16" s="59"/>
    </row>
    <row r="17" spans="1:12" s="60" customFormat="1" ht="13.5" x14ac:dyDescent="0.25">
      <c r="A17" s="1003" t="s">
        <v>780</v>
      </c>
      <c r="B17" s="1003"/>
      <c r="C17" s="1003"/>
      <c r="D17" s="1003"/>
      <c r="E17" s="1003"/>
      <c r="F17" s="1003"/>
      <c r="G17" s="46"/>
      <c r="H17" s="59"/>
      <c r="I17" s="59"/>
      <c r="J17" s="59"/>
      <c r="K17" s="59"/>
      <c r="L17" s="59"/>
    </row>
    <row r="18" spans="1:12" s="60" customFormat="1" ht="13.5" x14ac:dyDescent="0.25">
      <c r="A18" s="1003"/>
      <c r="B18" s="1003"/>
      <c r="C18" s="1003"/>
      <c r="D18" s="1003"/>
      <c r="E18" s="1003"/>
      <c r="F18" s="1003"/>
      <c r="G18" s="46"/>
      <c r="H18" s="59"/>
      <c r="I18" s="59"/>
      <c r="J18" s="59"/>
      <c r="K18" s="59"/>
      <c r="L18" s="59"/>
    </row>
    <row r="19" spans="1:12" s="60" customFormat="1" ht="13.5" x14ac:dyDescent="0.25">
      <c r="A19" s="1003"/>
      <c r="B19" s="1003"/>
      <c r="C19" s="1003"/>
      <c r="D19" s="1003"/>
      <c r="E19" s="1003"/>
      <c r="F19" s="1003"/>
      <c r="G19" s="46"/>
      <c r="H19" s="59"/>
      <c r="I19" s="59"/>
      <c r="J19" s="59"/>
      <c r="K19" s="59"/>
      <c r="L19" s="59"/>
    </row>
    <row r="20" spans="1:12" ht="15" x14ac:dyDescent="0.25">
      <c r="A20" s="1003"/>
      <c r="B20" s="1003"/>
      <c r="C20" s="1003"/>
      <c r="D20" s="1003"/>
      <c r="E20" s="1003"/>
      <c r="F20" s="1003"/>
      <c r="G20" s="5"/>
      <c r="H20" s="5"/>
      <c r="I20" s="5"/>
      <c r="J20" s="5"/>
      <c r="K20" s="5"/>
      <c r="L20" s="5"/>
    </row>
    <row r="21" spans="1:12" ht="15" x14ac:dyDescent="0.25">
      <c r="A21" s="1003"/>
      <c r="B21" s="1003"/>
      <c r="C21" s="1003"/>
      <c r="D21" s="1003"/>
      <c r="E21" s="1003"/>
      <c r="F21" s="1003"/>
      <c r="G21" s="5"/>
      <c r="H21" s="5"/>
      <c r="I21" s="5"/>
      <c r="J21" s="5"/>
      <c r="K21" s="5"/>
      <c r="L21" s="5"/>
    </row>
    <row r="22" spans="1:12" ht="15" x14ac:dyDescent="0.25">
      <c r="A22" s="1003"/>
      <c r="B22" s="1003"/>
      <c r="C22" s="1003"/>
      <c r="D22" s="1003"/>
      <c r="E22" s="1003"/>
      <c r="F22" s="1003"/>
      <c r="G22" s="5"/>
      <c r="H22" s="5"/>
      <c r="I22" s="5"/>
      <c r="J22" s="5"/>
      <c r="K22" s="5"/>
      <c r="L22" s="5"/>
    </row>
    <row r="23" spans="1:12" ht="15" x14ac:dyDescent="0.25">
      <c r="A23" s="1088"/>
      <c r="B23" s="1088"/>
      <c r="C23" s="1088"/>
      <c r="D23" s="1088"/>
      <c r="E23" s="1088"/>
      <c r="F23" s="1088"/>
      <c r="G23" s="1088"/>
      <c r="H23" s="5"/>
      <c r="I23" s="5"/>
      <c r="J23" s="5"/>
      <c r="K23" s="5"/>
      <c r="L23" s="5"/>
    </row>
    <row r="24" spans="1:12" ht="15" x14ac:dyDescent="0.25">
      <c r="A24" s="1088"/>
      <c r="B24" s="1088"/>
      <c r="C24" s="1088"/>
      <c r="D24" s="1088"/>
      <c r="E24" s="1088"/>
      <c r="F24" s="1088"/>
      <c r="G24" s="1088"/>
      <c r="H24" s="5"/>
      <c r="I24" s="5"/>
      <c r="J24" s="5"/>
      <c r="K24" s="5"/>
      <c r="L24" s="5"/>
    </row>
    <row r="25" spans="1:12" x14ac:dyDescent="0.3">
      <c r="A25" s="95"/>
      <c r="B25" s="48"/>
      <c r="C25" s="48"/>
      <c r="D25" s="48"/>
      <c r="E25" s="48"/>
      <c r="F25" s="48"/>
      <c r="G25" s="5"/>
      <c r="H25" s="5"/>
      <c r="I25" s="5"/>
      <c r="J25" s="5"/>
      <c r="K25" s="5"/>
      <c r="L25" s="5"/>
    </row>
    <row r="26" spans="1:12" x14ac:dyDescent="0.3">
      <c r="A26" s="95"/>
      <c r="B26" s="48"/>
      <c r="C26" s="48"/>
      <c r="D26" s="48"/>
      <c r="E26" s="48"/>
      <c r="F26" s="48"/>
      <c r="G26" s="5"/>
      <c r="H26" s="5"/>
      <c r="I26" s="5"/>
      <c r="J26" s="5"/>
      <c r="K26" s="5"/>
      <c r="L26" s="5"/>
    </row>
    <row r="27" spans="1:12" x14ac:dyDescent="0.3">
      <c r="A27" s="95"/>
      <c r="B27" s="48"/>
      <c r="C27" s="48"/>
      <c r="D27" s="48"/>
      <c r="E27" s="48"/>
      <c r="F27" s="48"/>
      <c r="G27" s="5"/>
      <c r="H27" s="5"/>
      <c r="I27" s="5"/>
      <c r="J27" s="5"/>
      <c r="K27" s="5"/>
      <c r="L27" s="5"/>
    </row>
    <row r="28" spans="1:12" x14ac:dyDescent="0.3">
      <c r="A28" s="95"/>
      <c r="B28" s="48"/>
      <c r="C28" s="48"/>
      <c r="D28" s="48"/>
      <c r="E28" s="48"/>
      <c r="F28" s="48"/>
      <c r="G28" s="5"/>
      <c r="H28" s="5"/>
      <c r="I28" s="5"/>
      <c r="J28" s="5"/>
      <c r="K28" s="5"/>
      <c r="L28" s="5"/>
    </row>
    <row r="29" spans="1:12" x14ac:dyDescent="0.3">
      <c r="A29" s="95"/>
      <c r="B29" s="48"/>
      <c r="C29" s="48"/>
      <c r="D29" s="48"/>
      <c r="E29" s="48"/>
      <c r="F29" s="48"/>
      <c r="G29" s="5"/>
      <c r="H29" s="5"/>
      <c r="I29" s="5"/>
      <c r="J29" s="5"/>
      <c r="K29" s="5"/>
      <c r="L29" s="5"/>
    </row>
    <row r="30" spans="1:12" x14ac:dyDescent="0.3">
      <c r="A30" s="95"/>
      <c r="B30" s="48"/>
      <c r="C30" s="48"/>
      <c r="D30" s="48"/>
      <c r="E30" s="48"/>
      <c r="F30" s="48"/>
      <c r="G30" s="5"/>
      <c r="H30" s="5"/>
      <c r="I30" s="5"/>
      <c r="J30" s="5"/>
      <c r="K30" s="5"/>
      <c r="L30" s="5"/>
    </row>
    <row r="31" spans="1:12" x14ac:dyDescent="0.3">
      <c r="A31" s="95"/>
      <c r="B31" s="48"/>
      <c r="C31" s="48"/>
      <c r="D31" s="48"/>
      <c r="E31" s="48"/>
      <c r="F31" s="48"/>
      <c r="G31" s="5"/>
      <c r="H31" s="5"/>
      <c r="I31" s="5"/>
      <c r="J31" s="5"/>
      <c r="K31" s="5"/>
      <c r="L31" s="5"/>
    </row>
    <row r="32" spans="1:12" x14ac:dyDescent="0.3">
      <c r="A32" s="95"/>
      <c r="B32" s="48"/>
      <c r="C32" s="48"/>
      <c r="D32" s="48"/>
      <c r="E32" s="48"/>
      <c r="F32" s="48"/>
      <c r="G32" s="5"/>
      <c r="H32" s="5"/>
      <c r="I32" s="5"/>
      <c r="J32" s="5"/>
      <c r="K32" s="5"/>
      <c r="L32" s="5"/>
    </row>
    <row r="33" spans="1:12" x14ac:dyDescent="0.3">
      <c r="A33" s="95"/>
      <c r="B33" s="48"/>
      <c r="C33" s="48"/>
      <c r="D33" s="48"/>
      <c r="E33" s="48"/>
      <c r="F33" s="48"/>
      <c r="G33" s="5"/>
      <c r="H33" s="5"/>
      <c r="I33" s="5"/>
      <c r="J33" s="5"/>
      <c r="K33" s="5"/>
      <c r="L33" s="5"/>
    </row>
    <row r="34" spans="1:12" x14ac:dyDescent="0.3">
      <c r="A34" s="95"/>
      <c r="B34" s="48"/>
      <c r="C34" s="48"/>
      <c r="D34" s="48"/>
      <c r="E34" s="48"/>
      <c r="F34" s="48"/>
      <c r="G34" s="5"/>
      <c r="H34" s="5"/>
      <c r="I34" s="5"/>
      <c r="J34" s="5"/>
      <c r="K34" s="5"/>
      <c r="L34" s="5"/>
    </row>
    <row r="35" spans="1:12" x14ac:dyDescent="0.3">
      <c r="A35" s="95"/>
      <c r="B35" s="48"/>
      <c r="C35" s="48"/>
      <c r="D35" s="48"/>
      <c r="E35" s="48"/>
      <c r="F35" s="48"/>
      <c r="G35" s="5"/>
      <c r="H35" s="5"/>
      <c r="I35" s="5"/>
      <c r="J35" s="5"/>
      <c r="K35" s="5"/>
      <c r="L35" s="5"/>
    </row>
    <row r="36" spans="1:12" x14ac:dyDescent="0.3">
      <c r="A36" s="95"/>
      <c r="B36" s="48"/>
      <c r="C36" s="48"/>
      <c r="D36" s="48"/>
      <c r="E36" s="48"/>
      <c r="F36" s="48"/>
      <c r="G36" s="5"/>
      <c r="H36" s="5"/>
      <c r="I36" s="5"/>
      <c r="J36" s="5"/>
      <c r="K36" s="5"/>
      <c r="L36" s="5"/>
    </row>
    <row r="37" spans="1:12" x14ac:dyDescent="0.3">
      <c r="A37" s="95"/>
      <c r="B37" s="48"/>
      <c r="C37" s="48"/>
      <c r="D37" s="48"/>
      <c r="E37" s="48"/>
      <c r="F37" s="48"/>
      <c r="G37" s="5"/>
      <c r="H37" s="5"/>
      <c r="I37" s="5"/>
      <c r="J37" s="5"/>
      <c r="K37" s="5"/>
      <c r="L37" s="5"/>
    </row>
    <row r="38" spans="1:12" x14ac:dyDescent="0.3">
      <c r="A38" s="95"/>
      <c r="B38" s="48"/>
      <c r="C38" s="48"/>
      <c r="D38" s="48"/>
      <c r="E38" s="48"/>
      <c r="F38" s="48"/>
      <c r="G38" s="5"/>
      <c r="H38" s="5"/>
      <c r="I38" s="5"/>
      <c r="J38" s="5"/>
      <c r="K38" s="5"/>
      <c r="L38" s="5"/>
    </row>
    <row r="39" spans="1:12" x14ac:dyDescent="0.3">
      <c r="A39" s="95"/>
      <c r="B39" s="48"/>
      <c r="C39" s="48"/>
      <c r="D39" s="48"/>
      <c r="E39" s="48"/>
      <c r="F39" s="48"/>
      <c r="G39" s="5"/>
      <c r="H39" s="5"/>
      <c r="I39" s="5"/>
      <c r="J39" s="5"/>
      <c r="K39" s="5"/>
      <c r="L39" s="5"/>
    </row>
    <row r="40" spans="1:12" x14ac:dyDescent="0.3">
      <c r="A40" s="95"/>
      <c r="B40" s="48"/>
      <c r="C40" s="48"/>
      <c r="D40" s="48"/>
      <c r="E40" s="48"/>
      <c r="F40" s="48"/>
      <c r="G40" s="5"/>
      <c r="H40" s="5"/>
      <c r="I40" s="5"/>
      <c r="J40" s="5"/>
      <c r="K40" s="5"/>
      <c r="L40" s="5"/>
    </row>
    <row r="41" spans="1:12" x14ac:dyDescent="0.3">
      <c r="A41" s="95"/>
      <c r="B41" s="48"/>
      <c r="C41" s="48"/>
      <c r="D41" s="48"/>
      <c r="E41" s="48"/>
      <c r="F41" s="48"/>
      <c r="G41" s="5"/>
      <c r="H41" s="5"/>
      <c r="I41" s="5"/>
      <c r="J41" s="5"/>
      <c r="K41" s="5"/>
      <c r="L41" s="5"/>
    </row>
    <row r="42" spans="1:12" x14ac:dyDescent="0.3">
      <c r="A42" s="95"/>
      <c r="B42" s="48"/>
      <c r="C42" s="48"/>
      <c r="D42" s="48"/>
      <c r="E42" s="48"/>
      <c r="F42" s="48"/>
      <c r="G42" s="5"/>
      <c r="H42" s="5"/>
      <c r="I42" s="5"/>
      <c r="J42" s="5"/>
      <c r="K42" s="5"/>
      <c r="L42" s="5"/>
    </row>
    <row r="43" spans="1:12" x14ac:dyDescent="0.3">
      <c r="A43" s="95"/>
      <c r="B43" s="48"/>
      <c r="C43" s="48"/>
      <c r="D43" s="48"/>
      <c r="E43" s="48"/>
      <c r="F43" s="48"/>
      <c r="G43" s="5"/>
      <c r="H43" s="5"/>
      <c r="I43" s="5"/>
      <c r="J43" s="5"/>
      <c r="K43" s="5"/>
      <c r="L43" s="5"/>
    </row>
    <row r="44" spans="1:12" x14ac:dyDescent="0.3">
      <c r="A44" s="95"/>
      <c r="B44" s="48"/>
      <c r="C44" s="48"/>
      <c r="D44" s="48"/>
      <c r="E44" s="48"/>
      <c r="F44" s="48"/>
      <c r="G44" s="5"/>
      <c r="H44" s="5"/>
      <c r="I44" s="5"/>
      <c r="J44" s="5"/>
      <c r="K44" s="5"/>
      <c r="L44" s="5"/>
    </row>
    <row r="45" spans="1:12" x14ac:dyDescent="0.3">
      <c r="A45" s="95"/>
      <c r="B45" s="48"/>
      <c r="C45" s="48"/>
      <c r="D45" s="48"/>
      <c r="E45" s="48"/>
      <c r="F45" s="48"/>
      <c r="G45" s="5"/>
      <c r="H45" s="5"/>
      <c r="I45" s="5"/>
      <c r="J45" s="5"/>
      <c r="K45" s="5"/>
      <c r="L45" s="5"/>
    </row>
    <row r="46" spans="1:12" x14ac:dyDescent="0.3">
      <c r="A46" s="95"/>
      <c r="B46" s="48"/>
      <c r="C46" s="48"/>
      <c r="D46" s="48"/>
      <c r="E46" s="48"/>
      <c r="F46" s="48"/>
      <c r="G46" s="5"/>
      <c r="H46" s="5"/>
      <c r="I46" s="5"/>
      <c r="J46" s="5"/>
      <c r="K46" s="5"/>
      <c r="L46" s="5"/>
    </row>
    <row r="47" spans="1:12" x14ac:dyDescent="0.3">
      <c r="A47" s="95"/>
      <c r="B47" s="48"/>
      <c r="C47" s="48"/>
      <c r="D47" s="48"/>
      <c r="E47" s="48"/>
      <c r="F47" s="48"/>
      <c r="G47" s="5"/>
      <c r="H47" s="5"/>
      <c r="I47" s="5"/>
      <c r="J47" s="5"/>
      <c r="K47" s="5"/>
      <c r="L47" s="5"/>
    </row>
    <row r="48" spans="1:12" x14ac:dyDescent="0.3">
      <c r="A48" s="95"/>
      <c r="B48" s="48"/>
      <c r="C48" s="48"/>
      <c r="D48" s="48"/>
      <c r="E48" s="48"/>
      <c r="F48" s="48"/>
      <c r="G48" s="5"/>
      <c r="H48" s="5"/>
      <c r="I48" s="5"/>
      <c r="J48" s="5"/>
      <c r="K48" s="5"/>
      <c r="L48" s="5"/>
    </row>
    <row r="49" spans="1:12" x14ac:dyDescent="0.3">
      <c r="A49" s="95"/>
      <c r="B49" s="48"/>
      <c r="C49" s="48"/>
      <c r="D49" s="48"/>
      <c r="E49" s="48"/>
      <c r="F49" s="48"/>
      <c r="G49" s="5"/>
      <c r="H49" s="5"/>
      <c r="I49" s="5"/>
      <c r="J49" s="5"/>
      <c r="K49" s="5"/>
      <c r="L49" s="5"/>
    </row>
    <row r="50" spans="1:12" x14ac:dyDescent="0.3">
      <c r="A50" s="95"/>
      <c r="B50" s="48"/>
      <c r="C50" s="48"/>
      <c r="D50" s="48"/>
      <c r="E50" s="48"/>
      <c r="F50" s="48"/>
      <c r="G50" s="5"/>
      <c r="H50" s="5"/>
      <c r="I50" s="5"/>
      <c r="J50" s="5"/>
      <c r="K50" s="5"/>
      <c r="L50" s="5"/>
    </row>
    <row r="51" spans="1:12" x14ac:dyDescent="0.3">
      <c r="A51" s="95"/>
      <c r="B51" s="48"/>
      <c r="C51" s="48"/>
      <c r="D51" s="48"/>
      <c r="E51" s="48"/>
      <c r="F51" s="48"/>
      <c r="G51" s="5"/>
      <c r="H51" s="5"/>
      <c r="I51" s="5"/>
      <c r="J51" s="5"/>
      <c r="K51" s="5"/>
      <c r="L51" s="5"/>
    </row>
    <row r="52" spans="1:12" x14ac:dyDescent="0.3">
      <c r="A52" s="95"/>
      <c r="B52" s="48"/>
      <c r="C52" s="48"/>
      <c r="D52" s="48"/>
      <c r="E52" s="48"/>
      <c r="F52" s="48"/>
      <c r="G52" s="5"/>
      <c r="H52" s="5"/>
      <c r="I52" s="5"/>
      <c r="J52" s="5"/>
      <c r="K52" s="5"/>
      <c r="L52" s="5"/>
    </row>
    <row r="53" spans="1:12" x14ac:dyDescent="0.3">
      <c r="A53" s="95"/>
      <c r="B53" s="48"/>
      <c r="C53" s="48"/>
      <c r="D53" s="48"/>
      <c r="E53" s="48"/>
      <c r="F53" s="48"/>
      <c r="G53" s="5"/>
      <c r="H53" s="5"/>
      <c r="I53" s="5"/>
      <c r="J53" s="5"/>
      <c r="K53" s="5"/>
      <c r="L53" s="5"/>
    </row>
    <row r="54" spans="1:12" x14ac:dyDescent="0.3">
      <c r="A54" s="95"/>
      <c r="B54" s="48"/>
      <c r="C54" s="48"/>
      <c r="D54" s="48"/>
      <c r="E54" s="48"/>
      <c r="F54" s="48"/>
      <c r="G54" s="5"/>
      <c r="H54" s="5"/>
      <c r="I54" s="5"/>
      <c r="J54" s="5"/>
      <c r="K54" s="5"/>
      <c r="L54" s="5"/>
    </row>
    <row r="55" spans="1:12" x14ac:dyDescent="0.3">
      <c r="A55" s="95"/>
      <c r="B55" s="48"/>
      <c r="C55" s="48"/>
      <c r="D55" s="48"/>
      <c r="E55" s="48"/>
      <c r="F55" s="48"/>
      <c r="G55" s="5"/>
      <c r="H55" s="5"/>
      <c r="I55" s="5"/>
      <c r="J55" s="5"/>
      <c r="K55" s="5"/>
      <c r="L55" s="5"/>
    </row>
    <row r="56" spans="1:12" x14ac:dyDescent="0.3">
      <c r="A56" s="95"/>
      <c r="B56" s="48"/>
      <c r="C56" s="48"/>
      <c r="D56" s="48"/>
      <c r="E56" s="48"/>
      <c r="F56" s="48"/>
      <c r="G56" s="5"/>
      <c r="H56" s="5"/>
      <c r="I56" s="5"/>
      <c r="J56" s="5"/>
      <c r="K56" s="5"/>
      <c r="L56" s="5"/>
    </row>
    <row r="57" spans="1:12" x14ac:dyDescent="0.3">
      <c r="A57" s="95"/>
      <c r="B57" s="48"/>
      <c r="C57" s="48"/>
      <c r="D57" s="48"/>
      <c r="E57" s="48"/>
      <c r="F57" s="48"/>
      <c r="G57" s="5"/>
      <c r="H57" s="5"/>
      <c r="I57" s="5"/>
      <c r="J57" s="5"/>
      <c r="K57" s="5"/>
      <c r="L57" s="5"/>
    </row>
    <row r="58" spans="1:12" x14ac:dyDescent="0.3">
      <c r="A58" s="95"/>
      <c r="B58" s="48"/>
      <c r="C58" s="48"/>
      <c r="D58" s="48"/>
      <c r="E58" s="48"/>
      <c r="F58" s="48"/>
      <c r="G58" s="5"/>
      <c r="H58" s="5"/>
      <c r="I58" s="5"/>
      <c r="J58" s="5"/>
      <c r="K58" s="5"/>
      <c r="L58" s="5"/>
    </row>
    <row r="59" spans="1:12" x14ac:dyDescent="0.3">
      <c r="A59" s="95"/>
      <c r="B59" s="48"/>
      <c r="C59" s="48"/>
      <c r="D59" s="48"/>
      <c r="E59" s="48"/>
      <c r="F59" s="48"/>
      <c r="G59" s="5"/>
      <c r="H59" s="5"/>
      <c r="I59" s="5"/>
      <c r="J59" s="5"/>
      <c r="K59" s="5"/>
      <c r="L59" s="5"/>
    </row>
    <row r="60" spans="1:12" x14ac:dyDescent="0.3">
      <c r="A60" s="95"/>
      <c r="B60" s="48"/>
      <c r="C60" s="48"/>
      <c r="D60" s="48"/>
      <c r="E60" s="48"/>
      <c r="F60" s="48"/>
      <c r="G60" s="5"/>
      <c r="H60" s="5"/>
      <c r="I60" s="5"/>
      <c r="J60" s="5"/>
      <c r="K60" s="5"/>
      <c r="L60" s="5"/>
    </row>
    <row r="61" spans="1:12" x14ac:dyDescent="0.3">
      <c r="A61" s="95"/>
      <c r="B61" s="48"/>
      <c r="C61" s="48"/>
      <c r="D61" s="48"/>
      <c r="E61" s="48"/>
      <c r="F61" s="48"/>
      <c r="G61" s="5"/>
      <c r="H61" s="5"/>
      <c r="I61" s="5"/>
      <c r="J61" s="5"/>
      <c r="K61" s="5"/>
      <c r="L61" s="5"/>
    </row>
    <row r="62" spans="1:12" x14ac:dyDescent="0.3">
      <c r="A62" s="95"/>
      <c r="B62" s="48"/>
      <c r="C62" s="48"/>
      <c r="D62" s="48"/>
      <c r="E62" s="48"/>
      <c r="F62" s="48"/>
      <c r="G62" s="5"/>
      <c r="H62" s="5"/>
      <c r="I62" s="5"/>
      <c r="J62" s="5"/>
      <c r="K62" s="5"/>
      <c r="L62" s="5"/>
    </row>
    <row r="63" spans="1:12" x14ac:dyDescent="0.3">
      <c r="A63" s="95"/>
      <c r="B63" s="48"/>
      <c r="C63" s="48"/>
      <c r="D63" s="48"/>
      <c r="E63" s="48"/>
      <c r="F63" s="48"/>
      <c r="G63" s="5"/>
      <c r="H63" s="5"/>
      <c r="I63" s="5"/>
      <c r="J63" s="5"/>
      <c r="K63" s="5"/>
      <c r="L63" s="5"/>
    </row>
    <row r="64" spans="1:12" x14ac:dyDescent="0.3">
      <c r="A64" s="95"/>
      <c r="B64" s="48"/>
      <c r="C64" s="48"/>
      <c r="D64" s="48"/>
      <c r="E64" s="48"/>
      <c r="F64" s="48"/>
      <c r="G64" s="5"/>
      <c r="H64" s="5"/>
      <c r="I64" s="5"/>
      <c r="J64" s="5"/>
      <c r="K64" s="5"/>
      <c r="L64" s="5"/>
    </row>
    <row r="65" spans="1:12" x14ac:dyDescent="0.3">
      <c r="A65" s="95"/>
      <c r="B65" s="48"/>
      <c r="C65" s="48"/>
      <c r="D65" s="48"/>
      <c r="E65" s="48"/>
      <c r="F65" s="48"/>
      <c r="G65" s="5"/>
      <c r="H65" s="5"/>
      <c r="I65" s="5"/>
      <c r="J65" s="5"/>
      <c r="K65" s="5"/>
      <c r="L65" s="5"/>
    </row>
    <row r="66" spans="1:12" x14ac:dyDescent="0.3">
      <c r="A66" s="95"/>
      <c r="B66" s="48"/>
      <c r="C66" s="48"/>
      <c r="D66" s="48"/>
      <c r="E66" s="48"/>
      <c r="F66" s="48"/>
      <c r="G66" s="5"/>
      <c r="H66" s="5"/>
      <c r="I66" s="5"/>
      <c r="J66" s="5"/>
      <c r="K66" s="5"/>
      <c r="L66" s="5"/>
    </row>
    <row r="67" spans="1:12" x14ac:dyDescent="0.3">
      <c r="A67" s="95"/>
      <c r="B67" s="48"/>
      <c r="C67" s="48"/>
      <c r="D67" s="48"/>
      <c r="E67" s="48"/>
      <c r="F67" s="48"/>
      <c r="G67" s="5"/>
      <c r="H67" s="5"/>
      <c r="I67" s="5"/>
      <c r="J67" s="5"/>
      <c r="K67" s="5"/>
      <c r="L67" s="5"/>
    </row>
    <row r="68" spans="1:12" x14ac:dyDescent="0.3">
      <c r="A68" s="95"/>
      <c r="B68" s="48"/>
      <c r="C68" s="48"/>
      <c r="D68" s="48"/>
      <c r="E68" s="48"/>
      <c r="F68" s="48"/>
      <c r="G68" s="5"/>
      <c r="H68" s="5"/>
      <c r="I68" s="5"/>
      <c r="J68" s="5"/>
      <c r="K68" s="5"/>
      <c r="L68" s="5"/>
    </row>
    <row r="69" spans="1:12" x14ac:dyDescent="0.3">
      <c r="A69" s="95"/>
      <c r="B69" s="48"/>
      <c r="C69" s="48"/>
      <c r="D69" s="48"/>
      <c r="E69" s="48"/>
      <c r="F69" s="48"/>
      <c r="G69" s="5"/>
      <c r="H69" s="5"/>
      <c r="I69" s="5"/>
      <c r="J69" s="5"/>
      <c r="K69" s="5"/>
      <c r="L69" s="5"/>
    </row>
    <row r="70" spans="1:12" x14ac:dyDescent="0.3">
      <c r="A70" s="95"/>
      <c r="B70" s="48"/>
      <c r="C70" s="48"/>
      <c r="D70" s="48"/>
      <c r="E70" s="48"/>
      <c r="F70" s="48"/>
      <c r="G70" s="5"/>
      <c r="H70" s="5"/>
      <c r="I70" s="5"/>
      <c r="J70" s="5"/>
      <c r="K70" s="5"/>
      <c r="L70" s="5"/>
    </row>
    <row r="71" spans="1:12" x14ac:dyDescent="0.3">
      <c r="A71" s="95"/>
      <c r="B71" s="48"/>
      <c r="C71" s="48"/>
      <c r="D71" s="48"/>
      <c r="E71" s="48"/>
      <c r="F71" s="48"/>
      <c r="G71" s="5"/>
      <c r="H71" s="5"/>
      <c r="I71" s="5"/>
      <c r="J71" s="5"/>
      <c r="K71" s="5"/>
      <c r="L71" s="5"/>
    </row>
    <row r="72" spans="1:12" x14ac:dyDescent="0.3">
      <c r="A72" s="95"/>
      <c r="B72" s="48"/>
      <c r="C72" s="48"/>
      <c r="D72" s="48"/>
      <c r="E72" s="48"/>
      <c r="F72" s="48"/>
      <c r="G72" s="5"/>
      <c r="H72" s="5"/>
      <c r="I72" s="5"/>
      <c r="J72" s="5"/>
      <c r="K72" s="5"/>
      <c r="L72" s="5"/>
    </row>
    <row r="73" spans="1:12" x14ac:dyDescent="0.3">
      <c r="A73" s="95"/>
      <c r="B73" s="48"/>
      <c r="C73" s="48"/>
      <c r="D73" s="48"/>
      <c r="E73" s="48"/>
      <c r="F73" s="48"/>
      <c r="G73" s="5"/>
      <c r="H73" s="5"/>
      <c r="I73" s="5"/>
      <c r="J73" s="5"/>
      <c r="K73" s="5"/>
      <c r="L73" s="5"/>
    </row>
    <row r="74" spans="1:12" x14ac:dyDescent="0.3">
      <c r="A74" s="95"/>
      <c r="B74" s="48"/>
      <c r="C74" s="48"/>
      <c r="D74" s="48"/>
      <c r="E74" s="48"/>
      <c r="F74" s="48"/>
      <c r="G74" s="5"/>
      <c r="H74" s="5"/>
      <c r="I74" s="5"/>
      <c r="J74" s="5"/>
      <c r="K74" s="5"/>
      <c r="L74" s="5"/>
    </row>
    <row r="75" spans="1:12" x14ac:dyDescent="0.3">
      <c r="A75" s="95"/>
      <c r="B75" s="48"/>
      <c r="C75" s="48"/>
      <c r="D75" s="48"/>
      <c r="E75" s="48"/>
      <c r="F75" s="48"/>
      <c r="G75" s="5"/>
      <c r="H75" s="5"/>
      <c r="I75" s="5"/>
      <c r="J75" s="5"/>
      <c r="K75" s="5"/>
      <c r="L75" s="5"/>
    </row>
    <row r="76" spans="1:12" x14ac:dyDescent="0.3">
      <c r="A76" s="95"/>
      <c r="B76" s="48"/>
      <c r="C76" s="48"/>
      <c r="D76" s="48"/>
      <c r="E76" s="48"/>
      <c r="F76" s="48"/>
      <c r="G76" s="5"/>
      <c r="H76" s="5"/>
      <c r="I76" s="5"/>
      <c r="J76" s="5"/>
      <c r="K76" s="5"/>
      <c r="L76" s="5"/>
    </row>
    <row r="77" spans="1:12" x14ac:dyDescent="0.3">
      <c r="A77" s="95"/>
      <c r="B77" s="48"/>
      <c r="C77" s="48"/>
      <c r="D77" s="48"/>
      <c r="E77" s="48"/>
      <c r="F77" s="48"/>
      <c r="G77" s="5"/>
      <c r="H77" s="5"/>
      <c r="I77" s="5"/>
      <c r="J77" s="5"/>
      <c r="K77" s="5"/>
      <c r="L77" s="5"/>
    </row>
    <row r="78" spans="1:12" x14ac:dyDescent="0.3">
      <c r="A78" s="95"/>
      <c r="B78" s="48"/>
      <c r="C78" s="48"/>
      <c r="D78" s="48"/>
      <c r="E78" s="48"/>
      <c r="F78" s="48"/>
      <c r="G78" s="5"/>
      <c r="H78" s="5"/>
      <c r="I78" s="5"/>
      <c r="J78" s="5"/>
      <c r="K78" s="5"/>
      <c r="L78" s="5"/>
    </row>
    <row r="79" spans="1:12" x14ac:dyDescent="0.3">
      <c r="A79" s="95"/>
      <c r="B79" s="48"/>
      <c r="C79" s="48"/>
      <c r="D79" s="48"/>
      <c r="E79" s="48"/>
      <c r="F79" s="48"/>
      <c r="G79" s="5"/>
      <c r="H79" s="5"/>
      <c r="I79" s="5"/>
      <c r="J79" s="5"/>
      <c r="K79" s="5"/>
      <c r="L79" s="5"/>
    </row>
    <row r="80" spans="1:12" x14ac:dyDescent="0.3">
      <c r="A80" s="95"/>
      <c r="B80" s="48"/>
      <c r="C80" s="48"/>
      <c r="D80" s="48"/>
      <c r="E80" s="48"/>
      <c r="F80" s="48"/>
      <c r="G80" s="5"/>
      <c r="H80" s="5"/>
      <c r="I80" s="5"/>
      <c r="J80" s="5"/>
      <c r="K80" s="5"/>
      <c r="L80" s="5"/>
    </row>
    <row r="81" spans="1:12" x14ac:dyDescent="0.3">
      <c r="A81" s="95"/>
      <c r="B81" s="48"/>
      <c r="C81" s="48"/>
      <c r="D81" s="48"/>
      <c r="E81" s="48"/>
      <c r="F81" s="48"/>
      <c r="G81" s="5"/>
      <c r="H81" s="5"/>
      <c r="I81" s="5"/>
      <c r="J81" s="5"/>
      <c r="K81" s="5"/>
      <c r="L81" s="5"/>
    </row>
    <row r="82" spans="1:12" x14ac:dyDescent="0.3">
      <c r="A82" s="95"/>
      <c r="B82" s="48"/>
      <c r="C82" s="48"/>
      <c r="D82" s="48"/>
      <c r="E82" s="48"/>
      <c r="F82" s="48"/>
      <c r="G82" s="5"/>
      <c r="H82" s="5"/>
      <c r="I82" s="5"/>
      <c r="J82" s="5"/>
      <c r="K82" s="5"/>
      <c r="L82" s="5"/>
    </row>
    <row r="83" spans="1:12" x14ac:dyDescent="0.3">
      <c r="A83" s="95"/>
      <c r="B83" s="48"/>
      <c r="C83" s="48"/>
      <c r="D83" s="48"/>
      <c r="E83" s="48"/>
      <c r="F83" s="48"/>
      <c r="G83" s="5"/>
      <c r="H83" s="5"/>
      <c r="I83" s="5"/>
      <c r="J83" s="5"/>
      <c r="K83" s="5"/>
      <c r="L83" s="5"/>
    </row>
    <row r="84" spans="1:12" x14ac:dyDescent="0.3">
      <c r="A84" s="95"/>
      <c r="B84" s="48"/>
      <c r="C84" s="48"/>
      <c r="D84" s="48"/>
      <c r="E84" s="48"/>
      <c r="F84" s="48"/>
      <c r="G84" s="5"/>
      <c r="H84" s="5"/>
      <c r="I84" s="5"/>
      <c r="J84" s="5"/>
      <c r="K84" s="5"/>
      <c r="L84" s="5"/>
    </row>
    <row r="85" spans="1:12" x14ac:dyDescent="0.3">
      <c r="A85" s="95"/>
      <c r="B85" s="48"/>
      <c r="C85" s="48"/>
      <c r="D85" s="48"/>
      <c r="E85" s="48"/>
      <c r="F85" s="48"/>
      <c r="G85" s="5"/>
      <c r="H85" s="5"/>
      <c r="I85" s="5"/>
      <c r="J85" s="5"/>
      <c r="K85" s="5"/>
      <c r="L85" s="5"/>
    </row>
    <row r="86" spans="1:12" x14ac:dyDescent="0.3">
      <c r="A86" s="95"/>
      <c r="B86" s="48"/>
      <c r="C86" s="48"/>
      <c r="D86" s="48"/>
      <c r="E86" s="48"/>
      <c r="F86" s="48"/>
      <c r="G86" s="5"/>
      <c r="H86" s="5"/>
      <c r="I86" s="5"/>
      <c r="J86" s="5"/>
      <c r="K86" s="5"/>
      <c r="L86" s="5"/>
    </row>
    <row r="87" spans="1:12" x14ac:dyDescent="0.3">
      <c r="A87" s="95"/>
      <c r="B87" s="48"/>
      <c r="C87" s="48"/>
      <c r="D87" s="48"/>
      <c r="E87" s="48"/>
      <c r="F87" s="48"/>
      <c r="G87" s="5"/>
      <c r="H87" s="5"/>
      <c r="I87" s="5"/>
      <c r="J87" s="5"/>
      <c r="K87" s="5"/>
      <c r="L87" s="5"/>
    </row>
    <row r="88" spans="1:12" x14ac:dyDescent="0.3">
      <c r="A88" s="95"/>
      <c r="B88" s="48"/>
      <c r="C88" s="48"/>
      <c r="D88" s="48"/>
      <c r="E88" s="48"/>
      <c r="F88" s="48"/>
      <c r="G88" s="5"/>
      <c r="H88" s="5"/>
      <c r="I88" s="5"/>
      <c r="J88" s="5"/>
      <c r="K88" s="5"/>
      <c r="L88" s="5"/>
    </row>
    <row r="89" spans="1:12" x14ac:dyDescent="0.3">
      <c r="A89" s="95"/>
      <c r="B89" s="48"/>
      <c r="C89" s="48"/>
      <c r="D89" s="48"/>
      <c r="E89" s="48"/>
      <c r="F89" s="48"/>
      <c r="G89" s="5"/>
      <c r="H89" s="5"/>
      <c r="I89" s="5"/>
      <c r="J89" s="5"/>
      <c r="K89" s="5"/>
      <c r="L89" s="5"/>
    </row>
    <row r="90" spans="1:12" x14ac:dyDescent="0.3">
      <c r="A90" s="95"/>
      <c r="B90" s="48"/>
      <c r="C90" s="48"/>
      <c r="D90" s="48"/>
      <c r="E90" s="48"/>
      <c r="F90" s="48"/>
      <c r="G90" s="5"/>
      <c r="H90" s="5"/>
      <c r="I90" s="5"/>
      <c r="J90" s="5"/>
      <c r="K90" s="5"/>
      <c r="L90" s="5"/>
    </row>
    <row r="91" spans="1:12" x14ac:dyDescent="0.3">
      <c r="A91" s="95"/>
      <c r="B91" s="48"/>
      <c r="C91" s="48"/>
      <c r="D91" s="48"/>
      <c r="E91" s="48"/>
      <c r="F91" s="48"/>
      <c r="G91" s="5"/>
      <c r="H91" s="5"/>
      <c r="I91" s="5"/>
      <c r="J91" s="5"/>
      <c r="K91" s="5"/>
      <c r="L91" s="5"/>
    </row>
    <row r="92" spans="1:12" x14ac:dyDescent="0.3">
      <c r="A92" s="95"/>
      <c r="B92" s="48"/>
      <c r="C92" s="48"/>
      <c r="D92" s="48"/>
      <c r="E92" s="48"/>
      <c r="F92" s="48"/>
      <c r="G92" s="5"/>
      <c r="H92" s="5"/>
      <c r="I92" s="5"/>
      <c r="J92" s="5"/>
      <c r="K92" s="5"/>
      <c r="L92" s="5"/>
    </row>
    <row r="93" spans="1:12" x14ac:dyDescent="0.3">
      <c r="A93" s="95"/>
      <c r="B93" s="48"/>
      <c r="C93" s="48"/>
      <c r="D93" s="48"/>
      <c r="E93" s="48"/>
      <c r="F93" s="48"/>
      <c r="G93" s="5"/>
      <c r="H93" s="5"/>
      <c r="I93" s="5"/>
      <c r="J93" s="5"/>
      <c r="K93" s="5"/>
      <c r="L93" s="5"/>
    </row>
    <row r="94" spans="1:12" x14ac:dyDescent="0.3">
      <c r="A94" s="95"/>
      <c r="B94" s="48"/>
      <c r="C94" s="48"/>
      <c r="D94" s="48"/>
      <c r="E94" s="48"/>
      <c r="F94" s="48"/>
      <c r="G94" s="5"/>
      <c r="H94" s="5"/>
      <c r="I94" s="5"/>
      <c r="J94" s="5"/>
      <c r="K94" s="5"/>
      <c r="L94" s="5"/>
    </row>
  </sheetData>
  <sheetProtection algorithmName="SHA-512" hashValue="B8FGKA9XZcWWPD6M8LMsRp8ymv2EBIUO01BsUNv+ekFPBZLefkDTpjzLYoQgB/rGzyFJY3Bu14w33x/9fn7RtA==" saltValue="ezfBqivox7ZXLgCA/c3VZA==" spinCount="100000" sheet="1" objects="1" scenarios="1"/>
  <mergeCells count="6">
    <mergeCell ref="A23:G24"/>
    <mergeCell ref="A12:F12"/>
    <mergeCell ref="A13:F13"/>
    <mergeCell ref="A10:F11"/>
    <mergeCell ref="A17:F22"/>
    <mergeCell ref="A14:F16"/>
  </mergeCells>
  <printOptions horizontalCentered="1"/>
  <pageMargins left="0.25" right="0.25" top="0.75" bottom="0.75" header="0.3" footer="0.3"/>
  <pageSetup orientation="landscape" r:id="rId1"/>
  <headerFooter>
    <oddFooter>&amp;C&amp;"Century Gothic,Regular"&amp;9Page &amp;P of &amp;N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28E9A-C825-4BD8-84B8-6AE0D4923338}">
  <sheetPr codeName="Sheet29">
    <pageSetUpPr fitToPage="1"/>
  </sheetPr>
  <dimension ref="A1:X109"/>
  <sheetViews>
    <sheetView zoomScale="90" zoomScaleNormal="90" zoomScaleSheetLayoutView="130" workbookViewId="0">
      <pane xSplit="2" ySplit="7" topLeftCell="C8" activePane="bottomRight" state="frozen"/>
      <selection pane="topRight" activeCell="C1" sqref="C1"/>
      <selection pane="bottomLeft" activeCell="A7" sqref="A7"/>
      <selection pane="bottomRight" activeCell="C8" sqref="C8"/>
    </sheetView>
  </sheetViews>
  <sheetFormatPr baseColWidth="10" defaultColWidth="9.140625" defaultRowHeight="13.5" x14ac:dyDescent="0.25"/>
  <cols>
    <col min="1" max="1" width="16.85546875" style="299" customWidth="1"/>
    <col min="2" max="2" width="35.140625" style="252" customWidth="1"/>
    <col min="3" max="3" width="18.7109375" style="253" customWidth="1"/>
    <col min="4" max="4" width="18.7109375" style="208" customWidth="1"/>
    <col min="5" max="5" width="18.7109375" style="252" customWidth="1"/>
    <col min="6" max="6" width="100.7109375" style="208" customWidth="1"/>
    <col min="7" max="7" width="39.28515625" style="208" customWidth="1"/>
    <col min="8" max="8" width="36" style="208" customWidth="1"/>
    <col min="9" max="16384" width="9.140625" style="208"/>
  </cols>
  <sheetData>
    <row r="1" spans="1:24" ht="15" customHeight="1" x14ac:dyDescent="0.25">
      <c r="A1" s="1093" t="s">
        <v>850</v>
      </c>
      <c r="B1" s="1094"/>
      <c r="C1" s="1094"/>
      <c r="D1" s="1094"/>
      <c r="E1" s="1094"/>
      <c r="F1" s="1094"/>
      <c r="G1" s="1094"/>
      <c r="H1" s="207"/>
      <c r="I1" s="207"/>
      <c r="J1" s="207"/>
      <c r="K1" s="207"/>
      <c r="L1" s="207"/>
      <c r="M1" s="207"/>
      <c r="N1" s="207"/>
      <c r="O1" s="207"/>
      <c r="P1" s="207"/>
      <c r="Q1" s="207"/>
      <c r="R1" s="207"/>
      <c r="S1" s="207"/>
      <c r="T1" s="207"/>
      <c r="U1" s="207"/>
      <c r="V1" s="207"/>
      <c r="W1" s="207"/>
      <c r="X1" s="207"/>
    </row>
    <row r="2" spans="1:24" s="7" customFormat="1" ht="5.0999999999999996" customHeight="1" x14ac:dyDescent="0.3">
      <c r="A2" s="258"/>
      <c r="B2" s="14"/>
      <c r="C2" s="14"/>
      <c r="D2" s="14"/>
      <c r="E2" s="14"/>
      <c r="F2" s="14"/>
      <c r="G2" s="14"/>
      <c r="H2" s="207"/>
      <c r="I2" s="207"/>
      <c r="J2" s="207"/>
      <c r="K2" s="207"/>
      <c r="L2" s="207"/>
      <c r="M2" s="207"/>
      <c r="N2" s="207"/>
      <c r="O2" s="207"/>
      <c r="P2" s="207"/>
      <c r="Q2" s="207"/>
      <c r="R2" s="207"/>
      <c r="S2" s="207"/>
      <c r="T2" s="207"/>
      <c r="U2" s="207"/>
      <c r="V2" s="207"/>
      <c r="W2" s="207"/>
      <c r="X2" s="207"/>
    </row>
    <row r="3" spans="1:24" x14ac:dyDescent="0.25">
      <c r="A3" s="1007" t="s">
        <v>851</v>
      </c>
      <c r="B3" s="1007"/>
      <c r="C3" s="1007"/>
      <c r="D3" s="1007"/>
      <c r="E3" s="1007"/>
      <c r="F3" s="1007"/>
      <c r="G3" s="1007"/>
      <c r="H3" s="207"/>
      <c r="I3" s="207"/>
      <c r="J3" s="207"/>
      <c r="K3" s="207"/>
      <c r="L3" s="207"/>
      <c r="M3" s="207"/>
      <c r="N3" s="207"/>
      <c r="O3" s="207"/>
      <c r="P3" s="207"/>
      <c r="Q3" s="207"/>
      <c r="R3" s="207"/>
      <c r="S3" s="207"/>
      <c r="T3" s="207"/>
      <c r="U3" s="207"/>
      <c r="V3" s="207"/>
      <c r="W3" s="207"/>
      <c r="X3" s="207"/>
    </row>
    <row r="4" spans="1:24" x14ac:dyDescent="0.25">
      <c r="A4" s="1009"/>
      <c r="B4" s="1009"/>
      <c r="C4" s="1009"/>
      <c r="D4" s="1009"/>
      <c r="E4" s="1009"/>
      <c r="F4" s="1009"/>
      <c r="G4" s="1009"/>
      <c r="H4" s="207"/>
      <c r="I4" s="207"/>
      <c r="J4" s="207"/>
      <c r="K4" s="207"/>
      <c r="L4" s="207"/>
      <c r="M4" s="207"/>
      <c r="N4" s="207"/>
      <c r="O4" s="207"/>
      <c r="P4" s="207"/>
      <c r="Q4" s="207"/>
      <c r="R4" s="207"/>
      <c r="S4" s="207"/>
      <c r="T4" s="207"/>
      <c r="U4" s="207"/>
      <c r="V4" s="207"/>
      <c r="W4" s="207"/>
      <c r="X4" s="207"/>
    </row>
    <row r="5" spans="1:24" x14ac:dyDescent="0.25">
      <c r="A5" s="992" t="s">
        <v>1318</v>
      </c>
      <c r="B5" s="990"/>
      <c r="C5" s="990"/>
      <c r="D5" s="990"/>
      <c r="E5" s="990"/>
      <c r="F5" s="990"/>
      <c r="G5" s="990"/>
      <c r="H5" s="207"/>
      <c r="I5" s="207"/>
      <c r="J5" s="207"/>
      <c r="K5" s="207"/>
      <c r="L5" s="207"/>
      <c r="M5" s="207"/>
      <c r="N5" s="207"/>
      <c r="O5" s="207"/>
      <c r="P5" s="207"/>
      <c r="Q5" s="207"/>
      <c r="R5" s="207"/>
      <c r="S5" s="207"/>
      <c r="T5" s="207"/>
      <c r="U5" s="207"/>
      <c r="V5" s="207"/>
      <c r="W5" s="207"/>
      <c r="X5" s="207"/>
    </row>
    <row r="6" spans="1:24" x14ac:dyDescent="0.3">
      <c r="A6" s="300" t="s">
        <v>255</v>
      </c>
      <c r="B6" s="209"/>
      <c r="C6" s="210"/>
      <c r="D6" s="207"/>
      <c r="E6" s="211"/>
      <c r="F6" s="207"/>
      <c r="G6" s="212"/>
      <c r="H6" s="207"/>
      <c r="I6" s="207"/>
      <c r="J6" s="207"/>
      <c r="K6" s="207"/>
      <c r="L6" s="207"/>
      <c r="M6" s="207"/>
      <c r="N6" s="207"/>
      <c r="O6" s="207"/>
      <c r="P6" s="207"/>
      <c r="Q6" s="207"/>
      <c r="R6" s="207"/>
      <c r="S6" s="207"/>
      <c r="T6" s="207"/>
      <c r="U6" s="207"/>
      <c r="V6" s="207"/>
      <c r="W6" s="207"/>
      <c r="X6" s="207"/>
    </row>
    <row r="7" spans="1:24" ht="14.25" thickBot="1" x14ac:dyDescent="0.3">
      <c r="A7" s="301" t="s">
        <v>256</v>
      </c>
      <c r="B7" s="167" t="s">
        <v>257</v>
      </c>
      <c r="C7" s="213" t="s">
        <v>258</v>
      </c>
      <c r="D7" s="213" t="s">
        <v>259</v>
      </c>
      <c r="E7" s="213" t="s">
        <v>260</v>
      </c>
      <c r="F7" s="166" t="s">
        <v>261</v>
      </c>
      <c r="G7" s="214" t="s">
        <v>177</v>
      </c>
      <c r="H7" s="207"/>
      <c r="I7" s="207"/>
      <c r="J7" s="207"/>
      <c r="K7" s="207"/>
      <c r="L7" s="207"/>
      <c r="M7" s="207"/>
      <c r="N7" s="207"/>
      <c r="O7" s="207"/>
      <c r="P7" s="207"/>
      <c r="Q7" s="207"/>
      <c r="R7" s="207"/>
      <c r="S7" s="207"/>
      <c r="T7" s="207"/>
      <c r="U7" s="207"/>
      <c r="V7" s="207"/>
      <c r="W7" s="207"/>
      <c r="X7" s="207"/>
    </row>
    <row r="8" spans="1:24" s="220" customFormat="1" ht="40.5" x14ac:dyDescent="0.25">
      <c r="A8" s="1095" t="s">
        <v>262</v>
      </c>
      <c r="B8" s="215" t="s">
        <v>263</v>
      </c>
      <c r="C8" s="216" t="s">
        <v>264</v>
      </c>
      <c r="D8" s="217" t="s">
        <v>265</v>
      </c>
      <c r="E8" s="218" t="s">
        <v>266</v>
      </c>
      <c r="F8" s="215" t="s">
        <v>1005</v>
      </c>
      <c r="G8" s="219" t="s">
        <v>267</v>
      </c>
      <c r="H8" s="207"/>
      <c r="I8" s="207"/>
      <c r="J8" s="207"/>
      <c r="K8" s="207"/>
      <c r="L8" s="207"/>
      <c r="M8" s="207"/>
      <c r="N8" s="207"/>
      <c r="O8" s="207"/>
      <c r="P8" s="207"/>
      <c r="Q8" s="207"/>
      <c r="R8" s="207"/>
      <c r="S8" s="207"/>
      <c r="T8" s="207"/>
      <c r="U8" s="207"/>
      <c r="V8" s="207"/>
      <c r="W8" s="207"/>
      <c r="X8" s="207"/>
    </row>
    <row r="9" spans="1:24" s="220" customFormat="1" ht="269.25" x14ac:dyDescent="0.25">
      <c r="A9" s="1091"/>
      <c r="B9" s="221" t="s">
        <v>268</v>
      </c>
      <c r="C9" s="222" t="s">
        <v>269</v>
      </c>
      <c r="D9" s="221" t="s">
        <v>42</v>
      </c>
      <c r="E9" s="222" t="s">
        <v>270</v>
      </c>
      <c r="F9" s="223" t="s">
        <v>1022</v>
      </c>
      <c r="G9" s="224" t="s">
        <v>852</v>
      </c>
      <c r="H9" s="207"/>
      <c r="I9" s="207"/>
      <c r="J9" s="207"/>
      <c r="K9" s="207"/>
      <c r="L9" s="207"/>
      <c r="M9" s="207"/>
      <c r="N9" s="207"/>
      <c r="O9" s="207"/>
      <c r="P9" s="207"/>
      <c r="Q9" s="207"/>
      <c r="R9" s="207"/>
      <c r="S9" s="207"/>
      <c r="T9" s="207"/>
      <c r="U9" s="207"/>
      <c r="V9" s="207"/>
      <c r="W9" s="207"/>
      <c r="X9" s="207"/>
    </row>
    <row r="10" spans="1:24" s="220" customFormat="1" ht="77.45" customHeight="1" x14ac:dyDescent="0.25">
      <c r="A10" s="302" t="s">
        <v>271</v>
      </c>
      <c r="B10" s="225" t="s">
        <v>327</v>
      </c>
      <c r="C10" s="226" t="s">
        <v>264</v>
      </c>
      <c r="D10" s="225" t="s">
        <v>272</v>
      </c>
      <c r="E10" s="226" t="s">
        <v>273</v>
      </c>
      <c r="F10" s="227" t="s">
        <v>1329</v>
      </c>
      <c r="G10" s="228" t="s">
        <v>274</v>
      </c>
      <c r="H10" s="207"/>
      <c r="I10" s="207"/>
      <c r="J10" s="207"/>
      <c r="K10" s="207"/>
      <c r="L10" s="207"/>
      <c r="M10" s="207"/>
      <c r="N10" s="207"/>
      <c r="O10" s="207"/>
      <c r="P10" s="207"/>
      <c r="Q10" s="207"/>
      <c r="R10" s="207"/>
      <c r="S10" s="207"/>
      <c r="T10" s="207"/>
      <c r="U10" s="207"/>
      <c r="V10" s="207"/>
      <c r="W10" s="207"/>
      <c r="X10" s="207"/>
    </row>
    <row r="11" spans="1:24" s="220" customFormat="1" ht="105" x14ac:dyDescent="0.25">
      <c r="A11" s="302" t="s">
        <v>275</v>
      </c>
      <c r="B11" s="221" t="s">
        <v>276</v>
      </c>
      <c r="C11" s="222" t="s">
        <v>264</v>
      </c>
      <c r="D11" s="221" t="s">
        <v>853</v>
      </c>
      <c r="E11" s="222" t="s">
        <v>277</v>
      </c>
      <c r="F11" s="215" t="s">
        <v>854</v>
      </c>
      <c r="G11" s="219" t="s">
        <v>267</v>
      </c>
      <c r="H11" s="207"/>
      <c r="I11" s="207"/>
      <c r="J11" s="207"/>
      <c r="K11" s="207"/>
      <c r="L11" s="207"/>
      <c r="M11" s="207"/>
      <c r="N11" s="207"/>
      <c r="O11" s="207"/>
      <c r="P11" s="207"/>
      <c r="Q11" s="207"/>
      <c r="R11" s="207"/>
      <c r="S11" s="207"/>
      <c r="T11" s="207"/>
      <c r="U11" s="207"/>
      <c r="V11" s="207"/>
      <c r="W11" s="207"/>
      <c r="X11" s="207"/>
    </row>
    <row r="12" spans="1:24" s="220" customFormat="1" ht="78.75" x14ac:dyDescent="0.25">
      <c r="A12" s="1092" t="s">
        <v>278</v>
      </c>
      <c r="B12" s="225" t="s">
        <v>279</v>
      </c>
      <c r="C12" s="226" t="s">
        <v>264</v>
      </c>
      <c r="D12" s="225" t="s">
        <v>280</v>
      </c>
      <c r="E12" s="226" t="s">
        <v>281</v>
      </c>
      <c r="F12" s="227" t="s">
        <v>1006</v>
      </c>
      <c r="G12" s="228" t="s">
        <v>282</v>
      </c>
      <c r="H12" s="207"/>
      <c r="I12" s="207"/>
      <c r="J12" s="207"/>
      <c r="K12" s="207"/>
      <c r="L12" s="207"/>
      <c r="M12" s="207"/>
      <c r="N12" s="207"/>
      <c r="O12" s="207"/>
      <c r="P12" s="207"/>
      <c r="Q12" s="207"/>
      <c r="R12" s="207"/>
      <c r="S12" s="207"/>
      <c r="T12" s="207"/>
      <c r="U12" s="207"/>
      <c r="V12" s="207"/>
      <c r="W12" s="207"/>
      <c r="X12" s="207"/>
    </row>
    <row r="13" spans="1:24" s="220" customFormat="1" ht="40.5" x14ac:dyDescent="0.25">
      <c r="A13" s="1091"/>
      <c r="B13" s="225" t="s">
        <v>283</v>
      </c>
      <c r="C13" s="226" t="s">
        <v>264</v>
      </c>
      <c r="D13" s="225" t="s">
        <v>284</v>
      </c>
      <c r="E13" s="226" t="s">
        <v>285</v>
      </c>
      <c r="F13" s="227" t="s">
        <v>980</v>
      </c>
      <c r="G13" s="229"/>
      <c r="H13" s="207"/>
      <c r="I13" s="207"/>
      <c r="J13" s="207"/>
      <c r="K13" s="207"/>
      <c r="L13" s="207"/>
      <c r="M13" s="207"/>
      <c r="N13" s="207"/>
      <c r="O13" s="207"/>
      <c r="P13" s="207"/>
      <c r="Q13" s="207"/>
      <c r="R13" s="207"/>
      <c r="S13" s="207"/>
      <c r="T13" s="207"/>
      <c r="U13" s="207"/>
      <c r="V13" s="207"/>
      <c r="W13" s="207"/>
      <c r="X13" s="207"/>
    </row>
    <row r="14" spans="1:24" s="220" customFormat="1" ht="16.899999999999999" customHeight="1" x14ac:dyDescent="0.25">
      <c r="A14" s="1092" t="s">
        <v>286</v>
      </c>
      <c r="B14" s="221" t="s">
        <v>336</v>
      </c>
      <c r="C14" s="222" t="s">
        <v>264</v>
      </c>
      <c r="D14" s="221" t="s">
        <v>272</v>
      </c>
      <c r="E14" s="222" t="s">
        <v>328</v>
      </c>
      <c r="F14" s="215" t="s">
        <v>855</v>
      </c>
      <c r="G14" s="1096" t="s">
        <v>1305</v>
      </c>
      <c r="H14" s="207"/>
      <c r="I14" s="207"/>
      <c r="J14" s="207"/>
      <c r="K14" s="207"/>
      <c r="L14" s="207"/>
      <c r="M14" s="207"/>
      <c r="N14" s="207"/>
      <c r="O14" s="207"/>
      <c r="P14" s="207"/>
      <c r="Q14" s="207"/>
      <c r="R14" s="207"/>
      <c r="S14" s="207"/>
      <c r="T14" s="207"/>
      <c r="U14" s="207"/>
      <c r="V14" s="207"/>
      <c r="W14" s="207"/>
      <c r="X14" s="207"/>
    </row>
    <row r="15" spans="1:24" s="220" customFormat="1" ht="16.899999999999999" customHeight="1" x14ac:dyDescent="0.25">
      <c r="A15" s="1089"/>
      <c r="B15" s="221" t="s">
        <v>337</v>
      </c>
      <c r="C15" s="222" t="s">
        <v>264</v>
      </c>
      <c r="D15" s="221" t="s">
        <v>272</v>
      </c>
      <c r="E15" s="222" t="s">
        <v>329</v>
      </c>
      <c r="F15" s="215" t="s">
        <v>856</v>
      </c>
      <c r="G15" s="1097"/>
      <c r="H15" s="207"/>
      <c r="I15" s="207"/>
      <c r="J15" s="207"/>
      <c r="K15" s="207"/>
      <c r="L15" s="207"/>
      <c r="M15" s="207"/>
      <c r="N15" s="207"/>
      <c r="O15" s="207"/>
      <c r="P15" s="207"/>
      <c r="Q15" s="207"/>
      <c r="R15" s="207"/>
      <c r="S15" s="207"/>
      <c r="T15" s="207"/>
      <c r="U15" s="207"/>
      <c r="V15" s="207"/>
      <c r="W15" s="207"/>
      <c r="X15" s="207"/>
    </row>
    <row r="16" spans="1:24" s="220" customFormat="1" ht="16.899999999999999" customHeight="1" x14ac:dyDescent="0.25">
      <c r="A16" s="1089"/>
      <c r="B16" s="221" t="s">
        <v>338</v>
      </c>
      <c r="C16" s="222" t="s">
        <v>264</v>
      </c>
      <c r="D16" s="221" t="s">
        <v>272</v>
      </c>
      <c r="E16" s="222" t="s">
        <v>330</v>
      </c>
      <c r="F16" s="215" t="s">
        <v>857</v>
      </c>
      <c r="G16" s="1097"/>
      <c r="H16" s="207"/>
      <c r="I16" s="207"/>
      <c r="J16" s="207"/>
      <c r="K16" s="207"/>
      <c r="L16" s="207"/>
      <c r="M16" s="207"/>
      <c r="N16" s="207"/>
      <c r="O16" s="207"/>
      <c r="P16" s="207"/>
      <c r="Q16" s="207"/>
      <c r="R16" s="207"/>
      <c r="S16" s="207"/>
      <c r="T16" s="207"/>
      <c r="U16" s="207"/>
      <c r="V16" s="207"/>
      <c r="W16" s="207"/>
      <c r="X16" s="207"/>
    </row>
    <row r="17" spans="1:24" s="220" customFormat="1" ht="16.899999999999999" customHeight="1" x14ac:dyDescent="0.25">
      <c r="A17" s="1089"/>
      <c r="B17" s="221" t="s">
        <v>339</v>
      </c>
      <c r="C17" s="222" t="s">
        <v>264</v>
      </c>
      <c r="D17" s="221" t="s">
        <v>272</v>
      </c>
      <c r="E17" s="222" t="s">
        <v>331</v>
      </c>
      <c r="F17" s="215" t="s">
        <v>858</v>
      </c>
      <c r="G17" s="1097"/>
      <c r="H17" s="207"/>
      <c r="I17" s="207"/>
      <c r="J17" s="207"/>
      <c r="K17" s="207"/>
      <c r="L17" s="207"/>
      <c r="M17" s="207"/>
      <c r="N17" s="207"/>
      <c r="O17" s="207"/>
      <c r="P17" s="207"/>
      <c r="Q17" s="207"/>
      <c r="R17" s="207"/>
      <c r="S17" s="207"/>
      <c r="T17" s="207"/>
      <c r="U17" s="207"/>
      <c r="V17" s="207"/>
      <c r="W17" s="207"/>
      <c r="X17" s="207"/>
    </row>
    <row r="18" spans="1:24" s="220" customFormat="1" ht="16.899999999999999" customHeight="1" x14ac:dyDescent="0.25">
      <c r="A18" s="1089"/>
      <c r="B18" s="221" t="s">
        <v>340</v>
      </c>
      <c r="C18" s="222" t="s">
        <v>264</v>
      </c>
      <c r="D18" s="221" t="s">
        <v>272</v>
      </c>
      <c r="E18" s="222" t="s">
        <v>332</v>
      </c>
      <c r="F18" s="215" t="s">
        <v>859</v>
      </c>
      <c r="G18" s="1097"/>
      <c r="H18" s="207"/>
      <c r="I18" s="207"/>
      <c r="J18" s="207"/>
      <c r="K18" s="207"/>
      <c r="L18" s="207"/>
      <c r="M18" s="207"/>
      <c r="N18" s="207"/>
      <c r="O18" s="207"/>
      <c r="P18" s="207"/>
      <c r="Q18" s="207"/>
      <c r="R18" s="207"/>
      <c r="S18" s="207"/>
      <c r="T18" s="207"/>
      <c r="U18" s="207"/>
      <c r="V18" s="207"/>
      <c r="W18" s="207"/>
      <c r="X18" s="207"/>
    </row>
    <row r="19" spans="1:24" s="220" customFormat="1" ht="108" x14ac:dyDescent="0.25">
      <c r="A19" s="1089"/>
      <c r="B19" s="221" t="s">
        <v>341</v>
      </c>
      <c r="C19" s="222" t="s">
        <v>264</v>
      </c>
      <c r="D19" s="221" t="s">
        <v>272</v>
      </c>
      <c r="E19" s="222" t="s">
        <v>333</v>
      </c>
      <c r="F19" s="215" t="s">
        <v>1306</v>
      </c>
      <c r="G19" s="922" t="s">
        <v>860</v>
      </c>
      <c r="H19" s="207"/>
      <c r="I19" s="207"/>
      <c r="J19" s="207"/>
      <c r="K19" s="207"/>
      <c r="L19" s="207"/>
      <c r="M19" s="207"/>
      <c r="N19" s="207"/>
      <c r="O19" s="207"/>
      <c r="P19" s="207"/>
      <c r="Q19" s="207"/>
      <c r="R19" s="207"/>
      <c r="S19" s="207"/>
      <c r="T19" s="207"/>
      <c r="U19" s="207"/>
      <c r="V19" s="207"/>
      <c r="W19" s="207"/>
      <c r="X19" s="207"/>
    </row>
    <row r="20" spans="1:24" s="220" customFormat="1" ht="108" x14ac:dyDescent="0.25">
      <c r="A20" s="1089"/>
      <c r="B20" s="221" t="s">
        <v>342</v>
      </c>
      <c r="C20" s="222" t="s">
        <v>269</v>
      </c>
      <c r="D20" s="221" t="s">
        <v>335</v>
      </c>
      <c r="E20" s="222" t="s">
        <v>334</v>
      </c>
      <c r="F20" s="215" t="s">
        <v>343</v>
      </c>
      <c r="G20" s="923" t="s">
        <v>861</v>
      </c>
      <c r="H20" s="207"/>
      <c r="I20" s="207"/>
      <c r="J20" s="207"/>
      <c r="K20" s="207"/>
      <c r="L20" s="207"/>
      <c r="M20" s="207"/>
      <c r="N20" s="207"/>
      <c r="O20" s="207"/>
      <c r="P20" s="207"/>
      <c r="Q20" s="207"/>
      <c r="R20" s="207"/>
      <c r="S20" s="207"/>
      <c r="T20" s="207"/>
      <c r="U20" s="207"/>
      <c r="V20" s="207"/>
      <c r="W20" s="207"/>
      <c r="X20" s="207"/>
    </row>
    <row r="21" spans="1:24" s="220" customFormat="1" ht="162" x14ac:dyDescent="0.25">
      <c r="A21" s="1100" t="s">
        <v>287</v>
      </c>
      <c r="B21" s="225" t="s">
        <v>288</v>
      </c>
      <c r="C21" s="226" t="s">
        <v>269</v>
      </c>
      <c r="D21" s="225" t="s">
        <v>42</v>
      </c>
      <c r="E21" s="226" t="s">
        <v>289</v>
      </c>
      <c r="F21" s="231" t="s">
        <v>344</v>
      </c>
      <c r="G21" s="232" t="s">
        <v>862</v>
      </c>
      <c r="H21" s="207"/>
      <c r="I21" s="207"/>
      <c r="J21" s="207"/>
      <c r="K21" s="207"/>
      <c r="L21" s="207"/>
      <c r="M21" s="207"/>
      <c r="N21" s="207"/>
      <c r="O21" s="207"/>
      <c r="P21" s="207"/>
      <c r="Q21" s="207"/>
      <c r="R21" s="207"/>
      <c r="S21" s="207"/>
      <c r="T21" s="207"/>
      <c r="U21" s="207"/>
      <c r="V21" s="207"/>
      <c r="W21" s="207"/>
      <c r="X21" s="207"/>
    </row>
    <row r="22" spans="1:24" s="220" customFormat="1" ht="331.9" customHeight="1" x14ac:dyDescent="0.25">
      <c r="A22" s="1089"/>
      <c r="B22" s="225" t="s">
        <v>290</v>
      </c>
      <c r="C22" s="226" t="s">
        <v>264</v>
      </c>
      <c r="D22" s="225" t="s">
        <v>291</v>
      </c>
      <c r="E22" s="226" t="s">
        <v>292</v>
      </c>
      <c r="F22" s="233" t="s">
        <v>1307</v>
      </c>
      <c r="G22" s="234"/>
      <c r="H22" s="207"/>
      <c r="I22" s="207"/>
      <c r="J22" s="207"/>
      <c r="K22" s="207"/>
      <c r="L22" s="207"/>
      <c r="M22" s="207"/>
      <c r="N22" s="207"/>
      <c r="O22" s="207"/>
      <c r="P22" s="207"/>
      <c r="Q22" s="207"/>
      <c r="R22" s="207"/>
      <c r="S22" s="207"/>
      <c r="T22" s="207"/>
      <c r="U22" s="207"/>
      <c r="V22" s="207"/>
      <c r="W22" s="207"/>
      <c r="X22" s="207"/>
    </row>
    <row r="23" spans="1:24" s="220" customFormat="1" ht="94.5" x14ac:dyDescent="0.25">
      <c r="A23" s="1089"/>
      <c r="B23" s="1101" t="s">
        <v>983</v>
      </c>
      <c r="C23" s="1103" t="s">
        <v>264</v>
      </c>
      <c r="D23" s="1101" t="s">
        <v>291</v>
      </c>
      <c r="E23" s="1103" t="s">
        <v>293</v>
      </c>
      <c r="F23" s="924" t="s">
        <v>981</v>
      </c>
      <c r="G23" s="1098" t="s">
        <v>1309</v>
      </c>
      <c r="H23" s="207"/>
      <c r="I23" s="207"/>
      <c r="J23" s="207"/>
      <c r="K23" s="207"/>
      <c r="L23" s="207"/>
      <c r="M23" s="207"/>
      <c r="N23" s="207"/>
      <c r="O23" s="207"/>
      <c r="P23" s="207"/>
      <c r="Q23" s="207"/>
      <c r="R23" s="207"/>
      <c r="S23" s="207"/>
      <c r="T23" s="207"/>
      <c r="U23" s="207"/>
      <c r="V23" s="207"/>
      <c r="W23" s="207"/>
      <c r="X23" s="207"/>
    </row>
    <row r="24" spans="1:24" s="220" customFormat="1" ht="214.5" x14ac:dyDescent="0.25">
      <c r="A24" s="1090"/>
      <c r="B24" s="1102"/>
      <c r="C24" s="1104"/>
      <c r="D24" s="1102"/>
      <c r="E24" s="1104"/>
      <c r="F24" s="235" t="s">
        <v>982</v>
      </c>
      <c r="G24" s="1099"/>
      <c r="H24" s="207"/>
      <c r="I24" s="207"/>
      <c r="J24" s="207"/>
      <c r="K24" s="207"/>
      <c r="L24" s="207"/>
      <c r="M24" s="207"/>
      <c r="N24" s="207"/>
      <c r="O24" s="207"/>
      <c r="P24" s="207"/>
      <c r="Q24" s="207"/>
      <c r="R24" s="207"/>
      <c r="S24" s="207"/>
      <c r="T24" s="207"/>
      <c r="U24" s="207"/>
      <c r="V24" s="207"/>
      <c r="W24" s="207"/>
      <c r="X24" s="207"/>
    </row>
    <row r="25" spans="1:24" s="220" customFormat="1" ht="268.5" x14ac:dyDescent="0.25">
      <c r="A25" s="1089" t="s">
        <v>294</v>
      </c>
      <c r="B25" s="215" t="s">
        <v>863</v>
      </c>
      <c r="C25" s="236" t="s">
        <v>264</v>
      </c>
      <c r="D25" s="215" t="s">
        <v>291</v>
      </c>
      <c r="E25" s="236" t="s">
        <v>295</v>
      </c>
      <c r="F25" s="237" t="s">
        <v>864</v>
      </c>
      <c r="G25" s="238" t="s">
        <v>1310</v>
      </c>
      <c r="H25" s="207"/>
      <c r="I25" s="207"/>
      <c r="J25" s="207"/>
      <c r="K25" s="207"/>
      <c r="L25" s="207"/>
      <c r="M25" s="207"/>
      <c r="N25" s="207"/>
      <c r="O25" s="207"/>
      <c r="P25" s="207"/>
      <c r="Q25" s="207"/>
      <c r="R25" s="207"/>
      <c r="S25" s="207"/>
      <c r="T25" s="207"/>
      <c r="U25" s="207"/>
      <c r="V25" s="207"/>
      <c r="W25" s="207"/>
      <c r="X25" s="207"/>
    </row>
    <row r="26" spans="1:24" s="220" customFormat="1" ht="147" x14ac:dyDescent="0.25">
      <c r="A26" s="1089"/>
      <c r="B26" s="239" t="s">
        <v>865</v>
      </c>
      <c r="C26" s="240" t="s">
        <v>264</v>
      </c>
      <c r="D26" s="241" t="s">
        <v>296</v>
      </c>
      <c r="E26" s="240" t="s">
        <v>297</v>
      </c>
      <c r="F26" s="242" t="s">
        <v>866</v>
      </c>
      <c r="G26" s="243" t="s">
        <v>1308</v>
      </c>
      <c r="H26" s="207"/>
      <c r="I26" s="207"/>
      <c r="J26" s="207"/>
      <c r="K26" s="207"/>
      <c r="L26" s="207"/>
      <c r="M26" s="207"/>
      <c r="N26" s="207"/>
      <c r="O26" s="207"/>
      <c r="P26" s="207"/>
      <c r="Q26" s="207"/>
      <c r="R26" s="207"/>
      <c r="S26" s="207"/>
      <c r="T26" s="207"/>
      <c r="U26" s="207"/>
      <c r="V26" s="207"/>
      <c r="W26" s="207"/>
      <c r="X26" s="207"/>
    </row>
    <row r="27" spans="1:24" s="220" customFormat="1" ht="241.5" x14ac:dyDescent="0.25">
      <c r="A27" s="1090"/>
      <c r="B27" s="221" t="s">
        <v>298</v>
      </c>
      <c r="C27" s="230" t="s">
        <v>269</v>
      </c>
      <c r="D27" s="221" t="s">
        <v>42</v>
      </c>
      <c r="E27" s="222" t="s">
        <v>299</v>
      </c>
      <c r="F27" s="244" t="s">
        <v>984</v>
      </c>
      <c r="G27" s="224" t="s">
        <v>867</v>
      </c>
      <c r="H27" s="207"/>
      <c r="I27" s="207"/>
      <c r="J27" s="207"/>
      <c r="K27" s="207"/>
      <c r="L27" s="207"/>
      <c r="M27" s="207"/>
      <c r="N27" s="207"/>
      <c r="O27" s="207"/>
      <c r="P27" s="207"/>
      <c r="Q27" s="207"/>
      <c r="R27" s="207"/>
      <c r="S27" s="207"/>
      <c r="T27" s="207"/>
      <c r="U27" s="207"/>
      <c r="V27" s="207"/>
      <c r="W27" s="207"/>
      <c r="X27" s="207"/>
    </row>
    <row r="28" spans="1:24" s="220" customFormat="1" ht="186.75" x14ac:dyDescent="0.25">
      <c r="A28" s="1089" t="s">
        <v>300</v>
      </c>
      <c r="B28" s="227" t="s">
        <v>301</v>
      </c>
      <c r="C28" s="245" t="s">
        <v>269</v>
      </c>
      <c r="D28" s="227" t="s">
        <v>42</v>
      </c>
      <c r="E28" s="245" t="s">
        <v>302</v>
      </c>
      <c r="F28" s="235" t="s">
        <v>345</v>
      </c>
      <c r="G28" s="246" t="s">
        <v>868</v>
      </c>
      <c r="H28" s="207"/>
      <c r="I28" s="207"/>
      <c r="J28" s="207"/>
      <c r="K28" s="207"/>
      <c r="L28" s="207"/>
      <c r="M28" s="207"/>
      <c r="N28" s="207"/>
      <c r="O28" s="207"/>
      <c r="P28" s="207"/>
      <c r="Q28" s="207"/>
      <c r="R28" s="207"/>
      <c r="S28" s="207"/>
      <c r="T28" s="207"/>
      <c r="U28" s="207"/>
      <c r="V28" s="207"/>
      <c r="W28" s="207"/>
      <c r="X28" s="207"/>
    </row>
    <row r="29" spans="1:24" s="220" customFormat="1" ht="27" x14ac:dyDescent="0.25">
      <c r="A29" s="1091"/>
      <c r="B29" s="225" t="s">
        <v>303</v>
      </c>
      <c r="C29" s="226" t="s">
        <v>264</v>
      </c>
      <c r="D29" s="225" t="s">
        <v>304</v>
      </c>
      <c r="E29" s="226" t="s">
        <v>305</v>
      </c>
      <c r="F29" s="231" t="s">
        <v>869</v>
      </c>
      <c r="G29" s="232" t="s">
        <v>1311</v>
      </c>
      <c r="H29" s="207"/>
      <c r="I29" s="207"/>
      <c r="J29" s="207"/>
      <c r="K29" s="207"/>
      <c r="L29" s="207"/>
      <c r="M29" s="207"/>
      <c r="N29" s="207"/>
      <c r="O29" s="207"/>
      <c r="P29" s="207"/>
      <c r="Q29" s="207"/>
      <c r="R29" s="207"/>
      <c r="S29" s="207"/>
      <c r="T29" s="207"/>
      <c r="U29" s="207"/>
      <c r="V29" s="207"/>
      <c r="W29" s="207"/>
      <c r="X29" s="207"/>
    </row>
    <row r="30" spans="1:24" s="220" customFormat="1" ht="160.5" customHeight="1" x14ac:dyDescent="0.25">
      <c r="A30" s="1092" t="s">
        <v>306</v>
      </c>
      <c r="B30" s="221" t="s">
        <v>307</v>
      </c>
      <c r="C30" s="222" t="s">
        <v>264</v>
      </c>
      <c r="D30" s="221" t="s">
        <v>291</v>
      </c>
      <c r="E30" s="222" t="s">
        <v>308</v>
      </c>
      <c r="F30" s="247" t="s">
        <v>870</v>
      </c>
      <c r="G30" s="248" t="s">
        <v>1316</v>
      </c>
      <c r="H30" s="207"/>
      <c r="I30" s="207"/>
      <c r="J30" s="207"/>
      <c r="K30" s="207"/>
      <c r="L30" s="207"/>
      <c r="M30" s="207"/>
      <c r="N30" s="207"/>
      <c r="O30" s="207"/>
      <c r="P30" s="207"/>
      <c r="Q30" s="207"/>
      <c r="R30" s="207"/>
      <c r="S30" s="207"/>
      <c r="T30" s="207"/>
      <c r="U30" s="207"/>
      <c r="V30" s="207"/>
      <c r="W30" s="207"/>
      <c r="X30" s="207"/>
    </row>
    <row r="31" spans="1:24" s="220" customFormat="1" ht="54" x14ac:dyDescent="0.25">
      <c r="A31" s="1091"/>
      <c r="B31" s="221" t="s">
        <v>309</v>
      </c>
      <c r="C31" s="222" t="s">
        <v>264</v>
      </c>
      <c r="D31" s="221" t="s">
        <v>304</v>
      </c>
      <c r="E31" s="222" t="s">
        <v>310</v>
      </c>
      <c r="F31" s="249" t="s">
        <v>871</v>
      </c>
      <c r="G31" s="248" t="s">
        <v>1312</v>
      </c>
      <c r="H31" s="207"/>
      <c r="I31" s="207"/>
      <c r="J31" s="207"/>
      <c r="K31" s="207"/>
      <c r="L31" s="207"/>
      <c r="M31" s="207"/>
      <c r="N31" s="207"/>
      <c r="O31" s="207"/>
      <c r="P31" s="207"/>
      <c r="Q31" s="207"/>
      <c r="R31" s="207"/>
      <c r="S31" s="207"/>
      <c r="T31" s="207"/>
      <c r="U31" s="207"/>
      <c r="V31" s="207"/>
      <c r="W31" s="207"/>
      <c r="X31" s="207"/>
    </row>
    <row r="32" spans="1:24" s="220" customFormat="1" ht="108" x14ac:dyDescent="0.25">
      <c r="A32" s="302" t="s">
        <v>311</v>
      </c>
      <c r="B32" s="225" t="s">
        <v>312</v>
      </c>
      <c r="C32" s="226" t="s">
        <v>264</v>
      </c>
      <c r="D32" s="225" t="s">
        <v>313</v>
      </c>
      <c r="E32" s="226" t="s">
        <v>314</v>
      </c>
      <c r="F32" s="231" t="s">
        <v>872</v>
      </c>
      <c r="G32" s="232" t="s">
        <v>1317</v>
      </c>
      <c r="H32" s="207"/>
      <c r="I32" s="207"/>
      <c r="J32" s="207"/>
      <c r="K32" s="207"/>
      <c r="L32" s="207"/>
      <c r="M32" s="207"/>
      <c r="N32" s="207"/>
      <c r="O32" s="207"/>
      <c r="P32" s="207"/>
      <c r="Q32" s="207"/>
      <c r="R32" s="207"/>
      <c r="S32" s="207"/>
      <c r="T32" s="207"/>
      <c r="U32" s="207"/>
      <c r="V32" s="207"/>
      <c r="W32" s="207"/>
      <c r="X32" s="207"/>
    </row>
    <row r="33" spans="1:24" s="220" customFormat="1" ht="256.5" x14ac:dyDescent="0.25">
      <c r="A33" s="1092" t="s">
        <v>315</v>
      </c>
      <c r="B33" s="221" t="s">
        <v>316</v>
      </c>
      <c r="C33" s="222" t="s">
        <v>269</v>
      </c>
      <c r="D33" s="221" t="s">
        <v>42</v>
      </c>
      <c r="E33" s="222" t="s">
        <v>317</v>
      </c>
      <c r="F33" s="223" t="s">
        <v>873</v>
      </c>
      <c r="G33" s="224" t="s">
        <v>874</v>
      </c>
      <c r="H33" s="207"/>
      <c r="I33" s="207"/>
      <c r="J33" s="207"/>
      <c r="K33" s="207"/>
      <c r="L33" s="207"/>
      <c r="M33" s="207"/>
      <c r="N33" s="207"/>
      <c r="O33" s="207"/>
      <c r="P33" s="207"/>
      <c r="Q33" s="207"/>
      <c r="R33" s="207"/>
      <c r="S33" s="207"/>
      <c r="T33" s="207"/>
      <c r="U33" s="207"/>
      <c r="V33" s="207"/>
      <c r="W33" s="207"/>
      <c r="X33" s="207"/>
    </row>
    <row r="34" spans="1:24" s="220" customFormat="1" ht="40.5" x14ac:dyDescent="0.25">
      <c r="A34" s="1091"/>
      <c r="B34" s="221" t="s">
        <v>318</v>
      </c>
      <c r="C34" s="222" t="s">
        <v>264</v>
      </c>
      <c r="D34" s="221" t="s">
        <v>319</v>
      </c>
      <c r="E34" s="222" t="s">
        <v>320</v>
      </c>
      <c r="F34" s="249" t="s">
        <v>346</v>
      </c>
      <c r="G34" s="224" t="s">
        <v>1313</v>
      </c>
      <c r="H34" s="207"/>
      <c r="I34" s="207"/>
      <c r="J34" s="207"/>
      <c r="K34" s="207"/>
      <c r="L34" s="207"/>
      <c r="M34" s="207"/>
      <c r="N34" s="207"/>
      <c r="O34" s="207"/>
      <c r="P34" s="207"/>
      <c r="Q34" s="207"/>
      <c r="R34" s="207"/>
      <c r="S34" s="207"/>
      <c r="T34" s="207"/>
      <c r="U34" s="207"/>
      <c r="V34" s="207"/>
      <c r="W34" s="207"/>
      <c r="X34" s="207"/>
    </row>
    <row r="35" spans="1:24" s="220" customFormat="1" ht="189" x14ac:dyDescent="0.25">
      <c r="A35" s="1092" t="s">
        <v>347</v>
      </c>
      <c r="B35" s="225" t="s">
        <v>348</v>
      </c>
      <c r="C35" s="226" t="s">
        <v>349</v>
      </c>
      <c r="D35" s="225" t="s">
        <v>353</v>
      </c>
      <c r="E35" s="226" t="s">
        <v>350</v>
      </c>
      <c r="F35" s="254" t="s">
        <v>876</v>
      </c>
      <c r="G35" s="232" t="s">
        <v>875</v>
      </c>
      <c r="H35" s="207"/>
      <c r="I35" s="207"/>
      <c r="J35" s="207"/>
      <c r="K35" s="207"/>
      <c r="L35" s="207"/>
      <c r="M35" s="207"/>
      <c r="N35" s="207"/>
      <c r="O35" s="207"/>
      <c r="P35" s="207"/>
      <c r="Q35" s="207"/>
      <c r="R35" s="207"/>
      <c r="S35" s="207"/>
      <c r="T35" s="207"/>
      <c r="U35" s="207"/>
      <c r="V35" s="207"/>
      <c r="W35" s="207"/>
      <c r="X35" s="207"/>
    </row>
    <row r="36" spans="1:24" s="220" customFormat="1" ht="54" x14ac:dyDescent="0.25">
      <c r="A36" s="1089"/>
      <c r="B36" s="225" t="s">
        <v>351</v>
      </c>
      <c r="C36" s="226" t="s">
        <v>269</v>
      </c>
      <c r="D36" s="225" t="s">
        <v>42</v>
      </c>
      <c r="E36" s="226" t="s">
        <v>352</v>
      </c>
      <c r="F36" s="254" t="s">
        <v>877</v>
      </c>
      <c r="G36" s="232" t="s">
        <v>878</v>
      </c>
      <c r="H36" s="207"/>
      <c r="I36" s="207"/>
      <c r="J36" s="207"/>
      <c r="K36" s="207"/>
      <c r="L36" s="207"/>
      <c r="M36" s="207"/>
      <c r="N36" s="207"/>
      <c r="O36" s="207"/>
      <c r="P36" s="207"/>
      <c r="Q36" s="207"/>
      <c r="R36" s="207"/>
      <c r="S36" s="207"/>
      <c r="T36" s="207"/>
      <c r="U36" s="207"/>
      <c r="V36" s="207"/>
      <c r="W36" s="207"/>
      <c r="X36" s="207"/>
    </row>
    <row r="37" spans="1:24" s="220" customFormat="1" ht="92.25" x14ac:dyDescent="0.25">
      <c r="A37" s="1091"/>
      <c r="B37" s="225" t="s">
        <v>355</v>
      </c>
      <c r="C37" s="226" t="s">
        <v>269</v>
      </c>
      <c r="D37" s="225" t="s">
        <v>42</v>
      </c>
      <c r="E37" s="226" t="s">
        <v>354</v>
      </c>
      <c r="F37" s="254" t="s">
        <v>879</v>
      </c>
      <c r="G37" s="232" t="s">
        <v>880</v>
      </c>
      <c r="H37" s="207"/>
      <c r="I37" s="207"/>
      <c r="J37" s="207"/>
      <c r="K37" s="207"/>
      <c r="L37" s="207"/>
      <c r="M37" s="207"/>
      <c r="N37" s="207"/>
      <c r="O37" s="207"/>
      <c r="P37" s="207"/>
      <c r="Q37" s="207"/>
      <c r="R37" s="207"/>
      <c r="S37" s="207"/>
      <c r="T37" s="207"/>
      <c r="U37" s="207"/>
      <c r="V37" s="207"/>
      <c r="W37" s="207"/>
      <c r="X37" s="207"/>
    </row>
    <row r="38" spans="1:24" s="220" customFormat="1" ht="54" x14ac:dyDescent="0.25">
      <c r="A38" s="1092" t="s">
        <v>321</v>
      </c>
      <c r="B38" s="221" t="s">
        <v>322</v>
      </c>
      <c r="C38" s="222" t="s">
        <v>264</v>
      </c>
      <c r="D38" s="221" t="s">
        <v>319</v>
      </c>
      <c r="E38" s="249" t="s">
        <v>323</v>
      </c>
      <c r="F38" s="223" t="s">
        <v>881</v>
      </c>
      <c r="G38" s="224" t="s">
        <v>1314</v>
      </c>
      <c r="H38" s="207"/>
      <c r="I38" s="207"/>
      <c r="J38" s="207"/>
      <c r="K38" s="207"/>
      <c r="L38" s="207"/>
      <c r="M38" s="207"/>
      <c r="N38" s="207"/>
      <c r="O38" s="207"/>
      <c r="P38" s="207"/>
      <c r="Q38" s="207"/>
      <c r="R38" s="207"/>
      <c r="S38" s="207"/>
      <c r="T38" s="207"/>
      <c r="U38" s="207"/>
      <c r="V38" s="207"/>
      <c r="W38" s="207"/>
      <c r="X38" s="207"/>
    </row>
    <row r="39" spans="1:24" s="220" customFormat="1" ht="27" x14ac:dyDescent="0.25">
      <c r="A39" s="1090"/>
      <c r="B39" s="221" t="s">
        <v>324</v>
      </c>
      <c r="C39" s="222" t="s">
        <v>264</v>
      </c>
      <c r="D39" s="221" t="s">
        <v>325</v>
      </c>
      <c r="E39" s="249" t="s">
        <v>326</v>
      </c>
      <c r="F39" s="223" t="s">
        <v>1014</v>
      </c>
      <c r="G39" s="224" t="s">
        <v>1315</v>
      </c>
      <c r="H39" s="207"/>
      <c r="I39" s="207"/>
      <c r="J39" s="207"/>
      <c r="K39" s="207"/>
      <c r="L39" s="207"/>
      <c r="M39" s="207"/>
      <c r="N39" s="207"/>
      <c r="O39" s="207"/>
      <c r="P39" s="207"/>
      <c r="Q39" s="207"/>
      <c r="R39" s="207"/>
      <c r="S39" s="207"/>
      <c r="T39" s="207"/>
      <c r="U39" s="207"/>
      <c r="V39" s="207"/>
      <c r="W39" s="207"/>
      <c r="X39" s="207"/>
    </row>
    <row r="40" spans="1:24" s="220" customFormat="1" ht="15" x14ac:dyDescent="0.25">
      <c r="A40" s="303"/>
      <c r="B40" s="5"/>
      <c r="C40" s="5"/>
      <c r="D40" s="5"/>
      <c r="E40" s="5"/>
      <c r="F40" s="5"/>
      <c r="G40" s="5"/>
      <c r="H40" s="207"/>
      <c r="I40" s="207"/>
      <c r="J40" s="207"/>
      <c r="K40" s="207"/>
      <c r="L40" s="207"/>
      <c r="M40" s="207"/>
      <c r="N40" s="207"/>
      <c r="O40" s="207"/>
      <c r="P40" s="207"/>
      <c r="Q40" s="207"/>
      <c r="R40" s="207"/>
      <c r="S40" s="207"/>
      <c r="T40" s="207"/>
      <c r="U40" s="207"/>
      <c r="V40" s="207"/>
      <c r="W40" s="207"/>
      <c r="X40" s="207"/>
    </row>
    <row r="41" spans="1:24" s="220" customFormat="1" ht="15" x14ac:dyDescent="0.25">
      <c r="A41" s="273"/>
      <c r="B41" s="5"/>
      <c r="C41" s="5"/>
      <c r="D41" s="5"/>
      <c r="E41" s="5"/>
      <c r="F41" s="5"/>
      <c r="G41" s="5"/>
      <c r="H41" s="207"/>
      <c r="I41" s="207"/>
      <c r="J41" s="207"/>
      <c r="K41" s="207"/>
      <c r="L41" s="207"/>
      <c r="M41" s="207"/>
      <c r="N41" s="207"/>
      <c r="O41" s="207"/>
      <c r="P41" s="207"/>
      <c r="Q41" s="207"/>
      <c r="R41" s="207"/>
      <c r="S41" s="207"/>
      <c r="T41" s="207"/>
      <c r="U41" s="207"/>
      <c r="V41" s="207"/>
      <c r="W41" s="207"/>
      <c r="X41" s="207"/>
    </row>
    <row r="42" spans="1:24" s="220" customFormat="1" ht="15" x14ac:dyDescent="0.25">
      <c r="A42" s="273"/>
      <c r="B42" s="5"/>
      <c r="C42" s="5"/>
      <c r="D42" s="5"/>
      <c r="E42" s="5"/>
      <c r="F42" s="5"/>
      <c r="G42" s="5"/>
      <c r="H42" s="207"/>
      <c r="I42" s="207"/>
      <c r="J42" s="207"/>
      <c r="K42" s="207"/>
      <c r="L42" s="207"/>
      <c r="M42" s="207"/>
      <c r="N42" s="207"/>
      <c r="O42" s="207"/>
      <c r="P42" s="207"/>
      <c r="Q42" s="207"/>
      <c r="R42" s="207"/>
      <c r="S42" s="207"/>
      <c r="T42" s="207"/>
      <c r="U42" s="207"/>
      <c r="V42" s="207"/>
      <c r="W42" s="207"/>
      <c r="X42" s="207"/>
    </row>
    <row r="43" spans="1:24" s="220" customFormat="1" ht="15" x14ac:dyDescent="0.25">
      <c r="A43" s="273"/>
      <c r="B43" s="5"/>
      <c r="C43" s="5"/>
      <c r="D43" s="5"/>
      <c r="E43" s="5"/>
      <c r="F43" s="5"/>
      <c r="G43" s="5"/>
      <c r="H43" s="207"/>
      <c r="I43" s="207"/>
      <c r="J43" s="207"/>
      <c r="K43" s="207"/>
      <c r="L43" s="207"/>
      <c r="M43" s="207"/>
      <c r="N43" s="207"/>
      <c r="O43" s="207"/>
      <c r="P43" s="207"/>
      <c r="Q43" s="207"/>
      <c r="R43" s="207"/>
      <c r="S43" s="207"/>
      <c r="T43" s="207"/>
      <c r="U43" s="207"/>
      <c r="V43" s="207"/>
      <c r="W43" s="207"/>
      <c r="X43" s="207"/>
    </row>
    <row r="44" spans="1:24" s="220" customFormat="1" ht="15" x14ac:dyDescent="0.25">
      <c r="A44" s="273"/>
      <c r="B44" s="5"/>
      <c r="C44" s="5"/>
      <c r="D44" s="5"/>
      <c r="E44" s="5"/>
      <c r="F44" s="5"/>
      <c r="G44" s="5"/>
      <c r="H44" s="207"/>
      <c r="I44" s="207"/>
      <c r="J44" s="207"/>
      <c r="K44" s="207"/>
      <c r="L44" s="207"/>
      <c r="M44" s="207"/>
      <c r="N44" s="207"/>
      <c r="O44" s="207"/>
      <c r="P44" s="207"/>
      <c r="Q44" s="207"/>
      <c r="R44" s="207"/>
      <c r="S44" s="207"/>
      <c r="T44" s="207"/>
      <c r="U44" s="207"/>
      <c r="V44" s="207"/>
      <c r="W44" s="207"/>
      <c r="X44" s="207"/>
    </row>
    <row r="45" spans="1:24" s="220" customFormat="1" ht="15" x14ac:dyDescent="0.25">
      <c r="A45" s="273"/>
      <c r="B45" s="5"/>
      <c r="C45" s="5"/>
      <c r="D45" s="5"/>
      <c r="E45" s="5"/>
      <c r="F45" s="5"/>
      <c r="G45" s="5"/>
      <c r="H45" s="207"/>
      <c r="I45" s="207"/>
      <c r="J45" s="207"/>
      <c r="K45" s="207"/>
      <c r="L45" s="207"/>
      <c r="M45" s="207"/>
      <c r="N45" s="207"/>
      <c r="O45" s="207"/>
      <c r="P45" s="207"/>
      <c r="Q45" s="207"/>
      <c r="R45" s="207"/>
      <c r="S45" s="207"/>
      <c r="T45" s="207"/>
      <c r="U45" s="207"/>
      <c r="V45" s="207"/>
      <c r="W45" s="207"/>
      <c r="X45" s="207"/>
    </row>
    <row r="46" spans="1:24" s="220" customFormat="1" ht="15" x14ac:dyDescent="0.25">
      <c r="A46" s="273"/>
      <c r="B46" s="5"/>
      <c r="C46" s="5"/>
      <c r="D46" s="5"/>
      <c r="E46" s="5"/>
      <c r="F46" s="5"/>
      <c r="G46" s="5"/>
      <c r="H46" s="207"/>
      <c r="I46" s="207"/>
      <c r="J46" s="207"/>
      <c r="K46" s="207"/>
      <c r="L46" s="207"/>
      <c r="M46" s="207"/>
      <c r="N46" s="207"/>
      <c r="O46" s="207"/>
      <c r="P46" s="207"/>
      <c r="Q46" s="207"/>
      <c r="R46" s="207"/>
      <c r="S46" s="207"/>
      <c r="T46" s="207"/>
      <c r="U46" s="207"/>
      <c r="V46" s="207"/>
      <c r="W46" s="207"/>
      <c r="X46" s="207"/>
    </row>
    <row r="47" spans="1:24" s="220" customFormat="1" ht="15" x14ac:dyDescent="0.25">
      <c r="A47" s="273"/>
      <c r="B47" s="5"/>
      <c r="C47" s="5"/>
      <c r="D47" s="5"/>
      <c r="E47" s="5"/>
      <c r="F47" s="5"/>
      <c r="G47" s="5"/>
      <c r="H47" s="207"/>
      <c r="I47" s="207"/>
      <c r="J47" s="207"/>
      <c r="K47" s="207"/>
      <c r="L47" s="207"/>
      <c r="M47" s="207"/>
      <c r="N47" s="207"/>
      <c r="O47" s="207"/>
      <c r="P47" s="207"/>
      <c r="Q47" s="207"/>
      <c r="R47" s="207"/>
      <c r="S47" s="207"/>
      <c r="T47" s="207"/>
      <c r="U47" s="207"/>
      <c r="V47" s="207"/>
      <c r="W47" s="207"/>
      <c r="X47" s="207"/>
    </row>
    <row r="48" spans="1:24" x14ac:dyDescent="0.25">
      <c r="A48" s="298"/>
      <c r="B48" s="211"/>
      <c r="C48" s="210"/>
      <c r="D48" s="207"/>
      <c r="E48" s="211"/>
      <c r="F48" s="207"/>
      <c r="G48" s="207"/>
      <c r="H48" s="207"/>
      <c r="I48" s="207"/>
      <c r="J48" s="207"/>
      <c r="K48" s="207"/>
      <c r="L48" s="207"/>
      <c r="M48" s="207"/>
      <c r="N48" s="207"/>
      <c r="O48" s="207"/>
      <c r="P48" s="207"/>
      <c r="Q48" s="207"/>
      <c r="R48" s="207"/>
      <c r="S48" s="207"/>
      <c r="T48" s="207"/>
      <c r="U48" s="207"/>
      <c r="V48" s="207"/>
      <c r="W48" s="207"/>
      <c r="X48" s="207"/>
    </row>
    <row r="49" spans="1:24" x14ac:dyDescent="0.25">
      <c r="A49" s="298"/>
      <c r="B49" s="211"/>
      <c r="C49" s="210"/>
      <c r="D49" s="207"/>
      <c r="E49" s="211"/>
      <c r="F49" s="207"/>
      <c r="G49" s="207"/>
      <c r="H49" s="207"/>
      <c r="I49" s="207"/>
      <c r="J49" s="207"/>
      <c r="K49" s="207"/>
      <c r="L49" s="207"/>
      <c r="M49" s="207"/>
      <c r="N49" s="207"/>
      <c r="O49" s="207"/>
      <c r="P49" s="207"/>
      <c r="Q49" s="207"/>
      <c r="R49" s="207"/>
      <c r="S49" s="207"/>
      <c r="T49" s="207"/>
      <c r="U49" s="207"/>
      <c r="V49" s="207"/>
      <c r="W49" s="207"/>
      <c r="X49" s="207"/>
    </row>
    <row r="50" spans="1:24" x14ac:dyDescent="0.25">
      <c r="A50" s="298"/>
      <c r="B50" s="211"/>
      <c r="C50" s="210"/>
      <c r="D50" s="207"/>
      <c r="E50" s="211"/>
      <c r="F50" s="207"/>
      <c r="G50" s="207"/>
      <c r="H50" s="207"/>
      <c r="I50" s="207"/>
      <c r="J50" s="207"/>
      <c r="K50" s="207"/>
      <c r="L50" s="207"/>
      <c r="M50" s="207"/>
      <c r="N50" s="207"/>
      <c r="O50" s="207"/>
      <c r="P50" s="207"/>
      <c r="Q50" s="207"/>
      <c r="R50" s="207"/>
      <c r="S50" s="207"/>
      <c r="T50" s="207"/>
      <c r="U50" s="207"/>
      <c r="V50" s="207"/>
      <c r="W50" s="207"/>
      <c r="X50" s="207"/>
    </row>
    <row r="51" spans="1:24" x14ac:dyDescent="0.25">
      <c r="A51" s="298"/>
      <c r="B51" s="211"/>
      <c r="C51" s="210"/>
      <c r="D51" s="207"/>
      <c r="E51" s="211"/>
      <c r="F51" s="207"/>
      <c r="G51" s="207"/>
      <c r="H51" s="207"/>
      <c r="I51" s="207"/>
      <c r="J51" s="207"/>
      <c r="K51" s="207"/>
      <c r="L51" s="207"/>
      <c r="M51" s="207"/>
      <c r="N51" s="207"/>
      <c r="O51" s="207"/>
      <c r="P51" s="207"/>
      <c r="Q51" s="207"/>
      <c r="R51" s="207"/>
      <c r="S51" s="207"/>
      <c r="T51" s="207"/>
      <c r="U51" s="207"/>
      <c r="V51" s="207"/>
      <c r="W51" s="207"/>
      <c r="X51" s="207"/>
    </row>
    <row r="52" spans="1:24" x14ac:dyDescent="0.25">
      <c r="A52" s="298"/>
      <c r="B52" s="211"/>
      <c r="C52" s="210"/>
      <c r="D52" s="207"/>
      <c r="E52" s="211"/>
      <c r="F52" s="207"/>
      <c r="G52" s="207"/>
      <c r="H52" s="207"/>
      <c r="I52" s="207"/>
      <c r="J52" s="207"/>
      <c r="K52" s="207"/>
      <c r="L52" s="207"/>
      <c r="M52" s="207"/>
      <c r="N52" s="207"/>
      <c r="O52" s="207"/>
      <c r="P52" s="207"/>
      <c r="Q52" s="207"/>
      <c r="R52" s="207"/>
      <c r="S52" s="207"/>
      <c r="T52" s="207"/>
      <c r="U52" s="207"/>
      <c r="V52" s="207"/>
      <c r="W52" s="207"/>
      <c r="X52" s="207"/>
    </row>
    <row r="53" spans="1:24" x14ac:dyDescent="0.25">
      <c r="A53" s="298"/>
      <c r="B53" s="211"/>
      <c r="C53" s="210"/>
      <c r="D53" s="207"/>
      <c r="E53" s="211"/>
      <c r="F53" s="207"/>
      <c r="G53" s="207"/>
      <c r="H53" s="207"/>
      <c r="I53" s="207"/>
      <c r="J53" s="207"/>
      <c r="K53" s="207"/>
      <c r="L53" s="207"/>
      <c r="M53" s="207"/>
      <c r="N53" s="207"/>
      <c r="O53" s="207"/>
      <c r="P53" s="207"/>
      <c r="Q53" s="207"/>
      <c r="R53" s="207"/>
      <c r="S53" s="207"/>
      <c r="T53" s="207"/>
      <c r="U53" s="207"/>
      <c r="V53" s="207"/>
      <c r="W53" s="207"/>
      <c r="X53" s="207"/>
    </row>
    <row r="54" spans="1:24" x14ac:dyDescent="0.25">
      <c r="A54" s="298"/>
      <c r="B54" s="211"/>
      <c r="C54" s="210"/>
      <c r="D54" s="207"/>
      <c r="E54" s="211"/>
      <c r="F54" s="207"/>
      <c r="G54" s="207"/>
      <c r="H54" s="207"/>
      <c r="I54" s="207"/>
      <c r="J54" s="207"/>
      <c r="K54" s="207"/>
      <c r="L54" s="207"/>
      <c r="M54" s="207"/>
      <c r="N54" s="207"/>
      <c r="O54" s="207"/>
      <c r="P54" s="207"/>
      <c r="Q54" s="207"/>
      <c r="R54" s="207"/>
      <c r="S54" s="207"/>
      <c r="T54" s="207"/>
      <c r="U54" s="207"/>
      <c r="V54" s="207"/>
      <c r="W54" s="207"/>
      <c r="X54" s="207"/>
    </row>
    <row r="55" spans="1:24" x14ac:dyDescent="0.25">
      <c r="A55" s="298"/>
      <c r="B55" s="211"/>
      <c r="C55" s="210"/>
      <c r="D55" s="207"/>
      <c r="E55" s="211"/>
      <c r="F55" s="207"/>
      <c r="G55" s="207"/>
      <c r="H55" s="207"/>
      <c r="I55" s="207"/>
      <c r="J55" s="207"/>
      <c r="K55" s="207"/>
      <c r="L55" s="207"/>
      <c r="M55" s="207"/>
      <c r="N55" s="207"/>
      <c r="O55" s="207"/>
      <c r="P55" s="207"/>
      <c r="Q55" s="207"/>
      <c r="R55" s="207"/>
      <c r="S55" s="207"/>
      <c r="T55" s="207"/>
      <c r="U55" s="207"/>
      <c r="V55" s="207"/>
      <c r="W55" s="207"/>
      <c r="X55" s="207"/>
    </row>
    <row r="56" spans="1:24" x14ac:dyDescent="0.25">
      <c r="A56" s="298"/>
      <c r="B56" s="211"/>
      <c r="C56" s="210"/>
      <c r="D56" s="207"/>
      <c r="E56" s="211"/>
      <c r="F56" s="207"/>
      <c r="G56" s="207"/>
      <c r="H56" s="207"/>
      <c r="I56" s="207"/>
      <c r="J56" s="207"/>
      <c r="K56" s="207"/>
      <c r="L56" s="207"/>
      <c r="M56" s="207"/>
      <c r="N56" s="207"/>
      <c r="O56" s="207"/>
      <c r="P56" s="207"/>
      <c r="Q56" s="207"/>
      <c r="R56" s="207"/>
      <c r="S56" s="207"/>
      <c r="T56" s="207"/>
      <c r="U56" s="207"/>
      <c r="V56" s="207"/>
      <c r="W56" s="207"/>
      <c r="X56" s="207"/>
    </row>
    <row r="57" spans="1:24" x14ac:dyDescent="0.25">
      <c r="A57" s="298"/>
      <c r="B57" s="211"/>
      <c r="C57" s="210"/>
      <c r="D57" s="207"/>
      <c r="E57" s="211"/>
      <c r="F57" s="207"/>
      <c r="G57" s="207"/>
      <c r="H57" s="207"/>
      <c r="I57" s="207"/>
      <c r="J57" s="207"/>
      <c r="K57" s="207"/>
      <c r="L57" s="207"/>
      <c r="M57" s="207"/>
      <c r="N57" s="207"/>
      <c r="O57" s="207"/>
      <c r="P57" s="207"/>
      <c r="Q57" s="207"/>
      <c r="R57" s="207"/>
      <c r="S57" s="207"/>
      <c r="T57" s="207"/>
      <c r="U57" s="207"/>
      <c r="V57" s="207"/>
      <c r="W57" s="207"/>
      <c r="X57" s="207"/>
    </row>
    <row r="58" spans="1:24" x14ac:dyDescent="0.25">
      <c r="A58" s="298"/>
      <c r="B58" s="211"/>
      <c r="C58" s="210"/>
      <c r="D58" s="207"/>
      <c r="E58" s="211"/>
      <c r="F58" s="207"/>
      <c r="G58" s="207"/>
      <c r="H58" s="207"/>
      <c r="I58" s="207"/>
      <c r="J58" s="207"/>
      <c r="K58" s="207"/>
      <c r="L58" s="207"/>
      <c r="M58" s="207"/>
      <c r="N58" s="207"/>
      <c r="O58" s="207"/>
      <c r="P58" s="207"/>
      <c r="Q58" s="207"/>
      <c r="R58" s="207"/>
      <c r="S58" s="207"/>
      <c r="T58" s="207"/>
      <c r="U58" s="207"/>
      <c r="V58" s="207"/>
      <c r="W58" s="207"/>
      <c r="X58" s="207"/>
    </row>
    <row r="59" spans="1:24" x14ac:dyDescent="0.25">
      <c r="A59" s="298"/>
      <c r="B59" s="211"/>
      <c r="C59" s="210"/>
      <c r="D59" s="207"/>
      <c r="E59" s="211"/>
      <c r="F59" s="207"/>
      <c r="G59" s="207"/>
      <c r="H59" s="207"/>
      <c r="I59" s="207"/>
      <c r="J59" s="207"/>
      <c r="K59" s="207"/>
      <c r="L59" s="207"/>
      <c r="M59" s="207"/>
      <c r="N59" s="207"/>
      <c r="O59" s="207"/>
      <c r="P59" s="207"/>
      <c r="Q59" s="207"/>
      <c r="R59" s="207"/>
      <c r="S59" s="207"/>
      <c r="T59" s="207"/>
      <c r="U59" s="207"/>
      <c r="V59" s="207"/>
      <c r="W59" s="207"/>
      <c r="X59" s="207"/>
    </row>
    <row r="60" spans="1:24" x14ac:dyDescent="0.25">
      <c r="A60" s="298"/>
      <c r="B60" s="211"/>
      <c r="C60" s="210"/>
      <c r="D60" s="207"/>
      <c r="E60" s="211"/>
      <c r="F60" s="207"/>
      <c r="G60" s="207"/>
      <c r="H60" s="207"/>
      <c r="I60" s="207"/>
      <c r="J60" s="207"/>
      <c r="K60" s="207"/>
      <c r="L60" s="207"/>
      <c r="M60" s="207"/>
      <c r="N60" s="207"/>
      <c r="O60" s="207"/>
      <c r="P60" s="207"/>
      <c r="Q60" s="207"/>
      <c r="R60" s="207"/>
      <c r="S60" s="207"/>
      <c r="T60" s="207"/>
      <c r="U60" s="207"/>
      <c r="V60" s="207"/>
      <c r="W60" s="207"/>
      <c r="X60" s="207"/>
    </row>
    <row r="61" spans="1:24" x14ac:dyDescent="0.25">
      <c r="A61" s="298"/>
      <c r="B61" s="211"/>
      <c r="C61" s="210"/>
      <c r="D61" s="207"/>
      <c r="E61" s="211"/>
      <c r="F61" s="207"/>
      <c r="G61" s="207"/>
      <c r="H61" s="207"/>
      <c r="I61" s="207"/>
      <c r="J61" s="207"/>
      <c r="K61" s="207"/>
      <c r="L61" s="207"/>
      <c r="M61" s="207"/>
      <c r="N61" s="207"/>
      <c r="O61" s="207"/>
      <c r="P61" s="207"/>
      <c r="Q61" s="207"/>
      <c r="R61" s="207"/>
      <c r="S61" s="207"/>
      <c r="T61" s="207"/>
      <c r="U61" s="207"/>
      <c r="V61" s="207"/>
      <c r="W61" s="207"/>
      <c r="X61" s="207"/>
    </row>
    <row r="62" spans="1:24" x14ac:dyDescent="0.25">
      <c r="A62" s="298"/>
      <c r="B62" s="211"/>
      <c r="C62" s="210"/>
      <c r="D62" s="207"/>
      <c r="E62" s="211"/>
      <c r="F62" s="207"/>
      <c r="G62" s="207"/>
      <c r="H62" s="207"/>
      <c r="I62" s="207"/>
      <c r="J62" s="207"/>
      <c r="K62" s="207"/>
      <c r="L62" s="207"/>
      <c r="M62" s="207"/>
      <c r="N62" s="207"/>
      <c r="O62" s="207"/>
      <c r="P62" s="207"/>
      <c r="Q62" s="207"/>
      <c r="R62" s="207"/>
      <c r="S62" s="207"/>
      <c r="T62" s="207"/>
      <c r="U62" s="207"/>
      <c r="V62" s="207"/>
      <c r="W62" s="207"/>
      <c r="X62" s="207"/>
    </row>
    <row r="63" spans="1:24" x14ac:dyDescent="0.25">
      <c r="A63" s="298"/>
      <c r="B63" s="211"/>
      <c r="C63" s="210"/>
      <c r="D63" s="207"/>
      <c r="E63" s="211"/>
      <c r="F63" s="207"/>
      <c r="G63" s="207"/>
      <c r="H63" s="207"/>
      <c r="I63" s="207"/>
      <c r="J63" s="207"/>
      <c r="K63" s="207"/>
      <c r="L63" s="207"/>
      <c r="M63" s="207"/>
      <c r="N63" s="207"/>
      <c r="O63" s="207"/>
      <c r="P63" s="207"/>
      <c r="Q63" s="207"/>
      <c r="R63" s="207"/>
      <c r="S63" s="207"/>
      <c r="T63" s="207"/>
      <c r="U63" s="207"/>
      <c r="V63" s="207"/>
      <c r="W63" s="207"/>
      <c r="X63" s="207"/>
    </row>
    <row r="64" spans="1:24" x14ac:dyDescent="0.25">
      <c r="A64" s="298"/>
      <c r="B64" s="211"/>
      <c r="C64" s="210"/>
      <c r="D64" s="207"/>
      <c r="E64" s="211"/>
      <c r="F64" s="207"/>
      <c r="G64" s="207"/>
      <c r="H64" s="207"/>
      <c r="I64" s="207"/>
      <c r="J64" s="207"/>
      <c r="K64" s="207"/>
      <c r="L64" s="207"/>
      <c r="M64" s="207"/>
      <c r="N64" s="207"/>
      <c r="O64" s="207"/>
      <c r="P64" s="207"/>
      <c r="Q64" s="207"/>
      <c r="R64" s="207"/>
      <c r="S64" s="207"/>
      <c r="T64" s="207"/>
      <c r="U64" s="207"/>
      <c r="V64" s="207"/>
      <c r="W64" s="207"/>
      <c r="X64" s="207"/>
    </row>
    <row r="65" spans="1:24" x14ac:dyDescent="0.25">
      <c r="A65" s="298"/>
      <c r="B65" s="211"/>
      <c r="C65" s="210"/>
      <c r="D65" s="207"/>
      <c r="E65" s="211"/>
      <c r="F65" s="207"/>
      <c r="G65" s="207"/>
      <c r="H65" s="207"/>
      <c r="I65" s="207"/>
      <c r="J65" s="207"/>
      <c r="K65" s="207"/>
      <c r="L65" s="207"/>
      <c r="M65" s="207"/>
      <c r="N65" s="207"/>
      <c r="O65" s="207"/>
      <c r="P65" s="207"/>
      <c r="Q65" s="207"/>
      <c r="R65" s="207"/>
      <c r="S65" s="207"/>
      <c r="T65" s="207"/>
      <c r="U65" s="207"/>
      <c r="V65" s="207"/>
      <c r="W65" s="207"/>
      <c r="X65" s="207"/>
    </row>
    <row r="66" spans="1:24" x14ac:dyDescent="0.25">
      <c r="A66" s="298"/>
      <c r="B66" s="211"/>
      <c r="C66" s="210"/>
      <c r="D66" s="207"/>
      <c r="E66" s="211"/>
      <c r="F66" s="207"/>
      <c r="G66" s="207"/>
      <c r="H66" s="207"/>
      <c r="I66" s="207"/>
      <c r="J66" s="207"/>
      <c r="K66" s="207"/>
      <c r="L66" s="207"/>
      <c r="M66" s="207"/>
      <c r="N66" s="207"/>
      <c r="O66" s="207"/>
      <c r="P66" s="207"/>
      <c r="Q66" s="207"/>
      <c r="R66" s="207"/>
      <c r="S66" s="207"/>
      <c r="T66" s="207"/>
      <c r="U66" s="207"/>
      <c r="V66" s="207"/>
      <c r="W66" s="207"/>
      <c r="X66" s="207"/>
    </row>
    <row r="67" spans="1:24" x14ac:dyDescent="0.25">
      <c r="A67" s="298"/>
      <c r="B67" s="211"/>
      <c r="C67" s="210"/>
      <c r="D67" s="207"/>
      <c r="E67" s="211"/>
      <c r="F67" s="207"/>
      <c r="G67" s="207"/>
      <c r="H67" s="207"/>
      <c r="I67" s="207"/>
      <c r="J67" s="207"/>
      <c r="K67" s="207"/>
      <c r="L67" s="207"/>
      <c r="M67" s="207"/>
      <c r="N67" s="207"/>
      <c r="O67" s="207"/>
      <c r="P67" s="207"/>
      <c r="Q67" s="207"/>
      <c r="R67" s="207"/>
      <c r="S67" s="207"/>
      <c r="T67" s="207"/>
      <c r="U67" s="207"/>
      <c r="V67" s="207"/>
      <c r="W67" s="207"/>
      <c r="X67" s="207"/>
    </row>
    <row r="68" spans="1:24" x14ac:dyDescent="0.25">
      <c r="A68" s="298"/>
      <c r="B68" s="211"/>
      <c r="C68" s="210"/>
      <c r="D68" s="207"/>
      <c r="E68" s="211"/>
      <c r="F68" s="207"/>
      <c r="G68" s="207"/>
      <c r="H68" s="207"/>
      <c r="I68" s="207"/>
      <c r="J68" s="207"/>
      <c r="K68" s="207"/>
      <c r="L68" s="207"/>
      <c r="M68" s="207"/>
      <c r="N68" s="207"/>
      <c r="O68" s="207"/>
      <c r="P68" s="207"/>
      <c r="Q68" s="207"/>
      <c r="R68" s="207"/>
      <c r="S68" s="207"/>
      <c r="T68" s="207"/>
      <c r="U68" s="207"/>
      <c r="V68" s="207"/>
      <c r="W68" s="207"/>
      <c r="X68" s="207"/>
    </row>
    <row r="69" spans="1:24" x14ac:dyDescent="0.25">
      <c r="A69" s="298"/>
      <c r="B69" s="211"/>
      <c r="C69" s="210"/>
      <c r="D69" s="207"/>
      <c r="E69" s="211"/>
      <c r="F69" s="207"/>
      <c r="G69" s="207"/>
      <c r="H69" s="207"/>
      <c r="I69" s="207"/>
      <c r="J69" s="207"/>
      <c r="K69" s="207"/>
      <c r="L69" s="207"/>
      <c r="M69" s="207"/>
      <c r="N69" s="207"/>
      <c r="O69" s="207"/>
      <c r="P69" s="207"/>
      <c r="Q69" s="207"/>
      <c r="R69" s="207"/>
      <c r="S69" s="207"/>
      <c r="T69" s="207"/>
      <c r="U69" s="207"/>
      <c r="V69" s="207"/>
      <c r="W69" s="207"/>
      <c r="X69" s="207"/>
    </row>
    <row r="70" spans="1:24" x14ac:dyDescent="0.25">
      <c r="A70" s="298"/>
      <c r="B70" s="211"/>
      <c r="C70" s="210"/>
      <c r="D70" s="207"/>
      <c r="E70" s="211"/>
      <c r="F70" s="207"/>
      <c r="G70" s="207"/>
      <c r="H70" s="207"/>
      <c r="I70" s="207"/>
      <c r="J70" s="207"/>
      <c r="K70" s="207"/>
      <c r="L70" s="207"/>
      <c r="M70" s="207"/>
      <c r="N70" s="207"/>
      <c r="O70" s="207"/>
      <c r="P70" s="207"/>
      <c r="Q70" s="207"/>
      <c r="R70" s="207"/>
      <c r="S70" s="207"/>
      <c r="T70" s="207"/>
      <c r="U70" s="207"/>
      <c r="V70" s="207"/>
      <c r="W70" s="207"/>
      <c r="X70" s="207"/>
    </row>
    <row r="71" spans="1:24" x14ac:dyDescent="0.25">
      <c r="A71" s="298"/>
      <c r="B71" s="211"/>
      <c r="C71" s="210"/>
      <c r="D71" s="207"/>
      <c r="E71" s="211"/>
      <c r="F71" s="207"/>
      <c r="G71" s="207"/>
      <c r="H71" s="207"/>
      <c r="I71" s="207"/>
      <c r="J71" s="207"/>
      <c r="K71" s="207"/>
      <c r="L71" s="207"/>
      <c r="M71" s="207"/>
      <c r="N71" s="207"/>
      <c r="O71" s="207"/>
      <c r="P71" s="207"/>
      <c r="Q71" s="207"/>
      <c r="R71" s="207"/>
      <c r="S71" s="207"/>
      <c r="T71" s="207"/>
      <c r="U71" s="207"/>
      <c r="V71" s="207"/>
      <c r="W71" s="207"/>
      <c r="X71" s="207"/>
    </row>
    <row r="72" spans="1:24" x14ac:dyDescent="0.25">
      <c r="A72" s="298"/>
      <c r="B72" s="211"/>
      <c r="C72" s="210"/>
      <c r="D72" s="207"/>
      <c r="E72" s="211"/>
      <c r="F72" s="207"/>
      <c r="G72" s="207"/>
      <c r="H72" s="207"/>
      <c r="I72" s="207"/>
      <c r="J72" s="207"/>
      <c r="K72" s="207"/>
      <c r="L72" s="207"/>
      <c r="M72" s="207"/>
      <c r="N72" s="207"/>
      <c r="O72" s="207"/>
      <c r="P72" s="207"/>
      <c r="Q72" s="207"/>
      <c r="R72" s="207"/>
      <c r="S72" s="207"/>
      <c r="T72" s="207"/>
      <c r="U72" s="207"/>
      <c r="V72" s="207"/>
      <c r="W72" s="207"/>
      <c r="X72" s="207"/>
    </row>
    <row r="73" spans="1:24" x14ac:dyDescent="0.25">
      <c r="A73" s="298"/>
      <c r="B73" s="211"/>
      <c r="C73" s="210"/>
      <c r="D73" s="207"/>
      <c r="E73" s="211"/>
      <c r="F73" s="207"/>
      <c r="G73" s="207"/>
      <c r="H73" s="207"/>
      <c r="I73" s="207"/>
      <c r="J73" s="207"/>
      <c r="K73" s="207"/>
      <c r="L73" s="207"/>
      <c r="M73" s="207"/>
      <c r="N73" s="207"/>
      <c r="O73" s="207"/>
      <c r="P73" s="207"/>
      <c r="Q73" s="207"/>
      <c r="R73" s="207"/>
      <c r="S73" s="207"/>
      <c r="T73" s="207"/>
      <c r="U73" s="207"/>
      <c r="V73" s="207"/>
      <c r="W73" s="207"/>
      <c r="X73" s="207"/>
    </row>
    <row r="74" spans="1:24" x14ac:dyDescent="0.25">
      <c r="A74" s="298"/>
      <c r="B74" s="211"/>
      <c r="C74" s="210"/>
      <c r="D74" s="207"/>
      <c r="E74" s="211"/>
      <c r="F74" s="207"/>
      <c r="G74" s="207"/>
      <c r="H74" s="207"/>
      <c r="I74" s="207"/>
      <c r="J74" s="207"/>
      <c r="K74" s="207"/>
      <c r="L74" s="207"/>
      <c r="M74" s="207"/>
      <c r="N74" s="207"/>
      <c r="O74" s="207"/>
      <c r="P74" s="207"/>
      <c r="Q74" s="207"/>
      <c r="R74" s="207"/>
      <c r="S74" s="207"/>
      <c r="T74" s="207"/>
      <c r="U74" s="207"/>
      <c r="V74" s="207"/>
      <c r="W74" s="207"/>
      <c r="X74" s="207"/>
    </row>
    <row r="75" spans="1:24" x14ac:dyDescent="0.25">
      <c r="A75" s="298"/>
      <c r="B75" s="211"/>
      <c r="C75" s="210"/>
      <c r="D75" s="207"/>
      <c r="E75" s="211"/>
      <c r="F75" s="207"/>
      <c r="G75" s="207"/>
      <c r="H75" s="207"/>
      <c r="I75" s="207"/>
      <c r="J75" s="207"/>
      <c r="K75" s="207"/>
      <c r="L75" s="207"/>
      <c r="M75" s="207"/>
      <c r="N75" s="207"/>
      <c r="O75" s="207"/>
      <c r="P75" s="207"/>
      <c r="Q75" s="207"/>
      <c r="R75" s="207"/>
      <c r="S75" s="207"/>
      <c r="T75" s="207"/>
      <c r="U75" s="207"/>
      <c r="V75" s="207"/>
      <c r="W75" s="207"/>
      <c r="X75" s="207"/>
    </row>
    <row r="76" spans="1:24" x14ac:dyDescent="0.25">
      <c r="A76" s="298"/>
      <c r="B76" s="211"/>
      <c r="C76" s="210"/>
      <c r="D76" s="207"/>
      <c r="E76" s="211"/>
      <c r="F76" s="207"/>
      <c r="G76" s="207"/>
      <c r="H76" s="207"/>
      <c r="I76" s="207"/>
      <c r="J76" s="207"/>
      <c r="K76" s="207"/>
      <c r="L76" s="207"/>
      <c r="M76" s="207"/>
      <c r="N76" s="207"/>
      <c r="O76" s="207"/>
      <c r="P76" s="207"/>
      <c r="Q76" s="207"/>
      <c r="R76" s="207"/>
      <c r="S76" s="207"/>
      <c r="T76" s="207"/>
      <c r="U76" s="207"/>
      <c r="V76" s="207"/>
      <c r="W76" s="207"/>
      <c r="X76" s="207"/>
    </row>
    <row r="77" spans="1:24" x14ac:dyDescent="0.25">
      <c r="A77" s="298"/>
      <c r="B77" s="211"/>
      <c r="C77" s="210"/>
      <c r="D77" s="207"/>
      <c r="E77" s="211"/>
      <c r="F77" s="207"/>
      <c r="G77" s="207"/>
      <c r="H77" s="207"/>
      <c r="I77" s="207"/>
      <c r="J77" s="207"/>
      <c r="K77" s="207"/>
      <c r="L77" s="207"/>
      <c r="M77" s="207"/>
      <c r="N77" s="207"/>
      <c r="O77" s="207"/>
      <c r="P77" s="207"/>
      <c r="Q77" s="207"/>
      <c r="R77" s="207"/>
      <c r="S77" s="207"/>
      <c r="T77" s="207"/>
      <c r="U77" s="207"/>
      <c r="V77" s="207"/>
      <c r="W77" s="207"/>
      <c r="X77" s="207"/>
    </row>
    <row r="78" spans="1:24" x14ac:dyDescent="0.25">
      <c r="A78" s="298"/>
      <c r="B78" s="211"/>
      <c r="C78" s="210"/>
      <c r="D78" s="207"/>
      <c r="E78" s="211"/>
      <c r="F78" s="207"/>
      <c r="G78" s="207"/>
      <c r="H78" s="207"/>
      <c r="I78" s="207"/>
      <c r="J78" s="207"/>
      <c r="K78" s="207"/>
      <c r="L78" s="207"/>
      <c r="M78" s="207"/>
      <c r="N78" s="207"/>
      <c r="O78" s="207"/>
      <c r="P78" s="207"/>
      <c r="Q78" s="207"/>
      <c r="R78" s="207"/>
      <c r="S78" s="207"/>
      <c r="T78" s="207"/>
      <c r="U78" s="207"/>
      <c r="V78" s="207"/>
      <c r="W78" s="207"/>
      <c r="X78" s="207"/>
    </row>
    <row r="79" spans="1:24" x14ac:dyDescent="0.25">
      <c r="A79" s="298"/>
      <c r="B79" s="211"/>
      <c r="C79" s="210"/>
      <c r="D79" s="207"/>
      <c r="E79" s="211"/>
      <c r="F79" s="207"/>
      <c r="G79" s="207"/>
      <c r="H79" s="207"/>
      <c r="I79" s="207"/>
      <c r="J79" s="207"/>
      <c r="K79" s="207"/>
      <c r="L79" s="207"/>
      <c r="M79" s="207"/>
      <c r="N79" s="207"/>
      <c r="O79" s="207"/>
      <c r="P79" s="207"/>
      <c r="Q79" s="207"/>
      <c r="R79" s="207"/>
      <c r="S79" s="207"/>
      <c r="T79" s="207"/>
      <c r="U79" s="207"/>
      <c r="V79" s="207"/>
      <c r="W79" s="207"/>
      <c r="X79" s="207"/>
    </row>
    <row r="80" spans="1:24" x14ac:dyDescent="0.25">
      <c r="A80" s="298"/>
      <c r="B80" s="211"/>
      <c r="C80" s="210"/>
      <c r="D80" s="207"/>
      <c r="E80" s="211"/>
      <c r="F80" s="207"/>
      <c r="G80" s="207"/>
      <c r="H80" s="207"/>
      <c r="I80" s="207"/>
      <c r="J80" s="207"/>
      <c r="K80" s="207"/>
      <c r="L80" s="207"/>
      <c r="M80" s="207"/>
      <c r="N80" s="207"/>
      <c r="O80" s="207"/>
      <c r="P80" s="207"/>
      <c r="Q80" s="207"/>
      <c r="R80" s="207"/>
      <c r="S80" s="207"/>
      <c r="T80" s="207"/>
      <c r="U80" s="207"/>
      <c r="V80" s="207"/>
      <c r="W80" s="207"/>
      <c r="X80" s="207"/>
    </row>
    <row r="81" spans="1:24" x14ac:dyDescent="0.25">
      <c r="A81" s="298"/>
      <c r="B81" s="211"/>
      <c r="C81" s="210"/>
      <c r="D81" s="207"/>
      <c r="E81" s="211"/>
      <c r="F81" s="207"/>
      <c r="G81" s="207"/>
      <c r="H81" s="207"/>
      <c r="I81" s="207"/>
      <c r="J81" s="207"/>
      <c r="K81" s="207"/>
      <c r="L81" s="207"/>
      <c r="M81" s="207"/>
      <c r="N81" s="207"/>
      <c r="O81" s="207"/>
      <c r="P81" s="207"/>
      <c r="Q81" s="207"/>
      <c r="R81" s="207"/>
      <c r="S81" s="207"/>
      <c r="T81" s="207"/>
      <c r="U81" s="207"/>
      <c r="V81" s="207"/>
      <c r="W81" s="207"/>
      <c r="X81" s="207"/>
    </row>
    <row r="82" spans="1:24" x14ac:dyDescent="0.25">
      <c r="A82" s="298"/>
      <c r="B82" s="211"/>
      <c r="C82" s="210"/>
      <c r="D82" s="207"/>
      <c r="E82" s="211"/>
      <c r="F82" s="207"/>
      <c r="G82" s="207"/>
      <c r="H82" s="207"/>
      <c r="I82" s="207"/>
      <c r="J82" s="207"/>
      <c r="K82" s="207"/>
      <c r="L82" s="207"/>
      <c r="M82" s="207"/>
      <c r="N82" s="207"/>
      <c r="O82" s="207"/>
      <c r="P82" s="207"/>
      <c r="Q82" s="207"/>
      <c r="R82" s="207"/>
      <c r="S82" s="207"/>
      <c r="T82" s="207"/>
      <c r="U82" s="207"/>
      <c r="V82" s="207"/>
      <c r="W82" s="207"/>
      <c r="X82" s="207"/>
    </row>
    <row r="83" spans="1:24" x14ac:dyDescent="0.25">
      <c r="A83" s="298"/>
      <c r="B83" s="211"/>
      <c r="C83" s="210"/>
      <c r="D83" s="207"/>
      <c r="E83" s="211"/>
      <c r="F83" s="207"/>
      <c r="G83" s="207"/>
      <c r="H83" s="207"/>
      <c r="I83" s="207"/>
      <c r="J83" s="207"/>
      <c r="K83" s="207"/>
      <c r="L83" s="207"/>
      <c r="M83" s="207"/>
      <c r="N83" s="207"/>
      <c r="O83" s="207"/>
      <c r="P83" s="207"/>
      <c r="Q83" s="207"/>
      <c r="R83" s="207"/>
      <c r="S83" s="207"/>
      <c r="T83" s="207"/>
      <c r="U83" s="207"/>
      <c r="V83" s="207"/>
      <c r="W83" s="207"/>
      <c r="X83" s="207"/>
    </row>
    <row r="84" spans="1:24" x14ac:dyDescent="0.25">
      <c r="A84" s="298"/>
      <c r="B84" s="211"/>
      <c r="C84" s="210"/>
      <c r="D84" s="207"/>
      <c r="E84" s="211"/>
      <c r="F84" s="207"/>
      <c r="G84" s="207"/>
      <c r="H84" s="207"/>
      <c r="I84" s="207"/>
      <c r="J84" s="207"/>
      <c r="K84" s="207"/>
      <c r="L84" s="207"/>
      <c r="M84" s="207"/>
      <c r="N84" s="207"/>
      <c r="O84" s="207"/>
      <c r="P84" s="207"/>
      <c r="Q84" s="207"/>
      <c r="R84" s="207"/>
      <c r="S84" s="207"/>
      <c r="T84" s="207"/>
      <c r="U84" s="207"/>
      <c r="V84" s="207"/>
      <c r="W84" s="207"/>
      <c r="X84" s="207"/>
    </row>
    <row r="85" spans="1:24" x14ac:dyDescent="0.25">
      <c r="A85" s="298"/>
      <c r="B85" s="211"/>
      <c r="C85" s="210"/>
      <c r="D85" s="207"/>
      <c r="E85" s="211"/>
      <c r="F85" s="207"/>
      <c r="G85" s="207"/>
      <c r="H85" s="207"/>
      <c r="I85" s="207"/>
      <c r="J85" s="207"/>
      <c r="K85" s="207"/>
      <c r="L85" s="207"/>
      <c r="M85" s="207"/>
      <c r="N85" s="207"/>
      <c r="O85" s="207"/>
      <c r="P85" s="207"/>
      <c r="Q85" s="207"/>
      <c r="R85" s="207"/>
      <c r="S85" s="207"/>
      <c r="T85" s="207"/>
      <c r="U85" s="207"/>
      <c r="V85" s="207"/>
      <c r="W85" s="207"/>
      <c r="X85" s="207"/>
    </row>
    <row r="86" spans="1:24" x14ac:dyDescent="0.25">
      <c r="A86" s="298"/>
      <c r="B86" s="211"/>
      <c r="C86" s="210"/>
      <c r="D86" s="207"/>
      <c r="E86" s="211"/>
      <c r="F86" s="207"/>
      <c r="G86" s="207"/>
      <c r="H86" s="207"/>
      <c r="I86" s="207"/>
      <c r="J86" s="207"/>
      <c r="K86" s="207"/>
      <c r="L86" s="207"/>
      <c r="M86" s="207"/>
      <c r="N86" s="207"/>
      <c r="O86" s="207"/>
      <c r="P86" s="207"/>
      <c r="Q86" s="207"/>
      <c r="R86" s="207"/>
      <c r="S86" s="207"/>
      <c r="T86" s="207"/>
      <c r="U86" s="207"/>
      <c r="V86" s="207"/>
      <c r="W86" s="207"/>
      <c r="X86" s="207"/>
    </row>
    <row r="87" spans="1:24" x14ac:dyDescent="0.25">
      <c r="A87" s="298"/>
      <c r="B87" s="211"/>
      <c r="C87" s="210"/>
      <c r="D87" s="207"/>
      <c r="E87" s="211"/>
      <c r="F87" s="207"/>
      <c r="G87" s="207"/>
      <c r="H87" s="207"/>
      <c r="I87" s="207"/>
      <c r="J87" s="207"/>
      <c r="K87" s="207"/>
      <c r="L87" s="207"/>
      <c r="M87" s="207"/>
      <c r="N87" s="207"/>
      <c r="O87" s="207"/>
      <c r="P87" s="207"/>
      <c r="Q87" s="207"/>
      <c r="R87" s="207"/>
      <c r="S87" s="207"/>
      <c r="T87" s="207"/>
      <c r="U87" s="207"/>
      <c r="V87" s="207"/>
      <c r="W87" s="207"/>
      <c r="X87" s="207"/>
    </row>
    <row r="88" spans="1:24" x14ac:dyDescent="0.25">
      <c r="A88" s="298"/>
      <c r="B88" s="211"/>
      <c r="C88" s="210"/>
      <c r="D88" s="207"/>
      <c r="E88" s="211"/>
      <c r="F88" s="207"/>
      <c r="G88" s="207"/>
      <c r="H88" s="207"/>
      <c r="I88" s="207"/>
      <c r="J88" s="207"/>
      <c r="K88" s="207"/>
      <c r="L88" s="207"/>
      <c r="M88" s="207"/>
      <c r="N88" s="207"/>
      <c r="O88" s="207"/>
      <c r="P88" s="207"/>
      <c r="Q88" s="207"/>
      <c r="R88" s="207"/>
      <c r="S88" s="207"/>
      <c r="T88" s="207"/>
      <c r="U88" s="207"/>
      <c r="V88" s="207"/>
      <c r="W88" s="207"/>
      <c r="X88" s="207"/>
    </row>
    <row r="89" spans="1:24" x14ac:dyDescent="0.25">
      <c r="A89" s="298"/>
      <c r="B89" s="211"/>
      <c r="C89" s="210"/>
      <c r="D89" s="207"/>
      <c r="E89" s="211"/>
      <c r="F89" s="207"/>
      <c r="G89" s="207"/>
      <c r="H89" s="207"/>
      <c r="I89" s="207"/>
      <c r="J89" s="207"/>
      <c r="K89" s="207"/>
      <c r="L89" s="207"/>
      <c r="M89" s="207"/>
      <c r="N89" s="207"/>
      <c r="O89" s="207"/>
      <c r="P89" s="207"/>
      <c r="Q89" s="207"/>
      <c r="R89" s="207"/>
      <c r="S89" s="207"/>
      <c r="T89" s="207"/>
      <c r="U89" s="207"/>
      <c r="V89" s="207"/>
      <c r="W89" s="207"/>
      <c r="X89" s="207"/>
    </row>
    <row r="90" spans="1:24" x14ac:dyDescent="0.25">
      <c r="A90" s="298"/>
      <c r="B90" s="211"/>
      <c r="C90" s="210"/>
      <c r="D90" s="207"/>
      <c r="E90" s="211"/>
      <c r="F90" s="207"/>
      <c r="G90" s="207"/>
      <c r="H90" s="207"/>
      <c r="I90" s="207"/>
      <c r="J90" s="207"/>
      <c r="K90" s="207"/>
      <c r="L90" s="207"/>
      <c r="M90" s="207"/>
      <c r="N90" s="207"/>
      <c r="O90" s="207"/>
      <c r="P90" s="207"/>
      <c r="Q90" s="207"/>
      <c r="R90" s="207"/>
      <c r="S90" s="207"/>
      <c r="T90" s="207"/>
      <c r="U90" s="207"/>
      <c r="V90" s="207"/>
      <c r="W90" s="207"/>
      <c r="X90" s="207"/>
    </row>
    <row r="91" spans="1:24" x14ac:dyDescent="0.25">
      <c r="A91" s="298"/>
      <c r="B91" s="211"/>
      <c r="C91" s="210"/>
      <c r="D91" s="207"/>
      <c r="E91" s="211"/>
      <c r="F91" s="207"/>
      <c r="G91" s="207"/>
      <c r="H91" s="207"/>
      <c r="I91" s="207"/>
      <c r="J91" s="207"/>
      <c r="K91" s="207"/>
      <c r="L91" s="207"/>
      <c r="M91" s="207"/>
      <c r="N91" s="207"/>
      <c r="O91" s="207"/>
      <c r="P91" s="207"/>
      <c r="Q91" s="207"/>
      <c r="R91" s="207"/>
      <c r="S91" s="207"/>
      <c r="T91" s="207"/>
      <c r="U91" s="207"/>
      <c r="V91" s="207"/>
      <c r="W91" s="207"/>
      <c r="X91" s="207"/>
    </row>
    <row r="92" spans="1:24" x14ac:dyDescent="0.25">
      <c r="A92" s="298"/>
      <c r="B92" s="211"/>
      <c r="C92" s="210"/>
      <c r="D92" s="207"/>
      <c r="E92" s="211"/>
      <c r="F92" s="207"/>
      <c r="G92" s="207"/>
      <c r="H92" s="207"/>
      <c r="I92" s="207"/>
      <c r="J92" s="207"/>
      <c r="K92" s="207"/>
      <c r="L92" s="207"/>
      <c r="M92" s="207"/>
      <c r="N92" s="207"/>
      <c r="O92" s="207"/>
      <c r="P92" s="207"/>
      <c r="Q92" s="207"/>
      <c r="R92" s="207"/>
      <c r="S92" s="207"/>
      <c r="T92" s="207"/>
      <c r="U92" s="207"/>
      <c r="V92" s="207"/>
      <c r="W92" s="207"/>
      <c r="X92" s="207"/>
    </row>
    <row r="93" spans="1:24" x14ac:dyDescent="0.25">
      <c r="A93" s="298"/>
      <c r="B93" s="211"/>
      <c r="C93" s="210"/>
      <c r="D93" s="207"/>
      <c r="E93" s="211"/>
      <c r="F93" s="207"/>
      <c r="G93" s="207"/>
      <c r="H93" s="207"/>
      <c r="I93" s="207"/>
      <c r="J93" s="207"/>
      <c r="K93" s="207"/>
      <c r="L93" s="207"/>
      <c r="M93" s="207"/>
      <c r="N93" s="207"/>
      <c r="O93" s="207"/>
      <c r="P93" s="207"/>
      <c r="Q93" s="207"/>
      <c r="R93" s="207"/>
      <c r="S93" s="207"/>
      <c r="T93" s="207"/>
      <c r="U93" s="207"/>
      <c r="V93" s="207"/>
      <c r="W93" s="207"/>
      <c r="X93" s="207"/>
    </row>
    <row r="94" spans="1:24" x14ac:dyDescent="0.25">
      <c r="A94" s="298"/>
      <c r="B94" s="211"/>
      <c r="C94" s="210"/>
      <c r="D94" s="207"/>
      <c r="E94" s="211"/>
      <c r="F94" s="207"/>
      <c r="G94" s="207"/>
      <c r="H94" s="207"/>
      <c r="I94" s="207"/>
      <c r="J94" s="207"/>
      <c r="K94" s="207"/>
      <c r="L94" s="207"/>
      <c r="M94" s="207"/>
      <c r="N94" s="207"/>
      <c r="O94" s="207"/>
      <c r="P94" s="207"/>
      <c r="Q94" s="207"/>
      <c r="R94" s="207"/>
      <c r="S94" s="207"/>
      <c r="T94" s="207"/>
      <c r="U94" s="207"/>
      <c r="V94" s="207"/>
      <c r="W94" s="207"/>
      <c r="X94" s="207"/>
    </row>
    <row r="95" spans="1:24" x14ac:dyDescent="0.25">
      <c r="A95" s="298"/>
      <c r="B95" s="211"/>
      <c r="C95" s="210"/>
      <c r="D95" s="207"/>
      <c r="E95" s="211"/>
      <c r="F95" s="207"/>
      <c r="G95" s="207"/>
      <c r="H95" s="207"/>
      <c r="I95" s="207"/>
      <c r="J95" s="207"/>
      <c r="K95" s="207"/>
      <c r="L95" s="207"/>
      <c r="M95" s="207"/>
      <c r="N95" s="207"/>
      <c r="O95" s="207"/>
      <c r="P95" s="207"/>
      <c r="Q95" s="207"/>
      <c r="R95" s="207"/>
      <c r="S95" s="207"/>
      <c r="T95" s="207"/>
      <c r="U95" s="207"/>
      <c r="V95" s="207"/>
      <c r="W95" s="207"/>
      <c r="X95" s="207"/>
    </row>
    <row r="96" spans="1:24" x14ac:dyDescent="0.25">
      <c r="A96" s="298"/>
      <c r="B96" s="211"/>
      <c r="C96" s="210"/>
      <c r="D96" s="207"/>
      <c r="E96" s="211"/>
      <c r="F96" s="207"/>
      <c r="G96" s="207"/>
      <c r="H96" s="207"/>
      <c r="I96" s="207"/>
      <c r="J96" s="207"/>
      <c r="K96" s="207"/>
      <c r="L96" s="207"/>
      <c r="M96" s="207"/>
      <c r="N96" s="207"/>
      <c r="O96" s="207"/>
      <c r="P96" s="207"/>
      <c r="Q96" s="207"/>
      <c r="R96" s="207"/>
      <c r="S96" s="207"/>
      <c r="T96" s="207"/>
      <c r="U96" s="207"/>
      <c r="V96" s="207"/>
      <c r="W96" s="207"/>
      <c r="X96" s="207"/>
    </row>
    <row r="97" spans="1:24" x14ac:dyDescent="0.25">
      <c r="A97" s="298"/>
      <c r="B97" s="211"/>
      <c r="C97" s="210"/>
      <c r="D97" s="207"/>
      <c r="E97" s="211"/>
      <c r="F97" s="207"/>
      <c r="G97" s="207"/>
      <c r="H97" s="207"/>
      <c r="I97" s="207"/>
      <c r="J97" s="207"/>
      <c r="K97" s="207"/>
      <c r="L97" s="207"/>
      <c r="M97" s="207"/>
      <c r="N97" s="207"/>
      <c r="O97" s="207"/>
      <c r="P97" s="207"/>
      <c r="Q97" s="207"/>
      <c r="R97" s="207"/>
      <c r="S97" s="207"/>
      <c r="T97" s="207"/>
      <c r="U97" s="207"/>
      <c r="V97" s="207"/>
      <c r="W97" s="207"/>
      <c r="X97" s="207"/>
    </row>
    <row r="98" spans="1:24" x14ac:dyDescent="0.25">
      <c r="A98" s="298"/>
      <c r="B98" s="211"/>
      <c r="C98" s="210"/>
      <c r="D98" s="207"/>
      <c r="E98" s="211"/>
      <c r="F98" s="207"/>
      <c r="G98" s="207"/>
      <c r="H98" s="207"/>
      <c r="I98" s="207"/>
      <c r="J98" s="207"/>
      <c r="K98" s="207"/>
      <c r="L98" s="207"/>
      <c r="M98" s="207"/>
      <c r="N98" s="207"/>
      <c r="O98" s="207"/>
      <c r="P98" s="207"/>
      <c r="Q98" s="207"/>
      <c r="R98" s="207"/>
      <c r="S98" s="207"/>
      <c r="T98" s="207"/>
      <c r="U98" s="207"/>
      <c r="V98" s="207"/>
      <c r="W98" s="207"/>
      <c r="X98" s="207"/>
    </row>
    <row r="99" spans="1:24" x14ac:dyDescent="0.25">
      <c r="A99" s="298"/>
      <c r="B99" s="211"/>
      <c r="C99" s="210"/>
      <c r="D99" s="207"/>
      <c r="E99" s="211"/>
      <c r="F99" s="207"/>
      <c r="G99" s="207"/>
      <c r="H99" s="207"/>
      <c r="I99" s="207"/>
      <c r="J99" s="207"/>
      <c r="K99" s="207"/>
      <c r="L99" s="207"/>
      <c r="M99" s="207"/>
      <c r="N99" s="207"/>
      <c r="O99" s="207"/>
      <c r="P99" s="207"/>
      <c r="Q99" s="207"/>
      <c r="R99" s="207"/>
      <c r="S99" s="207"/>
      <c r="T99" s="207"/>
      <c r="U99" s="207"/>
      <c r="V99" s="207"/>
      <c r="W99" s="207"/>
      <c r="X99" s="207"/>
    </row>
    <row r="100" spans="1:24" x14ac:dyDescent="0.25">
      <c r="A100" s="298"/>
      <c r="B100" s="211"/>
      <c r="C100" s="210"/>
      <c r="D100" s="207"/>
      <c r="E100" s="211"/>
      <c r="F100" s="207"/>
      <c r="G100" s="207"/>
      <c r="H100" s="207"/>
      <c r="I100" s="207"/>
      <c r="J100" s="207"/>
      <c r="K100" s="207"/>
      <c r="L100" s="207"/>
      <c r="M100" s="207"/>
      <c r="N100" s="207"/>
      <c r="O100" s="207"/>
      <c r="P100" s="207"/>
      <c r="Q100" s="207"/>
      <c r="R100" s="207"/>
      <c r="S100" s="207"/>
      <c r="T100" s="207"/>
      <c r="U100" s="207"/>
      <c r="V100" s="207"/>
      <c r="W100" s="207"/>
      <c r="X100" s="207"/>
    </row>
    <row r="101" spans="1:24" x14ac:dyDescent="0.25">
      <c r="A101" s="298"/>
      <c r="B101" s="211"/>
      <c r="C101" s="210"/>
      <c r="D101" s="207"/>
      <c r="E101" s="211"/>
      <c r="F101" s="207"/>
      <c r="G101" s="207"/>
      <c r="H101" s="207"/>
      <c r="I101" s="207"/>
      <c r="J101" s="207"/>
      <c r="K101" s="207"/>
      <c r="L101" s="207"/>
      <c r="M101" s="207"/>
      <c r="N101" s="207"/>
      <c r="O101" s="207"/>
      <c r="P101" s="207"/>
      <c r="Q101" s="207"/>
      <c r="R101" s="207"/>
      <c r="S101" s="207"/>
      <c r="T101" s="207"/>
      <c r="U101" s="207"/>
      <c r="V101" s="207"/>
      <c r="W101" s="207"/>
      <c r="X101" s="207"/>
    </row>
    <row r="102" spans="1:24" x14ac:dyDescent="0.25">
      <c r="A102" s="298"/>
      <c r="B102" s="211"/>
      <c r="C102" s="210"/>
      <c r="D102" s="207"/>
      <c r="E102" s="211"/>
      <c r="F102" s="207"/>
      <c r="G102" s="207"/>
      <c r="H102" s="207"/>
      <c r="I102" s="207"/>
      <c r="J102" s="207"/>
      <c r="K102" s="207"/>
      <c r="L102" s="207"/>
      <c r="M102" s="207"/>
      <c r="N102" s="207"/>
      <c r="O102" s="207"/>
      <c r="P102" s="207"/>
      <c r="Q102" s="207"/>
      <c r="R102" s="207"/>
      <c r="S102" s="207"/>
      <c r="T102" s="207"/>
      <c r="U102" s="207"/>
      <c r="V102" s="207"/>
      <c r="W102" s="207"/>
      <c r="X102" s="207"/>
    </row>
    <row r="103" spans="1:24" x14ac:dyDescent="0.25">
      <c r="A103" s="298"/>
      <c r="B103" s="211"/>
      <c r="C103" s="210"/>
      <c r="D103" s="207"/>
      <c r="E103" s="211"/>
      <c r="F103" s="207"/>
      <c r="G103" s="207"/>
      <c r="H103" s="207"/>
      <c r="I103" s="207"/>
      <c r="J103" s="207"/>
      <c r="K103" s="207"/>
      <c r="L103" s="207"/>
      <c r="M103" s="207"/>
      <c r="N103" s="207"/>
      <c r="O103" s="207"/>
      <c r="P103" s="207"/>
      <c r="Q103" s="207"/>
      <c r="R103" s="207"/>
      <c r="S103" s="207"/>
      <c r="T103" s="207"/>
      <c r="U103" s="207"/>
      <c r="V103" s="207"/>
      <c r="W103" s="207"/>
      <c r="X103" s="207"/>
    </row>
    <row r="104" spans="1:24" x14ac:dyDescent="0.25">
      <c r="A104" s="298"/>
      <c r="B104" s="211"/>
      <c r="C104" s="210"/>
      <c r="D104" s="207"/>
      <c r="E104" s="211"/>
      <c r="F104" s="207"/>
      <c r="G104" s="207"/>
      <c r="H104" s="207"/>
      <c r="I104" s="207"/>
      <c r="J104" s="207"/>
      <c r="K104" s="207"/>
      <c r="L104" s="207"/>
      <c r="M104" s="207"/>
      <c r="N104" s="207"/>
      <c r="O104" s="207"/>
      <c r="P104" s="207"/>
      <c r="Q104" s="207"/>
      <c r="R104" s="207"/>
      <c r="S104" s="207"/>
      <c r="T104" s="207"/>
      <c r="U104" s="207"/>
      <c r="V104" s="207"/>
      <c r="W104" s="207"/>
      <c r="X104" s="207"/>
    </row>
    <row r="105" spans="1:24" x14ac:dyDescent="0.25">
      <c r="A105" s="298"/>
      <c r="B105" s="211"/>
      <c r="C105" s="210"/>
      <c r="D105" s="207"/>
      <c r="E105" s="211"/>
      <c r="F105" s="207"/>
      <c r="G105" s="207"/>
      <c r="H105" s="207"/>
      <c r="I105" s="207"/>
      <c r="J105" s="207"/>
      <c r="K105" s="207"/>
      <c r="L105" s="207"/>
      <c r="M105" s="207"/>
      <c r="N105" s="207"/>
      <c r="O105" s="207"/>
      <c r="P105" s="207"/>
      <c r="Q105" s="207"/>
      <c r="R105" s="207"/>
      <c r="S105" s="207"/>
      <c r="T105" s="207"/>
      <c r="U105" s="207"/>
      <c r="V105" s="207"/>
      <c r="W105" s="207"/>
      <c r="X105" s="207"/>
    </row>
    <row r="106" spans="1:24" x14ac:dyDescent="0.25">
      <c r="A106" s="298"/>
      <c r="B106" s="211"/>
      <c r="C106" s="210"/>
      <c r="D106" s="207"/>
      <c r="E106" s="211"/>
      <c r="F106" s="207"/>
      <c r="G106" s="207"/>
      <c r="H106" s="207"/>
      <c r="I106" s="207"/>
      <c r="J106" s="207"/>
      <c r="K106" s="207"/>
      <c r="L106" s="207"/>
      <c r="M106" s="207"/>
      <c r="N106" s="207"/>
      <c r="O106" s="207"/>
      <c r="P106" s="207"/>
      <c r="Q106" s="207"/>
      <c r="R106" s="207"/>
      <c r="S106" s="207"/>
      <c r="T106" s="207"/>
      <c r="U106" s="207"/>
      <c r="V106" s="207"/>
      <c r="W106" s="207"/>
      <c r="X106" s="207"/>
    </row>
    <row r="107" spans="1:24" x14ac:dyDescent="0.25">
      <c r="A107" s="298"/>
      <c r="B107" s="211"/>
      <c r="C107" s="210"/>
      <c r="D107" s="207"/>
      <c r="E107" s="211"/>
      <c r="F107" s="207"/>
      <c r="G107" s="207"/>
      <c r="H107" s="207"/>
      <c r="I107" s="207"/>
      <c r="J107" s="207"/>
      <c r="K107" s="207"/>
      <c r="L107" s="207"/>
      <c r="M107" s="207"/>
      <c r="N107" s="207"/>
      <c r="O107" s="207"/>
      <c r="P107" s="207"/>
      <c r="Q107" s="207"/>
      <c r="R107" s="207"/>
      <c r="S107" s="207"/>
      <c r="T107" s="207"/>
      <c r="U107" s="207"/>
      <c r="V107" s="207"/>
      <c r="W107" s="207"/>
      <c r="X107" s="207"/>
    </row>
    <row r="108" spans="1:24" x14ac:dyDescent="0.25">
      <c r="A108" s="298"/>
      <c r="B108" s="211"/>
      <c r="C108" s="210"/>
      <c r="D108" s="207"/>
      <c r="E108" s="211"/>
      <c r="F108" s="207"/>
      <c r="G108" s="207"/>
      <c r="H108" s="207"/>
      <c r="I108" s="207"/>
      <c r="J108" s="207"/>
      <c r="K108" s="207"/>
      <c r="L108" s="207"/>
      <c r="M108" s="207"/>
      <c r="N108" s="207"/>
      <c r="O108" s="207"/>
      <c r="P108" s="207"/>
      <c r="Q108" s="207"/>
      <c r="R108" s="207"/>
      <c r="S108" s="207"/>
      <c r="T108" s="207"/>
      <c r="U108" s="207"/>
      <c r="V108" s="207"/>
      <c r="W108" s="207"/>
      <c r="X108" s="207"/>
    </row>
    <row r="109" spans="1:24" x14ac:dyDescent="0.25">
      <c r="A109" s="298"/>
      <c r="B109" s="211"/>
      <c r="C109" s="210"/>
      <c r="D109" s="207"/>
      <c r="E109" s="211"/>
      <c r="F109" s="207"/>
      <c r="G109" s="207"/>
      <c r="H109" s="207"/>
      <c r="I109" s="207"/>
      <c r="J109" s="207"/>
      <c r="K109" s="207"/>
      <c r="L109" s="207"/>
      <c r="M109" s="207"/>
      <c r="N109" s="207"/>
      <c r="O109" s="207"/>
      <c r="P109" s="207"/>
      <c r="Q109" s="207"/>
      <c r="R109" s="207"/>
      <c r="S109" s="207"/>
      <c r="T109" s="207"/>
      <c r="U109" s="207"/>
      <c r="V109" s="207"/>
      <c r="W109" s="207"/>
      <c r="X109" s="207"/>
    </row>
  </sheetData>
  <dataConsolidate/>
  <mergeCells count="18">
    <mergeCell ref="G23:G24"/>
    <mergeCell ref="A21:A24"/>
    <mergeCell ref="B23:B24"/>
    <mergeCell ref="C23:C24"/>
    <mergeCell ref="D23:D24"/>
    <mergeCell ref="E23:E24"/>
    <mergeCell ref="A1:G1"/>
    <mergeCell ref="A8:A9"/>
    <mergeCell ref="A12:A13"/>
    <mergeCell ref="A14:A20"/>
    <mergeCell ref="A3:G4"/>
    <mergeCell ref="G14:G18"/>
    <mergeCell ref="A25:A27"/>
    <mergeCell ref="A28:A29"/>
    <mergeCell ref="A30:A31"/>
    <mergeCell ref="A33:A34"/>
    <mergeCell ref="A38:A39"/>
    <mergeCell ref="A35:A37"/>
  </mergeCells>
  <pageMargins left="0.25" right="0.25" top="0.75" bottom="0.75" header="0.3" footer="0.3"/>
  <pageSetup scale="54" fitToHeight="0" orientation="landscape" r:id="rId1"/>
  <headerFooter>
    <oddFooter>&amp;C&amp;"Century Gothic,Regular"&amp;8Page &amp;P of &amp;N</oddFooter>
  </headerFooter>
  <rowBreaks count="2" manualBreakCount="2">
    <brk id="20" max="6" man="1"/>
    <brk id="24" max="6" man="1"/>
  </rowBreaks>
  <colBreaks count="1" manualBreakCount="1">
    <brk id="5" max="33" man="1"/>
  </col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F2B6D-31FD-4D31-9909-7C2BE4F85985}">
  <sheetPr codeName="Sheet30">
    <pageSetUpPr fitToPage="1"/>
  </sheetPr>
  <dimension ref="A1:S152"/>
  <sheetViews>
    <sheetView zoomScale="80" zoomScaleNormal="80" zoomScaleSheetLayoutView="80" workbookViewId="0">
      <pane xSplit="3" ySplit="7" topLeftCell="D8" activePane="bottomRight" state="frozen"/>
      <selection activeCell="H5" sqref="H5"/>
      <selection pane="topRight" activeCell="H5" sqref="H5"/>
      <selection pane="bottomLeft" activeCell="H5" sqref="H5"/>
      <selection pane="bottomRight" activeCell="L12" sqref="L12"/>
    </sheetView>
  </sheetViews>
  <sheetFormatPr baseColWidth="10" defaultColWidth="9.140625" defaultRowHeight="13.5" x14ac:dyDescent="0.25"/>
  <cols>
    <col min="1" max="1" width="25.42578125" style="299" bestFit="1" customWidth="1"/>
    <col min="2" max="2" width="30.5703125" style="253" customWidth="1"/>
    <col min="3" max="3" width="17.5703125" style="252" customWidth="1"/>
    <col min="4" max="4" width="42" style="208" bestFit="1" customWidth="1"/>
    <col min="5" max="5" width="60.140625" style="271" customWidth="1"/>
    <col min="6" max="6" width="47.85546875" style="251" customWidth="1"/>
    <col min="7" max="7" width="30.28515625" style="208" customWidth="1"/>
    <col min="8" max="16384" width="9.140625" style="208"/>
  </cols>
  <sheetData>
    <row r="1" spans="1:19" ht="15" customHeight="1" x14ac:dyDescent="0.25">
      <c r="A1" s="1117" t="s">
        <v>366</v>
      </c>
      <c r="B1" s="1118"/>
      <c r="C1" s="1118"/>
      <c r="D1" s="1118"/>
      <c r="E1" s="1118"/>
      <c r="F1" s="1118"/>
      <c r="G1" s="1118"/>
      <c r="H1" s="207"/>
      <c r="I1" s="207"/>
      <c r="J1" s="207"/>
      <c r="K1" s="207"/>
      <c r="L1" s="207"/>
      <c r="M1" s="207"/>
      <c r="N1" s="207"/>
      <c r="O1" s="207"/>
      <c r="P1" s="207"/>
      <c r="Q1" s="207"/>
      <c r="R1" s="207"/>
      <c r="S1" s="207"/>
    </row>
    <row r="2" spans="1:19" s="7" customFormat="1" ht="5.0999999999999996" customHeight="1" x14ac:dyDescent="0.3">
      <c r="A2" s="985"/>
      <c r="B2" s="986"/>
      <c r="C2" s="258"/>
      <c r="D2" s="258"/>
      <c r="E2" s="258"/>
      <c r="F2" s="258"/>
      <c r="G2" s="258"/>
      <c r="H2" s="207"/>
      <c r="I2" s="207"/>
      <c r="J2" s="207"/>
      <c r="K2" s="207"/>
      <c r="L2" s="207"/>
      <c r="M2" s="207"/>
      <c r="N2" s="207"/>
      <c r="O2" s="207"/>
      <c r="P2" s="207"/>
      <c r="Q2" s="207"/>
      <c r="R2" s="207"/>
      <c r="S2" s="207"/>
    </row>
    <row r="3" spans="1:19" ht="10.9" customHeight="1" x14ac:dyDescent="0.25">
      <c r="A3" s="1109" t="s">
        <v>1029</v>
      </c>
      <c r="B3" s="1110"/>
      <c r="C3" s="1110"/>
      <c r="D3" s="1110"/>
      <c r="E3" s="1110"/>
      <c r="F3" s="1110"/>
      <c r="G3" s="1110"/>
    </row>
    <row r="4" spans="1:19" x14ac:dyDescent="0.25">
      <c r="A4" s="1111"/>
      <c r="B4" s="1112"/>
      <c r="C4" s="1112"/>
      <c r="D4" s="1112"/>
      <c r="E4" s="1112"/>
      <c r="F4" s="1112"/>
      <c r="G4" s="1112"/>
    </row>
    <row r="5" spans="1:19" x14ac:dyDescent="0.25">
      <c r="A5" s="1111"/>
      <c r="B5" s="1112"/>
      <c r="C5" s="1112"/>
      <c r="D5" s="1112"/>
      <c r="E5" s="1112"/>
      <c r="F5" s="1112"/>
      <c r="G5" s="1112"/>
    </row>
    <row r="6" spans="1:19" x14ac:dyDescent="0.25">
      <c r="A6" s="1113"/>
      <c r="B6" s="1114"/>
      <c r="C6" s="1114"/>
      <c r="D6" s="1114"/>
      <c r="E6" s="1114"/>
      <c r="F6" s="1114"/>
      <c r="G6" s="1114"/>
    </row>
    <row r="7" spans="1:19" ht="26.25" thickBot="1" x14ac:dyDescent="0.3">
      <c r="A7" s="259" t="s">
        <v>367</v>
      </c>
      <c r="B7" s="301" t="s">
        <v>368</v>
      </c>
      <c r="C7" s="987" t="s">
        <v>369</v>
      </c>
      <c r="D7" s="987" t="s">
        <v>370</v>
      </c>
      <c r="E7" s="988" t="s">
        <v>1030</v>
      </c>
      <c r="F7" s="988" t="s">
        <v>1031</v>
      </c>
      <c r="G7" s="989" t="s">
        <v>371</v>
      </c>
      <c r="H7" s="207"/>
      <c r="I7" s="207"/>
      <c r="J7" s="207"/>
      <c r="K7" s="207"/>
      <c r="L7" s="207"/>
      <c r="M7" s="207"/>
      <c r="N7" s="207"/>
      <c r="O7" s="207"/>
      <c r="P7" s="207"/>
      <c r="Q7" s="207"/>
      <c r="R7" s="207"/>
      <c r="S7" s="207"/>
    </row>
    <row r="8" spans="1:19" ht="149.25" thickBot="1" x14ac:dyDescent="0.3">
      <c r="A8" s="1115" t="s">
        <v>1032</v>
      </c>
      <c r="B8" s="1116"/>
      <c r="C8" s="956" t="s">
        <v>1033</v>
      </c>
      <c r="D8" s="957" t="s">
        <v>1034</v>
      </c>
      <c r="E8" s="957" t="s">
        <v>1035</v>
      </c>
      <c r="F8" s="958"/>
      <c r="G8" s="959"/>
      <c r="H8" s="207"/>
      <c r="I8" s="207"/>
      <c r="J8" s="207"/>
      <c r="K8" s="207"/>
      <c r="L8" s="207"/>
      <c r="M8" s="207"/>
      <c r="N8" s="207"/>
      <c r="O8" s="207"/>
      <c r="P8" s="207"/>
      <c r="Q8" s="207"/>
      <c r="R8" s="207"/>
      <c r="S8" s="207"/>
    </row>
    <row r="9" spans="1:19" ht="41.25" thickBot="1" x14ac:dyDescent="0.3">
      <c r="A9" s="1115" t="s">
        <v>1032</v>
      </c>
      <c r="B9" s="1116"/>
      <c r="C9" s="956" t="s">
        <v>1036</v>
      </c>
      <c r="D9" s="957" t="s">
        <v>1037</v>
      </c>
      <c r="E9" s="960" t="s">
        <v>1038</v>
      </c>
      <c r="F9" s="958"/>
      <c r="G9" s="959"/>
      <c r="H9" s="207"/>
      <c r="I9" s="207"/>
      <c r="J9" s="207"/>
      <c r="K9" s="207"/>
      <c r="L9" s="207"/>
      <c r="M9" s="207"/>
      <c r="N9" s="207"/>
      <c r="O9" s="207"/>
      <c r="P9" s="207"/>
      <c r="Q9" s="207"/>
      <c r="R9" s="207"/>
      <c r="S9" s="207"/>
    </row>
    <row r="10" spans="1:19" ht="138" customHeight="1" thickBot="1" x14ac:dyDescent="0.3">
      <c r="A10" s="1115" t="s">
        <v>1032</v>
      </c>
      <c r="B10" s="1116"/>
      <c r="C10" s="956" t="s">
        <v>1039</v>
      </c>
      <c r="D10" s="957" t="s">
        <v>1040</v>
      </c>
      <c r="E10" s="957" t="s">
        <v>1295</v>
      </c>
      <c r="F10" s="958"/>
      <c r="G10" s="959"/>
      <c r="H10" s="207"/>
      <c r="I10" s="207"/>
      <c r="J10" s="207"/>
      <c r="K10" s="207"/>
      <c r="L10" s="207"/>
      <c r="M10" s="207"/>
      <c r="N10" s="207"/>
      <c r="O10" s="207"/>
      <c r="P10" s="207"/>
      <c r="Q10" s="207"/>
      <c r="R10" s="207"/>
      <c r="S10" s="207"/>
    </row>
    <row r="11" spans="1:19" ht="108.75" thickBot="1" x14ac:dyDescent="0.3">
      <c r="A11" s="1115" t="s">
        <v>1032</v>
      </c>
      <c r="B11" s="1116"/>
      <c r="C11" s="956" t="s">
        <v>1041</v>
      </c>
      <c r="D11" s="957" t="s">
        <v>392</v>
      </c>
      <c r="E11" s="253" t="s">
        <v>1042</v>
      </c>
      <c r="F11" s="957"/>
      <c r="G11" s="959"/>
      <c r="H11" s="207"/>
      <c r="I11" s="207"/>
      <c r="J11" s="207"/>
      <c r="K11" s="207"/>
      <c r="L11" s="207"/>
      <c r="M11" s="207"/>
      <c r="N11" s="207"/>
      <c r="O11" s="207"/>
      <c r="P11" s="207"/>
      <c r="Q11" s="207"/>
      <c r="R11" s="207"/>
      <c r="S11" s="207"/>
    </row>
    <row r="12" spans="1:19" ht="203.25" thickBot="1" x14ac:dyDescent="0.3">
      <c r="A12" s="1115" t="s">
        <v>1032</v>
      </c>
      <c r="B12" s="1116"/>
      <c r="C12" s="956" t="s">
        <v>1043</v>
      </c>
      <c r="D12" s="957" t="s">
        <v>393</v>
      </c>
      <c r="E12" s="961" t="s">
        <v>1044</v>
      </c>
      <c r="F12" s="957"/>
      <c r="G12" s="959"/>
      <c r="H12" s="207"/>
      <c r="I12" s="207"/>
      <c r="J12" s="207"/>
      <c r="K12" s="207"/>
      <c r="L12" s="207"/>
      <c r="M12" s="207"/>
      <c r="N12" s="207"/>
      <c r="O12" s="207"/>
      <c r="P12" s="207"/>
      <c r="Q12" s="207"/>
      <c r="R12" s="207"/>
      <c r="S12" s="207"/>
    </row>
    <row r="13" spans="1:19" ht="389.25" customHeight="1" thickBot="1" x14ac:dyDescent="0.3">
      <c r="A13" s="1115" t="s">
        <v>1032</v>
      </c>
      <c r="B13" s="1116"/>
      <c r="C13" s="962" t="s">
        <v>1045</v>
      </c>
      <c r="D13" s="963" t="s">
        <v>1046</v>
      </c>
      <c r="E13" s="964" t="s">
        <v>1047</v>
      </c>
      <c r="F13" s="964"/>
      <c r="G13" s="964" t="s">
        <v>372</v>
      </c>
      <c r="H13" s="207"/>
      <c r="I13" s="207"/>
      <c r="J13" s="207"/>
      <c r="K13" s="207"/>
      <c r="L13" s="207"/>
      <c r="M13" s="207"/>
      <c r="N13" s="207"/>
      <c r="O13" s="207"/>
      <c r="P13" s="207"/>
      <c r="Q13" s="207"/>
      <c r="R13" s="207"/>
      <c r="S13" s="207"/>
    </row>
    <row r="14" spans="1:19" ht="245.45" customHeight="1" thickBot="1" x14ac:dyDescent="0.3">
      <c r="A14" s="1115" t="s">
        <v>1032</v>
      </c>
      <c r="B14" s="1116"/>
      <c r="C14" s="962" t="s">
        <v>1048</v>
      </c>
      <c r="D14" s="957" t="s">
        <v>952</v>
      </c>
      <c r="E14" s="964" t="s">
        <v>1049</v>
      </c>
      <c r="F14" s="965" t="s">
        <v>1050</v>
      </c>
      <c r="G14" s="964" t="s">
        <v>373</v>
      </c>
      <c r="H14" s="207"/>
      <c r="I14" s="207"/>
      <c r="J14" s="207"/>
      <c r="K14" s="207"/>
      <c r="L14" s="207"/>
      <c r="M14" s="207"/>
      <c r="N14" s="207"/>
      <c r="O14" s="207"/>
      <c r="P14" s="207"/>
      <c r="Q14" s="207"/>
      <c r="R14" s="207"/>
      <c r="S14" s="207"/>
    </row>
    <row r="15" spans="1:19" ht="68.25" thickBot="1" x14ac:dyDescent="0.3">
      <c r="A15" s="1115" t="s">
        <v>1032</v>
      </c>
      <c r="B15" s="1116"/>
      <c r="C15" s="962" t="s">
        <v>1051</v>
      </c>
      <c r="D15" s="957" t="s">
        <v>1052</v>
      </c>
      <c r="E15" s="960" t="s">
        <v>1049</v>
      </c>
      <c r="F15" s="965" t="s">
        <v>1053</v>
      </c>
      <c r="G15" s="964" t="s">
        <v>373</v>
      </c>
      <c r="H15" s="207"/>
      <c r="I15" s="207"/>
      <c r="J15" s="207"/>
      <c r="K15" s="207"/>
      <c r="L15" s="207"/>
      <c r="M15" s="207"/>
      <c r="N15" s="207"/>
      <c r="O15" s="207"/>
      <c r="P15" s="207"/>
      <c r="Q15" s="207"/>
      <c r="R15" s="207"/>
      <c r="S15" s="207"/>
    </row>
    <row r="16" spans="1:19" ht="95.25" thickBot="1" x14ac:dyDescent="0.3">
      <c r="A16" s="1115" t="s">
        <v>1032</v>
      </c>
      <c r="B16" s="1116"/>
      <c r="C16" s="966" t="s">
        <v>1054</v>
      </c>
      <c r="D16" s="957" t="s">
        <v>1055</v>
      </c>
      <c r="E16" s="960" t="s">
        <v>1056</v>
      </c>
      <c r="F16" s="964"/>
      <c r="G16" s="964" t="s">
        <v>380</v>
      </c>
      <c r="H16" s="207"/>
      <c r="I16" s="207"/>
      <c r="J16" s="207"/>
      <c r="K16" s="207"/>
      <c r="L16" s="207"/>
      <c r="M16" s="207"/>
      <c r="N16" s="207"/>
      <c r="O16" s="207"/>
      <c r="P16" s="207"/>
      <c r="Q16" s="207"/>
      <c r="R16" s="207"/>
      <c r="S16" s="207"/>
    </row>
    <row r="17" spans="1:19" ht="41.25" thickBot="1" x14ac:dyDescent="0.3">
      <c r="A17" s="1115" t="s">
        <v>1032</v>
      </c>
      <c r="B17" s="1116"/>
      <c r="C17" s="966" t="s">
        <v>1057</v>
      </c>
      <c r="D17" s="957" t="s">
        <v>382</v>
      </c>
      <c r="E17" s="964" t="s">
        <v>1058</v>
      </c>
      <c r="F17" s="964"/>
      <c r="G17" s="964" t="s">
        <v>380</v>
      </c>
      <c r="H17" s="207"/>
      <c r="I17" s="207"/>
      <c r="J17" s="207"/>
      <c r="K17" s="207"/>
      <c r="L17" s="207"/>
      <c r="M17" s="207"/>
      <c r="N17" s="207"/>
      <c r="O17" s="207"/>
      <c r="P17" s="207"/>
      <c r="Q17" s="207"/>
      <c r="R17" s="207"/>
      <c r="S17" s="207"/>
    </row>
    <row r="18" spans="1:19" ht="54.75" thickBot="1" x14ac:dyDescent="0.3">
      <c r="A18" s="1115" t="s">
        <v>1032</v>
      </c>
      <c r="B18" s="1116"/>
      <c r="C18" s="966" t="s">
        <v>1059</v>
      </c>
      <c r="D18" s="957" t="s">
        <v>381</v>
      </c>
      <c r="E18" s="964" t="s">
        <v>1060</v>
      </c>
      <c r="F18" s="964"/>
      <c r="G18" s="965" t="s">
        <v>377</v>
      </c>
      <c r="H18" s="207"/>
      <c r="I18" s="207"/>
      <c r="J18" s="207"/>
      <c r="K18" s="207"/>
      <c r="L18" s="207"/>
      <c r="M18" s="207"/>
      <c r="N18" s="207"/>
      <c r="O18" s="207"/>
      <c r="P18" s="207"/>
      <c r="Q18" s="207"/>
      <c r="R18" s="207"/>
      <c r="S18" s="207"/>
    </row>
    <row r="19" spans="1:19" ht="135.75" thickBot="1" x14ac:dyDescent="0.3">
      <c r="A19" s="1115" t="s">
        <v>1032</v>
      </c>
      <c r="B19" s="1116"/>
      <c r="C19" s="966" t="s">
        <v>1061</v>
      </c>
      <c r="D19" s="957" t="s">
        <v>1062</v>
      </c>
      <c r="E19" s="964" t="s">
        <v>1063</v>
      </c>
      <c r="F19" s="965"/>
      <c r="G19" s="964" t="s">
        <v>379</v>
      </c>
      <c r="H19" s="207"/>
      <c r="I19" s="207"/>
      <c r="J19" s="207"/>
      <c r="K19" s="207"/>
      <c r="L19" s="207"/>
      <c r="M19" s="207"/>
      <c r="N19" s="207"/>
      <c r="O19" s="207"/>
      <c r="P19" s="207"/>
      <c r="Q19" s="207"/>
      <c r="R19" s="207"/>
      <c r="S19" s="207"/>
    </row>
    <row r="20" spans="1:19" ht="102" customHeight="1" thickBot="1" x14ac:dyDescent="0.3">
      <c r="A20" s="1115" t="s">
        <v>1032</v>
      </c>
      <c r="B20" s="1116"/>
      <c r="C20" s="966" t="s">
        <v>1064</v>
      </c>
      <c r="D20" s="957" t="s">
        <v>1065</v>
      </c>
      <c r="E20" s="964" t="s">
        <v>378</v>
      </c>
      <c r="F20" s="964"/>
      <c r="G20" s="959"/>
      <c r="H20" s="207"/>
      <c r="I20" s="207"/>
      <c r="J20" s="207"/>
      <c r="K20" s="207"/>
      <c r="L20" s="207"/>
      <c r="M20" s="207"/>
      <c r="N20" s="207"/>
      <c r="O20" s="207"/>
      <c r="P20" s="207"/>
      <c r="Q20" s="207"/>
      <c r="R20" s="207"/>
      <c r="S20" s="207"/>
    </row>
    <row r="21" spans="1:19" ht="339" customHeight="1" thickBot="1" x14ac:dyDescent="0.3">
      <c r="A21" s="1115" t="s">
        <v>1032</v>
      </c>
      <c r="B21" s="1116"/>
      <c r="C21" s="962" t="s">
        <v>1066</v>
      </c>
      <c r="D21" s="957" t="s">
        <v>386</v>
      </c>
      <c r="E21" s="964" t="s">
        <v>1067</v>
      </c>
      <c r="F21" s="964"/>
      <c r="G21" s="959"/>
      <c r="H21" s="207"/>
      <c r="I21" s="207"/>
      <c r="J21" s="207"/>
      <c r="K21" s="207"/>
      <c r="L21" s="207"/>
      <c r="M21" s="207"/>
      <c r="N21" s="207"/>
      <c r="O21" s="207"/>
      <c r="P21" s="207"/>
      <c r="Q21" s="207"/>
      <c r="R21" s="207"/>
      <c r="S21" s="207"/>
    </row>
    <row r="22" spans="1:19" ht="165" customHeight="1" thickBot="1" x14ac:dyDescent="0.3">
      <c r="A22" s="1115" t="s">
        <v>1032</v>
      </c>
      <c r="B22" s="1116"/>
      <c r="C22" s="962" t="s">
        <v>1068</v>
      </c>
      <c r="D22" s="957" t="s">
        <v>383</v>
      </c>
      <c r="E22" s="964" t="s">
        <v>1069</v>
      </c>
      <c r="F22" s="964"/>
      <c r="G22" s="964" t="s">
        <v>377</v>
      </c>
      <c r="H22" s="207"/>
      <c r="I22" s="207"/>
      <c r="J22" s="207"/>
      <c r="K22" s="207"/>
      <c r="L22" s="207"/>
      <c r="M22" s="207"/>
      <c r="N22" s="207"/>
      <c r="O22" s="207"/>
      <c r="P22" s="207"/>
      <c r="Q22" s="207"/>
      <c r="R22" s="207"/>
      <c r="S22" s="207"/>
    </row>
    <row r="23" spans="1:19" ht="165" customHeight="1" thickBot="1" x14ac:dyDescent="0.3">
      <c r="A23" s="1115" t="s">
        <v>1032</v>
      </c>
      <c r="B23" s="1116"/>
      <c r="C23" s="962" t="s">
        <v>1070</v>
      </c>
      <c r="D23" s="957" t="s">
        <v>387</v>
      </c>
      <c r="E23" s="964" t="s">
        <v>1071</v>
      </c>
      <c r="F23" s="965" t="s">
        <v>1072</v>
      </c>
      <c r="G23" s="959"/>
      <c r="H23" s="207"/>
      <c r="I23" s="207"/>
      <c r="J23" s="207"/>
      <c r="K23" s="207"/>
      <c r="L23" s="207"/>
      <c r="M23" s="207"/>
      <c r="N23" s="207"/>
      <c r="O23" s="207"/>
      <c r="P23" s="207"/>
      <c r="Q23" s="207"/>
      <c r="R23" s="207"/>
      <c r="S23" s="207"/>
    </row>
    <row r="24" spans="1:19" ht="72.75" customHeight="1" thickBot="1" x14ac:dyDescent="0.3">
      <c r="A24" s="1115" t="s">
        <v>1032</v>
      </c>
      <c r="B24" s="1116"/>
      <c r="C24" s="962" t="s">
        <v>1073</v>
      </c>
      <c r="D24" s="957" t="s">
        <v>384</v>
      </c>
      <c r="E24" s="964" t="s">
        <v>1074</v>
      </c>
      <c r="F24" s="967"/>
      <c r="G24" s="959"/>
      <c r="H24" s="207"/>
      <c r="I24" s="207"/>
      <c r="J24" s="207"/>
      <c r="K24" s="207"/>
      <c r="L24" s="207"/>
      <c r="M24" s="207"/>
      <c r="N24" s="207"/>
      <c r="O24" s="207"/>
      <c r="P24" s="207"/>
      <c r="Q24" s="207"/>
      <c r="R24" s="207"/>
      <c r="S24" s="207"/>
    </row>
    <row r="25" spans="1:19" ht="84.75" customHeight="1" thickBot="1" x14ac:dyDescent="0.3">
      <c r="A25" s="1115" t="s">
        <v>1032</v>
      </c>
      <c r="B25" s="1116"/>
      <c r="C25" s="962" t="s">
        <v>1075</v>
      </c>
      <c r="D25" s="963" t="s">
        <v>385</v>
      </c>
      <c r="E25" s="965" t="s">
        <v>1076</v>
      </c>
      <c r="F25" s="967"/>
      <c r="G25" s="959"/>
      <c r="H25" s="207"/>
      <c r="I25" s="207"/>
      <c r="J25" s="207"/>
      <c r="K25" s="207"/>
      <c r="L25" s="207"/>
      <c r="M25" s="207"/>
      <c r="N25" s="207"/>
      <c r="O25" s="207"/>
      <c r="P25" s="207"/>
      <c r="Q25" s="207"/>
      <c r="R25" s="207"/>
      <c r="S25" s="207"/>
    </row>
    <row r="26" spans="1:19" ht="72.75" customHeight="1" thickBot="1" x14ac:dyDescent="0.3">
      <c r="A26" s="1115" t="s">
        <v>1032</v>
      </c>
      <c r="B26" s="1116"/>
      <c r="C26" s="962" t="s">
        <v>1077</v>
      </c>
      <c r="D26" s="957" t="s">
        <v>388</v>
      </c>
      <c r="E26" s="964" t="s">
        <v>1078</v>
      </c>
      <c r="F26" s="967"/>
      <c r="G26" s="959"/>
      <c r="H26" s="207"/>
      <c r="I26" s="207"/>
      <c r="J26" s="207"/>
      <c r="K26" s="207"/>
      <c r="L26" s="207"/>
      <c r="M26" s="207"/>
      <c r="N26" s="207"/>
      <c r="O26" s="207"/>
      <c r="P26" s="207"/>
      <c r="Q26" s="207"/>
      <c r="R26" s="207"/>
      <c r="S26" s="207"/>
    </row>
    <row r="27" spans="1:19" ht="231" customHeight="1" thickBot="1" x14ac:dyDescent="0.3">
      <c r="A27" s="1115" t="s">
        <v>1032</v>
      </c>
      <c r="B27" s="1116"/>
      <c r="C27" s="962" t="s">
        <v>1079</v>
      </c>
      <c r="D27" s="957" t="s">
        <v>389</v>
      </c>
      <c r="E27" s="964" t="s">
        <v>1080</v>
      </c>
      <c r="F27" s="967"/>
      <c r="G27" s="959"/>
      <c r="H27" s="207"/>
      <c r="I27" s="207"/>
      <c r="J27" s="207"/>
      <c r="K27" s="207"/>
      <c r="L27" s="207"/>
      <c r="M27" s="207"/>
      <c r="N27" s="207"/>
      <c r="O27" s="207"/>
      <c r="P27" s="207"/>
      <c r="Q27" s="207"/>
      <c r="R27" s="207"/>
      <c r="S27" s="207"/>
    </row>
    <row r="28" spans="1:19" ht="161.25" customHeight="1" thickBot="1" x14ac:dyDescent="0.3">
      <c r="A28" s="1115" t="s">
        <v>1032</v>
      </c>
      <c r="B28" s="1116"/>
      <c r="C28" s="962" t="s">
        <v>1081</v>
      </c>
      <c r="D28" s="957" t="s">
        <v>1082</v>
      </c>
      <c r="E28" s="964" t="s">
        <v>1083</v>
      </c>
      <c r="F28" s="965" t="s">
        <v>1084</v>
      </c>
      <c r="G28" s="959"/>
      <c r="H28" s="207"/>
      <c r="I28" s="207"/>
      <c r="J28" s="207"/>
      <c r="K28" s="207"/>
      <c r="L28" s="207"/>
      <c r="M28" s="207"/>
      <c r="N28" s="207"/>
      <c r="O28" s="207"/>
      <c r="P28" s="207"/>
      <c r="Q28" s="207"/>
      <c r="R28" s="207"/>
      <c r="S28" s="207"/>
    </row>
    <row r="29" spans="1:19" ht="35.25" customHeight="1" thickBot="1" x14ac:dyDescent="0.3">
      <c r="A29" s="1115" t="s">
        <v>1032</v>
      </c>
      <c r="B29" s="1116"/>
      <c r="C29" s="968" t="s">
        <v>1085</v>
      </c>
      <c r="D29" s="957" t="s">
        <v>1086</v>
      </c>
      <c r="E29" s="964" t="s">
        <v>1087</v>
      </c>
      <c r="F29" s="967"/>
      <c r="G29" s="959"/>
      <c r="H29" s="207"/>
      <c r="I29" s="207"/>
      <c r="J29" s="207"/>
      <c r="K29" s="207"/>
      <c r="L29" s="207"/>
      <c r="M29" s="207"/>
      <c r="N29" s="207"/>
      <c r="O29" s="207"/>
      <c r="P29" s="207"/>
      <c r="Q29" s="207"/>
      <c r="R29" s="207"/>
      <c r="S29" s="207"/>
    </row>
    <row r="30" spans="1:19" ht="243.75" customHeight="1" thickBot="1" x14ac:dyDescent="0.3">
      <c r="A30" s="1115" t="s">
        <v>1032</v>
      </c>
      <c r="B30" s="1116"/>
      <c r="C30" s="962" t="s">
        <v>1088</v>
      </c>
      <c r="D30" s="957" t="s">
        <v>1089</v>
      </c>
      <c r="E30" s="964" t="s">
        <v>1090</v>
      </c>
      <c r="F30" s="965" t="s">
        <v>1091</v>
      </c>
      <c r="G30" s="964" t="s">
        <v>377</v>
      </c>
      <c r="H30" s="207"/>
      <c r="I30" s="207"/>
      <c r="J30" s="207"/>
      <c r="K30" s="207"/>
      <c r="L30" s="207"/>
      <c r="M30" s="207"/>
      <c r="N30" s="207"/>
      <c r="O30" s="207"/>
      <c r="P30" s="207"/>
      <c r="Q30" s="207"/>
      <c r="R30" s="207"/>
      <c r="S30" s="207"/>
    </row>
    <row r="31" spans="1:19" ht="102.75" customHeight="1" thickBot="1" x14ac:dyDescent="0.3">
      <c r="A31" s="1115" t="s">
        <v>1032</v>
      </c>
      <c r="B31" s="1116"/>
      <c r="C31" s="962" t="s">
        <v>1092</v>
      </c>
      <c r="D31" s="969" t="s">
        <v>1093</v>
      </c>
      <c r="E31" s="969" t="s">
        <v>1094</v>
      </c>
      <c r="F31" s="964"/>
      <c r="G31" s="959"/>
      <c r="H31" s="207"/>
      <c r="I31" s="207"/>
      <c r="J31" s="207"/>
      <c r="K31" s="207"/>
      <c r="L31" s="207"/>
      <c r="M31" s="207"/>
      <c r="N31" s="207"/>
      <c r="O31" s="207"/>
      <c r="P31" s="207"/>
      <c r="Q31" s="207"/>
      <c r="R31" s="207"/>
      <c r="S31" s="207"/>
    </row>
    <row r="32" spans="1:19" ht="213" customHeight="1" thickBot="1" x14ac:dyDescent="0.3">
      <c r="A32" s="1115" t="s">
        <v>1032</v>
      </c>
      <c r="B32" s="1116"/>
      <c r="C32" s="962" t="s">
        <v>1095</v>
      </c>
      <c r="D32" s="970" t="s">
        <v>1096</v>
      </c>
      <c r="E32" s="960" t="s">
        <v>1097</v>
      </c>
      <c r="F32" s="965"/>
      <c r="G32" s="959"/>
      <c r="H32" s="207"/>
      <c r="I32" s="207"/>
      <c r="J32" s="207"/>
      <c r="K32" s="207"/>
      <c r="L32" s="207"/>
      <c r="M32" s="207"/>
      <c r="N32" s="207"/>
      <c r="O32" s="207"/>
      <c r="P32" s="207"/>
      <c r="Q32" s="207"/>
      <c r="R32" s="207"/>
      <c r="S32" s="207"/>
    </row>
    <row r="33" spans="1:19" ht="50.25" customHeight="1" thickBot="1" x14ac:dyDescent="0.3">
      <c r="A33" s="1115" t="s">
        <v>1032</v>
      </c>
      <c r="B33" s="1116"/>
      <c r="C33" s="962" t="s">
        <v>1098</v>
      </c>
      <c r="D33" s="970" t="s">
        <v>1099</v>
      </c>
      <c r="E33" s="960" t="s">
        <v>1100</v>
      </c>
      <c r="F33" s="965"/>
      <c r="G33" s="964" t="s">
        <v>377</v>
      </c>
      <c r="H33" s="207"/>
      <c r="I33" s="207"/>
      <c r="J33" s="207"/>
      <c r="K33" s="207"/>
      <c r="L33" s="207"/>
      <c r="M33" s="207"/>
      <c r="N33" s="207"/>
      <c r="O33" s="207"/>
      <c r="P33" s="207"/>
      <c r="Q33" s="207"/>
      <c r="R33" s="207"/>
      <c r="S33" s="207"/>
    </row>
    <row r="34" spans="1:19" ht="177.6" customHeight="1" thickBot="1" x14ac:dyDescent="0.3">
      <c r="A34" s="1115" t="s">
        <v>1032</v>
      </c>
      <c r="B34" s="1116"/>
      <c r="C34" s="962" t="s">
        <v>1101</v>
      </c>
      <c r="D34" s="957" t="s">
        <v>1102</v>
      </c>
      <c r="E34" s="960" t="s">
        <v>1103</v>
      </c>
      <c r="F34" s="965" t="s">
        <v>1104</v>
      </c>
      <c r="G34" s="964" t="s">
        <v>377</v>
      </c>
      <c r="H34" s="207"/>
      <c r="I34" s="207"/>
      <c r="J34" s="207"/>
      <c r="K34" s="207"/>
      <c r="L34" s="207"/>
      <c r="M34" s="207"/>
      <c r="N34" s="207"/>
      <c r="O34" s="207"/>
      <c r="P34" s="207"/>
      <c r="Q34" s="207"/>
      <c r="R34" s="207"/>
      <c r="S34" s="207"/>
    </row>
    <row r="35" spans="1:19" ht="84" customHeight="1" thickBot="1" x14ac:dyDescent="0.3">
      <c r="A35" s="1115" t="s">
        <v>1032</v>
      </c>
      <c r="B35" s="1116"/>
      <c r="C35" s="962" t="s">
        <v>1105</v>
      </c>
      <c r="D35" s="963" t="s">
        <v>375</v>
      </c>
      <c r="E35" s="965" t="s">
        <v>376</v>
      </c>
      <c r="F35" s="964"/>
      <c r="G35" s="965" t="s">
        <v>374</v>
      </c>
      <c r="H35" s="207"/>
      <c r="I35" s="207"/>
      <c r="J35" s="207"/>
      <c r="K35" s="207"/>
      <c r="L35" s="207"/>
      <c r="M35" s="207"/>
      <c r="N35" s="207"/>
      <c r="O35" s="207"/>
      <c r="P35" s="207"/>
      <c r="Q35" s="207"/>
      <c r="R35" s="207"/>
      <c r="S35" s="207"/>
    </row>
    <row r="36" spans="1:19" ht="144" customHeight="1" thickBot="1" x14ac:dyDescent="0.3">
      <c r="A36" s="1115" t="s">
        <v>1032</v>
      </c>
      <c r="B36" s="1116"/>
      <c r="C36" s="962" t="s">
        <v>1106</v>
      </c>
      <c r="D36" s="957" t="s">
        <v>1107</v>
      </c>
      <c r="E36" s="965" t="s">
        <v>1108</v>
      </c>
      <c r="F36" s="964"/>
      <c r="G36" s="965" t="s">
        <v>379</v>
      </c>
      <c r="H36" s="207"/>
      <c r="I36" s="207"/>
      <c r="J36" s="207"/>
      <c r="K36" s="207"/>
      <c r="L36" s="207"/>
      <c r="M36" s="207"/>
      <c r="N36" s="207"/>
      <c r="O36" s="207"/>
      <c r="P36" s="207"/>
      <c r="Q36" s="207"/>
      <c r="R36" s="207"/>
      <c r="S36" s="207"/>
    </row>
    <row r="37" spans="1:19" ht="72.75" customHeight="1" x14ac:dyDescent="0.25">
      <c r="A37" s="1115" t="s">
        <v>1032</v>
      </c>
      <c r="B37" s="1116"/>
      <c r="C37" s="962" t="s">
        <v>1109</v>
      </c>
      <c r="D37" s="957" t="s">
        <v>391</v>
      </c>
      <c r="E37" s="964" t="s">
        <v>1110</v>
      </c>
      <c r="F37" s="967"/>
      <c r="G37" s="964" t="s">
        <v>372</v>
      </c>
      <c r="H37" s="207"/>
      <c r="I37" s="207"/>
      <c r="J37" s="207"/>
      <c r="K37" s="207"/>
      <c r="L37" s="207"/>
      <c r="M37" s="207"/>
      <c r="N37" s="207"/>
      <c r="O37" s="207"/>
      <c r="P37" s="207"/>
      <c r="Q37" s="207"/>
      <c r="R37" s="207"/>
      <c r="S37" s="207"/>
    </row>
    <row r="38" spans="1:19" ht="205.5" customHeight="1" x14ac:dyDescent="0.25">
      <c r="A38" s="1105" t="s">
        <v>1111</v>
      </c>
      <c r="B38" s="1106"/>
      <c r="C38" s="962" t="s">
        <v>1112</v>
      </c>
      <c r="D38" s="957" t="s">
        <v>1113</v>
      </c>
      <c r="E38" s="964" t="s">
        <v>1114</v>
      </c>
      <c r="F38" s="965" t="s">
        <v>1115</v>
      </c>
      <c r="G38" s="959"/>
      <c r="H38" s="207"/>
      <c r="I38" s="207"/>
      <c r="J38" s="207"/>
      <c r="K38" s="207"/>
      <c r="L38" s="207"/>
      <c r="M38" s="207"/>
      <c r="N38" s="207"/>
      <c r="O38" s="207"/>
      <c r="P38" s="207"/>
      <c r="Q38" s="207"/>
      <c r="R38" s="207"/>
      <c r="S38" s="207"/>
    </row>
    <row r="39" spans="1:19" ht="214.5" customHeight="1" x14ac:dyDescent="0.25">
      <c r="A39" s="1105" t="s">
        <v>1111</v>
      </c>
      <c r="B39" s="1106"/>
      <c r="C39" s="962" t="s">
        <v>1116</v>
      </c>
      <c r="D39" s="957" t="s">
        <v>1117</v>
      </c>
      <c r="E39" s="965" t="s">
        <v>1118</v>
      </c>
      <c r="F39" s="967"/>
      <c r="G39" s="959"/>
      <c r="H39" s="207"/>
      <c r="I39" s="207"/>
      <c r="J39" s="207"/>
      <c r="K39" s="207"/>
      <c r="L39" s="207"/>
      <c r="M39" s="207"/>
      <c r="N39" s="207"/>
      <c r="O39" s="207"/>
      <c r="P39" s="207"/>
      <c r="Q39" s="207"/>
      <c r="R39" s="207"/>
      <c r="S39" s="207"/>
    </row>
    <row r="40" spans="1:19" ht="94.5" x14ac:dyDescent="0.25">
      <c r="A40" s="296" t="s">
        <v>394</v>
      </c>
      <c r="B40" s="971" t="s">
        <v>1119</v>
      </c>
      <c r="C40" s="962" t="s">
        <v>1120</v>
      </c>
      <c r="D40" s="957" t="s">
        <v>1121</v>
      </c>
      <c r="E40" s="964" t="s">
        <v>1122</v>
      </c>
      <c r="F40" s="964"/>
      <c r="G40" s="959"/>
      <c r="H40" s="207"/>
      <c r="I40" s="207"/>
      <c r="J40" s="207"/>
      <c r="K40" s="207"/>
      <c r="L40" s="207"/>
      <c r="M40" s="207"/>
      <c r="N40" s="207"/>
      <c r="O40" s="207"/>
      <c r="P40" s="207"/>
      <c r="Q40" s="207"/>
      <c r="R40" s="207"/>
      <c r="S40" s="207"/>
    </row>
    <row r="41" spans="1:19" ht="108" x14ac:dyDescent="0.25">
      <c r="A41" s="293" t="s">
        <v>394</v>
      </c>
      <c r="B41" s="971" t="s">
        <v>1119</v>
      </c>
      <c r="C41" s="968" t="s">
        <v>395</v>
      </c>
      <c r="D41" s="957" t="s">
        <v>396</v>
      </c>
      <c r="E41" s="965" t="s">
        <v>397</v>
      </c>
      <c r="F41" s="964"/>
      <c r="G41" s="964" t="s">
        <v>398</v>
      </c>
      <c r="H41" s="207"/>
      <c r="I41" s="207"/>
      <c r="J41" s="207"/>
      <c r="K41" s="207"/>
      <c r="L41" s="207"/>
      <c r="M41" s="207"/>
      <c r="N41" s="207"/>
      <c r="O41" s="207"/>
      <c r="P41" s="207"/>
      <c r="Q41" s="207"/>
      <c r="R41" s="207"/>
      <c r="S41" s="207"/>
    </row>
    <row r="42" spans="1:19" ht="156" customHeight="1" x14ac:dyDescent="0.25">
      <c r="A42" s="293" t="s">
        <v>394</v>
      </c>
      <c r="B42" s="971" t="s">
        <v>1119</v>
      </c>
      <c r="C42" s="962" t="s">
        <v>399</v>
      </c>
      <c r="D42" s="957" t="s">
        <v>400</v>
      </c>
      <c r="E42" s="964" t="s">
        <v>401</v>
      </c>
      <c r="F42" s="965" t="s">
        <v>1123</v>
      </c>
      <c r="G42" s="964" t="s">
        <v>402</v>
      </c>
      <c r="H42" s="207"/>
      <c r="I42" s="207"/>
      <c r="J42" s="207"/>
      <c r="K42" s="207"/>
      <c r="L42" s="207"/>
      <c r="M42" s="207"/>
      <c r="N42" s="207"/>
      <c r="O42" s="207"/>
      <c r="P42" s="207"/>
      <c r="Q42" s="207"/>
      <c r="R42" s="207"/>
      <c r="S42" s="207"/>
    </row>
    <row r="43" spans="1:19" ht="67.5" x14ac:dyDescent="0.25">
      <c r="A43" s="293" t="s">
        <v>394</v>
      </c>
      <c r="B43" s="971" t="s">
        <v>1119</v>
      </c>
      <c r="C43" s="972" t="s">
        <v>1124</v>
      </c>
      <c r="D43" s="961" t="s">
        <v>1125</v>
      </c>
      <c r="E43" s="965" t="s">
        <v>1126</v>
      </c>
      <c r="F43" s="965" t="s">
        <v>1127</v>
      </c>
      <c r="G43" s="959"/>
      <c r="H43" s="207"/>
      <c r="I43" s="207"/>
      <c r="J43" s="207"/>
      <c r="K43" s="207"/>
      <c r="L43" s="207"/>
      <c r="M43" s="207"/>
      <c r="N43" s="207"/>
      <c r="O43" s="207"/>
      <c r="P43" s="207"/>
      <c r="Q43" s="207"/>
      <c r="R43" s="207"/>
      <c r="S43" s="207"/>
    </row>
    <row r="44" spans="1:19" ht="121.5" x14ac:dyDescent="0.25">
      <c r="A44" s="293" t="s">
        <v>394</v>
      </c>
      <c r="B44" s="973" t="s">
        <v>1128</v>
      </c>
      <c r="C44" s="972" t="s">
        <v>1129</v>
      </c>
      <c r="D44" s="961" t="s">
        <v>1121</v>
      </c>
      <c r="E44" s="965" t="s">
        <v>1130</v>
      </c>
      <c r="F44" s="964"/>
      <c r="G44" s="959"/>
      <c r="H44" s="207"/>
      <c r="I44" s="207"/>
      <c r="J44" s="207"/>
      <c r="K44" s="207"/>
      <c r="L44" s="207"/>
      <c r="M44" s="207"/>
      <c r="N44" s="207"/>
      <c r="O44" s="207"/>
      <c r="P44" s="207"/>
      <c r="Q44" s="207"/>
      <c r="R44" s="207"/>
      <c r="S44" s="207"/>
    </row>
    <row r="45" spans="1:19" ht="94.5" x14ac:dyDescent="0.25">
      <c r="A45" s="293" t="s">
        <v>394</v>
      </c>
      <c r="B45" s="973" t="s">
        <v>1128</v>
      </c>
      <c r="C45" s="968" t="s">
        <v>403</v>
      </c>
      <c r="D45" s="957" t="s">
        <v>404</v>
      </c>
      <c r="E45" s="964" t="s">
        <v>1131</v>
      </c>
      <c r="F45" s="965" t="s">
        <v>1132</v>
      </c>
      <c r="G45" s="964" t="s">
        <v>405</v>
      </c>
      <c r="H45" s="207"/>
      <c r="I45" s="207"/>
      <c r="J45" s="207"/>
      <c r="K45" s="207"/>
      <c r="L45" s="207"/>
      <c r="M45" s="207"/>
      <c r="N45" s="207"/>
      <c r="O45" s="207"/>
      <c r="P45" s="207"/>
      <c r="Q45" s="207"/>
      <c r="R45" s="207"/>
      <c r="S45" s="207"/>
    </row>
    <row r="46" spans="1:19" ht="94.5" x14ac:dyDescent="0.25">
      <c r="A46" s="293" t="s">
        <v>394</v>
      </c>
      <c r="B46" s="973" t="s">
        <v>1128</v>
      </c>
      <c r="C46" s="962" t="s">
        <v>406</v>
      </c>
      <c r="D46" s="957" t="s">
        <v>407</v>
      </c>
      <c r="E46" s="964" t="s">
        <v>408</v>
      </c>
      <c r="F46" s="965"/>
      <c r="G46" s="964" t="s">
        <v>409</v>
      </c>
      <c r="H46" s="207"/>
      <c r="I46" s="207"/>
      <c r="J46" s="207"/>
      <c r="K46" s="207"/>
      <c r="L46" s="207"/>
      <c r="M46" s="207"/>
      <c r="N46" s="207"/>
      <c r="O46" s="207"/>
      <c r="P46" s="207"/>
      <c r="Q46" s="207"/>
      <c r="R46" s="207"/>
      <c r="S46" s="207"/>
    </row>
    <row r="47" spans="1:19" ht="121.5" x14ac:dyDescent="0.25">
      <c r="A47" s="293" t="s">
        <v>394</v>
      </c>
      <c r="B47" s="973" t="s">
        <v>1133</v>
      </c>
      <c r="C47" s="962" t="s">
        <v>1120</v>
      </c>
      <c r="D47" s="957" t="s">
        <v>1121</v>
      </c>
      <c r="E47" s="964" t="s">
        <v>1134</v>
      </c>
      <c r="F47" s="964"/>
      <c r="G47" s="959"/>
      <c r="H47" s="207"/>
      <c r="I47" s="207"/>
      <c r="J47" s="207"/>
      <c r="K47" s="207"/>
      <c r="L47" s="207"/>
      <c r="M47" s="207"/>
      <c r="N47" s="207"/>
      <c r="O47" s="207"/>
      <c r="P47" s="207"/>
      <c r="Q47" s="207"/>
      <c r="R47" s="207"/>
      <c r="S47" s="207"/>
    </row>
    <row r="48" spans="1:19" ht="121.5" x14ac:dyDescent="0.25">
      <c r="A48" s="293" t="s">
        <v>394</v>
      </c>
      <c r="B48" s="973" t="s">
        <v>1133</v>
      </c>
      <c r="C48" s="968" t="s">
        <v>410</v>
      </c>
      <c r="D48" s="957" t="s">
        <v>411</v>
      </c>
      <c r="E48" s="965" t="s">
        <v>1330</v>
      </c>
      <c r="F48" s="974"/>
      <c r="G48" s="964" t="s">
        <v>412</v>
      </c>
      <c r="H48" s="207"/>
      <c r="I48" s="207"/>
      <c r="J48" s="207"/>
      <c r="K48" s="207"/>
      <c r="L48" s="207"/>
      <c r="M48" s="207"/>
      <c r="N48" s="207"/>
      <c r="O48" s="207"/>
      <c r="P48" s="207"/>
      <c r="Q48" s="207"/>
      <c r="R48" s="207"/>
      <c r="S48" s="207"/>
    </row>
    <row r="49" spans="1:19" ht="81" x14ac:dyDescent="0.25">
      <c r="A49" s="293" t="s">
        <v>394</v>
      </c>
      <c r="B49" s="973" t="s">
        <v>1135</v>
      </c>
      <c r="C49" s="962" t="s">
        <v>1129</v>
      </c>
      <c r="D49" s="957" t="s">
        <v>1121</v>
      </c>
      <c r="E49" s="964" t="s">
        <v>1136</v>
      </c>
      <c r="F49" s="964"/>
      <c r="G49" s="959"/>
      <c r="H49" s="207"/>
      <c r="I49" s="207"/>
      <c r="J49" s="207"/>
      <c r="K49" s="207"/>
      <c r="L49" s="207"/>
      <c r="M49" s="207"/>
      <c r="N49" s="207"/>
      <c r="O49" s="207"/>
      <c r="P49" s="207"/>
      <c r="Q49" s="207"/>
      <c r="R49" s="207"/>
      <c r="S49" s="207"/>
    </row>
    <row r="50" spans="1:19" ht="210.95" customHeight="1" x14ac:dyDescent="0.25">
      <c r="A50" s="293" t="s">
        <v>394</v>
      </c>
      <c r="B50" s="973" t="s">
        <v>1135</v>
      </c>
      <c r="C50" s="962" t="s">
        <v>413</v>
      </c>
      <c r="D50" s="957" t="s">
        <v>414</v>
      </c>
      <c r="E50" s="964" t="s">
        <v>1137</v>
      </c>
      <c r="F50" s="965" t="s">
        <v>1138</v>
      </c>
      <c r="G50" s="964" t="s">
        <v>377</v>
      </c>
      <c r="H50" s="207"/>
      <c r="I50" s="207"/>
      <c r="J50" s="207"/>
      <c r="K50" s="207"/>
      <c r="L50" s="207"/>
      <c r="M50" s="207"/>
      <c r="N50" s="207"/>
      <c r="O50" s="207"/>
      <c r="P50" s="207"/>
      <c r="Q50" s="207"/>
      <c r="R50" s="207"/>
      <c r="S50" s="207"/>
    </row>
    <row r="51" spans="1:19" ht="217.35" customHeight="1" x14ac:dyDescent="0.25">
      <c r="A51" s="293" t="s">
        <v>394</v>
      </c>
      <c r="B51" s="973" t="s">
        <v>1135</v>
      </c>
      <c r="C51" s="968" t="s">
        <v>415</v>
      </c>
      <c r="D51" s="957" t="s">
        <v>416</v>
      </c>
      <c r="E51" s="965" t="s">
        <v>1139</v>
      </c>
      <c r="F51" s="965" t="s">
        <v>1140</v>
      </c>
      <c r="G51" s="964" t="s">
        <v>377</v>
      </c>
      <c r="H51" s="207"/>
      <c r="I51" s="207"/>
      <c r="J51" s="207"/>
      <c r="K51" s="207"/>
      <c r="L51" s="207"/>
      <c r="M51" s="207"/>
      <c r="N51" s="207"/>
      <c r="O51" s="207"/>
      <c r="P51" s="207"/>
      <c r="Q51" s="207"/>
      <c r="R51" s="207"/>
      <c r="S51" s="207"/>
    </row>
    <row r="52" spans="1:19" ht="93.6" customHeight="1" x14ac:dyDescent="0.25">
      <c r="A52" s="293" t="s">
        <v>394</v>
      </c>
      <c r="B52" s="973" t="s">
        <v>1135</v>
      </c>
      <c r="C52" s="968" t="s">
        <v>1141</v>
      </c>
      <c r="D52" s="961" t="s">
        <v>1142</v>
      </c>
      <c r="E52" s="965" t="s">
        <v>1143</v>
      </c>
      <c r="F52" s="965" t="s">
        <v>1144</v>
      </c>
      <c r="G52" s="965" t="s">
        <v>377</v>
      </c>
      <c r="H52" s="207"/>
      <c r="I52" s="207"/>
      <c r="J52" s="207"/>
      <c r="K52" s="207"/>
      <c r="L52" s="207"/>
      <c r="M52" s="207"/>
      <c r="N52" s="207"/>
      <c r="O52" s="207"/>
      <c r="P52" s="207"/>
      <c r="Q52" s="207"/>
      <c r="R52" s="207"/>
      <c r="S52" s="207"/>
    </row>
    <row r="53" spans="1:19" ht="108" x14ac:dyDescent="0.25">
      <c r="A53" s="293" t="s">
        <v>472</v>
      </c>
      <c r="B53" s="973" t="s">
        <v>1145</v>
      </c>
      <c r="C53" s="962" t="s">
        <v>1120</v>
      </c>
      <c r="D53" s="957" t="s">
        <v>1121</v>
      </c>
      <c r="E53" s="964" t="s">
        <v>1146</v>
      </c>
      <c r="F53" s="964"/>
      <c r="G53" s="959"/>
      <c r="H53" s="207"/>
      <c r="I53" s="207"/>
      <c r="J53" s="207"/>
      <c r="K53" s="207"/>
      <c r="L53" s="207"/>
      <c r="M53" s="207"/>
      <c r="N53" s="207"/>
      <c r="O53" s="207"/>
      <c r="P53" s="207"/>
      <c r="Q53" s="207"/>
      <c r="R53" s="207"/>
      <c r="S53" s="207"/>
    </row>
    <row r="54" spans="1:19" ht="277.35000000000002" customHeight="1" x14ac:dyDescent="0.25">
      <c r="A54" s="293" t="s">
        <v>472</v>
      </c>
      <c r="B54" s="973" t="s">
        <v>1145</v>
      </c>
      <c r="C54" s="962" t="s">
        <v>417</v>
      </c>
      <c r="D54" s="964" t="s">
        <v>1147</v>
      </c>
      <c r="E54" s="964" t="s">
        <v>418</v>
      </c>
      <c r="F54" s="965" t="s">
        <v>1148</v>
      </c>
      <c r="G54" s="964" t="s">
        <v>419</v>
      </c>
      <c r="H54" s="207"/>
      <c r="I54" s="207"/>
      <c r="J54" s="207"/>
      <c r="K54" s="207"/>
      <c r="L54" s="207"/>
      <c r="M54" s="207"/>
      <c r="N54" s="207"/>
      <c r="O54" s="207"/>
      <c r="P54" s="207"/>
      <c r="Q54" s="207"/>
      <c r="R54" s="207"/>
      <c r="S54" s="207"/>
    </row>
    <row r="55" spans="1:19" ht="54" x14ac:dyDescent="0.25">
      <c r="A55" s="293" t="s">
        <v>472</v>
      </c>
      <c r="B55" s="973" t="s">
        <v>1145</v>
      </c>
      <c r="C55" s="972" t="s">
        <v>1149</v>
      </c>
      <c r="D55" s="965" t="s">
        <v>1150</v>
      </c>
      <c r="E55" s="964" t="s">
        <v>422</v>
      </c>
      <c r="F55" s="965" t="s">
        <v>1151</v>
      </c>
      <c r="G55" s="959"/>
      <c r="H55" s="207"/>
      <c r="I55" s="207"/>
      <c r="J55" s="207"/>
      <c r="K55" s="207"/>
      <c r="L55" s="207"/>
      <c r="M55" s="207"/>
      <c r="N55" s="207"/>
      <c r="O55" s="207"/>
      <c r="P55" s="207"/>
      <c r="Q55" s="207"/>
      <c r="R55" s="207"/>
      <c r="S55" s="207"/>
    </row>
    <row r="56" spans="1:19" ht="54" x14ac:dyDescent="0.25">
      <c r="A56" s="293" t="s">
        <v>472</v>
      </c>
      <c r="B56" s="973" t="s">
        <v>1145</v>
      </c>
      <c r="C56" s="968" t="s">
        <v>420</v>
      </c>
      <c r="D56" s="957" t="s">
        <v>421</v>
      </c>
      <c r="E56" s="964" t="s">
        <v>422</v>
      </c>
      <c r="F56" s="965" t="s">
        <v>1152</v>
      </c>
      <c r="G56" s="964" t="s">
        <v>423</v>
      </c>
      <c r="H56" s="207"/>
      <c r="I56" s="207"/>
      <c r="J56" s="207"/>
      <c r="K56" s="207"/>
      <c r="L56" s="207"/>
      <c r="M56" s="207"/>
      <c r="N56" s="207"/>
      <c r="O56" s="207"/>
      <c r="P56" s="207"/>
      <c r="Q56" s="207"/>
      <c r="R56" s="207"/>
      <c r="S56" s="207"/>
    </row>
    <row r="57" spans="1:19" ht="81" x14ac:dyDescent="0.25">
      <c r="A57" s="293" t="s">
        <v>472</v>
      </c>
      <c r="B57" s="973" t="s">
        <v>1145</v>
      </c>
      <c r="C57" s="968" t="s">
        <v>424</v>
      </c>
      <c r="D57" s="957" t="s">
        <v>425</v>
      </c>
      <c r="E57" s="964" t="s">
        <v>1153</v>
      </c>
      <c r="F57" s="965" t="s">
        <v>1154</v>
      </c>
      <c r="G57" s="964" t="s">
        <v>419</v>
      </c>
      <c r="H57" s="207"/>
      <c r="I57" s="207"/>
      <c r="J57" s="207"/>
      <c r="K57" s="207"/>
      <c r="L57" s="207"/>
      <c r="M57" s="207"/>
      <c r="N57" s="207"/>
      <c r="O57" s="207"/>
      <c r="P57" s="207"/>
      <c r="Q57" s="207"/>
      <c r="R57" s="207"/>
      <c r="S57" s="207"/>
    </row>
    <row r="58" spans="1:19" ht="27" x14ac:dyDescent="0.25">
      <c r="A58" s="293" t="s">
        <v>472</v>
      </c>
      <c r="B58" s="973" t="s">
        <v>1145</v>
      </c>
      <c r="C58" s="972" t="s">
        <v>1155</v>
      </c>
      <c r="D58" s="961" t="s">
        <v>1156</v>
      </c>
      <c r="E58" s="965"/>
      <c r="F58" s="965" t="s">
        <v>626</v>
      </c>
      <c r="G58" s="959"/>
      <c r="H58" s="207"/>
      <c r="I58" s="207"/>
      <c r="J58" s="207"/>
      <c r="K58" s="207"/>
      <c r="L58" s="207"/>
      <c r="M58" s="207"/>
      <c r="N58" s="207"/>
      <c r="O58" s="207"/>
      <c r="P58" s="207"/>
      <c r="Q58" s="207"/>
      <c r="R58" s="207"/>
      <c r="S58" s="207"/>
    </row>
    <row r="59" spans="1:19" ht="97.35" customHeight="1" x14ac:dyDescent="0.25">
      <c r="A59" s="293" t="s">
        <v>472</v>
      </c>
      <c r="B59" s="973" t="s">
        <v>1157</v>
      </c>
      <c r="C59" s="962" t="s">
        <v>1120</v>
      </c>
      <c r="D59" s="957" t="s">
        <v>1121</v>
      </c>
      <c r="E59" s="964" t="s">
        <v>1158</v>
      </c>
      <c r="F59" s="964"/>
      <c r="G59" s="959"/>
      <c r="H59" s="207"/>
      <c r="I59" s="207"/>
      <c r="J59" s="207"/>
      <c r="K59" s="207"/>
      <c r="L59" s="207"/>
      <c r="M59" s="207"/>
      <c r="N59" s="207"/>
      <c r="O59" s="207"/>
      <c r="P59" s="207"/>
      <c r="Q59" s="207"/>
      <c r="R59" s="207"/>
      <c r="S59" s="207"/>
    </row>
    <row r="60" spans="1:19" ht="67.5" x14ac:dyDescent="0.25">
      <c r="A60" s="293" t="s">
        <v>472</v>
      </c>
      <c r="B60" s="973" t="s">
        <v>1157</v>
      </c>
      <c r="C60" s="962" t="s">
        <v>426</v>
      </c>
      <c r="D60" s="961" t="s">
        <v>1159</v>
      </c>
      <c r="E60" s="965" t="s">
        <v>1160</v>
      </c>
      <c r="F60" s="965" t="s">
        <v>1161</v>
      </c>
      <c r="G60" s="965" t="s">
        <v>428</v>
      </c>
      <c r="H60" s="207"/>
      <c r="I60" s="207"/>
      <c r="J60" s="207"/>
      <c r="K60" s="207"/>
      <c r="L60" s="207"/>
      <c r="M60" s="207"/>
      <c r="N60" s="207"/>
      <c r="O60" s="207"/>
      <c r="P60" s="207"/>
      <c r="Q60" s="207"/>
      <c r="R60" s="207"/>
      <c r="S60" s="207"/>
    </row>
    <row r="61" spans="1:19" ht="54" x14ac:dyDescent="0.25">
      <c r="A61" s="293" t="s">
        <v>472</v>
      </c>
      <c r="B61" s="973" t="s">
        <v>1157</v>
      </c>
      <c r="C61" s="972" t="s">
        <v>1162</v>
      </c>
      <c r="D61" s="961" t="s">
        <v>1163</v>
      </c>
      <c r="E61" s="965" t="s">
        <v>1164</v>
      </c>
      <c r="F61" s="965" t="s">
        <v>1165</v>
      </c>
      <c r="G61" s="965" t="s">
        <v>428</v>
      </c>
      <c r="H61" s="207"/>
      <c r="I61" s="207"/>
      <c r="J61" s="207"/>
      <c r="K61" s="207"/>
      <c r="L61" s="207"/>
      <c r="M61" s="207"/>
      <c r="N61" s="207"/>
      <c r="O61" s="207"/>
      <c r="P61" s="207"/>
      <c r="Q61" s="207"/>
      <c r="R61" s="207"/>
      <c r="S61" s="207"/>
    </row>
    <row r="62" spans="1:19" ht="302.45" customHeight="1" x14ac:dyDescent="0.25">
      <c r="A62" s="293" t="s">
        <v>472</v>
      </c>
      <c r="B62" s="973" t="s">
        <v>1157</v>
      </c>
      <c r="C62" s="962" t="s">
        <v>429</v>
      </c>
      <c r="D62" s="961" t="s">
        <v>1166</v>
      </c>
      <c r="E62" s="965" t="s">
        <v>1164</v>
      </c>
      <c r="F62" s="965" t="s">
        <v>1167</v>
      </c>
      <c r="G62" s="964" t="s">
        <v>432</v>
      </c>
      <c r="H62" s="207"/>
      <c r="I62" s="207"/>
      <c r="J62" s="207"/>
      <c r="K62" s="207"/>
      <c r="L62" s="207"/>
      <c r="M62" s="207"/>
      <c r="N62" s="207"/>
      <c r="O62" s="207"/>
      <c r="P62" s="207"/>
      <c r="Q62" s="207"/>
      <c r="R62" s="207"/>
      <c r="S62" s="207"/>
    </row>
    <row r="63" spans="1:19" ht="349.7" customHeight="1" x14ac:dyDescent="0.25">
      <c r="A63" s="293" t="s">
        <v>472</v>
      </c>
      <c r="B63" s="973" t="s">
        <v>1157</v>
      </c>
      <c r="C63" s="972" t="s">
        <v>1168</v>
      </c>
      <c r="D63" s="961" t="s">
        <v>1169</v>
      </c>
      <c r="E63" s="965" t="s">
        <v>1164</v>
      </c>
      <c r="F63" s="965" t="s">
        <v>1170</v>
      </c>
      <c r="G63" s="964" t="s">
        <v>432</v>
      </c>
      <c r="H63" s="207"/>
      <c r="I63" s="207"/>
      <c r="J63" s="207"/>
      <c r="K63" s="207"/>
      <c r="L63" s="207"/>
      <c r="M63" s="207"/>
      <c r="N63" s="207"/>
      <c r="O63" s="207"/>
      <c r="P63" s="207"/>
      <c r="Q63" s="207"/>
      <c r="R63" s="207"/>
      <c r="S63" s="207"/>
    </row>
    <row r="64" spans="1:19" ht="40.5" x14ac:dyDescent="0.25">
      <c r="A64" s="293" t="s">
        <v>472</v>
      </c>
      <c r="B64" s="973" t="s">
        <v>1157</v>
      </c>
      <c r="C64" s="962" t="s">
        <v>430</v>
      </c>
      <c r="D64" s="957" t="s">
        <v>431</v>
      </c>
      <c r="E64" s="964" t="s">
        <v>427</v>
      </c>
      <c r="F64" s="965" t="s">
        <v>1171</v>
      </c>
      <c r="G64" s="964" t="s">
        <v>432</v>
      </c>
      <c r="H64" s="207"/>
      <c r="I64" s="207"/>
      <c r="J64" s="207"/>
      <c r="K64" s="207"/>
      <c r="L64" s="207"/>
      <c r="M64" s="207"/>
      <c r="N64" s="207"/>
      <c r="O64" s="207"/>
      <c r="P64" s="207"/>
      <c r="Q64" s="207"/>
      <c r="R64" s="207"/>
      <c r="S64" s="207"/>
    </row>
    <row r="65" spans="1:19" ht="40.5" x14ac:dyDescent="0.25">
      <c r="A65" s="293" t="s">
        <v>472</v>
      </c>
      <c r="B65" s="973" t="s">
        <v>1172</v>
      </c>
      <c r="C65" s="968" t="s">
        <v>1120</v>
      </c>
      <c r="D65" s="957" t="s">
        <v>1121</v>
      </c>
      <c r="E65" s="964" t="s">
        <v>442</v>
      </c>
      <c r="F65" s="964"/>
      <c r="G65" s="964" t="s">
        <v>1173</v>
      </c>
      <c r="H65" s="207"/>
      <c r="I65" s="207"/>
      <c r="J65" s="207"/>
      <c r="K65" s="207"/>
      <c r="L65" s="207"/>
      <c r="M65" s="207"/>
      <c r="N65" s="207"/>
      <c r="O65" s="207"/>
      <c r="P65" s="207"/>
      <c r="Q65" s="207"/>
      <c r="R65" s="207"/>
      <c r="S65" s="207"/>
    </row>
    <row r="66" spans="1:19" ht="64.7" customHeight="1" x14ac:dyDescent="0.25">
      <c r="A66" s="293" t="s">
        <v>472</v>
      </c>
      <c r="B66" s="973" t="s">
        <v>1172</v>
      </c>
      <c r="C66" s="972" t="s">
        <v>1174</v>
      </c>
      <c r="D66" s="961" t="s">
        <v>1175</v>
      </c>
      <c r="E66" s="965" t="s">
        <v>1176</v>
      </c>
      <c r="F66" s="974"/>
      <c r="G66" s="965" t="s">
        <v>1173</v>
      </c>
      <c r="H66" s="207"/>
      <c r="I66" s="207"/>
      <c r="J66" s="207"/>
      <c r="K66" s="207"/>
      <c r="L66" s="207"/>
      <c r="M66" s="207"/>
      <c r="N66" s="207"/>
      <c r="O66" s="207"/>
      <c r="P66" s="207"/>
      <c r="Q66" s="207"/>
      <c r="R66" s="207"/>
      <c r="S66" s="207"/>
    </row>
    <row r="67" spans="1:19" ht="40.5" x14ac:dyDescent="0.25">
      <c r="A67" s="293" t="s">
        <v>472</v>
      </c>
      <c r="B67" s="973" t="s">
        <v>1172</v>
      </c>
      <c r="C67" s="962" t="s">
        <v>433</v>
      </c>
      <c r="D67" s="957" t="s">
        <v>1177</v>
      </c>
      <c r="E67" s="964" t="s">
        <v>434</v>
      </c>
      <c r="F67" s="965"/>
      <c r="G67" s="964" t="s">
        <v>1173</v>
      </c>
      <c r="H67" s="207"/>
      <c r="I67" s="207"/>
      <c r="J67" s="207"/>
      <c r="K67" s="207"/>
      <c r="L67" s="207"/>
      <c r="M67" s="207"/>
      <c r="N67" s="207"/>
      <c r="O67" s="207"/>
      <c r="P67" s="207"/>
      <c r="Q67" s="207"/>
      <c r="R67" s="207"/>
      <c r="S67" s="207"/>
    </row>
    <row r="68" spans="1:19" ht="40.5" x14ac:dyDescent="0.25">
      <c r="A68" s="293" t="s">
        <v>472</v>
      </c>
      <c r="B68" s="973" t="s">
        <v>1172</v>
      </c>
      <c r="C68" s="962" t="s">
        <v>435</v>
      </c>
      <c r="D68" s="957" t="s">
        <v>436</v>
      </c>
      <c r="E68" s="964" t="s">
        <v>1178</v>
      </c>
      <c r="F68" s="965" t="s">
        <v>1179</v>
      </c>
      <c r="G68" s="964" t="s">
        <v>1173</v>
      </c>
      <c r="H68" s="207"/>
      <c r="I68" s="207"/>
      <c r="J68" s="207"/>
      <c r="K68" s="207"/>
      <c r="L68" s="207"/>
      <c r="M68" s="207"/>
      <c r="N68" s="207"/>
      <c r="O68" s="207"/>
      <c r="P68" s="207"/>
      <c r="Q68" s="207"/>
      <c r="R68" s="207"/>
      <c r="S68" s="207"/>
    </row>
    <row r="69" spans="1:19" ht="81" x14ac:dyDescent="0.25">
      <c r="A69" s="293" t="s">
        <v>472</v>
      </c>
      <c r="B69" s="973" t="s">
        <v>1172</v>
      </c>
      <c r="C69" s="972" t="s">
        <v>1180</v>
      </c>
      <c r="D69" s="961" t="s">
        <v>1181</v>
      </c>
      <c r="E69" s="965" t="s">
        <v>1182</v>
      </c>
      <c r="F69" s="965" t="s">
        <v>1183</v>
      </c>
      <c r="G69" s="959"/>
      <c r="H69" s="207"/>
      <c r="I69" s="207"/>
      <c r="J69" s="207"/>
      <c r="K69" s="207"/>
      <c r="L69" s="207"/>
      <c r="M69" s="207"/>
      <c r="N69" s="207"/>
      <c r="O69" s="207"/>
      <c r="P69" s="207"/>
      <c r="Q69" s="207"/>
      <c r="R69" s="207"/>
      <c r="S69" s="207"/>
    </row>
    <row r="70" spans="1:19" ht="32.450000000000003" customHeight="1" x14ac:dyDescent="0.25">
      <c r="A70" s="293" t="s">
        <v>1184</v>
      </c>
      <c r="B70" s="973" t="s">
        <v>1185</v>
      </c>
      <c r="C70" s="962" t="s">
        <v>437</v>
      </c>
      <c r="D70" s="957" t="s">
        <v>438</v>
      </c>
      <c r="E70" s="964" t="s">
        <v>439</v>
      </c>
      <c r="F70" s="964"/>
      <c r="G70" s="964" t="s">
        <v>1186</v>
      </c>
      <c r="H70" s="207"/>
      <c r="I70" s="207"/>
      <c r="J70" s="207"/>
      <c r="K70" s="207"/>
      <c r="L70" s="207"/>
      <c r="M70" s="207"/>
      <c r="N70" s="207"/>
      <c r="O70" s="207"/>
      <c r="P70" s="207"/>
      <c r="Q70" s="207"/>
      <c r="R70" s="207"/>
      <c r="S70" s="207"/>
    </row>
    <row r="71" spans="1:19" ht="43.35" customHeight="1" x14ac:dyDescent="0.25">
      <c r="A71" s="293" t="s">
        <v>1187</v>
      </c>
      <c r="B71" s="973" t="s">
        <v>1185</v>
      </c>
      <c r="C71" s="962" t="s">
        <v>440</v>
      </c>
      <c r="D71" s="957" t="s">
        <v>441</v>
      </c>
      <c r="E71" s="964" t="s">
        <v>442</v>
      </c>
      <c r="F71" s="964"/>
      <c r="G71" s="964" t="s">
        <v>1173</v>
      </c>
      <c r="H71" s="207"/>
      <c r="I71" s="207"/>
      <c r="J71" s="207"/>
      <c r="K71" s="207"/>
      <c r="L71" s="207"/>
      <c r="M71" s="207"/>
      <c r="N71" s="207"/>
      <c r="O71" s="207"/>
      <c r="P71" s="207"/>
      <c r="Q71" s="207"/>
      <c r="R71" s="207"/>
      <c r="S71" s="207"/>
    </row>
    <row r="72" spans="1:19" ht="75.599999999999994" customHeight="1" x14ac:dyDescent="0.25">
      <c r="A72" s="293" t="s">
        <v>472</v>
      </c>
      <c r="B72" s="973" t="s">
        <v>1188</v>
      </c>
      <c r="C72" s="962" t="s">
        <v>1120</v>
      </c>
      <c r="D72" s="957" t="s">
        <v>1121</v>
      </c>
      <c r="E72" s="964" t="s">
        <v>1189</v>
      </c>
      <c r="F72" s="964"/>
      <c r="G72" s="959"/>
      <c r="H72" s="207"/>
      <c r="I72" s="207"/>
      <c r="J72" s="207"/>
      <c r="K72" s="207"/>
      <c r="L72" s="207"/>
      <c r="M72" s="207"/>
      <c r="N72" s="207"/>
      <c r="O72" s="207"/>
      <c r="P72" s="207"/>
      <c r="Q72" s="207"/>
      <c r="R72" s="207"/>
      <c r="S72" s="207"/>
    </row>
    <row r="73" spans="1:19" ht="226.7" customHeight="1" x14ac:dyDescent="0.25">
      <c r="A73" s="293" t="s">
        <v>472</v>
      </c>
      <c r="B73" s="973" t="s">
        <v>1188</v>
      </c>
      <c r="C73" s="962" t="s">
        <v>443</v>
      </c>
      <c r="D73" s="957" t="s">
        <v>1190</v>
      </c>
      <c r="E73" s="964" t="s">
        <v>1191</v>
      </c>
      <c r="F73" s="965" t="s">
        <v>1192</v>
      </c>
      <c r="G73" s="964" t="s">
        <v>444</v>
      </c>
      <c r="H73" s="207"/>
      <c r="I73" s="207"/>
      <c r="J73" s="207"/>
      <c r="K73" s="207"/>
      <c r="L73" s="207"/>
      <c r="M73" s="207"/>
      <c r="N73" s="207"/>
      <c r="O73" s="207"/>
      <c r="P73" s="207"/>
      <c r="Q73" s="207"/>
      <c r="R73" s="207"/>
      <c r="S73" s="207"/>
    </row>
    <row r="74" spans="1:19" ht="194.45" customHeight="1" x14ac:dyDescent="0.25">
      <c r="A74" s="293" t="s">
        <v>472</v>
      </c>
      <c r="B74" s="973" t="s">
        <v>1188</v>
      </c>
      <c r="C74" s="962" t="s">
        <v>445</v>
      </c>
      <c r="D74" s="957" t="s">
        <v>446</v>
      </c>
      <c r="E74" s="964" t="s">
        <v>1191</v>
      </c>
      <c r="F74" s="965" t="s">
        <v>1193</v>
      </c>
      <c r="G74" s="964" t="s">
        <v>444</v>
      </c>
      <c r="H74" s="207"/>
      <c r="I74" s="207"/>
      <c r="J74" s="207"/>
      <c r="K74" s="207"/>
      <c r="L74" s="207"/>
      <c r="M74" s="207"/>
      <c r="N74" s="207"/>
      <c r="O74" s="207"/>
      <c r="P74" s="207"/>
      <c r="Q74" s="207"/>
      <c r="R74" s="207"/>
      <c r="S74" s="207"/>
    </row>
    <row r="75" spans="1:19" ht="205.35" customHeight="1" x14ac:dyDescent="0.25">
      <c r="A75" s="293" t="s">
        <v>472</v>
      </c>
      <c r="B75" s="973" t="s">
        <v>1188</v>
      </c>
      <c r="C75" s="962" t="s">
        <v>447</v>
      </c>
      <c r="D75" s="957" t="s">
        <v>448</v>
      </c>
      <c r="E75" s="964" t="s">
        <v>1191</v>
      </c>
      <c r="F75" s="965" t="s">
        <v>1194</v>
      </c>
      <c r="G75" s="964" t="s">
        <v>444</v>
      </c>
      <c r="H75" s="207"/>
      <c r="I75" s="207"/>
      <c r="J75" s="207"/>
      <c r="K75" s="207"/>
      <c r="L75" s="207"/>
      <c r="M75" s="207"/>
      <c r="N75" s="207"/>
      <c r="O75" s="207"/>
      <c r="P75" s="207"/>
      <c r="Q75" s="207"/>
      <c r="R75" s="207"/>
      <c r="S75" s="207"/>
    </row>
    <row r="76" spans="1:19" ht="152.44999999999999" customHeight="1" x14ac:dyDescent="0.25">
      <c r="A76" s="293" t="s">
        <v>472</v>
      </c>
      <c r="B76" s="973" t="s">
        <v>1188</v>
      </c>
      <c r="C76" s="962" t="s">
        <v>449</v>
      </c>
      <c r="D76" s="957" t="s">
        <v>450</v>
      </c>
      <c r="E76" s="964" t="s">
        <v>1191</v>
      </c>
      <c r="F76" s="965" t="s">
        <v>1195</v>
      </c>
      <c r="G76" s="964" t="s">
        <v>451</v>
      </c>
      <c r="H76" s="207"/>
      <c r="I76" s="207"/>
      <c r="J76" s="207"/>
      <c r="K76" s="207"/>
      <c r="L76" s="207"/>
      <c r="M76" s="207"/>
      <c r="N76" s="207"/>
      <c r="O76" s="207"/>
      <c r="P76" s="207"/>
      <c r="Q76" s="207"/>
      <c r="R76" s="207"/>
      <c r="S76" s="207"/>
    </row>
    <row r="77" spans="1:19" ht="81" x14ac:dyDescent="0.25">
      <c r="A77" s="293" t="s">
        <v>472</v>
      </c>
      <c r="B77" s="973" t="s">
        <v>1188</v>
      </c>
      <c r="C77" s="962" t="s">
        <v>452</v>
      </c>
      <c r="D77" s="957" t="s">
        <v>453</v>
      </c>
      <c r="E77" s="964" t="s">
        <v>1191</v>
      </c>
      <c r="F77" s="965" t="s">
        <v>1196</v>
      </c>
      <c r="G77" s="964" t="s">
        <v>451</v>
      </c>
      <c r="H77" s="207"/>
      <c r="I77" s="207"/>
      <c r="J77" s="207"/>
      <c r="K77" s="207"/>
      <c r="L77" s="207"/>
      <c r="M77" s="207"/>
      <c r="N77" s="207"/>
      <c r="O77" s="207"/>
      <c r="P77" s="207"/>
      <c r="Q77" s="207"/>
      <c r="R77" s="207"/>
      <c r="S77" s="207"/>
    </row>
    <row r="78" spans="1:19" ht="43.35" customHeight="1" x14ac:dyDescent="0.25">
      <c r="A78" s="293" t="s">
        <v>472</v>
      </c>
      <c r="B78" s="973" t="s">
        <v>1188</v>
      </c>
      <c r="C78" s="962" t="s">
        <v>454</v>
      </c>
      <c r="D78" s="957" t="s">
        <v>455</v>
      </c>
      <c r="E78" s="964" t="s">
        <v>456</v>
      </c>
      <c r="F78" s="964"/>
      <c r="G78" s="964" t="s">
        <v>457</v>
      </c>
      <c r="H78" s="207"/>
      <c r="I78" s="207"/>
      <c r="J78" s="207"/>
      <c r="K78" s="207"/>
      <c r="L78" s="207"/>
      <c r="M78" s="207"/>
      <c r="N78" s="207"/>
      <c r="O78" s="207"/>
      <c r="P78" s="207"/>
      <c r="Q78" s="207"/>
      <c r="R78" s="207"/>
      <c r="S78" s="207"/>
    </row>
    <row r="79" spans="1:19" ht="64.7" customHeight="1" x14ac:dyDescent="0.25">
      <c r="A79" s="293" t="s">
        <v>472</v>
      </c>
      <c r="B79" s="973" t="s">
        <v>1188</v>
      </c>
      <c r="C79" s="962" t="s">
        <v>458</v>
      </c>
      <c r="D79" s="957" t="s">
        <v>459</v>
      </c>
      <c r="E79" s="964" t="s">
        <v>456</v>
      </c>
      <c r="F79" s="964"/>
      <c r="G79" s="964" t="s">
        <v>444</v>
      </c>
      <c r="H79" s="207"/>
      <c r="I79" s="207"/>
      <c r="J79" s="207"/>
      <c r="K79" s="207"/>
      <c r="L79" s="207"/>
      <c r="M79" s="207"/>
      <c r="N79" s="207"/>
      <c r="O79" s="207"/>
      <c r="P79" s="207"/>
      <c r="Q79" s="207"/>
      <c r="R79" s="207"/>
      <c r="S79" s="207"/>
    </row>
    <row r="80" spans="1:19" ht="86.45" customHeight="1" x14ac:dyDescent="0.25">
      <c r="A80" s="293" t="s">
        <v>472</v>
      </c>
      <c r="B80" s="973" t="s">
        <v>1197</v>
      </c>
      <c r="C80" s="962" t="s">
        <v>1120</v>
      </c>
      <c r="D80" s="957" t="s">
        <v>1121</v>
      </c>
      <c r="E80" s="964" t="s">
        <v>1198</v>
      </c>
      <c r="F80" s="964"/>
      <c r="G80" s="959"/>
      <c r="H80" s="207"/>
      <c r="I80" s="207"/>
      <c r="J80" s="207"/>
      <c r="K80" s="207"/>
      <c r="L80" s="207"/>
      <c r="M80" s="207"/>
      <c r="N80" s="207"/>
      <c r="O80" s="207"/>
      <c r="P80" s="207"/>
      <c r="Q80" s="207"/>
      <c r="R80" s="207"/>
      <c r="S80" s="207"/>
    </row>
    <row r="81" spans="1:19" ht="64.7" customHeight="1" x14ac:dyDescent="0.25">
      <c r="A81" s="293" t="s">
        <v>472</v>
      </c>
      <c r="B81" s="973" t="s">
        <v>1197</v>
      </c>
      <c r="C81" s="962" t="s">
        <v>460</v>
      </c>
      <c r="D81" s="957" t="s">
        <v>1199</v>
      </c>
      <c r="E81" s="964" t="s">
        <v>1200</v>
      </c>
      <c r="F81" s="964"/>
      <c r="G81" s="964" t="s">
        <v>1201</v>
      </c>
      <c r="H81" s="207"/>
      <c r="I81" s="207"/>
      <c r="J81" s="207"/>
      <c r="K81" s="207"/>
      <c r="L81" s="207"/>
      <c r="M81" s="207"/>
      <c r="N81" s="207"/>
      <c r="O81" s="207"/>
      <c r="P81" s="207"/>
      <c r="Q81" s="207"/>
      <c r="R81" s="207"/>
      <c r="S81" s="207"/>
    </row>
    <row r="82" spans="1:19" ht="54" customHeight="1" x14ac:dyDescent="0.25">
      <c r="A82" s="293" t="s">
        <v>472</v>
      </c>
      <c r="B82" s="973" t="s">
        <v>1197</v>
      </c>
      <c r="C82" s="962" t="s">
        <v>461</v>
      </c>
      <c r="D82" s="957" t="s">
        <v>1202</v>
      </c>
      <c r="E82" s="964" t="s">
        <v>1200</v>
      </c>
      <c r="F82" s="964"/>
      <c r="G82" s="964" t="s">
        <v>462</v>
      </c>
      <c r="H82" s="207"/>
      <c r="I82" s="207"/>
      <c r="J82" s="207"/>
      <c r="K82" s="207"/>
      <c r="L82" s="207"/>
      <c r="M82" s="207"/>
      <c r="N82" s="207"/>
      <c r="O82" s="207"/>
      <c r="P82" s="207"/>
      <c r="Q82" s="207"/>
      <c r="R82" s="207"/>
      <c r="S82" s="207"/>
    </row>
    <row r="83" spans="1:19" ht="94.5" x14ac:dyDescent="0.25">
      <c r="A83" s="293" t="s">
        <v>472</v>
      </c>
      <c r="B83" s="973" t="s">
        <v>1203</v>
      </c>
      <c r="C83" s="962" t="s">
        <v>463</v>
      </c>
      <c r="D83" s="957" t="s">
        <v>1204</v>
      </c>
      <c r="E83" s="975" t="s">
        <v>464</v>
      </c>
      <c r="F83" s="964"/>
      <c r="G83" s="964" t="s">
        <v>465</v>
      </c>
      <c r="H83" s="207"/>
      <c r="I83" s="207"/>
      <c r="J83" s="207"/>
      <c r="K83" s="207"/>
      <c r="L83" s="207"/>
      <c r="M83" s="207"/>
      <c r="N83" s="207"/>
      <c r="O83" s="207"/>
      <c r="P83" s="207"/>
      <c r="Q83" s="207"/>
      <c r="R83" s="207"/>
      <c r="S83" s="207"/>
    </row>
    <row r="84" spans="1:19" ht="54" x14ac:dyDescent="0.25">
      <c r="A84" s="293" t="s">
        <v>472</v>
      </c>
      <c r="B84" s="973" t="s">
        <v>1197</v>
      </c>
      <c r="C84" s="962" t="s">
        <v>463</v>
      </c>
      <c r="D84" s="957" t="s">
        <v>1205</v>
      </c>
      <c r="E84" s="975" t="s">
        <v>1206</v>
      </c>
      <c r="F84" s="965"/>
      <c r="G84" s="964" t="s">
        <v>1201</v>
      </c>
      <c r="H84" s="207"/>
      <c r="I84" s="207"/>
      <c r="J84" s="207"/>
      <c r="K84" s="207"/>
      <c r="L84" s="207"/>
      <c r="M84" s="207"/>
      <c r="N84" s="207"/>
      <c r="O84" s="207"/>
      <c r="P84" s="207"/>
      <c r="Q84" s="207"/>
      <c r="R84" s="207"/>
      <c r="S84" s="207"/>
    </row>
    <row r="85" spans="1:19" ht="40.5" x14ac:dyDescent="0.25">
      <c r="A85" s="293" t="s">
        <v>472</v>
      </c>
      <c r="B85" s="973" t="s">
        <v>1197</v>
      </c>
      <c r="C85" s="962" t="s">
        <v>1207</v>
      </c>
      <c r="D85" s="964" t="s">
        <v>1208</v>
      </c>
      <c r="E85" s="964" t="s">
        <v>1206</v>
      </c>
      <c r="F85" s="964"/>
      <c r="G85" s="976" t="s">
        <v>412</v>
      </c>
      <c r="H85" s="207"/>
      <c r="I85" s="207"/>
      <c r="J85" s="207"/>
      <c r="K85" s="207"/>
      <c r="L85" s="207"/>
      <c r="M85" s="207"/>
      <c r="N85" s="207"/>
      <c r="O85" s="207"/>
      <c r="P85" s="207"/>
      <c r="Q85" s="207"/>
      <c r="R85" s="207"/>
      <c r="S85" s="207"/>
    </row>
    <row r="86" spans="1:19" ht="64.7" customHeight="1" x14ac:dyDescent="0.25">
      <c r="A86" s="293" t="s">
        <v>472</v>
      </c>
      <c r="B86" s="973" t="s">
        <v>1197</v>
      </c>
      <c r="C86" s="962" t="s">
        <v>466</v>
      </c>
      <c r="D86" s="957" t="s">
        <v>1209</v>
      </c>
      <c r="E86" s="964" t="s">
        <v>467</v>
      </c>
      <c r="F86" s="965"/>
      <c r="G86" s="959"/>
      <c r="H86" s="207"/>
      <c r="I86" s="207"/>
      <c r="J86" s="207"/>
      <c r="K86" s="207"/>
      <c r="L86" s="207"/>
      <c r="M86" s="207"/>
      <c r="N86" s="207"/>
      <c r="O86" s="207"/>
      <c r="P86" s="207"/>
      <c r="Q86" s="207"/>
      <c r="R86" s="207"/>
      <c r="S86" s="207"/>
    </row>
    <row r="87" spans="1:19" ht="64.7" customHeight="1" x14ac:dyDescent="0.25">
      <c r="A87" s="293" t="s">
        <v>1184</v>
      </c>
      <c r="B87" s="977" t="s">
        <v>1210</v>
      </c>
      <c r="C87" s="962" t="s">
        <v>468</v>
      </c>
      <c r="D87" s="957" t="s">
        <v>469</v>
      </c>
      <c r="E87" s="964" t="s">
        <v>470</v>
      </c>
      <c r="F87" s="964"/>
      <c r="G87" s="964" t="s">
        <v>471</v>
      </c>
      <c r="H87" s="207"/>
      <c r="I87" s="207"/>
      <c r="J87" s="207"/>
      <c r="K87" s="207"/>
      <c r="L87" s="207"/>
      <c r="M87" s="207"/>
      <c r="N87" s="207"/>
      <c r="O87" s="207"/>
      <c r="P87" s="207"/>
      <c r="Q87" s="207"/>
      <c r="R87" s="207"/>
      <c r="S87" s="207"/>
    </row>
    <row r="88" spans="1:19" ht="54" customHeight="1" x14ac:dyDescent="0.25">
      <c r="A88" s="293" t="s">
        <v>472</v>
      </c>
      <c r="B88" s="973" t="s">
        <v>473</v>
      </c>
      <c r="C88" s="962" t="s">
        <v>1120</v>
      </c>
      <c r="D88" s="957" t="s">
        <v>1121</v>
      </c>
      <c r="E88" s="964" t="s">
        <v>1211</v>
      </c>
      <c r="F88" s="964"/>
      <c r="G88" s="959"/>
      <c r="H88" s="207"/>
      <c r="I88" s="207"/>
      <c r="J88" s="207"/>
      <c r="K88" s="207"/>
      <c r="L88" s="207"/>
      <c r="M88" s="207"/>
      <c r="N88" s="207"/>
      <c r="O88" s="207"/>
      <c r="P88" s="207"/>
      <c r="Q88" s="207"/>
      <c r="R88" s="207"/>
      <c r="S88" s="207"/>
    </row>
    <row r="89" spans="1:19" ht="102" customHeight="1" x14ac:dyDescent="0.25">
      <c r="A89" s="294" t="s">
        <v>472</v>
      </c>
      <c r="B89" s="977" t="s">
        <v>473</v>
      </c>
      <c r="C89" s="962" t="s">
        <v>474</v>
      </c>
      <c r="D89" s="957" t="s">
        <v>475</v>
      </c>
      <c r="E89" s="964" t="s">
        <v>1212</v>
      </c>
      <c r="F89" s="965" t="s">
        <v>1213</v>
      </c>
      <c r="G89" s="964" t="s">
        <v>412</v>
      </c>
      <c r="H89" s="207"/>
      <c r="I89" s="207"/>
      <c r="J89" s="207"/>
      <c r="K89" s="207"/>
      <c r="L89" s="207"/>
      <c r="M89" s="207"/>
      <c r="N89" s="207"/>
      <c r="O89" s="207"/>
      <c r="P89" s="207"/>
      <c r="Q89" s="207"/>
      <c r="R89" s="207"/>
      <c r="S89" s="207"/>
    </row>
    <row r="90" spans="1:19" ht="81.75" thickBot="1" x14ac:dyDescent="0.3">
      <c r="A90" s="294" t="s">
        <v>472</v>
      </c>
      <c r="B90" s="977" t="s">
        <v>473</v>
      </c>
      <c r="C90" s="972" t="s">
        <v>1214</v>
      </c>
      <c r="D90" s="961" t="s">
        <v>1215</v>
      </c>
      <c r="E90" s="965" t="s">
        <v>1216</v>
      </c>
      <c r="F90" s="965" t="s">
        <v>1217</v>
      </c>
      <c r="G90" s="959"/>
      <c r="H90" s="207"/>
      <c r="I90" s="207"/>
      <c r="J90" s="207"/>
      <c r="K90" s="207"/>
      <c r="L90" s="207"/>
      <c r="M90" s="207"/>
      <c r="N90" s="207"/>
      <c r="O90" s="207"/>
      <c r="P90" s="207"/>
      <c r="Q90" s="207"/>
      <c r="R90" s="207"/>
      <c r="S90" s="207"/>
    </row>
    <row r="91" spans="1:19" x14ac:dyDescent="0.25">
      <c r="A91" s="295" t="s">
        <v>476</v>
      </c>
      <c r="B91" s="978" t="s">
        <v>1218</v>
      </c>
      <c r="C91" s="966" t="s">
        <v>1120</v>
      </c>
      <c r="D91" s="957" t="s">
        <v>1121</v>
      </c>
      <c r="E91" s="964" t="s">
        <v>477</v>
      </c>
      <c r="F91" s="964"/>
      <c r="G91" s="959"/>
      <c r="H91" s="207"/>
      <c r="I91" s="207"/>
      <c r="J91" s="207"/>
      <c r="K91" s="207"/>
      <c r="L91" s="207"/>
      <c r="M91" s="207"/>
      <c r="N91" s="207"/>
      <c r="O91" s="207"/>
      <c r="P91" s="207"/>
      <c r="Q91" s="207"/>
      <c r="R91" s="207"/>
      <c r="S91" s="207"/>
    </row>
    <row r="92" spans="1:19" ht="105.6" customHeight="1" x14ac:dyDescent="0.25">
      <c r="A92" s="293" t="s">
        <v>476</v>
      </c>
      <c r="B92" s="973" t="s">
        <v>1218</v>
      </c>
      <c r="C92" s="962" t="s">
        <v>478</v>
      </c>
      <c r="D92" s="957" t="s">
        <v>479</v>
      </c>
      <c r="E92" s="964" t="s">
        <v>480</v>
      </c>
      <c r="F92" s="965" t="s">
        <v>1219</v>
      </c>
      <c r="G92" s="964" t="s">
        <v>481</v>
      </c>
      <c r="H92" s="207"/>
      <c r="I92" s="207"/>
      <c r="J92" s="207"/>
      <c r="K92" s="207"/>
      <c r="L92" s="207"/>
      <c r="M92" s="207"/>
      <c r="N92" s="207"/>
      <c r="O92" s="207"/>
      <c r="P92" s="207"/>
      <c r="Q92" s="207"/>
      <c r="R92" s="207"/>
      <c r="S92" s="207"/>
    </row>
    <row r="93" spans="1:19" ht="40.5" x14ac:dyDescent="0.25">
      <c r="A93" s="293" t="s">
        <v>476</v>
      </c>
      <c r="B93" s="973" t="s">
        <v>1218</v>
      </c>
      <c r="C93" s="972" t="s">
        <v>1220</v>
      </c>
      <c r="D93" s="961" t="s">
        <v>1221</v>
      </c>
      <c r="E93" s="965" t="s">
        <v>1222</v>
      </c>
      <c r="F93" s="965" t="s">
        <v>1223</v>
      </c>
      <c r="G93" s="959"/>
      <c r="H93" s="207"/>
      <c r="I93" s="207"/>
      <c r="J93" s="207"/>
      <c r="K93" s="207"/>
      <c r="L93" s="207"/>
      <c r="M93" s="207"/>
      <c r="N93" s="207"/>
      <c r="O93" s="207"/>
      <c r="P93" s="207"/>
      <c r="Q93" s="207"/>
      <c r="R93" s="207"/>
      <c r="S93" s="207"/>
    </row>
    <row r="94" spans="1:19" ht="27" x14ac:dyDescent="0.25">
      <c r="A94" s="293" t="s">
        <v>476</v>
      </c>
      <c r="B94" s="973" t="s">
        <v>1218</v>
      </c>
      <c r="C94" s="972" t="s">
        <v>1224</v>
      </c>
      <c r="D94" s="961" t="s">
        <v>1225</v>
      </c>
      <c r="E94" s="965"/>
      <c r="F94" s="965" t="s">
        <v>1226</v>
      </c>
      <c r="G94" s="959"/>
      <c r="H94" s="207"/>
      <c r="I94" s="207"/>
      <c r="J94" s="207"/>
      <c r="K94" s="207"/>
      <c r="L94" s="207"/>
      <c r="M94" s="207"/>
      <c r="N94" s="207"/>
      <c r="O94" s="207"/>
      <c r="P94" s="207"/>
      <c r="Q94" s="207"/>
      <c r="R94" s="207"/>
      <c r="S94" s="207"/>
    </row>
    <row r="95" spans="1:19" ht="54" x14ac:dyDescent="0.25">
      <c r="A95" s="293" t="s">
        <v>1184</v>
      </c>
      <c r="B95" s="973" t="s">
        <v>1227</v>
      </c>
      <c r="C95" s="972" t="s">
        <v>482</v>
      </c>
      <c r="D95" s="957" t="s">
        <v>483</v>
      </c>
      <c r="E95" s="964" t="s">
        <v>1228</v>
      </c>
      <c r="F95" s="964"/>
      <c r="G95" s="964" t="s">
        <v>484</v>
      </c>
      <c r="H95" s="207"/>
      <c r="I95" s="207"/>
      <c r="J95" s="207"/>
      <c r="K95" s="207"/>
      <c r="L95" s="207"/>
      <c r="M95" s="207"/>
      <c r="N95" s="207"/>
      <c r="O95" s="207"/>
      <c r="P95" s="207"/>
      <c r="Q95" s="207"/>
      <c r="R95" s="207"/>
      <c r="S95" s="207"/>
    </row>
    <row r="96" spans="1:19" ht="40.5" x14ac:dyDescent="0.25">
      <c r="A96" s="293" t="s">
        <v>476</v>
      </c>
      <c r="B96" s="973" t="s">
        <v>1229</v>
      </c>
      <c r="C96" s="962" t="s">
        <v>1120</v>
      </c>
      <c r="D96" s="957" t="s">
        <v>1121</v>
      </c>
      <c r="E96" s="964" t="s">
        <v>1230</v>
      </c>
      <c r="F96" s="964"/>
      <c r="G96" s="959"/>
      <c r="H96" s="207"/>
      <c r="I96" s="207"/>
      <c r="J96" s="207"/>
      <c r="K96" s="207"/>
      <c r="L96" s="207"/>
      <c r="M96" s="207"/>
      <c r="N96" s="207"/>
      <c r="O96" s="207"/>
      <c r="P96" s="207"/>
      <c r="Q96" s="207"/>
      <c r="R96" s="207"/>
      <c r="S96" s="207"/>
    </row>
    <row r="97" spans="1:19" ht="108" x14ac:dyDescent="0.25">
      <c r="A97" s="293" t="s">
        <v>476</v>
      </c>
      <c r="B97" s="973" t="s">
        <v>1229</v>
      </c>
      <c r="C97" s="962" t="s">
        <v>485</v>
      </c>
      <c r="D97" s="957" t="s">
        <v>486</v>
      </c>
      <c r="E97" s="964" t="s">
        <v>1231</v>
      </c>
      <c r="F97" s="974"/>
      <c r="G97" s="964" t="s">
        <v>487</v>
      </c>
      <c r="H97" s="207"/>
      <c r="I97" s="207"/>
      <c r="J97" s="207"/>
      <c r="K97" s="207"/>
      <c r="L97" s="207"/>
      <c r="M97" s="207"/>
      <c r="N97" s="207"/>
      <c r="O97" s="207"/>
      <c r="P97" s="207"/>
      <c r="Q97" s="207"/>
      <c r="R97" s="207"/>
      <c r="S97" s="207"/>
    </row>
    <row r="98" spans="1:19" ht="54" x14ac:dyDescent="0.25">
      <c r="A98" s="293" t="s">
        <v>476</v>
      </c>
      <c r="B98" s="973" t="s">
        <v>1229</v>
      </c>
      <c r="C98" s="962" t="s">
        <v>488</v>
      </c>
      <c r="D98" s="957" t="s">
        <v>489</v>
      </c>
      <c r="E98" s="964" t="s">
        <v>1232</v>
      </c>
      <c r="F98" s="964"/>
      <c r="G98" s="964" t="s">
        <v>487</v>
      </c>
      <c r="H98" s="207"/>
      <c r="I98" s="207"/>
      <c r="J98" s="207"/>
      <c r="K98" s="207"/>
      <c r="L98" s="207"/>
      <c r="M98" s="207"/>
      <c r="N98" s="207"/>
      <c r="O98" s="207"/>
      <c r="P98" s="207"/>
      <c r="Q98" s="207"/>
      <c r="R98" s="207"/>
      <c r="S98" s="207"/>
    </row>
    <row r="99" spans="1:19" ht="54" x14ac:dyDescent="0.25">
      <c r="A99" s="293" t="s">
        <v>476</v>
      </c>
      <c r="B99" s="973" t="s">
        <v>1229</v>
      </c>
      <c r="C99" s="962" t="s">
        <v>490</v>
      </c>
      <c r="D99" s="957" t="s">
        <v>491</v>
      </c>
      <c r="E99" s="964" t="s">
        <v>1232</v>
      </c>
      <c r="F99" s="964"/>
      <c r="G99" s="964" t="s">
        <v>487</v>
      </c>
      <c r="H99" s="207"/>
      <c r="I99" s="207"/>
      <c r="J99" s="207"/>
      <c r="K99" s="207"/>
      <c r="L99" s="207"/>
      <c r="M99" s="207"/>
      <c r="N99" s="207"/>
      <c r="O99" s="207"/>
      <c r="P99" s="207"/>
      <c r="Q99" s="207"/>
      <c r="R99" s="207"/>
      <c r="S99" s="207"/>
    </row>
    <row r="100" spans="1:19" ht="190.7" customHeight="1" x14ac:dyDescent="0.25">
      <c r="A100" s="293" t="s">
        <v>476</v>
      </c>
      <c r="B100" s="973" t="s">
        <v>1229</v>
      </c>
      <c r="C100" s="962" t="s">
        <v>492</v>
      </c>
      <c r="D100" s="957" t="s">
        <v>493</v>
      </c>
      <c r="E100" s="964" t="s">
        <v>1233</v>
      </c>
      <c r="F100" s="965" t="s">
        <v>1234</v>
      </c>
      <c r="G100" s="964" t="s">
        <v>487</v>
      </c>
      <c r="H100" s="207"/>
      <c r="I100" s="207"/>
      <c r="J100" s="207"/>
      <c r="K100" s="207"/>
      <c r="L100" s="207"/>
      <c r="M100" s="207"/>
      <c r="N100" s="207"/>
      <c r="O100" s="207"/>
      <c r="P100" s="207"/>
      <c r="Q100" s="207"/>
      <c r="R100" s="207"/>
      <c r="S100" s="207"/>
    </row>
    <row r="101" spans="1:19" ht="40.5" x14ac:dyDescent="0.25">
      <c r="A101" s="293" t="s">
        <v>476</v>
      </c>
      <c r="B101" s="973" t="s">
        <v>1229</v>
      </c>
      <c r="C101" s="962" t="s">
        <v>494</v>
      </c>
      <c r="D101" s="957" t="s">
        <v>495</v>
      </c>
      <c r="E101" s="964" t="s">
        <v>1233</v>
      </c>
      <c r="F101" s="964"/>
      <c r="G101" s="964" t="s">
        <v>487</v>
      </c>
      <c r="H101" s="207"/>
      <c r="I101" s="207"/>
      <c r="J101" s="207"/>
      <c r="K101" s="207"/>
      <c r="L101" s="207"/>
      <c r="M101" s="207"/>
      <c r="N101" s="207"/>
      <c r="O101" s="207"/>
      <c r="P101" s="207"/>
      <c r="Q101" s="207"/>
      <c r="R101" s="207"/>
      <c r="S101" s="207"/>
    </row>
    <row r="102" spans="1:19" ht="40.5" x14ac:dyDescent="0.25">
      <c r="A102" s="293" t="s">
        <v>476</v>
      </c>
      <c r="B102" s="973" t="s">
        <v>1229</v>
      </c>
      <c r="C102" s="962" t="s">
        <v>496</v>
      </c>
      <c r="D102" s="957" t="s">
        <v>497</v>
      </c>
      <c r="E102" s="964" t="s">
        <v>1233</v>
      </c>
      <c r="F102" s="964"/>
      <c r="G102" s="964" t="s">
        <v>487</v>
      </c>
      <c r="H102" s="207"/>
      <c r="I102" s="207"/>
      <c r="J102" s="207"/>
      <c r="K102" s="207"/>
      <c r="L102" s="207"/>
      <c r="M102" s="207"/>
      <c r="N102" s="207"/>
      <c r="O102" s="207"/>
      <c r="P102" s="207"/>
      <c r="Q102" s="207"/>
      <c r="R102" s="207"/>
      <c r="S102" s="207"/>
    </row>
    <row r="103" spans="1:19" ht="40.5" x14ac:dyDescent="0.25">
      <c r="A103" s="293" t="s">
        <v>476</v>
      </c>
      <c r="B103" s="973" t="s">
        <v>1229</v>
      </c>
      <c r="C103" s="962" t="s">
        <v>498</v>
      </c>
      <c r="D103" s="957" t="s">
        <v>499</v>
      </c>
      <c r="E103" s="964" t="s">
        <v>1233</v>
      </c>
      <c r="F103" s="965"/>
      <c r="G103" s="964" t="s">
        <v>487</v>
      </c>
      <c r="H103" s="207"/>
      <c r="I103" s="207"/>
      <c r="J103" s="207"/>
      <c r="K103" s="207"/>
      <c r="L103" s="207"/>
      <c r="M103" s="207"/>
      <c r="N103" s="207"/>
      <c r="O103" s="207"/>
      <c r="P103" s="207"/>
      <c r="Q103" s="207"/>
      <c r="R103" s="207"/>
      <c r="S103" s="207"/>
    </row>
    <row r="104" spans="1:19" ht="67.5" x14ac:dyDescent="0.25">
      <c r="A104" s="293" t="s">
        <v>476</v>
      </c>
      <c r="B104" s="973" t="s">
        <v>1229</v>
      </c>
      <c r="C104" s="972" t="s">
        <v>1235</v>
      </c>
      <c r="D104" s="961" t="s">
        <v>1236</v>
      </c>
      <c r="E104" s="965" t="s">
        <v>1237</v>
      </c>
      <c r="F104" s="965" t="s">
        <v>1238</v>
      </c>
      <c r="G104" s="959"/>
      <c r="H104" s="207"/>
      <c r="I104" s="207"/>
      <c r="J104" s="207"/>
      <c r="K104" s="207"/>
      <c r="L104" s="207"/>
      <c r="M104" s="207"/>
      <c r="N104" s="207"/>
      <c r="O104" s="207"/>
      <c r="P104" s="207"/>
      <c r="Q104" s="207"/>
      <c r="R104" s="207"/>
      <c r="S104" s="207"/>
    </row>
    <row r="105" spans="1:19" ht="54" x14ac:dyDescent="0.25">
      <c r="A105" s="293" t="s">
        <v>476</v>
      </c>
      <c r="B105" s="973" t="s">
        <v>1229</v>
      </c>
      <c r="C105" s="972" t="s">
        <v>1239</v>
      </c>
      <c r="D105" s="961" t="s">
        <v>1240</v>
      </c>
      <c r="E105" s="965" t="s">
        <v>1241</v>
      </c>
      <c r="F105" s="965"/>
      <c r="G105" s="965" t="s">
        <v>487</v>
      </c>
      <c r="H105" s="207"/>
      <c r="I105" s="207"/>
      <c r="J105" s="207"/>
      <c r="K105" s="207"/>
      <c r="L105" s="207"/>
      <c r="M105" s="207"/>
      <c r="N105" s="207"/>
      <c r="O105" s="207"/>
      <c r="P105" s="207"/>
      <c r="Q105" s="207"/>
      <c r="R105" s="207"/>
      <c r="S105" s="207"/>
    </row>
    <row r="106" spans="1:19" ht="25.5" x14ac:dyDescent="0.25">
      <c r="A106" s="293" t="s">
        <v>476</v>
      </c>
      <c r="B106" s="973" t="s">
        <v>1229</v>
      </c>
      <c r="C106" s="972" t="s">
        <v>1242</v>
      </c>
      <c r="D106" s="961" t="s">
        <v>1243</v>
      </c>
      <c r="E106" s="965"/>
      <c r="F106" s="965" t="s">
        <v>1244</v>
      </c>
      <c r="G106" s="959"/>
      <c r="H106" s="207"/>
      <c r="I106" s="207"/>
      <c r="J106" s="207"/>
      <c r="K106" s="207"/>
      <c r="L106" s="207"/>
      <c r="M106" s="207"/>
      <c r="N106" s="207"/>
      <c r="O106" s="207"/>
      <c r="P106" s="207"/>
      <c r="Q106" s="207"/>
      <c r="R106" s="207"/>
      <c r="S106" s="207"/>
    </row>
    <row r="107" spans="1:19" ht="54" x14ac:dyDescent="0.25">
      <c r="A107" s="293" t="s">
        <v>476</v>
      </c>
      <c r="B107" s="973" t="s">
        <v>1245</v>
      </c>
      <c r="C107" s="962" t="s">
        <v>1120</v>
      </c>
      <c r="D107" s="957" t="s">
        <v>1121</v>
      </c>
      <c r="E107" s="964" t="s">
        <v>1246</v>
      </c>
      <c r="F107" s="964"/>
      <c r="G107" s="959"/>
      <c r="H107" s="207"/>
      <c r="I107" s="207"/>
      <c r="J107" s="207"/>
      <c r="K107" s="207"/>
      <c r="L107" s="207"/>
      <c r="M107" s="207"/>
      <c r="N107" s="207"/>
      <c r="O107" s="207"/>
      <c r="P107" s="207"/>
      <c r="Q107" s="207"/>
      <c r="R107" s="207"/>
      <c r="S107" s="207"/>
    </row>
    <row r="108" spans="1:19" ht="99.6" customHeight="1" x14ac:dyDescent="0.25">
      <c r="A108" s="293" t="s">
        <v>476</v>
      </c>
      <c r="B108" s="973" t="s">
        <v>1245</v>
      </c>
      <c r="C108" s="972" t="s">
        <v>1247</v>
      </c>
      <c r="D108" s="961" t="s">
        <v>1248</v>
      </c>
      <c r="E108" s="965" t="s">
        <v>502</v>
      </c>
      <c r="F108" s="965" t="s">
        <v>1249</v>
      </c>
      <c r="G108" s="965" t="s">
        <v>503</v>
      </c>
      <c r="H108" s="207"/>
      <c r="I108" s="207"/>
      <c r="J108" s="207"/>
      <c r="K108" s="207"/>
      <c r="L108" s="207"/>
      <c r="M108" s="207"/>
      <c r="N108" s="207"/>
      <c r="O108" s="207"/>
      <c r="P108" s="207"/>
      <c r="Q108" s="207"/>
      <c r="R108" s="207"/>
      <c r="S108" s="207"/>
    </row>
    <row r="109" spans="1:19" ht="40.5" x14ac:dyDescent="0.25">
      <c r="A109" s="293" t="s">
        <v>476</v>
      </c>
      <c r="B109" s="973" t="s">
        <v>1245</v>
      </c>
      <c r="C109" s="962" t="s">
        <v>500</v>
      </c>
      <c r="D109" s="957" t="s">
        <v>501</v>
      </c>
      <c r="E109" s="965" t="s">
        <v>480</v>
      </c>
      <c r="F109" s="965" t="s">
        <v>1250</v>
      </c>
      <c r="G109" s="959"/>
      <c r="H109" s="207"/>
      <c r="I109" s="207"/>
      <c r="J109" s="207"/>
      <c r="K109" s="207"/>
      <c r="L109" s="207"/>
      <c r="M109" s="207"/>
      <c r="N109" s="207"/>
      <c r="O109" s="207"/>
      <c r="P109" s="207"/>
      <c r="Q109" s="207"/>
      <c r="R109" s="207"/>
      <c r="S109" s="207"/>
    </row>
    <row r="110" spans="1:19" ht="40.5" x14ac:dyDescent="0.25">
      <c r="A110" s="293" t="s">
        <v>476</v>
      </c>
      <c r="B110" s="973" t="s">
        <v>1245</v>
      </c>
      <c r="C110" s="972" t="s">
        <v>1251</v>
      </c>
      <c r="D110" s="961" t="s">
        <v>1252</v>
      </c>
      <c r="E110" s="965" t="s">
        <v>480</v>
      </c>
      <c r="F110" s="965" t="s">
        <v>1253</v>
      </c>
      <c r="G110" s="959"/>
      <c r="H110" s="207"/>
      <c r="I110" s="207"/>
      <c r="J110" s="207"/>
      <c r="K110" s="207"/>
      <c r="L110" s="207"/>
      <c r="M110" s="207"/>
      <c r="N110" s="207"/>
      <c r="O110" s="207"/>
      <c r="P110" s="207"/>
      <c r="Q110" s="207"/>
      <c r="R110" s="207"/>
      <c r="S110" s="207"/>
    </row>
    <row r="111" spans="1:19" ht="33.6" customHeight="1" x14ac:dyDescent="0.25">
      <c r="A111" s="293" t="s">
        <v>476</v>
      </c>
      <c r="B111" s="973" t="s">
        <v>1254</v>
      </c>
      <c r="C111" s="962" t="s">
        <v>1120</v>
      </c>
      <c r="D111" s="957" t="s">
        <v>1121</v>
      </c>
      <c r="E111" s="964" t="s">
        <v>477</v>
      </c>
      <c r="F111" s="964"/>
      <c r="G111" s="959"/>
      <c r="H111" s="207"/>
      <c r="I111" s="207"/>
      <c r="J111" s="207"/>
      <c r="K111" s="207"/>
      <c r="L111" s="207"/>
      <c r="M111" s="207"/>
      <c r="N111" s="207"/>
      <c r="O111" s="207"/>
      <c r="P111" s="207"/>
      <c r="Q111" s="207"/>
      <c r="R111" s="207"/>
      <c r="S111" s="207"/>
    </row>
    <row r="112" spans="1:19" ht="162" customHeight="1" x14ac:dyDescent="0.25">
      <c r="A112" s="293" t="s">
        <v>476</v>
      </c>
      <c r="B112" s="973" t="s">
        <v>1254</v>
      </c>
      <c r="C112" s="962" t="s">
        <v>504</v>
      </c>
      <c r="D112" s="957" t="s">
        <v>505</v>
      </c>
      <c r="E112" s="964" t="s">
        <v>506</v>
      </c>
      <c r="F112" s="965" t="s">
        <v>1255</v>
      </c>
      <c r="G112" s="964" t="s">
        <v>507</v>
      </c>
      <c r="H112" s="207"/>
      <c r="I112" s="207"/>
      <c r="J112" s="207"/>
      <c r="K112" s="207"/>
      <c r="L112" s="207"/>
      <c r="M112" s="207"/>
      <c r="N112" s="207"/>
      <c r="O112" s="207"/>
      <c r="P112" s="207"/>
      <c r="Q112" s="207"/>
      <c r="R112" s="207"/>
      <c r="S112" s="207"/>
    </row>
    <row r="113" spans="1:19" ht="43.35" customHeight="1" x14ac:dyDescent="0.25">
      <c r="A113" s="293" t="s">
        <v>476</v>
      </c>
      <c r="B113" s="973" t="s">
        <v>1254</v>
      </c>
      <c r="C113" s="962" t="s">
        <v>508</v>
      </c>
      <c r="D113" s="957" t="s">
        <v>509</v>
      </c>
      <c r="E113" s="964" t="s">
        <v>480</v>
      </c>
      <c r="F113" s="964"/>
      <c r="G113" s="964" t="s">
        <v>510</v>
      </c>
      <c r="H113" s="207"/>
      <c r="I113" s="207"/>
      <c r="J113" s="207"/>
      <c r="K113" s="207"/>
      <c r="L113" s="207"/>
      <c r="M113" s="207"/>
      <c r="N113" s="207"/>
      <c r="O113" s="207"/>
      <c r="P113" s="207"/>
      <c r="Q113" s="207"/>
      <c r="R113" s="207"/>
      <c r="S113" s="207"/>
    </row>
    <row r="114" spans="1:19" ht="43.35" customHeight="1" x14ac:dyDescent="0.25">
      <c r="A114" s="293" t="s">
        <v>476</v>
      </c>
      <c r="B114" s="973" t="s">
        <v>1256</v>
      </c>
      <c r="C114" s="962" t="s">
        <v>1120</v>
      </c>
      <c r="D114" s="957" t="s">
        <v>1121</v>
      </c>
      <c r="E114" s="964" t="s">
        <v>1257</v>
      </c>
      <c r="F114" s="964"/>
      <c r="G114" s="959"/>
      <c r="H114" s="207"/>
      <c r="I114" s="207"/>
      <c r="J114" s="207"/>
      <c r="K114" s="207"/>
      <c r="L114" s="207"/>
      <c r="M114" s="207"/>
      <c r="N114" s="207"/>
      <c r="O114" s="207"/>
      <c r="P114" s="207"/>
      <c r="Q114" s="207"/>
      <c r="R114" s="207"/>
      <c r="S114" s="207"/>
    </row>
    <row r="115" spans="1:19" ht="121.7" customHeight="1" x14ac:dyDescent="0.25">
      <c r="A115" s="293" t="s">
        <v>476</v>
      </c>
      <c r="B115" s="973" t="s">
        <v>1256</v>
      </c>
      <c r="C115" s="962" t="s">
        <v>511</v>
      </c>
      <c r="D115" s="957" t="s">
        <v>512</v>
      </c>
      <c r="E115" s="964" t="s">
        <v>513</v>
      </c>
      <c r="F115" s="965" t="s">
        <v>1258</v>
      </c>
      <c r="G115" s="964" t="s">
        <v>514</v>
      </c>
      <c r="H115" s="207"/>
      <c r="I115" s="207"/>
      <c r="J115" s="207"/>
      <c r="K115" s="207"/>
      <c r="L115" s="207"/>
      <c r="M115" s="207"/>
      <c r="N115" s="207"/>
      <c r="O115" s="207"/>
      <c r="P115" s="207"/>
      <c r="Q115" s="207"/>
      <c r="R115" s="207"/>
      <c r="S115" s="207"/>
    </row>
    <row r="116" spans="1:19" ht="64.7" customHeight="1" x14ac:dyDescent="0.25">
      <c r="A116" s="293" t="s">
        <v>476</v>
      </c>
      <c r="B116" s="973" t="s">
        <v>1259</v>
      </c>
      <c r="C116" s="962" t="s">
        <v>1120</v>
      </c>
      <c r="D116" s="957" t="s">
        <v>1121</v>
      </c>
      <c r="E116" s="964" t="s">
        <v>1260</v>
      </c>
      <c r="F116" s="964"/>
      <c r="G116" s="959"/>
      <c r="H116" s="207"/>
      <c r="I116" s="207"/>
      <c r="J116" s="207"/>
      <c r="K116" s="207"/>
      <c r="L116" s="207"/>
      <c r="M116" s="207"/>
      <c r="N116" s="207"/>
      <c r="O116" s="207"/>
      <c r="P116" s="207"/>
      <c r="Q116" s="207"/>
      <c r="R116" s="207"/>
      <c r="S116" s="207"/>
    </row>
    <row r="117" spans="1:19" ht="108" x14ac:dyDescent="0.25">
      <c r="A117" s="293" t="s">
        <v>476</v>
      </c>
      <c r="B117" s="973" t="s">
        <v>1259</v>
      </c>
      <c r="C117" s="962" t="s">
        <v>515</v>
      </c>
      <c r="D117" s="957" t="s">
        <v>516</v>
      </c>
      <c r="E117" s="965" t="s">
        <v>1261</v>
      </c>
      <c r="F117" s="964"/>
      <c r="G117" s="964" t="s">
        <v>372</v>
      </c>
      <c r="H117" s="207"/>
      <c r="I117" s="207"/>
      <c r="J117" s="207"/>
      <c r="K117" s="207"/>
      <c r="L117" s="207"/>
      <c r="M117" s="207"/>
      <c r="N117" s="207"/>
      <c r="O117" s="207"/>
      <c r="P117" s="207"/>
      <c r="Q117" s="207"/>
      <c r="R117" s="207"/>
      <c r="S117" s="207"/>
    </row>
    <row r="118" spans="1:19" ht="86.45" customHeight="1" x14ac:dyDescent="0.25">
      <c r="A118" s="293" t="s">
        <v>476</v>
      </c>
      <c r="B118" s="973" t="s">
        <v>1262</v>
      </c>
      <c r="C118" s="962" t="s">
        <v>1120</v>
      </c>
      <c r="D118" s="957" t="s">
        <v>1121</v>
      </c>
      <c r="E118" s="964" t="s">
        <v>517</v>
      </c>
      <c r="F118" s="964"/>
      <c r="G118" s="959"/>
      <c r="H118" s="207"/>
      <c r="I118" s="207"/>
      <c r="J118" s="207"/>
      <c r="K118" s="207"/>
      <c r="L118" s="207"/>
      <c r="M118" s="207"/>
      <c r="N118" s="207"/>
      <c r="O118" s="207"/>
      <c r="P118" s="207"/>
      <c r="Q118" s="207"/>
      <c r="R118" s="207"/>
      <c r="S118" s="207"/>
    </row>
    <row r="119" spans="1:19" ht="172.7" customHeight="1" x14ac:dyDescent="0.25">
      <c r="A119" s="293" t="s">
        <v>476</v>
      </c>
      <c r="B119" s="973" t="s">
        <v>1262</v>
      </c>
      <c r="C119" s="972" t="s">
        <v>518</v>
      </c>
      <c r="D119" s="961" t="s">
        <v>519</v>
      </c>
      <c r="E119" s="965" t="s">
        <v>1263</v>
      </c>
      <c r="F119" s="974"/>
      <c r="G119" s="965" t="s">
        <v>390</v>
      </c>
      <c r="H119" s="207"/>
      <c r="I119" s="207"/>
      <c r="J119" s="207"/>
      <c r="K119" s="207"/>
      <c r="L119" s="207"/>
      <c r="M119" s="207"/>
      <c r="N119" s="207"/>
      <c r="O119" s="207"/>
      <c r="P119" s="207"/>
      <c r="Q119" s="207"/>
      <c r="R119" s="207"/>
      <c r="S119" s="207"/>
    </row>
    <row r="120" spans="1:19" ht="135" x14ac:dyDescent="0.25">
      <c r="A120" s="293" t="s">
        <v>476</v>
      </c>
      <c r="B120" s="973" t="s">
        <v>1264</v>
      </c>
      <c r="C120" s="962" t="s">
        <v>1120</v>
      </c>
      <c r="D120" s="957" t="s">
        <v>1121</v>
      </c>
      <c r="E120" s="964" t="s">
        <v>1265</v>
      </c>
      <c r="F120" s="964"/>
      <c r="G120" s="959"/>
      <c r="H120" s="207"/>
      <c r="I120" s="207"/>
      <c r="J120" s="207"/>
      <c r="K120" s="207"/>
      <c r="L120" s="207"/>
      <c r="M120" s="207"/>
      <c r="N120" s="207"/>
      <c r="O120" s="207"/>
      <c r="P120" s="207"/>
      <c r="Q120" s="207"/>
      <c r="R120" s="207"/>
      <c r="S120" s="207"/>
    </row>
    <row r="121" spans="1:19" ht="243" x14ac:dyDescent="0.25">
      <c r="A121" s="293" t="s">
        <v>476</v>
      </c>
      <c r="B121" s="973" t="s">
        <v>1264</v>
      </c>
      <c r="C121" s="962" t="s">
        <v>520</v>
      </c>
      <c r="D121" s="957" t="s">
        <v>521</v>
      </c>
      <c r="E121" s="965" t="s">
        <v>1266</v>
      </c>
      <c r="F121" s="974"/>
      <c r="G121" s="965" t="s">
        <v>372</v>
      </c>
      <c r="H121" s="207"/>
      <c r="I121" s="207"/>
      <c r="J121" s="207"/>
      <c r="K121" s="207"/>
      <c r="L121" s="207"/>
      <c r="M121" s="207"/>
      <c r="N121" s="207"/>
      <c r="O121" s="207"/>
      <c r="P121" s="207"/>
      <c r="Q121" s="207"/>
      <c r="R121" s="207"/>
      <c r="S121" s="207"/>
    </row>
    <row r="122" spans="1:19" ht="40.5" x14ac:dyDescent="0.25">
      <c r="A122" s="293" t="s">
        <v>476</v>
      </c>
      <c r="B122" s="973" t="s">
        <v>1267</v>
      </c>
      <c r="C122" s="962" t="s">
        <v>1120</v>
      </c>
      <c r="D122" s="957" t="s">
        <v>1121</v>
      </c>
      <c r="E122" s="964" t="s">
        <v>522</v>
      </c>
      <c r="F122" s="964"/>
      <c r="G122" s="959"/>
      <c r="H122" s="207"/>
      <c r="I122" s="207"/>
      <c r="J122" s="207"/>
      <c r="K122" s="207"/>
      <c r="L122" s="207"/>
      <c r="M122" s="207"/>
      <c r="N122" s="207"/>
      <c r="O122" s="207"/>
      <c r="P122" s="207"/>
      <c r="Q122" s="207"/>
      <c r="R122" s="207"/>
      <c r="S122" s="207"/>
    </row>
    <row r="123" spans="1:19" ht="68.45" customHeight="1" x14ac:dyDescent="0.25">
      <c r="A123" s="293" t="s">
        <v>476</v>
      </c>
      <c r="B123" s="973" t="s">
        <v>1267</v>
      </c>
      <c r="C123" s="962" t="s">
        <v>523</v>
      </c>
      <c r="D123" s="957" t="s">
        <v>524</v>
      </c>
      <c r="E123" s="965" t="s">
        <v>1268</v>
      </c>
      <c r="F123" s="965" t="s">
        <v>1269</v>
      </c>
      <c r="G123" s="964" t="s">
        <v>377</v>
      </c>
      <c r="H123" s="207"/>
      <c r="I123" s="207"/>
      <c r="J123" s="207"/>
      <c r="K123" s="207"/>
      <c r="L123" s="207"/>
      <c r="M123" s="207"/>
      <c r="N123" s="207"/>
      <c r="O123" s="207"/>
      <c r="P123" s="207"/>
      <c r="Q123" s="207"/>
      <c r="R123" s="207"/>
      <c r="S123" s="207"/>
    </row>
    <row r="124" spans="1:19" ht="121.5" x14ac:dyDescent="0.25">
      <c r="A124" s="293" t="s">
        <v>476</v>
      </c>
      <c r="B124" s="973" t="s">
        <v>1270</v>
      </c>
      <c r="C124" s="962" t="s">
        <v>1120</v>
      </c>
      <c r="D124" s="957" t="s">
        <v>1121</v>
      </c>
      <c r="E124" s="965" t="s">
        <v>1271</v>
      </c>
      <c r="F124" s="964"/>
      <c r="G124" s="959"/>
      <c r="H124" s="207"/>
      <c r="I124" s="207"/>
      <c r="J124" s="207"/>
      <c r="K124" s="207"/>
      <c r="L124" s="207"/>
      <c r="M124" s="207"/>
      <c r="N124" s="207"/>
      <c r="O124" s="207"/>
      <c r="P124" s="207"/>
      <c r="Q124" s="207"/>
      <c r="R124" s="207"/>
      <c r="S124" s="207"/>
    </row>
    <row r="125" spans="1:19" ht="139.35" customHeight="1" x14ac:dyDescent="0.25">
      <c r="A125" s="293" t="s">
        <v>476</v>
      </c>
      <c r="B125" s="973" t="s">
        <v>1270</v>
      </c>
      <c r="C125" s="962" t="s">
        <v>525</v>
      </c>
      <c r="D125" s="957" t="s">
        <v>526</v>
      </c>
      <c r="E125" s="965" t="s">
        <v>658</v>
      </c>
      <c r="F125" s="965" t="s">
        <v>1272</v>
      </c>
      <c r="G125" s="964" t="s">
        <v>527</v>
      </c>
      <c r="H125" s="207"/>
      <c r="I125" s="207"/>
      <c r="J125" s="207"/>
      <c r="K125" s="207"/>
      <c r="L125" s="207"/>
      <c r="M125" s="207"/>
      <c r="N125" s="207"/>
      <c r="O125" s="207"/>
      <c r="P125" s="207"/>
      <c r="Q125" s="207"/>
      <c r="R125" s="207"/>
      <c r="S125" s="207"/>
    </row>
    <row r="126" spans="1:19" ht="93" customHeight="1" x14ac:dyDescent="0.25">
      <c r="A126" s="293" t="s">
        <v>1184</v>
      </c>
      <c r="B126" s="973" t="s">
        <v>1273</v>
      </c>
      <c r="C126" s="972" t="s">
        <v>528</v>
      </c>
      <c r="D126" s="957" t="s">
        <v>529</v>
      </c>
      <c r="E126" s="964" t="s">
        <v>659</v>
      </c>
      <c r="F126" s="965" t="s">
        <v>1274</v>
      </c>
      <c r="G126" s="964" t="s">
        <v>530</v>
      </c>
      <c r="H126" s="207"/>
      <c r="I126" s="207"/>
      <c r="J126" s="207"/>
      <c r="K126" s="207"/>
      <c r="L126" s="207"/>
      <c r="M126" s="207"/>
      <c r="N126" s="207"/>
      <c r="O126" s="207"/>
      <c r="P126" s="207"/>
      <c r="Q126" s="207"/>
      <c r="R126" s="207"/>
      <c r="S126" s="207"/>
    </row>
    <row r="127" spans="1:19" ht="54" x14ac:dyDescent="0.25">
      <c r="A127" s="293" t="s">
        <v>476</v>
      </c>
      <c r="B127" s="973" t="s">
        <v>1275</v>
      </c>
      <c r="C127" s="962" t="s">
        <v>1120</v>
      </c>
      <c r="D127" s="957" t="s">
        <v>1121</v>
      </c>
      <c r="E127" s="964" t="s">
        <v>1276</v>
      </c>
      <c r="F127" s="964"/>
      <c r="G127" s="959"/>
      <c r="H127" s="207"/>
      <c r="I127" s="207"/>
      <c r="J127" s="207"/>
      <c r="K127" s="207"/>
      <c r="L127" s="207"/>
      <c r="M127" s="207"/>
      <c r="N127" s="207"/>
      <c r="O127" s="207"/>
      <c r="P127" s="207"/>
      <c r="Q127" s="207"/>
      <c r="R127" s="207"/>
      <c r="S127" s="207"/>
    </row>
    <row r="128" spans="1:19" ht="108" x14ac:dyDescent="0.25">
      <c r="A128" s="293" t="s">
        <v>476</v>
      </c>
      <c r="B128" s="973" t="s">
        <v>1275</v>
      </c>
      <c r="C128" s="962" t="s">
        <v>531</v>
      </c>
      <c r="D128" s="957" t="s">
        <v>532</v>
      </c>
      <c r="E128" s="965" t="s">
        <v>1277</v>
      </c>
      <c r="F128" s="965"/>
      <c r="G128" s="964" t="s">
        <v>533</v>
      </c>
      <c r="H128" s="207"/>
      <c r="I128" s="207"/>
      <c r="J128" s="207"/>
      <c r="K128" s="207"/>
      <c r="L128" s="207"/>
      <c r="M128" s="207"/>
      <c r="N128" s="207"/>
      <c r="O128" s="207"/>
      <c r="P128" s="207"/>
      <c r="Q128" s="207"/>
      <c r="R128" s="207"/>
      <c r="S128" s="207"/>
    </row>
    <row r="129" spans="1:19" ht="189" x14ac:dyDescent="0.25">
      <c r="A129" s="293" t="s">
        <v>476</v>
      </c>
      <c r="B129" s="973" t="s">
        <v>1275</v>
      </c>
      <c r="C129" s="972" t="s">
        <v>1278</v>
      </c>
      <c r="D129" s="961" t="s">
        <v>1279</v>
      </c>
      <c r="E129" s="965" t="s">
        <v>1280</v>
      </c>
      <c r="F129" s="974"/>
      <c r="G129" s="959"/>
      <c r="H129" s="207"/>
      <c r="I129" s="207"/>
      <c r="J129" s="207"/>
      <c r="K129" s="207"/>
      <c r="L129" s="207"/>
      <c r="M129" s="207"/>
      <c r="N129" s="207"/>
      <c r="O129" s="207"/>
      <c r="P129" s="207"/>
      <c r="Q129" s="207"/>
      <c r="R129" s="207"/>
      <c r="S129" s="207"/>
    </row>
    <row r="130" spans="1:19" ht="94.5" x14ac:dyDescent="0.25">
      <c r="A130" s="293" t="s">
        <v>1184</v>
      </c>
      <c r="B130" s="973" t="s">
        <v>1281</v>
      </c>
      <c r="C130" s="972" t="s">
        <v>534</v>
      </c>
      <c r="D130" s="957" t="s">
        <v>535</v>
      </c>
      <c r="E130" s="964" t="s">
        <v>536</v>
      </c>
      <c r="F130" s="964"/>
      <c r="G130" s="964" t="s">
        <v>537</v>
      </c>
      <c r="H130" s="207"/>
      <c r="I130" s="207"/>
      <c r="J130" s="207"/>
      <c r="K130" s="207"/>
      <c r="L130" s="207"/>
      <c r="M130" s="207"/>
      <c r="N130" s="207"/>
      <c r="O130" s="207"/>
      <c r="P130" s="207"/>
      <c r="Q130" s="207"/>
      <c r="R130" s="207"/>
      <c r="S130" s="207"/>
    </row>
    <row r="131" spans="1:19" ht="108" x14ac:dyDescent="0.25">
      <c r="A131" s="293" t="s">
        <v>1184</v>
      </c>
      <c r="B131" s="973" t="s">
        <v>1281</v>
      </c>
      <c r="C131" s="972" t="s">
        <v>538</v>
      </c>
      <c r="D131" s="957" t="s">
        <v>539</v>
      </c>
      <c r="E131" s="964" t="s">
        <v>536</v>
      </c>
      <c r="F131" s="964"/>
      <c r="G131" s="964" t="s">
        <v>540</v>
      </c>
      <c r="H131" s="207"/>
      <c r="I131" s="207"/>
      <c r="J131" s="207"/>
      <c r="K131" s="207"/>
      <c r="L131" s="207"/>
      <c r="M131" s="207"/>
      <c r="N131" s="207"/>
      <c r="O131" s="207"/>
      <c r="P131" s="207"/>
      <c r="Q131" s="207"/>
      <c r="R131" s="207"/>
      <c r="S131" s="207"/>
    </row>
    <row r="132" spans="1:19" ht="81" x14ac:dyDescent="0.25">
      <c r="A132" s="293" t="s">
        <v>476</v>
      </c>
      <c r="B132" s="973" t="s">
        <v>1282</v>
      </c>
      <c r="C132" s="962" t="s">
        <v>1120</v>
      </c>
      <c r="D132" s="957" t="s">
        <v>1121</v>
      </c>
      <c r="E132" s="979" t="s">
        <v>1283</v>
      </c>
      <c r="F132" s="964"/>
      <c r="G132" s="959"/>
      <c r="H132" s="207"/>
      <c r="I132" s="207"/>
      <c r="J132" s="207"/>
      <c r="K132" s="207"/>
      <c r="L132" s="207"/>
      <c r="M132" s="207"/>
      <c r="N132" s="207"/>
      <c r="O132" s="207"/>
      <c r="P132" s="207"/>
      <c r="Q132" s="207"/>
      <c r="R132" s="207"/>
      <c r="S132" s="207"/>
    </row>
    <row r="133" spans="1:19" ht="202.5" x14ac:dyDescent="0.25">
      <c r="A133" s="293" t="s">
        <v>476</v>
      </c>
      <c r="B133" s="973" t="s">
        <v>1282</v>
      </c>
      <c r="C133" s="962" t="s">
        <v>541</v>
      </c>
      <c r="D133" s="957" t="s">
        <v>1284</v>
      </c>
      <c r="E133" s="979" t="s">
        <v>1285</v>
      </c>
      <c r="F133" s="965" t="s">
        <v>1286</v>
      </c>
      <c r="G133" s="964" t="s">
        <v>542</v>
      </c>
      <c r="H133" s="207"/>
      <c r="I133" s="207"/>
      <c r="J133" s="207"/>
      <c r="K133" s="207"/>
      <c r="L133" s="207"/>
      <c r="M133" s="207"/>
      <c r="N133" s="207"/>
      <c r="O133" s="207"/>
      <c r="P133" s="207"/>
      <c r="Q133" s="207"/>
      <c r="R133" s="207"/>
      <c r="S133" s="207"/>
    </row>
    <row r="134" spans="1:19" ht="81" x14ac:dyDescent="0.25">
      <c r="A134" s="293" t="s">
        <v>476</v>
      </c>
      <c r="B134" s="973" t="s">
        <v>1282</v>
      </c>
      <c r="C134" s="972" t="s">
        <v>1287</v>
      </c>
      <c r="D134" s="961" t="s">
        <v>1288</v>
      </c>
      <c r="E134" s="980" t="s">
        <v>1289</v>
      </c>
      <c r="F134" s="965" t="s">
        <v>1217</v>
      </c>
      <c r="G134" s="959"/>
      <c r="H134" s="207"/>
      <c r="I134" s="207"/>
      <c r="J134" s="207"/>
      <c r="K134" s="207"/>
      <c r="L134" s="207"/>
      <c r="M134" s="207"/>
      <c r="N134" s="207"/>
      <c r="O134" s="207"/>
      <c r="P134" s="207"/>
      <c r="Q134" s="207"/>
      <c r="R134" s="207"/>
      <c r="S134" s="207"/>
    </row>
    <row r="135" spans="1:19" ht="67.5" x14ac:dyDescent="0.25">
      <c r="A135" s="293" t="s">
        <v>1184</v>
      </c>
      <c r="B135" s="973" t="s">
        <v>543</v>
      </c>
      <c r="C135" s="972" t="s">
        <v>544</v>
      </c>
      <c r="D135" s="957" t="s">
        <v>545</v>
      </c>
      <c r="E135" s="981" t="s">
        <v>1290</v>
      </c>
      <c r="F135" s="982"/>
      <c r="G135" s="959"/>
      <c r="H135" s="207"/>
      <c r="I135" s="207"/>
      <c r="J135" s="207"/>
      <c r="K135" s="207"/>
      <c r="L135" s="207"/>
      <c r="M135" s="207"/>
      <c r="N135" s="207"/>
      <c r="O135" s="207"/>
      <c r="P135" s="207"/>
      <c r="Q135" s="207"/>
      <c r="R135" s="207"/>
      <c r="S135" s="207"/>
    </row>
    <row r="136" spans="1:19" ht="67.5" x14ac:dyDescent="0.25">
      <c r="A136" s="293" t="s">
        <v>1184</v>
      </c>
      <c r="B136" s="973" t="s">
        <v>546</v>
      </c>
      <c r="C136" s="972" t="s">
        <v>547</v>
      </c>
      <c r="D136" s="957" t="s">
        <v>548</v>
      </c>
      <c r="E136" s="979" t="s">
        <v>1291</v>
      </c>
      <c r="F136" s="964"/>
      <c r="G136" s="959"/>
      <c r="H136" s="207"/>
      <c r="I136" s="207"/>
      <c r="J136" s="207"/>
      <c r="K136" s="207"/>
      <c r="L136" s="207"/>
      <c r="M136" s="207"/>
      <c r="N136" s="207"/>
      <c r="O136" s="207"/>
      <c r="P136" s="207"/>
      <c r="Q136" s="207"/>
      <c r="R136" s="207"/>
      <c r="S136" s="207"/>
    </row>
    <row r="137" spans="1:19" ht="40.5" x14ac:dyDescent="0.25">
      <c r="A137" s="293" t="s">
        <v>1184</v>
      </c>
      <c r="B137" s="973" t="s">
        <v>549</v>
      </c>
      <c r="C137" s="972" t="s">
        <v>550</v>
      </c>
      <c r="D137" s="957" t="s">
        <v>551</v>
      </c>
      <c r="E137" s="979" t="s">
        <v>552</v>
      </c>
      <c r="F137" s="964"/>
      <c r="G137" s="964" t="s">
        <v>1292</v>
      </c>
      <c r="H137" s="207"/>
      <c r="I137" s="207"/>
      <c r="J137" s="207"/>
      <c r="K137" s="207"/>
      <c r="L137" s="207"/>
      <c r="M137" s="207"/>
      <c r="N137" s="207"/>
      <c r="O137" s="207"/>
      <c r="P137" s="207"/>
      <c r="Q137" s="207"/>
      <c r="R137" s="207"/>
      <c r="S137" s="207"/>
    </row>
    <row r="138" spans="1:19" s="7" customFormat="1" x14ac:dyDescent="0.3">
      <c r="A138" s="297"/>
      <c r="B138" s="983"/>
      <c r="C138" s="266"/>
      <c r="D138" s="266"/>
      <c r="E138" s="267"/>
      <c r="F138" s="984"/>
      <c r="G138" s="984"/>
      <c r="H138" s="1"/>
      <c r="I138" s="1"/>
      <c r="J138" s="1"/>
      <c r="K138" s="1"/>
      <c r="L138" s="1"/>
      <c r="M138" s="1"/>
      <c r="N138" s="1"/>
      <c r="O138" s="1"/>
      <c r="P138" s="1"/>
      <c r="Q138" s="1"/>
      <c r="R138" s="1"/>
      <c r="S138" s="1"/>
    </row>
    <row r="139" spans="1:19" ht="252.6" customHeight="1" x14ac:dyDescent="0.25">
      <c r="A139" s="1107" t="s">
        <v>1293</v>
      </c>
      <c r="B139" s="1107"/>
      <c r="C139" s="1107"/>
      <c r="D139" s="1107"/>
      <c r="E139" s="1107"/>
      <c r="F139" s="1107"/>
      <c r="G139" s="207"/>
      <c r="H139" s="207"/>
      <c r="I139" s="207"/>
      <c r="J139" s="207"/>
      <c r="K139" s="207"/>
      <c r="L139" s="207"/>
      <c r="M139" s="207"/>
      <c r="N139" s="207"/>
      <c r="O139" s="207"/>
      <c r="P139" s="207"/>
      <c r="Q139" s="207"/>
      <c r="R139" s="207"/>
      <c r="S139" s="207"/>
    </row>
    <row r="140" spans="1:19" x14ac:dyDescent="0.25">
      <c r="A140" s="1108" t="s">
        <v>1294</v>
      </c>
      <c r="B140" s="1108"/>
      <c r="C140" s="1108"/>
      <c r="D140" s="1108"/>
      <c r="E140" s="1108"/>
      <c r="F140" s="1108"/>
      <c r="G140" s="207"/>
      <c r="H140" s="207"/>
      <c r="I140" s="207"/>
      <c r="J140" s="207"/>
      <c r="K140" s="207"/>
      <c r="L140" s="207"/>
      <c r="M140" s="207"/>
      <c r="N140" s="207"/>
      <c r="O140" s="207"/>
      <c r="P140" s="207"/>
      <c r="Q140" s="207"/>
      <c r="R140" s="207"/>
      <c r="S140" s="207"/>
    </row>
    <row r="141" spans="1:19" x14ac:dyDescent="0.25">
      <c r="A141" s="298"/>
      <c r="B141" s="210"/>
      <c r="C141" s="268"/>
      <c r="D141" s="85"/>
      <c r="E141" s="270"/>
      <c r="F141" s="269"/>
      <c r="G141" s="207"/>
      <c r="H141" s="207"/>
      <c r="I141" s="207"/>
      <c r="J141" s="207"/>
      <c r="K141" s="207"/>
      <c r="L141" s="207"/>
      <c r="M141" s="207"/>
      <c r="N141" s="207"/>
      <c r="O141" s="207"/>
      <c r="P141" s="207"/>
      <c r="Q141" s="207"/>
      <c r="R141" s="207"/>
      <c r="S141" s="207"/>
    </row>
    <row r="142" spans="1:19" x14ac:dyDescent="0.25">
      <c r="A142" s="298"/>
      <c r="B142" s="210"/>
      <c r="C142" s="211"/>
      <c r="D142" s="207"/>
      <c r="E142" s="265"/>
      <c r="F142" s="250"/>
      <c r="G142" s="207"/>
      <c r="H142" s="207"/>
      <c r="I142" s="207"/>
      <c r="J142" s="207"/>
      <c r="K142" s="207"/>
      <c r="L142" s="207"/>
      <c r="M142" s="207"/>
      <c r="N142" s="207"/>
      <c r="O142" s="207"/>
      <c r="P142" s="207"/>
      <c r="Q142" s="207"/>
      <c r="R142" s="207"/>
      <c r="S142" s="207"/>
    </row>
    <row r="143" spans="1:19" x14ac:dyDescent="0.25">
      <c r="A143" s="298"/>
      <c r="B143" s="210"/>
      <c r="C143" s="211"/>
      <c r="D143" s="207"/>
      <c r="E143" s="265"/>
      <c r="F143" s="250"/>
      <c r="G143" s="207"/>
      <c r="H143" s="207"/>
      <c r="I143" s="207"/>
      <c r="J143" s="207"/>
      <c r="K143" s="207"/>
      <c r="L143" s="207"/>
      <c r="M143" s="207"/>
      <c r="N143" s="207"/>
      <c r="O143" s="207"/>
      <c r="P143" s="207"/>
      <c r="Q143" s="207"/>
      <c r="R143" s="207"/>
      <c r="S143" s="207"/>
    </row>
    <row r="144" spans="1:19" x14ac:dyDescent="0.25">
      <c r="A144" s="298"/>
      <c r="B144" s="210"/>
      <c r="C144" s="211"/>
      <c r="D144" s="207"/>
      <c r="E144" s="265"/>
      <c r="F144" s="250"/>
      <c r="G144" s="207"/>
      <c r="H144" s="207"/>
      <c r="I144" s="207"/>
      <c r="J144" s="207"/>
      <c r="K144" s="207"/>
      <c r="L144" s="207"/>
      <c r="M144" s="207"/>
      <c r="N144" s="207"/>
      <c r="O144" s="207"/>
      <c r="P144" s="207"/>
      <c r="Q144" s="207"/>
      <c r="R144" s="207"/>
      <c r="S144" s="207"/>
    </row>
    <row r="145" spans="1:19" x14ac:dyDescent="0.25">
      <c r="A145" s="298"/>
      <c r="B145" s="210"/>
      <c r="C145" s="211"/>
      <c r="D145" s="207"/>
      <c r="E145" s="265"/>
      <c r="F145" s="250"/>
      <c r="G145" s="207"/>
      <c r="H145" s="207"/>
      <c r="I145" s="207"/>
      <c r="J145" s="207"/>
      <c r="K145" s="207"/>
      <c r="L145" s="207"/>
      <c r="M145" s="207"/>
      <c r="N145" s="207"/>
      <c r="O145" s="207"/>
      <c r="P145" s="207"/>
      <c r="Q145" s="207"/>
      <c r="R145" s="207"/>
      <c r="S145" s="207"/>
    </row>
    <row r="146" spans="1:19" x14ac:dyDescent="0.25">
      <c r="A146" s="298"/>
      <c r="B146" s="210"/>
      <c r="C146" s="211"/>
      <c r="D146" s="207"/>
      <c r="E146" s="265"/>
      <c r="F146" s="250"/>
      <c r="G146" s="207"/>
      <c r="H146" s="207"/>
      <c r="I146" s="207"/>
      <c r="J146" s="207"/>
      <c r="K146" s="207"/>
      <c r="L146" s="207"/>
      <c r="M146" s="207"/>
      <c r="N146" s="207"/>
      <c r="O146" s="207"/>
      <c r="P146" s="207"/>
      <c r="Q146" s="207"/>
      <c r="R146" s="207"/>
      <c r="S146" s="207"/>
    </row>
    <row r="147" spans="1:19" x14ac:dyDescent="0.25">
      <c r="A147" s="298"/>
      <c r="B147" s="210"/>
      <c r="C147" s="211"/>
      <c r="D147" s="207"/>
      <c r="E147" s="265"/>
      <c r="F147" s="250"/>
      <c r="G147" s="207"/>
      <c r="H147" s="207"/>
      <c r="I147" s="207"/>
      <c r="J147" s="207"/>
      <c r="K147" s="207"/>
      <c r="L147" s="207"/>
      <c r="M147" s="207"/>
      <c r="N147" s="207"/>
      <c r="O147" s="207"/>
      <c r="P147" s="207"/>
      <c r="Q147" s="207"/>
      <c r="R147" s="207"/>
      <c r="S147" s="207"/>
    </row>
    <row r="148" spans="1:19" x14ac:dyDescent="0.25">
      <c r="A148" s="298"/>
      <c r="B148" s="210"/>
      <c r="C148" s="211"/>
      <c r="D148" s="207"/>
      <c r="E148" s="265"/>
      <c r="F148" s="250"/>
      <c r="G148" s="207"/>
      <c r="H148" s="207"/>
      <c r="I148" s="207"/>
      <c r="J148" s="207"/>
      <c r="K148" s="207"/>
      <c r="L148" s="207"/>
      <c r="M148" s="207"/>
      <c r="N148" s="207"/>
      <c r="O148" s="207"/>
      <c r="P148" s="207"/>
      <c r="Q148" s="207"/>
      <c r="R148" s="207"/>
      <c r="S148" s="207"/>
    </row>
    <row r="149" spans="1:19" x14ac:dyDescent="0.25">
      <c r="A149" s="298"/>
      <c r="B149" s="210"/>
      <c r="C149" s="211"/>
      <c r="D149" s="207"/>
      <c r="E149" s="265"/>
      <c r="F149" s="250"/>
      <c r="G149" s="207"/>
      <c r="H149" s="207"/>
      <c r="I149" s="207"/>
      <c r="J149" s="207"/>
      <c r="K149" s="207"/>
      <c r="L149" s="207"/>
      <c r="M149" s="207"/>
      <c r="N149" s="207"/>
      <c r="O149" s="207"/>
      <c r="P149" s="207"/>
      <c r="Q149" s="207"/>
      <c r="R149" s="207"/>
      <c r="S149" s="207"/>
    </row>
    <row r="150" spans="1:19" x14ac:dyDescent="0.25">
      <c r="A150" s="298"/>
      <c r="B150" s="210"/>
      <c r="C150" s="211"/>
      <c r="D150" s="207"/>
      <c r="E150" s="265"/>
      <c r="F150" s="250"/>
      <c r="G150" s="207"/>
      <c r="H150" s="207"/>
      <c r="I150" s="207"/>
      <c r="J150" s="207"/>
      <c r="K150" s="207"/>
      <c r="L150" s="207"/>
      <c r="M150" s="207"/>
      <c r="N150" s="207"/>
      <c r="O150" s="207"/>
      <c r="P150" s="207"/>
      <c r="Q150" s="207"/>
      <c r="R150" s="207"/>
      <c r="S150" s="207"/>
    </row>
    <row r="151" spans="1:19" x14ac:dyDescent="0.25">
      <c r="A151" s="298"/>
      <c r="B151" s="210"/>
      <c r="C151" s="211"/>
      <c r="D151" s="207"/>
      <c r="E151" s="265"/>
      <c r="F151" s="250"/>
      <c r="G151" s="207"/>
      <c r="H151" s="207"/>
      <c r="I151" s="207"/>
      <c r="J151" s="207"/>
      <c r="K151" s="207"/>
      <c r="L151" s="207"/>
      <c r="M151" s="207"/>
      <c r="N151" s="207"/>
      <c r="O151" s="207"/>
      <c r="P151" s="207"/>
      <c r="Q151" s="207"/>
      <c r="R151" s="207"/>
      <c r="S151" s="207"/>
    </row>
    <row r="152" spans="1:19" x14ac:dyDescent="0.25">
      <c r="A152" s="298"/>
      <c r="B152" s="210"/>
      <c r="C152" s="211"/>
      <c r="D152" s="207"/>
      <c r="E152" s="265"/>
      <c r="F152" s="250"/>
      <c r="G152" s="207"/>
      <c r="H152" s="207"/>
      <c r="I152" s="207"/>
      <c r="J152" s="207"/>
      <c r="K152" s="207"/>
      <c r="L152" s="207"/>
      <c r="M152" s="207"/>
      <c r="N152" s="207"/>
      <c r="O152" s="207"/>
      <c r="P152" s="207"/>
      <c r="Q152" s="207"/>
      <c r="R152" s="207"/>
      <c r="S152" s="207"/>
    </row>
  </sheetData>
  <autoFilter ref="A7:F209" xr:uid="{DAD6CEF8-C12D-440A-83A4-5D31E50C45E9}"/>
  <dataConsolidate/>
  <mergeCells count="36">
    <mergeCell ref="A17:B17"/>
    <mergeCell ref="A12:B12"/>
    <mergeCell ref="A13:B13"/>
    <mergeCell ref="A14:B14"/>
    <mergeCell ref="A15:B15"/>
    <mergeCell ref="A16:B16"/>
    <mergeCell ref="A1:G1"/>
    <mergeCell ref="A8:B8"/>
    <mergeCell ref="A9:B9"/>
    <mergeCell ref="A10:B10"/>
    <mergeCell ref="A11:B11"/>
    <mergeCell ref="A24:B24"/>
    <mergeCell ref="A25:B25"/>
    <mergeCell ref="A26:B26"/>
    <mergeCell ref="A27:B27"/>
    <mergeCell ref="A18:B18"/>
    <mergeCell ref="A19:B19"/>
    <mergeCell ref="A20:B20"/>
    <mergeCell ref="A21:B21"/>
    <mergeCell ref="A22:B22"/>
    <mergeCell ref="A38:B38"/>
    <mergeCell ref="A39:B39"/>
    <mergeCell ref="A139:F139"/>
    <mergeCell ref="A140:F140"/>
    <mergeCell ref="A3:G6"/>
    <mergeCell ref="A33:B33"/>
    <mergeCell ref="A34:B34"/>
    <mergeCell ref="A35:B35"/>
    <mergeCell ref="A36:B36"/>
    <mergeCell ref="A37:B37"/>
    <mergeCell ref="A28:B28"/>
    <mergeCell ref="A29:B29"/>
    <mergeCell ref="A30:B30"/>
    <mergeCell ref="A31:B31"/>
    <mergeCell ref="A32:B32"/>
    <mergeCell ref="A23:B23"/>
  </mergeCells>
  <pageMargins left="0.7" right="0.7" top="0.75" bottom="0.75" header="0.3" footer="0.3"/>
  <pageSetup paperSize="5" scale="63" fitToHeight="0" orientation="landscape" r:id="rId1"/>
  <headerFooter>
    <oddFooter>&amp;C&amp;"Century Gothic,Regular"&amp;8Page &amp;P of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B1134-DBDC-4A6C-B31B-C6D2F499C49E}">
  <sheetPr codeName="Sheet31">
    <pageSetUpPr fitToPage="1"/>
  </sheetPr>
  <dimension ref="A1:Y100"/>
  <sheetViews>
    <sheetView zoomScaleNormal="100" zoomScaleSheetLayoutView="100" workbookViewId="0">
      <pane xSplit="4" ySplit="5" topLeftCell="E6" activePane="bottomRight" state="frozen"/>
      <selection pane="topRight" activeCell="E1" sqref="E1"/>
      <selection pane="bottomLeft" activeCell="A6" sqref="A6"/>
      <selection pane="bottomRight" activeCell="E6" sqref="E6"/>
    </sheetView>
  </sheetViews>
  <sheetFormatPr baseColWidth="10" defaultColWidth="61.5703125" defaultRowHeight="13.5" x14ac:dyDescent="0.3"/>
  <cols>
    <col min="1" max="1" width="15.5703125" style="96" customWidth="1"/>
    <col min="2" max="2" width="21.7109375" style="7" customWidth="1"/>
    <col min="3" max="3" width="16.42578125" style="67" customWidth="1"/>
    <col min="4" max="4" width="32.85546875" style="285" customWidth="1"/>
    <col min="5" max="5" width="114.28515625" style="286" customWidth="1"/>
    <col min="6" max="24" width="21.42578125" style="7" customWidth="1"/>
    <col min="25" max="16384" width="61.5703125" style="7"/>
  </cols>
  <sheetData>
    <row r="1" spans="1:25" s="208" customFormat="1" ht="15" customHeight="1" x14ac:dyDescent="0.25">
      <c r="A1" s="1117" t="s">
        <v>555</v>
      </c>
      <c r="B1" s="1118"/>
      <c r="C1" s="1118"/>
      <c r="D1" s="1118"/>
      <c r="E1" s="1118"/>
      <c r="F1" s="5"/>
      <c r="G1" s="5"/>
      <c r="H1" s="207"/>
      <c r="I1" s="207"/>
      <c r="J1" s="207"/>
      <c r="K1" s="207"/>
      <c r="L1" s="207"/>
      <c r="M1" s="207"/>
      <c r="N1" s="207"/>
      <c r="O1" s="207"/>
      <c r="P1" s="207"/>
      <c r="Q1" s="207"/>
      <c r="R1" s="207"/>
      <c r="S1" s="207"/>
      <c r="T1" s="207"/>
      <c r="U1" s="207"/>
      <c r="V1" s="207"/>
      <c r="W1" s="207"/>
      <c r="X1" s="207"/>
    </row>
    <row r="2" spans="1:25" ht="5.0999999999999996" customHeight="1" x14ac:dyDescent="0.3">
      <c r="A2" s="14"/>
      <c r="B2" s="14"/>
      <c r="C2" s="14"/>
      <c r="D2" s="14"/>
      <c r="E2" s="14"/>
      <c r="F2" s="5"/>
      <c r="G2" s="5"/>
      <c r="H2" s="5"/>
      <c r="I2" s="1"/>
      <c r="J2" s="1"/>
      <c r="K2" s="1"/>
      <c r="L2" s="1"/>
      <c r="M2" s="1"/>
      <c r="N2" s="1"/>
      <c r="O2" s="1"/>
      <c r="P2" s="1"/>
      <c r="Q2" s="1"/>
      <c r="R2" s="1"/>
      <c r="S2" s="1"/>
      <c r="T2" s="1"/>
      <c r="U2" s="1"/>
      <c r="V2" s="1"/>
      <c r="W2" s="1"/>
      <c r="X2" s="1"/>
      <c r="Y2" s="1"/>
    </row>
    <row r="3" spans="1:25" s="208" customFormat="1" ht="15.75" x14ac:dyDescent="0.3">
      <c r="A3" s="95" t="s">
        <v>556</v>
      </c>
      <c r="B3" s="5"/>
      <c r="C3" s="210"/>
      <c r="D3" s="209"/>
      <c r="E3" s="211"/>
      <c r="F3" s="207"/>
      <c r="G3" s="207"/>
      <c r="H3" s="207"/>
      <c r="I3" s="207"/>
      <c r="J3" s="207"/>
      <c r="K3" s="207"/>
      <c r="L3" s="207"/>
      <c r="M3" s="207"/>
      <c r="N3" s="207"/>
      <c r="O3" s="207"/>
      <c r="P3" s="207"/>
      <c r="Q3" s="207"/>
      <c r="R3" s="207"/>
      <c r="S3" s="207"/>
      <c r="T3" s="207"/>
      <c r="U3" s="207"/>
      <c r="V3" s="207"/>
      <c r="W3" s="207"/>
      <c r="X3" s="207"/>
    </row>
    <row r="4" spans="1:25" ht="15.75" x14ac:dyDescent="0.3">
      <c r="A4" s="991" t="s">
        <v>1318</v>
      </c>
      <c r="B4" s="1"/>
      <c r="C4" s="48"/>
      <c r="D4" s="277"/>
      <c r="E4" s="278"/>
      <c r="F4" s="1"/>
      <c r="G4" s="1"/>
      <c r="H4" s="1"/>
      <c r="I4" s="1"/>
      <c r="J4" s="1"/>
      <c r="K4" s="1"/>
      <c r="L4" s="1"/>
      <c r="M4" s="1"/>
      <c r="N4" s="1"/>
      <c r="O4" s="1"/>
      <c r="P4" s="1"/>
      <c r="Q4" s="1"/>
      <c r="R4" s="1"/>
      <c r="S4" s="1"/>
      <c r="T4" s="1"/>
      <c r="U4" s="1"/>
      <c r="V4" s="1"/>
      <c r="W4" s="1"/>
      <c r="X4" s="1"/>
    </row>
    <row r="5" spans="1:25" ht="26.25" thickBot="1" x14ac:dyDescent="0.35">
      <c r="A5" s="259" t="s">
        <v>557</v>
      </c>
      <c r="B5" s="167" t="s">
        <v>558</v>
      </c>
      <c r="C5" s="279" t="s">
        <v>559</v>
      </c>
      <c r="D5" s="167" t="s">
        <v>560</v>
      </c>
      <c r="E5" s="166" t="s">
        <v>261</v>
      </c>
      <c r="F5" s="1"/>
      <c r="G5" s="1"/>
      <c r="H5" s="1"/>
      <c r="I5" s="1"/>
      <c r="J5" s="1"/>
      <c r="K5" s="1"/>
      <c r="L5" s="1"/>
      <c r="M5" s="1"/>
      <c r="N5" s="1"/>
      <c r="O5" s="1"/>
      <c r="P5" s="1"/>
      <c r="Q5" s="1"/>
      <c r="R5" s="1"/>
      <c r="S5" s="1"/>
      <c r="T5" s="1"/>
      <c r="U5" s="1"/>
      <c r="V5" s="1"/>
      <c r="W5" s="1"/>
      <c r="X5" s="1"/>
    </row>
    <row r="6" spans="1:25" s="208" customFormat="1" ht="87" customHeight="1" x14ac:dyDescent="0.25">
      <c r="A6" s="287" t="s">
        <v>561</v>
      </c>
      <c r="B6" s="242" t="s">
        <v>562</v>
      </c>
      <c r="C6" s="280">
        <v>1.1000000000000001</v>
      </c>
      <c r="D6" s="249" t="s">
        <v>563</v>
      </c>
      <c r="E6" s="281" t="s">
        <v>895</v>
      </c>
      <c r="F6" s="207"/>
      <c r="G6" s="207"/>
      <c r="H6" s="207"/>
      <c r="I6" s="207"/>
      <c r="J6" s="207"/>
      <c r="K6" s="207"/>
      <c r="L6" s="207"/>
      <c r="M6" s="207"/>
      <c r="N6" s="207"/>
      <c r="O6" s="207"/>
      <c r="P6" s="207"/>
      <c r="Q6" s="207"/>
      <c r="R6" s="207"/>
      <c r="S6" s="207"/>
      <c r="T6" s="207"/>
      <c r="U6" s="207"/>
      <c r="V6" s="207"/>
      <c r="W6" s="207"/>
      <c r="X6" s="207"/>
    </row>
    <row r="7" spans="1:25" s="208" customFormat="1" ht="109.15" customHeight="1" x14ac:dyDescent="0.25">
      <c r="A7" s="288" t="s">
        <v>561</v>
      </c>
      <c r="B7" s="282" t="s">
        <v>562</v>
      </c>
      <c r="C7" s="280">
        <v>1.2</v>
      </c>
      <c r="D7" s="249" t="s">
        <v>564</v>
      </c>
      <c r="E7" s="281" t="s">
        <v>896</v>
      </c>
      <c r="F7" s="207"/>
      <c r="G7" s="207"/>
      <c r="H7" s="207"/>
      <c r="I7" s="207"/>
      <c r="J7" s="207"/>
      <c r="K7" s="207"/>
      <c r="L7" s="207"/>
      <c r="M7" s="207"/>
      <c r="N7" s="207"/>
      <c r="O7" s="207"/>
      <c r="P7" s="207"/>
      <c r="Q7" s="207"/>
      <c r="R7" s="207"/>
      <c r="S7" s="207"/>
      <c r="T7" s="207"/>
      <c r="U7" s="207"/>
      <c r="V7" s="207"/>
      <c r="W7" s="207"/>
      <c r="X7" s="207"/>
    </row>
    <row r="8" spans="1:25" s="208" customFormat="1" ht="135" x14ac:dyDescent="0.25">
      <c r="A8" s="288" t="s">
        <v>561</v>
      </c>
      <c r="B8" s="282" t="s">
        <v>562</v>
      </c>
      <c r="C8" s="280">
        <v>1.3</v>
      </c>
      <c r="D8" s="249" t="s">
        <v>565</v>
      </c>
      <c r="E8" s="281" t="s">
        <v>897</v>
      </c>
      <c r="F8" s="207"/>
      <c r="G8" s="207"/>
      <c r="H8" s="207"/>
      <c r="I8" s="207"/>
      <c r="J8" s="207"/>
      <c r="K8" s="207"/>
      <c r="L8" s="207"/>
      <c r="M8" s="207"/>
      <c r="N8" s="207"/>
      <c r="O8" s="207"/>
      <c r="P8" s="207"/>
      <c r="Q8" s="207"/>
      <c r="R8" s="207"/>
      <c r="S8" s="207"/>
      <c r="T8" s="207"/>
      <c r="U8" s="207"/>
      <c r="V8" s="207"/>
      <c r="W8" s="207"/>
      <c r="X8" s="207"/>
    </row>
    <row r="9" spans="1:25" s="208" customFormat="1" ht="409.5" x14ac:dyDescent="0.25">
      <c r="A9" s="288" t="s">
        <v>561</v>
      </c>
      <c r="B9" s="282" t="s">
        <v>562</v>
      </c>
      <c r="C9" s="280">
        <v>1.4</v>
      </c>
      <c r="D9" s="249" t="s">
        <v>566</v>
      </c>
      <c r="E9" s="281" t="s">
        <v>1323</v>
      </c>
      <c r="F9" s="207"/>
      <c r="G9" s="207"/>
      <c r="H9" s="207"/>
      <c r="I9" s="207"/>
      <c r="J9" s="207"/>
      <c r="K9" s="207"/>
      <c r="L9" s="207"/>
      <c r="M9" s="207"/>
      <c r="N9" s="207"/>
      <c r="O9" s="207"/>
      <c r="P9" s="207"/>
      <c r="Q9" s="207"/>
      <c r="R9" s="207"/>
      <c r="S9" s="207"/>
      <c r="T9" s="207"/>
      <c r="U9" s="207"/>
      <c r="V9" s="207"/>
      <c r="W9" s="207"/>
      <c r="X9" s="207"/>
    </row>
    <row r="10" spans="1:25" s="208" customFormat="1" ht="94.5" x14ac:dyDescent="0.25">
      <c r="A10" s="288" t="s">
        <v>561</v>
      </c>
      <c r="B10" s="282" t="s">
        <v>562</v>
      </c>
      <c r="C10" s="280">
        <v>1.5</v>
      </c>
      <c r="D10" s="249" t="s">
        <v>567</v>
      </c>
      <c r="E10" s="281" t="s">
        <v>898</v>
      </c>
      <c r="F10" s="207"/>
      <c r="G10" s="207"/>
      <c r="H10" s="207"/>
      <c r="I10" s="207"/>
      <c r="J10" s="207"/>
      <c r="K10" s="207"/>
      <c r="L10" s="207"/>
      <c r="M10" s="207"/>
      <c r="N10" s="207"/>
      <c r="O10" s="207"/>
      <c r="P10" s="207"/>
      <c r="Q10" s="207"/>
      <c r="R10" s="207"/>
      <c r="S10" s="207"/>
      <c r="T10" s="207"/>
      <c r="U10" s="207"/>
      <c r="V10" s="207"/>
      <c r="W10" s="207"/>
      <c r="X10" s="207"/>
    </row>
    <row r="11" spans="1:25" s="208" customFormat="1" ht="228" customHeight="1" x14ac:dyDescent="0.25">
      <c r="A11" s="287" t="s">
        <v>568</v>
      </c>
      <c r="B11" s="242" t="s">
        <v>569</v>
      </c>
      <c r="C11" s="280">
        <v>2.1</v>
      </c>
      <c r="D11" s="249" t="s">
        <v>884</v>
      </c>
      <c r="E11" s="281" t="s">
        <v>899</v>
      </c>
      <c r="F11" s="207"/>
      <c r="G11" s="207"/>
      <c r="H11" s="207"/>
      <c r="I11" s="207"/>
      <c r="J11" s="207"/>
      <c r="K11" s="207"/>
      <c r="L11" s="207"/>
      <c r="M11" s="207"/>
      <c r="N11" s="207"/>
      <c r="O11" s="207"/>
      <c r="P11" s="207"/>
      <c r="Q11" s="207"/>
      <c r="R11" s="207"/>
      <c r="S11" s="207"/>
      <c r="T11" s="207"/>
      <c r="U11" s="207"/>
      <c r="V11" s="207"/>
      <c r="W11" s="207"/>
      <c r="X11" s="207"/>
    </row>
    <row r="12" spans="1:25" s="208" customFormat="1" ht="217.15" customHeight="1" x14ac:dyDescent="0.25">
      <c r="A12" s="288" t="s">
        <v>568</v>
      </c>
      <c r="B12" s="282" t="s">
        <v>569</v>
      </c>
      <c r="C12" s="280">
        <v>2.2000000000000002</v>
      </c>
      <c r="D12" s="249" t="s">
        <v>885</v>
      </c>
      <c r="E12" s="281" t="s">
        <v>900</v>
      </c>
      <c r="F12" s="207"/>
      <c r="G12" s="207"/>
      <c r="H12" s="207"/>
      <c r="I12" s="207"/>
      <c r="J12" s="207"/>
      <c r="K12" s="207"/>
      <c r="L12" s="207"/>
      <c r="M12" s="207"/>
      <c r="N12" s="207"/>
      <c r="O12" s="207"/>
      <c r="P12" s="207"/>
      <c r="Q12" s="207"/>
      <c r="R12" s="207"/>
      <c r="S12" s="207"/>
      <c r="T12" s="207"/>
      <c r="U12" s="207"/>
      <c r="V12" s="207"/>
      <c r="W12" s="207"/>
      <c r="X12" s="207"/>
    </row>
    <row r="13" spans="1:25" s="208" customFormat="1" ht="289.89999999999998" customHeight="1" x14ac:dyDescent="0.25">
      <c r="A13" s="287" t="s">
        <v>570</v>
      </c>
      <c r="B13" s="242" t="s">
        <v>571</v>
      </c>
      <c r="C13" s="280">
        <v>3.1</v>
      </c>
      <c r="D13" s="249" t="s">
        <v>886</v>
      </c>
      <c r="E13" s="281" t="s">
        <v>1319</v>
      </c>
      <c r="F13" s="207"/>
      <c r="G13" s="207"/>
      <c r="H13" s="207"/>
      <c r="I13" s="207"/>
      <c r="J13" s="207"/>
      <c r="K13" s="207"/>
      <c r="L13" s="207"/>
      <c r="M13" s="207"/>
      <c r="N13" s="207"/>
      <c r="O13" s="207"/>
      <c r="P13" s="207"/>
      <c r="Q13" s="207"/>
      <c r="R13" s="207"/>
      <c r="S13" s="207"/>
      <c r="T13" s="207"/>
      <c r="U13" s="207"/>
      <c r="V13" s="207"/>
      <c r="W13" s="207"/>
      <c r="X13" s="207"/>
    </row>
    <row r="14" spans="1:25" s="208" customFormat="1" ht="115.9" customHeight="1" x14ac:dyDescent="0.25">
      <c r="A14" s="288" t="s">
        <v>570</v>
      </c>
      <c r="B14" s="282" t="s">
        <v>571</v>
      </c>
      <c r="C14" s="280">
        <v>3.2</v>
      </c>
      <c r="D14" s="249" t="s">
        <v>572</v>
      </c>
      <c r="E14" s="281" t="s">
        <v>887</v>
      </c>
      <c r="F14" s="207"/>
      <c r="G14" s="207"/>
      <c r="H14" s="207"/>
      <c r="I14" s="207"/>
      <c r="J14" s="207"/>
      <c r="K14" s="207"/>
      <c r="L14" s="207"/>
      <c r="M14" s="207"/>
      <c r="N14" s="207"/>
      <c r="O14" s="207"/>
      <c r="P14" s="207"/>
      <c r="Q14" s="207"/>
      <c r="R14" s="207"/>
      <c r="S14" s="207"/>
      <c r="T14" s="207"/>
      <c r="U14" s="207"/>
      <c r="V14" s="207"/>
      <c r="W14" s="207"/>
      <c r="X14" s="207"/>
    </row>
    <row r="15" spans="1:25" s="208" customFormat="1" ht="159" customHeight="1" x14ac:dyDescent="0.25">
      <c r="A15" s="288" t="s">
        <v>570</v>
      </c>
      <c r="B15" s="282" t="s">
        <v>571</v>
      </c>
      <c r="C15" s="280">
        <v>3.3</v>
      </c>
      <c r="D15" s="249" t="s">
        <v>573</v>
      </c>
      <c r="E15" s="281" t="s">
        <v>901</v>
      </c>
      <c r="F15" s="207"/>
      <c r="G15" s="207"/>
      <c r="H15" s="207"/>
      <c r="I15" s="207"/>
      <c r="J15" s="207"/>
      <c r="K15" s="207"/>
      <c r="L15" s="207"/>
      <c r="M15" s="207"/>
      <c r="N15" s="207"/>
      <c r="O15" s="207"/>
      <c r="P15" s="207"/>
      <c r="Q15" s="207"/>
      <c r="R15" s="207"/>
      <c r="S15" s="207"/>
      <c r="T15" s="207"/>
      <c r="U15" s="207"/>
      <c r="V15" s="207"/>
      <c r="W15" s="207"/>
      <c r="X15" s="207"/>
    </row>
    <row r="16" spans="1:25" s="208" customFormat="1" ht="176.65" customHeight="1" x14ac:dyDescent="0.25">
      <c r="A16" s="288" t="s">
        <v>570</v>
      </c>
      <c r="B16" s="282" t="s">
        <v>571</v>
      </c>
      <c r="C16" s="280">
        <v>3.4</v>
      </c>
      <c r="D16" s="249" t="s">
        <v>574</v>
      </c>
      <c r="E16" s="283" t="s">
        <v>902</v>
      </c>
      <c r="F16" s="207"/>
      <c r="G16" s="207"/>
      <c r="H16" s="207"/>
      <c r="I16" s="207"/>
      <c r="J16" s="207"/>
      <c r="K16" s="207"/>
      <c r="L16" s="207"/>
      <c r="M16" s="207"/>
      <c r="N16" s="207"/>
      <c r="O16" s="207"/>
      <c r="P16" s="207"/>
      <c r="Q16" s="207"/>
      <c r="R16" s="207"/>
      <c r="S16" s="207"/>
      <c r="T16" s="207"/>
      <c r="U16" s="207"/>
      <c r="V16" s="207"/>
      <c r="W16" s="207"/>
      <c r="X16" s="207"/>
    </row>
    <row r="17" spans="1:24" s="208" customFormat="1" ht="229.5" x14ac:dyDescent="0.25">
      <c r="A17" s="288" t="s">
        <v>570</v>
      </c>
      <c r="B17" s="282" t="s">
        <v>571</v>
      </c>
      <c r="C17" s="280">
        <v>3.5</v>
      </c>
      <c r="D17" s="249" t="s">
        <v>894</v>
      </c>
      <c r="E17" s="283" t="s">
        <v>1324</v>
      </c>
      <c r="F17" s="207"/>
      <c r="G17" s="207"/>
      <c r="H17" s="207"/>
      <c r="I17" s="207"/>
      <c r="J17" s="207"/>
      <c r="K17" s="207"/>
      <c r="L17" s="207"/>
      <c r="M17" s="207"/>
      <c r="N17" s="207"/>
      <c r="O17" s="207"/>
      <c r="P17" s="207"/>
      <c r="Q17" s="207"/>
      <c r="R17" s="207"/>
      <c r="S17" s="207"/>
      <c r="T17" s="207"/>
      <c r="U17" s="207"/>
      <c r="V17" s="207"/>
      <c r="W17" s="207"/>
      <c r="X17" s="207"/>
    </row>
    <row r="18" spans="1:24" s="208" customFormat="1" ht="131.65" customHeight="1" x14ac:dyDescent="0.25">
      <c r="A18" s="288" t="s">
        <v>570</v>
      </c>
      <c r="B18" s="282" t="s">
        <v>571</v>
      </c>
      <c r="C18" s="280">
        <v>3.6</v>
      </c>
      <c r="D18" s="249" t="s">
        <v>575</v>
      </c>
      <c r="E18" s="283" t="s">
        <v>1320</v>
      </c>
      <c r="F18" s="207"/>
      <c r="G18" s="207"/>
      <c r="H18" s="207"/>
      <c r="I18" s="207"/>
      <c r="J18" s="207"/>
      <c r="K18" s="207"/>
      <c r="L18" s="207"/>
      <c r="M18" s="207"/>
      <c r="N18" s="207"/>
      <c r="O18" s="207"/>
      <c r="P18" s="207"/>
      <c r="Q18" s="207"/>
      <c r="R18" s="207"/>
      <c r="S18" s="207"/>
      <c r="T18" s="207"/>
      <c r="U18" s="207"/>
      <c r="V18" s="207"/>
      <c r="W18" s="207"/>
      <c r="X18" s="207"/>
    </row>
    <row r="19" spans="1:24" s="208" customFormat="1" ht="126.4" customHeight="1" x14ac:dyDescent="0.25">
      <c r="A19" s="288" t="s">
        <v>570</v>
      </c>
      <c r="B19" s="282" t="s">
        <v>571</v>
      </c>
      <c r="C19" s="280">
        <v>3.7</v>
      </c>
      <c r="D19" s="249" t="s">
        <v>888</v>
      </c>
      <c r="E19" s="283" t="s">
        <v>903</v>
      </c>
      <c r="F19" s="207"/>
      <c r="G19" s="207"/>
      <c r="H19" s="207"/>
      <c r="I19" s="207"/>
      <c r="J19" s="207"/>
      <c r="K19" s="207"/>
      <c r="L19" s="207"/>
      <c r="M19" s="207"/>
      <c r="N19" s="207"/>
      <c r="O19" s="207"/>
      <c r="P19" s="207"/>
      <c r="Q19" s="207"/>
      <c r="R19" s="207"/>
      <c r="S19" s="207"/>
      <c r="T19" s="207"/>
      <c r="U19" s="207"/>
      <c r="V19" s="207"/>
      <c r="W19" s="207"/>
      <c r="X19" s="207"/>
    </row>
    <row r="20" spans="1:24" s="208" customFormat="1" ht="147" customHeight="1" x14ac:dyDescent="0.25">
      <c r="A20" s="288" t="s">
        <v>570</v>
      </c>
      <c r="B20" s="282" t="s">
        <v>571</v>
      </c>
      <c r="C20" s="280">
        <v>3.8</v>
      </c>
      <c r="D20" s="249" t="s">
        <v>882</v>
      </c>
      <c r="E20" s="283" t="s">
        <v>904</v>
      </c>
      <c r="F20" s="207"/>
      <c r="G20" s="207"/>
      <c r="H20" s="207"/>
      <c r="I20" s="207"/>
      <c r="J20" s="207"/>
      <c r="K20" s="207"/>
      <c r="L20" s="207"/>
      <c r="M20" s="207"/>
      <c r="N20" s="207"/>
      <c r="O20" s="207"/>
      <c r="P20" s="207"/>
      <c r="Q20" s="207"/>
      <c r="R20" s="207"/>
      <c r="S20" s="207"/>
      <c r="T20" s="207"/>
      <c r="U20" s="207"/>
      <c r="V20" s="207"/>
      <c r="W20" s="207"/>
      <c r="X20" s="207"/>
    </row>
    <row r="21" spans="1:24" s="208" customFormat="1" ht="174.6" customHeight="1" x14ac:dyDescent="0.25">
      <c r="A21" s="288" t="s">
        <v>570</v>
      </c>
      <c r="B21" s="282" t="s">
        <v>571</v>
      </c>
      <c r="C21" s="280">
        <v>3.9</v>
      </c>
      <c r="D21" s="249" t="s">
        <v>883</v>
      </c>
      <c r="E21" s="283" t="s">
        <v>1321</v>
      </c>
      <c r="F21" s="207"/>
      <c r="G21" s="207"/>
      <c r="H21" s="207"/>
      <c r="I21" s="207"/>
      <c r="J21" s="207"/>
      <c r="K21" s="207"/>
      <c r="L21" s="207"/>
      <c r="M21" s="207"/>
      <c r="N21" s="207"/>
      <c r="O21" s="207"/>
      <c r="P21" s="207"/>
      <c r="Q21" s="207"/>
      <c r="R21" s="207"/>
      <c r="S21" s="207"/>
      <c r="T21" s="207"/>
      <c r="U21" s="207"/>
      <c r="V21" s="207"/>
      <c r="W21" s="207"/>
      <c r="X21" s="207"/>
    </row>
    <row r="22" spans="1:24" s="208" customFormat="1" ht="218.45" customHeight="1" x14ac:dyDescent="0.25">
      <c r="A22" s="287" t="s">
        <v>576</v>
      </c>
      <c r="B22" s="242" t="s">
        <v>577</v>
      </c>
      <c r="C22" s="280">
        <v>4.0999999999999996</v>
      </c>
      <c r="D22" s="249" t="s">
        <v>578</v>
      </c>
      <c r="E22" s="283" t="s">
        <v>922</v>
      </c>
      <c r="F22" s="207"/>
      <c r="G22" s="207"/>
      <c r="H22" s="207"/>
      <c r="I22" s="207"/>
      <c r="J22" s="207"/>
      <c r="K22" s="207"/>
      <c r="L22" s="207"/>
      <c r="M22" s="207"/>
      <c r="N22" s="207"/>
      <c r="O22" s="207"/>
      <c r="P22" s="207"/>
      <c r="Q22" s="207"/>
      <c r="R22" s="207"/>
      <c r="S22" s="207"/>
      <c r="T22" s="207"/>
      <c r="U22" s="207"/>
      <c r="V22" s="207"/>
      <c r="W22" s="207"/>
      <c r="X22" s="207"/>
    </row>
    <row r="23" spans="1:24" s="208" customFormat="1" ht="151.9" customHeight="1" x14ac:dyDescent="0.25">
      <c r="A23" s="288" t="s">
        <v>576</v>
      </c>
      <c r="B23" s="282" t="s">
        <v>577</v>
      </c>
      <c r="C23" s="280">
        <v>4.2</v>
      </c>
      <c r="D23" s="249" t="s">
        <v>579</v>
      </c>
      <c r="E23" s="284" t="s">
        <v>905</v>
      </c>
      <c r="F23" s="207"/>
      <c r="G23" s="207"/>
      <c r="H23" s="207"/>
      <c r="I23" s="207"/>
      <c r="J23" s="207"/>
      <c r="K23" s="207"/>
      <c r="L23" s="207"/>
      <c r="M23" s="207"/>
      <c r="N23" s="207"/>
      <c r="O23" s="207"/>
      <c r="P23" s="207"/>
      <c r="Q23" s="207"/>
      <c r="R23" s="207"/>
      <c r="S23" s="207"/>
      <c r="T23" s="207"/>
      <c r="U23" s="207"/>
      <c r="V23" s="207"/>
      <c r="W23" s="207"/>
      <c r="X23" s="207"/>
    </row>
    <row r="24" spans="1:24" s="208" customFormat="1" ht="124.9" customHeight="1" x14ac:dyDescent="0.25">
      <c r="A24" s="288" t="s">
        <v>576</v>
      </c>
      <c r="B24" s="282" t="s">
        <v>577</v>
      </c>
      <c r="C24" s="280">
        <v>4.3</v>
      </c>
      <c r="D24" s="249" t="s">
        <v>580</v>
      </c>
      <c r="E24" s="283" t="s">
        <v>906</v>
      </c>
      <c r="F24" s="207"/>
      <c r="G24" s="207"/>
      <c r="H24" s="207"/>
      <c r="I24" s="207"/>
      <c r="J24" s="207"/>
      <c r="K24" s="207"/>
      <c r="L24" s="207"/>
      <c r="M24" s="207"/>
      <c r="N24" s="207"/>
      <c r="O24" s="207"/>
      <c r="P24" s="207"/>
      <c r="Q24" s="207"/>
      <c r="R24" s="207"/>
      <c r="S24" s="207"/>
      <c r="T24" s="207"/>
      <c r="U24" s="207"/>
      <c r="V24" s="207"/>
      <c r="W24" s="207"/>
      <c r="X24" s="207"/>
    </row>
    <row r="25" spans="1:24" s="208" customFormat="1" ht="279" customHeight="1" x14ac:dyDescent="0.25">
      <c r="A25" s="288" t="s">
        <v>576</v>
      </c>
      <c r="B25" s="282" t="s">
        <v>577</v>
      </c>
      <c r="C25" s="280">
        <v>4.4000000000000004</v>
      </c>
      <c r="D25" s="249" t="s">
        <v>581</v>
      </c>
      <c r="E25" s="283" t="s">
        <v>1325</v>
      </c>
      <c r="F25" s="207"/>
      <c r="G25" s="207"/>
      <c r="H25" s="207"/>
      <c r="I25" s="207"/>
      <c r="J25" s="207"/>
      <c r="K25" s="207"/>
      <c r="L25" s="207"/>
      <c r="M25" s="207"/>
      <c r="N25" s="207"/>
      <c r="O25" s="207"/>
      <c r="P25" s="207"/>
      <c r="Q25" s="207"/>
      <c r="R25" s="207"/>
      <c r="S25" s="207"/>
      <c r="T25" s="207"/>
      <c r="U25" s="207"/>
      <c r="V25" s="207"/>
      <c r="W25" s="207"/>
      <c r="X25" s="207"/>
    </row>
    <row r="26" spans="1:24" s="208" customFormat="1" ht="175.5" x14ac:dyDescent="0.25">
      <c r="A26" s="287" t="s">
        <v>582</v>
      </c>
      <c r="B26" s="242" t="s">
        <v>583</v>
      </c>
      <c r="C26" s="280">
        <v>5.0999999999999996</v>
      </c>
      <c r="D26" s="249" t="s">
        <v>584</v>
      </c>
      <c r="E26" s="283" t="s">
        <v>907</v>
      </c>
      <c r="F26" s="207"/>
      <c r="G26" s="207"/>
      <c r="H26" s="207"/>
      <c r="I26" s="207"/>
      <c r="J26" s="207"/>
      <c r="K26" s="207"/>
      <c r="L26" s="207"/>
      <c r="M26" s="207"/>
      <c r="N26" s="207"/>
      <c r="O26" s="207"/>
      <c r="P26" s="207"/>
      <c r="Q26" s="207"/>
      <c r="R26" s="207"/>
      <c r="S26" s="207"/>
      <c r="T26" s="207"/>
      <c r="U26" s="207"/>
      <c r="V26" s="207"/>
      <c r="W26" s="207"/>
      <c r="X26" s="207"/>
    </row>
    <row r="27" spans="1:24" s="208" customFormat="1" ht="199.9" customHeight="1" x14ac:dyDescent="0.25">
      <c r="A27" s="288" t="s">
        <v>582</v>
      </c>
      <c r="B27" s="282" t="s">
        <v>583</v>
      </c>
      <c r="C27" s="280">
        <v>5.2</v>
      </c>
      <c r="D27" s="249" t="s">
        <v>585</v>
      </c>
      <c r="E27" s="283" t="s">
        <v>908</v>
      </c>
      <c r="F27" s="207"/>
      <c r="G27" s="207"/>
      <c r="H27" s="207"/>
      <c r="I27" s="207"/>
      <c r="J27" s="207"/>
      <c r="K27" s="207"/>
      <c r="L27" s="207"/>
      <c r="M27" s="207"/>
      <c r="N27" s="207"/>
      <c r="O27" s="207"/>
      <c r="P27" s="207"/>
      <c r="Q27" s="207"/>
      <c r="R27" s="207"/>
      <c r="S27" s="207"/>
      <c r="T27" s="207"/>
      <c r="U27" s="207"/>
      <c r="V27" s="207"/>
      <c r="W27" s="207"/>
      <c r="X27" s="207"/>
    </row>
    <row r="28" spans="1:24" s="208" customFormat="1" ht="196.15" customHeight="1" x14ac:dyDescent="0.25">
      <c r="A28" s="287" t="s">
        <v>586</v>
      </c>
      <c r="B28" s="242" t="s">
        <v>920</v>
      </c>
      <c r="C28" s="280">
        <v>6.1</v>
      </c>
      <c r="D28" s="249" t="s">
        <v>889</v>
      </c>
      <c r="E28" s="283" t="s">
        <v>909</v>
      </c>
      <c r="F28" s="207"/>
      <c r="G28" s="207"/>
      <c r="H28" s="207"/>
      <c r="I28" s="207"/>
      <c r="J28" s="207"/>
      <c r="K28" s="207"/>
      <c r="L28" s="207"/>
      <c r="M28" s="207"/>
      <c r="N28" s="207"/>
      <c r="O28" s="207"/>
      <c r="P28" s="207"/>
      <c r="Q28" s="207"/>
      <c r="R28" s="207"/>
      <c r="S28" s="207"/>
      <c r="T28" s="207"/>
      <c r="U28" s="207"/>
      <c r="V28" s="207"/>
      <c r="W28" s="207"/>
      <c r="X28" s="207"/>
    </row>
    <row r="29" spans="1:24" s="208" customFormat="1" ht="152.44999999999999" customHeight="1" x14ac:dyDescent="0.25">
      <c r="A29" s="288" t="s">
        <v>586</v>
      </c>
      <c r="B29" s="282" t="s">
        <v>587</v>
      </c>
      <c r="C29" s="280">
        <v>6.2</v>
      </c>
      <c r="D29" s="249" t="s">
        <v>588</v>
      </c>
      <c r="E29" s="283" t="s">
        <v>923</v>
      </c>
      <c r="F29" s="207"/>
      <c r="G29" s="207"/>
      <c r="H29" s="207"/>
      <c r="I29" s="207"/>
      <c r="J29" s="207"/>
      <c r="K29" s="207"/>
      <c r="L29" s="207"/>
      <c r="M29" s="207"/>
      <c r="N29" s="207"/>
      <c r="O29" s="207"/>
      <c r="P29" s="207"/>
      <c r="Q29" s="207"/>
      <c r="R29" s="207"/>
      <c r="S29" s="207"/>
      <c r="T29" s="207"/>
      <c r="U29" s="207"/>
      <c r="V29" s="207"/>
      <c r="W29" s="207"/>
      <c r="X29" s="207"/>
    </row>
    <row r="30" spans="1:24" s="208" customFormat="1" ht="255" customHeight="1" x14ac:dyDescent="0.25">
      <c r="A30" s="288" t="s">
        <v>586</v>
      </c>
      <c r="B30" s="282" t="s">
        <v>587</v>
      </c>
      <c r="C30" s="280">
        <v>6.3</v>
      </c>
      <c r="D30" s="249" t="s">
        <v>589</v>
      </c>
      <c r="E30" s="283" t="s">
        <v>921</v>
      </c>
      <c r="F30" s="207"/>
      <c r="G30" s="207"/>
      <c r="H30" s="207"/>
      <c r="I30" s="207"/>
      <c r="J30" s="207"/>
      <c r="K30" s="207"/>
      <c r="L30" s="207"/>
      <c r="M30" s="207"/>
      <c r="N30" s="207"/>
      <c r="O30" s="207"/>
      <c r="P30" s="207"/>
      <c r="Q30" s="207"/>
      <c r="R30" s="207"/>
      <c r="S30" s="207"/>
      <c r="T30" s="207"/>
      <c r="U30" s="207"/>
      <c r="V30" s="207"/>
      <c r="W30" s="207"/>
      <c r="X30" s="207"/>
    </row>
    <row r="31" spans="1:24" s="208" customFormat="1" ht="351" x14ac:dyDescent="0.25">
      <c r="A31" s="288" t="s">
        <v>586</v>
      </c>
      <c r="B31" s="282" t="s">
        <v>587</v>
      </c>
      <c r="C31" s="280">
        <v>6.4</v>
      </c>
      <c r="D31" s="249" t="s">
        <v>590</v>
      </c>
      <c r="E31" s="281" t="s">
        <v>910</v>
      </c>
      <c r="F31" s="207"/>
      <c r="G31" s="207"/>
      <c r="H31" s="207"/>
      <c r="I31" s="207"/>
      <c r="J31" s="207"/>
      <c r="K31" s="207"/>
      <c r="L31" s="207"/>
      <c r="M31" s="207"/>
      <c r="N31" s="207"/>
      <c r="O31" s="207"/>
      <c r="P31" s="207"/>
      <c r="Q31" s="207"/>
      <c r="R31" s="207"/>
      <c r="S31" s="207"/>
      <c r="T31" s="207"/>
      <c r="U31" s="207"/>
      <c r="V31" s="207"/>
      <c r="W31" s="207"/>
      <c r="X31" s="207"/>
    </row>
    <row r="32" spans="1:24" s="208" customFormat="1" ht="187.15" customHeight="1" x14ac:dyDescent="0.25">
      <c r="A32" s="288" t="s">
        <v>586</v>
      </c>
      <c r="B32" s="282" t="s">
        <v>587</v>
      </c>
      <c r="C32" s="280">
        <v>6.5</v>
      </c>
      <c r="D32" s="249" t="s">
        <v>591</v>
      </c>
      <c r="E32" s="281" t="s">
        <v>911</v>
      </c>
      <c r="F32" s="207"/>
      <c r="G32" s="207"/>
      <c r="H32" s="207"/>
      <c r="I32" s="207"/>
      <c r="J32" s="207"/>
      <c r="K32" s="207"/>
      <c r="L32" s="207"/>
      <c r="M32" s="207"/>
      <c r="N32" s="207"/>
      <c r="O32" s="207"/>
      <c r="P32" s="207"/>
      <c r="Q32" s="207"/>
      <c r="R32" s="207"/>
      <c r="S32" s="207"/>
      <c r="T32" s="207"/>
      <c r="U32" s="207"/>
      <c r="V32" s="207"/>
      <c r="W32" s="207"/>
      <c r="X32" s="207"/>
    </row>
    <row r="33" spans="1:24" s="208" customFormat="1" ht="162" x14ac:dyDescent="0.25">
      <c r="A33" s="287" t="s">
        <v>592</v>
      </c>
      <c r="B33" s="242" t="s">
        <v>593</v>
      </c>
      <c r="C33" s="280">
        <v>7.1</v>
      </c>
      <c r="D33" s="249" t="s">
        <v>594</v>
      </c>
      <c r="E33" s="284" t="s">
        <v>912</v>
      </c>
      <c r="F33" s="207"/>
      <c r="G33" s="207"/>
      <c r="H33" s="207"/>
      <c r="I33" s="207"/>
      <c r="J33" s="207"/>
      <c r="K33" s="207"/>
      <c r="L33" s="207"/>
      <c r="M33" s="207"/>
      <c r="N33" s="207"/>
      <c r="O33" s="207"/>
      <c r="P33" s="207"/>
      <c r="Q33" s="207"/>
      <c r="R33" s="207"/>
      <c r="S33" s="207"/>
      <c r="T33" s="207"/>
      <c r="U33" s="207"/>
      <c r="V33" s="207"/>
      <c r="W33" s="207"/>
      <c r="X33" s="207"/>
    </row>
    <row r="34" spans="1:24" s="208" customFormat="1" ht="202.5" x14ac:dyDescent="0.25">
      <c r="A34" s="288" t="s">
        <v>592</v>
      </c>
      <c r="B34" s="282" t="s">
        <v>593</v>
      </c>
      <c r="C34" s="280">
        <v>7.2</v>
      </c>
      <c r="D34" s="249" t="s">
        <v>595</v>
      </c>
      <c r="E34" s="283" t="s">
        <v>913</v>
      </c>
      <c r="F34" s="207"/>
      <c r="G34" s="207"/>
      <c r="H34" s="207"/>
      <c r="I34" s="207"/>
      <c r="J34" s="207"/>
      <c r="K34" s="207"/>
      <c r="L34" s="207"/>
      <c r="M34" s="207"/>
      <c r="N34" s="207"/>
      <c r="O34" s="207"/>
      <c r="P34" s="207"/>
      <c r="Q34" s="207"/>
      <c r="R34" s="207"/>
      <c r="S34" s="207"/>
      <c r="T34" s="207"/>
      <c r="U34" s="207"/>
      <c r="V34" s="207"/>
      <c r="W34" s="207"/>
      <c r="X34" s="207"/>
    </row>
    <row r="35" spans="1:24" s="208" customFormat="1" ht="202.5" x14ac:dyDescent="0.25">
      <c r="A35" s="287" t="s">
        <v>596</v>
      </c>
      <c r="B35" s="242" t="s">
        <v>597</v>
      </c>
      <c r="C35" s="280">
        <v>8.1</v>
      </c>
      <c r="D35" s="249" t="s">
        <v>893</v>
      </c>
      <c r="E35" s="283" t="s">
        <v>914</v>
      </c>
      <c r="F35" s="207"/>
      <c r="G35" s="207"/>
      <c r="H35" s="207"/>
      <c r="I35" s="207"/>
      <c r="J35" s="207"/>
      <c r="K35" s="207"/>
      <c r="L35" s="207"/>
      <c r="M35" s="207"/>
      <c r="N35" s="207"/>
      <c r="O35" s="207"/>
      <c r="P35" s="207"/>
      <c r="Q35" s="207"/>
      <c r="R35" s="207"/>
      <c r="S35" s="207"/>
      <c r="T35" s="207"/>
      <c r="U35" s="207"/>
      <c r="V35" s="207"/>
      <c r="W35" s="207"/>
      <c r="X35" s="207"/>
    </row>
    <row r="36" spans="1:24" s="208" customFormat="1" ht="97.5" customHeight="1" x14ac:dyDescent="0.25">
      <c r="A36" s="288" t="s">
        <v>596</v>
      </c>
      <c r="B36" s="282" t="s">
        <v>597</v>
      </c>
      <c r="C36" s="280">
        <v>8.1999999999999993</v>
      </c>
      <c r="D36" s="249" t="s">
        <v>890</v>
      </c>
      <c r="E36" s="283" t="s">
        <v>915</v>
      </c>
      <c r="F36" s="207"/>
      <c r="G36" s="207"/>
      <c r="H36" s="207"/>
      <c r="I36" s="207"/>
      <c r="J36" s="207"/>
      <c r="K36" s="207"/>
      <c r="L36" s="207"/>
      <c r="M36" s="207"/>
      <c r="N36" s="207"/>
      <c r="O36" s="207"/>
      <c r="P36" s="207"/>
      <c r="Q36" s="207"/>
      <c r="R36" s="207"/>
      <c r="S36" s="207"/>
      <c r="T36" s="207"/>
      <c r="U36" s="207"/>
      <c r="V36" s="207"/>
      <c r="W36" s="207"/>
      <c r="X36" s="207"/>
    </row>
    <row r="37" spans="1:24" s="208" customFormat="1" ht="139.5" customHeight="1" x14ac:dyDescent="0.25">
      <c r="A37" s="287" t="s">
        <v>598</v>
      </c>
      <c r="B37" s="242" t="s">
        <v>599</v>
      </c>
      <c r="C37" s="280">
        <v>9.1</v>
      </c>
      <c r="D37" s="249" t="s">
        <v>600</v>
      </c>
      <c r="E37" s="283" t="s">
        <v>916</v>
      </c>
      <c r="F37" s="207"/>
      <c r="G37" s="207"/>
      <c r="H37" s="207"/>
      <c r="I37" s="207"/>
      <c r="J37" s="207"/>
      <c r="K37" s="207"/>
      <c r="L37" s="207"/>
      <c r="M37" s="207"/>
      <c r="N37" s="207"/>
      <c r="O37" s="207"/>
      <c r="P37" s="207"/>
      <c r="Q37" s="207"/>
      <c r="R37" s="207"/>
      <c r="S37" s="207"/>
      <c r="T37" s="207"/>
      <c r="U37" s="207"/>
      <c r="V37" s="207"/>
      <c r="W37" s="207"/>
      <c r="X37" s="207"/>
    </row>
    <row r="38" spans="1:24" s="208" customFormat="1" ht="196.15" customHeight="1" x14ac:dyDescent="0.25">
      <c r="A38" s="288" t="s">
        <v>598</v>
      </c>
      <c r="B38" s="282" t="s">
        <v>599</v>
      </c>
      <c r="C38" s="280">
        <v>9.1999999999999993</v>
      </c>
      <c r="D38" s="249" t="s">
        <v>601</v>
      </c>
      <c r="E38" s="281" t="s">
        <v>1017</v>
      </c>
      <c r="F38" s="207"/>
      <c r="G38" s="207"/>
      <c r="H38" s="207"/>
      <c r="I38" s="207"/>
      <c r="J38" s="207"/>
      <c r="K38" s="207"/>
      <c r="L38" s="207"/>
      <c r="M38" s="207"/>
      <c r="N38" s="207"/>
      <c r="O38" s="207"/>
      <c r="P38" s="207"/>
      <c r="Q38" s="207"/>
      <c r="R38" s="207"/>
      <c r="S38" s="207"/>
      <c r="T38" s="207"/>
      <c r="U38" s="207"/>
      <c r="V38" s="207"/>
      <c r="W38" s="207"/>
      <c r="X38" s="207"/>
    </row>
    <row r="39" spans="1:24" s="208" customFormat="1" ht="211.9" customHeight="1" x14ac:dyDescent="0.25">
      <c r="A39" s="288" t="s">
        <v>598</v>
      </c>
      <c r="B39" s="282" t="s">
        <v>599</v>
      </c>
      <c r="C39" s="280">
        <v>9.3000000000000007</v>
      </c>
      <c r="D39" s="249" t="s">
        <v>602</v>
      </c>
      <c r="E39" s="284" t="s">
        <v>917</v>
      </c>
      <c r="F39" s="207"/>
      <c r="G39" s="207"/>
      <c r="H39" s="207"/>
      <c r="I39" s="207"/>
      <c r="J39" s="207"/>
      <c r="K39" s="207"/>
      <c r="L39" s="207"/>
      <c r="M39" s="207"/>
      <c r="N39" s="207"/>
      <c r="O39" s="207"/>
      <c r="P39" s="207"/>
      <c r="Q39" s="207"/>
      <c r="R39" s="207"/>
      <c r="S39" s="207"/>
      <c r="T39" s="207"/>
      <c r="U39" s="207"/>
      <c r="V39" s="207"/>
      <c r="W39" s="207"/>
      <c r="X39" s="207"/>
    </row>
    <row r="40" spans="1:24" s="208" customFormat="1" ht="189" x14ac:dyDescent="0.25">
      <c r="A40" s="288" t="s">
        <v>598</v>
      </c>
      <c r="B40" s="282" t="s">
        <v>599</v>
      </c>
      <c r="C40" s="280">
        <v>9.4</v>
      </c>
      <c r="D40" s="249" t="s">
        <v>603</v>
      </c>
      <c r="E40" s="281" t="s">
        <v>1326</v>
      </c>
      <c r="F40" s="207"/>
      <c r="G40" s="207"/>
      <c r="H40" s="207"/>
      <c r="I40" s="207"/>
      <c r="J40" s="207"/>
      <c r="K40" s="207"/>
      <c r="L40" s="207"/>
      <c r="M40" s="207"/>
      <c r="N40" s="207"/>
      <c r="O40" s="207"/>
      <c r="P40" s="207"/>
      <c r="Q40" s="207"/>
      <c r="R40" s="207"/>
      <c r="S40" s="207"/>
      <c r="T40" s="207"/>
      <c r="U40" s="207"/>
      <c r="V40" s="207"/>
      <c r="W40" s="207"/>
      <c r="X40" s="207"/>
    </row>
    <row r="41" spans="1:24" s="208" customFormat="1" ht="261.60000000000002" customHeight="1" x14ac:dyDescent="0.25">
      <c r="A41" s="287" t="s">
        <v>604</v>
      </c>
      <c r="B41" s="242" t="s">
        <v>605</v>
      </c>
      <c r="C41" s="280">
        <v>10.1</v>
      </c>
      <c r="D41" s="249" t="s">
        <v>606</v>
      </c>
      <c r="E41" s="281" t="s">
        <v>1322</v>
      </c>
      <c r="F41" s="207"/>
      <c r="G41" s="207"/>
      <c r="H41" s="207"/>
      <c r="I41" s="207"/>
      <c r="J41" s="207"/>
      <c r="K41" s="207"/>
      <c r="L41" s="207"/>
      <c r="M41" s="207"/>
      <c r="N41" s="207"/>
      <c r="O41" s="207"/>
      <c r="P41" s="207"/>
      <c r="Q41" s="207"/>
      <c r="R41" s="207"/>
      <c r="S41" s="207"/>
      <c r="T41" s="207"/>
      <c r="U41" s="207"/>
      <c r="V41" s="207"/>
      <c r="W41" s="207"/>
      <c r="X41" s="207"/>
    </row>
    <row r="42" spans="1:24" s="208" customFormat="1" ht="135" x14ac:dyDescent="0.25">
      <c r="A42" s="288" t="s">
        <v>604</v>
      </c>
      <c r="B42" s="282" t="s">
        <v>605</v>
      </c>
      <c r="C42" s="280">
        <v>10.199999999999999</v>
      </c>
      <c r="D42" s="249" t="s">
        <v>607</v>
      </c>
      <c r="E42" s="283" t="s">
        <v>918</v>
      </c>
      <c r="F42" s="207"/>
      <c r="G42" s="207"/>
      <c r="H42" s="207"/>
      <c r="I42" s="207"/>
      <c r="J42" s="207"/>
      <c r="K42" s="207"/>
      <c r="L42" s="207"/>
      <c r="M42" s="207"/>
      <c r="N42" s="207"/>
      <c r="O42" s="207"/>
      <c r="P42" s="207"/>
      <c r="Q42" s="207"/>
      <c r="R42" s="207"/>
      <c r="S42" s="207"/>
      <c r="T42" s="207"/>
      <c r="U42" s="207"/>
      <c r="V42" s="207"/>
      <c r="W42" s="207"/>
      <c r="X42" s="207"/>
    </row>
    <row r="43" spans="1:24" s="208" customFormat="1" ht="70.150000000000006" customHeight="1" x14ac:dyDescent="0.25">
      <c r="A43" s="288" t="s">
        <v>604</v>
      </c>
      <c r="B43" s="282" t="s">
        <v>605</v>
      </c>
      <c r="C43" s="280">
        <v>10.3</v>
      </c>
      <c r="D43" s="249" t="s">
        <v>891</v>
      </c>
      <c r="E43" s="281" t="s">
        <v>1327</v>
      </c>
      <c r="F43" s="207"/>
      <c r="G43" s="207"/>
      <c r="H43" s="207"/>
      <c r="I43" s="207"/>
      <c r="J43" s="207"/>
      <c r="K43" s="207"/>
      <c r="L43" s="207"/>
      <c r="M43" s="207"/>
      <c r="N43" s="207"/>
      <c r="O43" s="207"/>
      <c r="P43" s="207"/>
      <c r="Q43" s="207"/>
      <c r="R43" s="207"/>
      <c r="S43" s="207"/>
      <c r="T43" s="207"/>
      <c r="U43" s="207"/>
      <c r="V43" s="207"/>
      <c r="W43" s="207"/>
      <c r="X43" s="207"/>
    </row>
    <row r="44" spans="1:24" s="208" customFormat="1" ht="135" x14ac:dyDescent="0.25">
      <c r="A44" s="288" t="s">
        <v>604</v>
      </c>
      <c r="B44" s="925" t="s">
        <v>605</v>
      </c>
      <c r="C44" s="280">
        <v>10.4</v>
      </c>
      <c r="D44" s="249" t="s">
        <v>892</v>
      </c>
      <c r="E44" s="281" t="s">
        <v>919</v>
      </c>
      <c r="F44" s="207"/>
      <c r="G44" s="207"/>
      <c r="H44" s="207"/>
      <c r="I44" s="207"/>
      <c r="J44" s="207"/>
      <c r="K44" s="207"/>
      <c r="L44" s="207"/>
      <c r="M44" s="207"/>
      <c r="N44" s="207"/>
      <c r="O44" s="207"/>
      <c r="P44" s="207"/>
      <c r="Q44" s="207"/>
      <c r="R44" s="207"/>
      <c r="S44" s="207"/>
      <c r="T44" s="207"/>
      <c r="U44" s="207"/>
      <c r="V44" s="207"/>
      <c r="W44" s="207"/>
      <c r="X44" s="207"/>
    </row>
    <row r="45" spans="1:24" x14ac:dyDescent="0.3">
      <c r="A45" s="95"/>
      <c r="B45" s="1"/>
      <c r="C45" s="48"/>
      <c r="D45" s="277"/>
      <c r="E45" s="179"/>
      <c r="F45" s="1"/>
      <c r="G45" s="1"/>
      <c r="H45" s="1"/>
      <c r="I45" s="1"/>
      <c r="J45" s="1"/>
      <c r="K45" s="1"/>
      <c r="L45" s="1"/>
      <c r="M45" s="1"/>
      <c r="N45" s="1"/>
      <c r="O45" s="1"/>
      <c r="P45" s="1"/>
      <c r="Q45" s="1"/>
      <c r="R45" s="1"/>
      <c r="S45" s="1"/>
      <c r="T45" s="1"/>
      <c r="U45" s="1"/>
      <c r="V45" s="1"/>
      <c r="W45" s="1"/>
      <c r="X45" s="1"/>
    </row>
    <row r="46" spans="1:24" x14ac:dyDescent="0.3">
      <c r="A46" s="95"/>
      <c r="B46" s="1"/>
      <c r="C46" s="48"/>
      <c r="D46" s="277"/>
      <c r="E46" s="179"/>
      <c r="F46" s="1"/>
      <c r="G46" s="1"/>
      <c r="H46" s="1"/>
      <c r="I46" s="1"/>
      <c r="J46" s="1"/>
      <c r="K46" s="1"/>
      <c r="L46" s="1"/>
      <c r="M46" s="1"/>
      <c r="N46" s="1"/>
      <c r="O46" s="1"/>
      <c r="P46" s="1"/>
      <c r="Q46" s="1"/>
      <c r="R46" s="1"/>
      <c r="S46" s="1"/>
      <c r="T46" s="1"/>
      <c r="U46" s="1"/>
      <c r="V46" s="1"/>
      <c r="W46" s="1"/>
      <c r="X46" s="1"/>
    </row>
    <row r="47" spans="1:24" x14ac:dyDescent="0.3">
      <c r="A47" s="95"/>
      <c r="B47" s="1"/>
      <c r="C47" s="48"/>
      <c r="D47" s="277"/>
      <c r="E47" s="179"/>
      <c r="F47" s="1"/>
      <c r="G47" s="1"/>
      <c r="H47" s="1"/>
      <c r="I47" s="1"/>
      <c r="J47" s="1"/>
      <c r="K47" s="1"/>
      <c r="L47" s="1"/>
      <c r="M47" s="1"/>
      <c r="N47" s="1"/>
      <c r="O47" s="1"/>
      <c r="P47" s="1"/>
      <c r="Q47" s="1"/>
      <c r="R47" s="1"/>
      <c r="S47" s="1"/>
      <c r="T47" s="1"/>
      <c r="U47" s="1"/>
      <c r="V47" s="1"/>
      <c r="W47" s="1"/>
      <c r="X47" s="1"/>
    </row>
    <row r="48" spans="1:24" x14ac:dyDescent="0.3">
      <c r="A48" s="95"/>
      <c r="B48" s="1"/>
      <c r="C48" s="48"/>
      <c r="D48" s="277"/>
      <c r="E48" s="179"/>
      <c r="F48" s="1"/>
      <c r="G48" s="1"/>
      <c r="H48" s="1"/>
      <c r="I48" s="1"/>
      <c r="J48" s="1"/>
      <c r="K48" s="1"/>
      <c r="L48" s="1"/>
      <c r="M48" s="1"/>
      <c r="N48" s="1"/>
      <c r="O48" s="1"/>
      <c r="P48" s="1"/>
      <c r="Q48" s="1"/>
      <c r="R48" s="1"/>
      <c r="S48" s="1"/>
      <c r="T48" s="1"/>
      <c r="U48" s="1"/>
      <c r="V48" s="1"/>
      <c r="W48" s="1"/>
      <c r="X48" s="1"/>
    </row>
    <row r="49" spans="1:24" x14ac:dyDescent="0.3">
      <c r="A49" s="95"/>
      <c r="B49" s="1"/>
      <c r="C49" s="48"/>
      <c r="D49" s="277"/>
      <c r="E49" s="179"/>
      <c r="F49" s="1"/>
      <c r="G49" s="1"/>
      <c r="H49" s="1"/>
      <c r="I49" s="1"/>
      <c r="J49" s="1"/>
      <c r="K49" s="1"/>
      <c r="L49" s="1"/>
      <c r="M49" s="1"/>
      <c r="N49" s="1"/>
      <c r="O49" s="1"/>
      <c r="P49" s="1"/>
      <c r="Q49" s="1"/>
      <c r="R49" s="1"/>
      <c r="S49" s="1"/>
      <c r="T49" s="1"/>
      <c r="U49" s="1"/>
      <c r="V49" s="1"/>
      <c r="W49" s="1"/>
      <c r="X49" s="1"/>
    </row>
    <row r="50" spans="1:24" x14ac:dyDescent="0.3">
      <c r="A50" s="95"/>
      <c r="B50" s="1"/>
      <c r="C50" s="48"/>
      <c r="D50" s="277"/>
      <c r="E50" s="179"/>
      <c r="F50" s="1"/>
      <c r="G50" s="1"/>
      <c r="H50" s="1"/>
      <c r="I50" s="1"/>
      <c r="J50" s="1"/>
      <c r="K50" s="1"/>
      <c r="L50" s="1"/>
      <c r="M50" s="1"/>
      <c r="N50" s="1"/>
      <c r="O50" s="1"/>
      <c r="P50" s="1"/>
      <c r="Q50" s="1"/>
      <c r="R50" s="1"/>
      <c r="S50" s="1"/>
      <c r="T50" s="1"/>
      <c r="U50" s="1"/>
      <c r="V50" s="1"/>
      <c r="W50" s="1"/>
      <c r="X50" s="1"/>
    </row>
    <row r="51" spans="1:24" x14ac:dyDescent="0.3">
      <c r="A51" s="95"/>
      <c r="B51" s="1"/>
      <c r="C51" s="48"/>
      <c r="D51" s="277"/>
      <c r="E51" s="179"/>
      <c r="F51" s="1"/>
      <c r="G51" s="1"/>
      <c r="H51" s="1"/>
      <c r="I51" s="1"/>
      <c r="J51" s="1"/>
      <c r="K51" s="1"/>
      <c r="L51" s="1"/>
      <c r="M51" s="1"/>
      <c r="N51" s="1"/>
      <c r="O51" s="1"/>
      <c r="P51" s="1"/>
      <c r="Q51" s="1"/>
      <c r="R51" s="1"/>
      <c r="S51" s="1"/>
      <c r="T51" s="1"/>
      <c r="U51" s="1"/>
      <c r="V51" s="1"/>
      <c r="W51" s="1"/>
      <c r="X51" s="1"/>
    </row>
    <row r="52" spans="1:24" x14ac:dyDescent="0.3">
      <c r="A52" s="95"/>
      <c r="B52" s="1"/>
      <c r="C52" s="48"/>
      <c r="D52" s="277"/>
      <c r="E52" s="179"/>
      <c r="F52" s="1"/>
      <c r="G52" s="1"/>
      <c r="H52" s="1"/>
      <c r="I52" s="1"/>
      <c r="J52" s="1"/>
      <c r="K52" s="1"/>
      <c r="L52" s="1"/>
      <c r="M52" s="1"/>
      <c r="N52" s="1"/>
      <c r="O52" s="1"/>
      <c r="P52" s="1"/>
      <c r="Q52" s="1"/>
      <c r="R52" s="1"/>
      <c r="S52" s="1"/>
      <c r="T52" s="1"/>
      <c r="U52" s="1"/>
      <c r="V52" s="1"/>
      <c r="W52" s="1"/>
      <c r="X52" s="1"/>
    </row>
    <row r="53" spans="1:24" x14ac:dyDescent="0.3">
      <c r="A53" s="95"/>
      <c r="B53" s="1"/>
      <c r="C53" s="48"/>
      <c r="D53" s="277"/>
      <c r="E53" s="179"/>
      <c r="F53" s="1"/>
      <c r="G53" s="1"/>
      <c r="H53" s="1"/>
      <c r="I53" s="1"/>
      <c r="J53" s="1"/>
      <c r="K53" s="1"/>
      <c r="L53" s="1"/>
      <c r="M53" s="1"/>
      <c r="N53" s="1"/>
      <c r="O53" s="1"/>
      <c r="P53" s="1"/>
      <c r="Q53" s="1"/>
      <c r="R53" s="1"/>
      <c r="S53" s="1"/>
      <c r="T53" s="1"/>
      <c r="U53" s="1"/>
      <c r="V53" s="1"/>
      <c r="W53" s="1"/>
      <c r="X53" s="1"/>
    </row>
    <row r="54" spans="1:24" x14ac:dyDescent="0.3">
      <c r="A54" s="95"/>
      <c r="B54" s="1"/>
      <c r="C54" s="48"/>
      <c r="D54" s="277"/>
      <c r="E54" s="179"/>
      <c r="F54" s="1"/>
      <c r="G54" s="1"/>
      <c r="H54" s="1"/>
      <c r="I54" s="1"/>
      <c r="J54" s="1"/>
      <c r="K54" s="1"/>
      <c r="L54" s="1"/>
      <c r="M54" s="1"/>
      <c r="N54" s="1"/>
      <c r="O54" s="1"/>
      <c r="P54" s="1"/>
      <c r="Q54" s="1"/>
      <c r="R54" s="1"/>
      <c r="S54" s="1"/>
      <c r="T54" s="1"/>
      <c r="U54" s="1"/>
      <c r="V54" s="1"/>
      <c r="W54" s="1"/>
      <c r="X54" s="1"/>
    </row>
    <row r="55" spans="1:24" x14ac:dyDescent="0.3">
      <c r="A55" s="95"/>
      <c r="B55" s="1"/>
      <c r="C55" s="48"/>
      <c r="D55" s="277"/>
      <c r="E55" s="179"/>
      <c r="F55" s="1"/>
      <c r="G55" s="1"/>
      <c r="H55" s="1"/>
      <c r="I55" s="1"/>
      <c r="J55" s="1"/>
      <c r="K55" s="1"/>
      <c r="L55" s="1"/>
      <c r="M55" s="1"/>
      <c r="N55" s="1"/>
      <c r="O55" s="1"/>
      <c r="P55" s="1"/>
      <c r="Q55" s="1"/>
      <c r="R55" s="1"/>
      <c r="S55" s="1"/>
      <c r="T55" s="1"/>
      <c r="U55" s="1"/>
      <c r="V55" s="1"/>
      <c r="W55" s="1"/>
      <c r="X55" s="1"/>
    </row>
    <row r="56" spans="1:24" x14ac:dyDescent="0.3">
      <c r="A56" s="95"/>
      <c r="B56" s="1"/>
      <c r="C56" s="48"/>
      <c r="D56" s="277"/>
      <c r="E56" s="179"/>
      <c r="F56" s="1"/>
      <c r="G56" s="1"/>
      <c r="H56" s="1"/>
      <c r="I56" s="1"/>
      <c r="J56" s="1"/>
      <c r="K56" s="1"/>
      <c r="L56" s="1"/>
      <c r="M56" s="1"/>
      <c r="N56" s="1"/>
      <c r="O56" s="1"/>
      <c r="P56" s="1"/>
      <c r="Q56" s="1"/>
      <c r="R56" s="1"/>
      <c r="S56" s="1"/>
      <c r="T56" s="1"/>
      <c r="U56" s="1"/>
      <c r="V56" s="1"/>
      <c r="W56" s="1"/>
      <c r="X56" s="1"/>
    </row>
    <row r="57" spans="1:24" x14ac:dyDescent="0.3">
      <c r="A57" s="95"/>
      <c r="B57" s="1"/>
      <c r="C57" s="48"/>
      <c r="D57" s="277"/>
      <c r="E57" s="179"/>
      <c r="F57" s="1"/>
      <c r="G57" s="1"/>
      <c r="H57" s="1"/>
      <c r="I57" s="1"/>
      <c r="J57" s="1"/>
      <c r="K57" s="1"/>
      <c r="L57" s="1"/>
      <c r="M57" s="1"/>
      <c r="N57" s="1"/>
      <c r="O57" s="1"/>
      <c r="P57" s="1"/>
      <c r="Q57" s="1"/>
      <c r="R57" s="1"/>
      <c r="S57" s="1"/>
      <c r="T57" s="1"/>
      <c r="U57" s="1"/>
      <c r="V57" s="1"/>
      <c r="W57" s="1"/>
      <c r="X57" s="1"/>
    </row>
    <row r="58" spans="1:24" x14ac:dyDescent="0.3">
      <c r="A58" s="95"/>
      <c r="B58" s="1"/>
      <c r="C58" s="48"/>
      <c r="D58" s="277"/>
      <c r="E58" s="179"/>
      <c r="F58" s="1"/>
      <c r="G58" s="1"/>
      <c r="H58" s="1"/>
      <c r="I58" s="1"/>
      <c r="J58" s="1"/>
      <c r="K58" s="1"/>
      <c r="L58" s="1"/>
      <c r="M58" s="1"/>
      <c r="N58" s="1"/>
      <c r="O58" s="1"/>
      <c r="P58" s="1"/>
      <c r="Q58" s="1"/>
      <c r="R58" s="1"/>
      <c r="S58" s="1"/>
      <c r="T58" s="1"/>
      <c r="U58" s="1"/>
      <c r="V58" s="1"/>
      <c r="W58" s="1"/>
      <c r="X58" s="1"/>
    </row>
    <row r="59" spans="1:24" x14ac:dyDescent="0.3">
      <c r="A59" s="95"/>
      <c r="B59" s="1"/>
      <c r="C59" s="48"/>
      <c r="D59" s="277"/>
      <c r="E59" s="179"/>
      <c r="F59" s="1"/>
      <c r="G59" s="1"/>
      <c r="H59" s="1"/>
      <c r="I59" s="1"/>
      <c r="J59" s="1"/>
      <c r="K59" s="1"/>
      <c r="L59" s="1"/>
      <c r="M59" s="1"/>
      <c r="N59" s="1"/>
      <c r="O59" s="1"/>
      <c r="P59" s="1"/>
      <c r="Q59" s="1"/>
      <c r="R59" s="1"/>
      <c r="S59" s="1"/>
      <c r="T59" s="1"/>
      <c r="U59" s="1"/>
      <c r="V59" s="1"/>
      <c r="W59" s="1"/>
      <c r="X59" s="1"/>
    </row>
    <row r="60" spans="1:24" x14ac:dyDescent="0.3">
      <c r="A60" s="95"/>
      <c r="B60" s="1"/>
      <c r="C60" s="48"/>
      <c r="D60" s="277"/>
      <c r="E60" s="179"/>
      <c r="F60" s="1"/>
      <c r="G60" s="1"/>
      <c r="H60" s="1"/>
      <c r="I60" s="1"/>
      <c r="J60" s="1"/>
      <c r="K60" s="1"/>
      <c r="L60" s="1"/>
      <c r="M60" s="1"/>
      <c r="N60" s="1"/>
      <c r="O60" s="1"/>
      <c r="P60" s="1"/>
      <c r="Q60" s="1"/>
      <c r="R60" s="1"/>
      <c r="S60" s="1"/>
      <c r="T60" s="1"/>
      <c r="U60" s="1"/>
      <c r="V60" s="1"/>
      <c r="W60" s="1"/>
      <c r="X60" s="1"/>
    </row>
    <row r="61" spans="1:24" x14ac:dyDescent="0.3">
      <c r="A61" s="95"/>
      <c r="B61" s="1"/>
      <c r="C61" s="48"/>
      <c r="D61" s="277"/>
      <c r="E61" s="179"/>
      <c r="F61" s="1"/>
      <c r="G61" s="1"/>
      <c r="H61" s="1"/>
      <c r="I61" s="1"/>
      <c r="J61" s="1"/>
      <c r="K61" s="1"/>
      <c r="L61" s="1"/>
      <c r="M61" s="1"/>
      <c r="N61" s="1"/>
      <c r="O61" s="1"/>
      <c r="P61" s="1"/>
      <c r="Q61" s="1"/>
      <c r="R61" s="1"/>
      <c r="S61" s="1"/>
      <c r="T61" s="1"/>
      <c r="U61" s="1"/>
      <c r="V61" s="1"/>
      <c r="W61" s="1"/>
      <c r="X61" s="1"/>
    </row>
    <row r="62" spans="1:24" x14ac:dyDescent="0.3">
      <c r="A62" s="95"/>
      <c r="B62" s="1"/>
      <c r="C62" s="48"/>
      <c r="D62" s="277"/>
      <c r="E62" s="179"/>
      <c r="F62" s="1"/>
      <c r="G62" s="1"/>
      <c r="H62" s="1"/>
      <c r="I62" s="1"/>
      <c r="J62" s="1"/>
      <c r="K62" s="1"/>
      <c r="L62" s="1"/>
      <c r="M62" s="1"/>
      <c r="N62" s="1"/>
      <c r="O62" s="1"/>
      <c r="P62" s="1"/>
      <c r="Q62" s="1"/>
      <c r="R62" s="1"/>
      <c r="S62" s="1"/>
      <c r="T62" s="1"/>
      <c r="U62" s="1"/>
      <c r="V62" s="1"/>
      <c r="W62" s="1"/>
      <c r="X62" s="1"/>
    </row>
    <row r="63" spans="1:24" x14ac:dyDescent="0.3">
      <c r="A63" s="95"/>
      <c r="B63" s="1"/>
      <c r="C63" s="48"/>
      <c r="D63" s="277"/>
      <c r="E63" s="179"/>
      <c r="F63" s="1"/>
      <c r="G63" s="1"/>
      <c r="H63" s="1"/>
      <c r="I63" s="1"/>
      <c r="J63" s="1"/>
      <c r="K63" s="1"/>
      <c r="L63" s="1"/>
      <c r="M63" s="1"/>
      <c r="N63" s="1"/>
      <c r="O63" s="1"/>
      <c r="P63" s="1"/>
      <c r="Q63" s="1"/>
      <c r="R63" s="1"/>
      <c r="S63" s="1"/>
      <c r="T63" s="1"/>
      <c r="U63" s="1"/>
      <c r="V63" s="1"/>
      <c r="W63" s="1"/>
      <c r="X63" s="1"/>
    </row>
    <row r="64" spans="1:24" x14ac:dyDescent="0.3">
      <c r="A64" s="95"/>
      <c r="B64" s="1"/>
      <c r="C64" s="48"/>
      <c r="D64" s="277"/>
      <c r="E64" s="179"/>
      <c r="F64" s="1"/>
      <c r="G64" s="1"/>
      <c r="H64" s="1"/>
      <c r="I64" s="1"/>
      <c r="J64" s="1"/>
      <c r="K64" s="1"/>
      <c r="L64" s="1"/>
      <c r="M64" s="1"/>
      <c r="N64" s="1"/>
      <c r="O64" s="1"/>
      <c r="P64" s="1"/>
      <c r="Q64" s="1"/>
      <c r="R64" s="1"/>
      <c r="S64" s="1"/>
      <c r="T64" s="1"/>
      <c r="U64" s="1"/>
      <c r="V64" s="1"/>
      <c r="W64" s="1"/>
      <c r="X64" s="1"/>
    </row>
    <row r="65" spans="1:24" x14ac:dyDescent="0.3">
      <c r="A65" s="95"/>
      <c r="B65" s="1"/>
      <c r="C65" s="48"/>
      <c r="D65" s="277"/>
      <c r="E65" s="179"/>
      <c r="F65" s="1"/>
      <c r="G65" s="1"/>
      <c r="H65" s="1"/>
      <c r="I65" s="1"/>
      <c r="J65" s="1"/>
      <c r="K65" s="1"/>
      <c r="L65" s="1"/>
      <c r="M65" s="1"/>
      <c r="N65" s="1"/>
      <c r="O65" s="1"/>
      <c r="P65" s="1"/>
      <c r="Q65" s="1"/>
      <c r="R65" s="1"/>
      <c r="S65" s="1"/>
      <c r="T65" s="1"/>
      <c r="U65" s="1"/>
      <c r="V65" s="1"/>
      <c r="W65" s="1"/>
      <c r="X65" s="1"/>
    </row>
    <row r="66" spans="1:24" x14ac:dyDescent="0.3">
      <c r="A66" s="95"/>
      <c r="B66" s="1"/>
      <c r="C66" s="48"/>
      <c r="D66" s="277"/>
      <c r="E66" s="179"/>
      <c r="F66" s="1"/>
      <c r="G66" s="1"/>
      <c r="H66" s="1"/>
      <c r="I66" s="1"/>
      <c r="J66" s="1"/>
      <c r="K66" s="1"/>
      <c r="L66" s="1"/>
      <c r="M66" s="1"/>
      <c r="N66" s="1"/>
      <c r="O66" s="1"/>
      <c r="P66" s="1"/>
      <c r="Q66" s="1"/>
      <c r="R66" s="1"/>
      <c r="S66" s="1"/>
      <c r="T66" s="1"/>
      <c r="U66" s="1"/>
      <c r="V66" s="1"/>
      <c r="W66" s="1"/>
      <c r="X66" s="1"/>
    </row>
    <row r="67" spans="1:24" x14ac:dyDescent="0.3">
      <c r="A67" s="95"/>
      <c r="B67" s="1"/>
      <c r="C67" s="48"/>
      <c r="D67" s="277"/>
      <c r="E67" s="179"/>
      <c r="F67" s="1"/>
      <c r="G67" s="1"/>
      <c r="H67" s="1"/>
      <c r="I67" s="1"/>
      <c r="J67" s="1"/>
      <c r="K67" s="1"/>
      <c r="L67" s="1"/>
      <c r="M67" s="1"/>
      <c r="N67" s="1"/>
      <c r="O67" s="1"/>
      <c r="P67" s="1"/>
      <c r="Q67" s="1"/>
      <c r="R67" s="1"/>
      <c r="S67" s="1"/>
      <c r="T67" s="1"/>
      <c r="U67" s="1"/>
      <c r="V67" s="1"/>
      <c r="W67" s="1"/>
      <c r="X67" s="1"/>
    </row>
    <row r="68" spans="1:24" x14ac:dyDescent="0.3">
      <c r="A68" s="95"/>
      <c r="B68" s="1"/>
      <c r="C68" s="48"/>
      <c r="D68" s="277"/>
      <c r="E68" s="179"/>
      <c r="F68" s="1"/>
      <c r="G68" s="1"/>
      <c r="H68" s="1"/>
      <c r="I68" s="1"/>
      <c r="J68" s="1"/>
      <c r="K68" s="1"/>
      <c r="L68" s="1"/>
      <c r="M68" s="1"/>
      <c r="N68" s="1"/>
      <c r="O68" s="1"/>
      <c r="P68" s="1"/>
      <c r="Q68" s="1"/>
      <c r="R68" s="1"/>
      <c r="S68" s="1"/>
      <c r="T68" s="1"/>
      <c r="U68" s="1"/>
      <c r="V68" s="1"/>
      <c r="W68" s="1"/>
      <c r="X68" s="1"/>
    </row>
    <row r="69" spans="1:24" x14ac:dyDescent="0.3">
      <c r="A69" s="95"/>
      <c r="B69" s="1"/>
      <c r="C69" s="48"/>
      <c r="D69" s="277"/>
      <c r="E69" s="179"/>
      <c r="F69" s="1"/>
      <c r="G69" s="1"/>
      <c r="H69" s="1"/>
      <c r="I69" s="1"/>
      <c r="J69" s="1"/>
      <c r="K69" s="1"/>
      <c r="L69" s="1"/>
      <c r="M69" s="1"/>
      <c r="N69" s="1"/>
      <c r="O69" s="1"/>
      <c r="P69" s="1"/>
      <c r="Q69" s="1"/>
      <c r="R69" s="1"/>
      <c r="S69" s="1"/>
      <c r="T69" s="1"/>
      <c r="U69" s="1"/>
      <c r="V69" s="1"/>
      <c r="W69" s="1"/>
      <c r="X69" s="1"/>
    </row>
    <row r="70" spans="1:24" x14ac:dyDescent="0.3">
      <c r="A70" s="95"/>
      <c r="B70" s="1"/>
      <c r="C70" s="48"/>
      <c r="D70" s="277"/>
      <c r="E70" s="179"/>
      <c r="F70" s="1"/>
      <c r="G70" s="1"/>
      <c r="H70" s="1"/>
      <c r="I70" s="1"/>
      <c r="J70" s="1"/>
      <c r="K70" s="1"/>
      <c r="L70" s="1"/>
      <c r="M70" s="1"/>
      <c r="N70" s="1"/>
      <c r="O70" s="1"/>
      <c r="P70" s="1"/>
      <c r="Q70" s="1"/>
      <c r="R70" s="1"/>
      <c r="S70" s="1"/>
      <c r="T70" s="1"/>
      <c r="U70" s="1"/>
      <c r="V70" s="1"/>
      <c r="W70" s="1"/>
      <c r="X70" s="1"/>
    </row>
    <row r="71" spans="1:24" x14ac:dyDescent="0.3">
      <c r="A71" s="95"/>
      <c r="B71" s="1"/>
      <c r="C71" s="48"/>
      <c r="D71" s="277"/>
      <c r="E71" s="179"/>
      <c r="F71" s="1"/>
      <c r="G71" s="1"/>
      <c r="H71" s="1"/>
      <c r="I71" s="1"/>
      <c r="J71" s="1"/>
      <c r="K71" s="1"/>
      <c r="L71" s="1"/>
      <c r="M71" s="1"/>
      <c r="N71" s="1"/>
      <c r="O71" s="1"/>
      <c r="P71" s="1"/>
      <c r="Q71" s="1"/>
      <c r="R71" s="1"/>
      <c r="S71" s="1"/>
      <c r="T71" s="1"/>
      <c r="U71" s="1"/>
      <c r="V71" s="1"/>
      <c r="W71" s="1"/>
      <c r="X71" s="1"/>
    </row>
    <row r="72" spans="1:24" x14ac:dyDescent="0.3">
      <c r="A72" s="95"/>
      <c r="B72" s="1"/>
      <c r="C72" s="48"/>
      <c r="D72" s="277"/>
      <c r="E72" s="179"/>
      <c r="F72" s="1"/>
      <c r="G72" s="1"/>
      <c r="H72" s="1"/>
      <c r="I72" s="1"/>
      <c r="J72" s="1"/>
      <c r="K72" s="1"/>
      <c r="L72" s="1"/>
      <c r="M72" s="1"/>
      <c r="N72" s="1"/>
      <c r="O72" s="1"/>
      <c r="P72" s="1"/>
      <c r="Q72" s="1"/>
      <c r="R72" s="1"/>
      <c r="S72" s="1"/>
      <c r="T72" s="1"/>
      <c r="U72" s="1"/>
      <c r="V72" s="1"/>
      <c r="W72" s="1"/>
      <c r="X72" s="1"/>
    </row>
    <row r="73" spans="1:24" x14ac:dyDescent="0.3">
      <c r="A73" s="95"/>
      <c r="B73" s="1"/>
      <c r="C73" s="48"/>
      <c r="D73" s="277"/>
      <c r="E73" s="179"/>
      <c r="F73" s="1"/>
      <c r="G73" s="1"/>
      <c r="H73" s="1"/>
      <c r="I73" s="1"/>
      <c r="J73" s="1"/>
      <c r="K73" s="1"/>
      <c r="L73" s="1"/>
      <c r="M73" s="1"/>
      <c r="N73" s="1"/>
      <c r="O73" s="1"/>
      <c r="P73" s="1"/>
      <c r="Q73" s="1"/>
      <c r="R73" s="1"/>
      <c r="S73" s="1"/>
      <c r="T73" s="1"/>
      <c r="U73" s="1"/>
      <c r="V73" s="1"/>
      <c r="W73" s="1"/>
      <c r="X73" s="1"/>
    </row>
    <row r="74" spans="1:24" x14ac:dyDescent="0.3">
      <c r="A74" s="95"/>
      <c r="B74" s="1"/>
      <c r="C74" s="48"/>
      <c r="D74" s="277"/>
      <c r="E74" s="179"/>
      <c r="F74" s="1"/>
      <c r="G74" s="1"/>
      <c r="H74" s="1"/>
      <c r="I74" s="1"/>
      <c r="J74" s="1"/>
      <c r="K74" s="1"/>
      <c r="L74" s="1"/>
      <c r="M74" s="1"/>
      <c r="N74" s="1"/>
      <c r="O74" s="1"/>
      <c r="P74" s="1"/>
      <c r="Q74" s="1"/>
      <c r="R74" s="1"/>
      <c r="S74" s="1"/>
      <c r="T74" s="1"/>
      <c r="U74" s="1"/>
      <c r="V74" s="1"/>
      <c r="W74" s="1"/>
      <c r="X74" s="1"/>
    </row>
    <row r="75" spans="1:24" x14ac:dyDescent="0.3">
      <c r="A75" s="95"/>
      <c r="B75" s="1"/>
      <c r="C75" s="48"/>
      <c r="D75" s="277"/>
      <c r="E75" s="179"/>
      <c r="F75" s="1"/>
      <c r="G75" s="1"/>
      <c r="H75" s="1"/>
      <c r="I75" s="1"/>
      <c r="J75" s="1"/>
      <c r="K75" s="1"/>
      <c r="L75" s="1"/>
      <c r="M75" s="1"/>
      <c r="N75" s="1"/>
      <c r="O75" s="1"/>
      <c r="P75" s="1"/>
      <c r="Q75" s="1"/>
      <c r="R75" s="1"/>
      <c r="S75" s="1"/>
      <c r="T75" s="1"/>
      <c r="U75" s="1"/>
      <c r="V75" s="1"/>
      <c r="W75" s="1"/>
      <c r="X75" s="1"/>
    </row>
    <row r="76" spans="1:24" x14ac:dyDescent="0.3">
      <c r="A76" s="95"/>
      <c r="B76" s="1"/>
      <c r="C76" s="48"/>
      <c r="D76" s="277"/>
      <c r="E76" s="179"/>
      <c r="F76" s="1"/>
      <c r="G76" s="1"/>
      <c r="H76" s="1"/>
      <c r="I76" s="1"/>
      <c r="J76" s="1"/>
      <c r="K76" s="1"/>
      <c r="L76" s="1"/>
      <c r="M76" s="1"/>
      <c r="N76" s="1"/>
      <c r="O76" s="1"/>
      <c r="P76" s="1"/>
      <c r="Q76" s="1"/>
      <c r="R76" s="1"/>
      <c r="S76" s="1"/>
      <c r="T76" s="1"/>
      <c r="U76" s="1"/>
      <c r="V76" s="1"/>
      <c r="W76" s="1"/>
      <c r="X76" s="1"/>
    </row>
    <row r="77" spans="1:24" x14ac:dyDescent="0.3">
      <c r="A77" s="95"/>
      <c r="B77" s="1"/>
      <c r="C77" s="48"/>
      <c r="D77" s="277"/>
      <c r="E77" s="179"/>
      <c r="F77" s="1"/>
      <c r="G77" s="1"/>
      <c r="H77" s="1"/>
      <c r="I77" s="1"/>
      <c r="J77" s="1"/>
      <c r="K77" s="1"/>
      <c r="L77" s="1"/>
      <c r="M77" s="1"/>
      <c r="N77" s="1"/>
      <c r="O77" s="1"/>
      <c r="P77" s="1"/>
      <c r="Q77" s="1"/>
      <c r="R77" s="1"/>
      <c r="S77" s="1"/>
      <c r="T77" s="1"/>
      <c r="U77" s="1"/>
      <c r="V77" s="1"/>
      <c r="W77" s="1"/>
      <c r="X77" s="1"/>
    </row>
    <row r="78" spans="1:24" x14ac:dyDescent="0.3">
      <c r="A78" s="95"/>
      <c r="B78" s="1"/>
      <c r="C78" s="48"/>
      <c r="D78" s="277"/>
      <c r="E78" s="179"/>
      <c r="F78" s="1"/>
      <c r="G78" s="1"/>
      <c r="H78" s="1"/>
      <c r="I78" s="1"/>
      <c r="J78" s="1"/>
      <c r="K78" s="1"/>
      <c r="L78" s="1"/>
      <c r="M78" s="1"/>
      <c r="N78" s="1"/>
      <c r="O78" s="1"/>
      <c r="P78" s="1"/>
      <c r="Q78" s="1"/>
      <c r="R78" s="1"/>
      <c r="S78" s="1"/>
      <c r="T78" s="1"/>
      <c r="U78" s="1"/>
      <c r="V78" s="1"/>
      <c r="W78" s="1"/>
      <c r="X78" s="1"/>
    </row>
    <row r="79" spans="1:24" x14ac:dyDescent="0.3">
      <c r="A79" s="95"/>
      <c r="B79" s="1"/>
      <c r="C79" s="48"/>
      <c r="D79" s="277"/>
      <c r="E79" s="179"/>
      <c r="F79" s="1"/>
      <c r="G79" s="1"/>
      <c r="H79" s="1"/>
      <c r="I79" s="1"/>
      <c r="J79" s="1"/>
      <c r="K79" s="1"/>
      <c r="L79" s="1"/>
      <c r="M79" s="1"/>
      <c r="N79" s="1"/>
      <c r="O79" s="1"/>
      <c r="P79" s="1"/>
      <c r="Q79" s="1"/>
      <c r="R79" s="1"/>
      <c r="S79" s="1"/>
      <c r="T79" s="1"/>
      <c r="U79" s="1"/>
      <c r="V79" s="1"/>
      <c r="W79" s="1"/>
      <c r="X79" s="1"/>
    </row>
    <row r="80" spans="1:24" x14ac:dyDescent="0.3">
      <c r="A80" s="95"/>
      <c r="B80" s="1"/>
      <c r="C80" s="48"/>
      <c r="D80" s="277"/>
      <c r="E80" s="179"/>
      <c r="F80" s="1"/>
      <c r="G80" s="1"/>
      <c r="H80" s="1"/>
      <c r="I80" s="1"/>
      <c r="J80" s="1"/>
      <c r="K80" s="1"/>
      <c r="L80" s="1"/>
      <c r="M80" s="1"/>
      <c r="N80" s="1"/>
      <c r="O80" s="1"/>
      <c r="P80" s="1"/>
      <c r="Q80" s="1"/>
      <c r="R80" s="1"/>
      <c r="S80" s="1"/>
      <c r="T80" s="1"/>
      <c r="U80" s="1"/>
      <c r="V80" s="1"/>
      <c r="W80" s="1"/>
      <c r="X80" s="1"/>
    </row>
    <row r="81" spans="1:24" x14ac:dyDescent="0.3">
      <c r="A81" s="95"/>
      <c r="B81" s="1"/>
      <c r="C81" s="48"/>
      <c r="D81" s="277"/>
      <c r="E81" s="179"/>
      <c r="F81" s="1"/>
      <c r="G81" s="1"/>
      <c r="H81" s="1"/>
      <c r="I81" s="1"/>
      <c r="J81" s="1"/>
      <c r="K81" s="1"/>
      <c r="L81" s="1"/>
      <c r="M81" s="1"/>
      <c r="N81" s="1"/>
      <c r="O81" s="1"/>
      <c r="P81" s="1"/>
      <c r="Q81" s="1"/>
      <c r="R81" s="1"/>
      <c r="S81" s="1"/>
      <c r="T81" s="1"/>
      <c r="U81" s="1"/>
      <c r="V81" s="1"/>
      <c r="W81" s="1"/>
      <c r="X81" s="1"/>
    </row>
    <row r="82" spans="1:24" x14ac:dyDescent="0.3">
      <c r="A82" s="95"/>
      <c r="B82" s="1"/>
      <c r="C82" s="48"/>
      <c r="D82" s="277"/>
      <c r="E82" s="179"/>
      <c r="F82" s="1"/>
      <c r="G82" s="1"/>
      <c r="H82" s="1"/>
      <c r="I82" s="1"/>
      <c r="J82" s="1"/>
      <c r="K82" s="1"/>
      <c r="L82" s="1"/>
      <c r="M82" s="1"/>
      <c r="N82" s="1"/>
      <c r="O82" s="1"/>
      <c r="P82" s="1"/>
      <c r="Q82" s="1"/>
      <c r="R82" s="1"/>
      <c r="S82" s="1"/>
      <c r="T82" s="1"/>
      <c r="U82" s="1"/>
      <c r="V82" s="1"/>
      <c r="W82" s="1"/>
      <c r="X82" s="1"/>
    </row>
    <row r="83" spans="1:24" x14ac:dyDescent="0.3">
      <c r="A83" s="95"/>
      <c r="B83" s="1"/>
      <c r="C83" s="48"/>
      <c r="D83" s="277"/>
      <c r="E83" s="179"/>
      <c r="F83" s="1"/>
      <c r="G83" s="1"/>
      <c r="H83" s="1"/>
      <c r="I83" s="1"/>
      <c r="J83" s="1"/>
      <c r="K83" s="1"/>
      <c r="L83" s="1"/>
      <c r="M83" s="1"/>
      <c r="N83" s="1"/>
      <c r="O83" s="1"/>
      <c r="P83" s="1"/>
      <c r="Q83" s="1"/>
      <c r="R83" s="1"/>
      <c r="S83" s="1"/>
      <c r="T83" s="1"/>
      <c r="U83" s="1"/>
      <c r="V83" s="1"/>
      <c r="W83" s="1"/>
      <c r="X83" s="1"/>
    </row>
    <row r="84" spans="1:24" x14ac:dyDescent="0.3">
      <c r="A84" s="95"/>
      <c r="B84" s="1"/>
      <c r="C84" s="48"/>
      <c r="D84" s="277"/>
      <c r="E84" s="179"/>
      <c r="F84" s="1"/>
      <c r="G84" s="1"/>
      <c r="H84" s="1"/>
      <c r="I84" s="1"/>
      <c r="J84" s="1"/>
      <c r="K84" s="1"/>
      <c r="L84" s="1"/>
      <c r="M84" s="1"/>
      <c r="N84" s="1"/>
      <c r="O84" s="1"/>
      <c r="P84" s="1"/>
      <c r="Q84" s="1"/>
      <c r="R84" s="1"/>
      <c r="S84" s="1"/>
      <c r="T84" s="1"/>
      <c r="U84" s="1"/>
      <c r="V84" s="1"/>
      <c r="W84" s="1"/>
      <c r="X84" s="1"/>
    </row>
    <row r="85" spans="1:24" x14ac:dyDescent="0.3">
      <c r="A85" s="95"/>
      <c r="B85" s="1"/>
      <c r="C85" s="48"/>
      <c r="D85" s="277"/>
      <c r="E85" s="179"/>
      <c r="F85" s="1"/>
      <c r="G85" s="1"/>
      <c r="H85" s="1"/>
      <c r="I85" s="1"/>
      <c r="J85" s="1"/>
      <c r="K85" s="1"/>
      <c r="L85" s="1"/>
      <c r="M85" s="1"/>
      <c r="N85" s="1"/>
      <c r="O85" s="1"/>
      <c r="P85" s="1"/>
      <c r="Q85" s="1"/>
      <c r="R85" s="1"/>
      <c r="S85" s="1"/>
      <c r="T85" s="1"/>
      <c r="U85" s="1"/>
      <c r="V85" s="1"/>
      <c r="W85" s="1"/>
      <c r="X85" s="1"/>
    </row>
    <row r="86" spans="1:24" x14ac:dyDescent="0.3">
      <c r="A86" s="95"/>
      <c r="B86" s="1"/>
      <c r="C86" s="48"/>
      <c r="D86" s="277"/>
      <c r="E86" s="179"/>
      <c r="F86" s="1"/>
      <c r="G86" s="1"/>
      <c r="H86" s="1"/>
      <c r="I86" s="1"/>
      <c r="J86" s="1"/>
      <c r="K86" s="1"/>
      <c r="L86" s="1"/>
      <c r="M86" s="1"/>
      <c r="N86" s="1"/>
      <c r="O86" s="1"/>
      <c r="P86" s="1"/>
      <c r="Q86" s="1"/>
      <c r="R86" s="1"/>
      <c r="S86" s="1"/>
      <c r="T86" s="1"/>
      <c r="U86" s="1"/>
      <c r="V86" s="1"/>
      <c r="W86" s="1"/>
      <c r="X86" s="1"/>
    </row>
    <row r="87" spans="1:24" x14ac:dyDescent="0.3">
      <c r="A87" s="95"/>
      <c r="B87" s="1"/>
      <c r="C87" s="48"/>
      <c r="D87" s="277"/>
      <c r="E87" s="179"/>
      <c r="F87" s="1"/>
      <c r="G87" s="1"/>
      <c r="H87" s="1"/>
      <c r="I87" s="1"/>
      <c r="J87" s="1"/>
      <c r="K87" s="1"/>
      <c r="L87" s="1"/>
      <c r="M87" s="1"/>
      <c r="N87" s="1"/>
      <c r="O87" s="1"/>
      <c r="P87" s="1"/>
      <c r="Q87" s="1"/>
      <c r="R87" s="1"/>
      <c r="S87" s="1"/>
      <c r="T87" s="1"/>
      <c r="U87" s="1"/>
      <c r="V87" s="1"/>
      <c r="W87" s="1"/>
      <c r="X87" s="1"/>
    </row>
    <row r="88" spans="1:24" x14ac:dyDescent="0.3">
      <c r="A88" s="95"/>
      <c r="B88" s="1"/>
      <c r="C88" s="48"/>
      <c r="D88" s="277"/>
      <c r="E88" s="179"/>
      <c r="F88" s="1"/>
      <c r="G88" s="1"/>
      <c r="H88" s="1"/>
      <c r="I88" s="1"/>
      <c r="J88" s="1"/>
      <c r="K88" s="1"/>
      <c r="L88" s="1"/>
      <c r="M88" s="1"/>
      <c r="N88" s="1"/>
      <c r="O88" s="1"/>
      <c r="P88" s="1"/>
      <c r="Q88" s="1"/>
      <c r="R88" s="1"/>
      <c r="S88" s="1"/>
      <c r="T88" s="1"/>
      <c r="U88" s="1"/>
      <c r="V88" s="1"/>
      <c r="W88" s="1"/>
      <c r="X88" s="1"/>
    </row>
    <row r="89" spans="1:24" x14ac:dyDescent="0.3">
      <c r="A89" s="95"/>
      <c r="B89" s="1"/>
      <c r="C89" s="48"/>
      <c r="D89" s="277"/>
      <c r="E89" s="179"/>
      <c r="F89" s="1"/>
      <c r="G89" s="1"/>
      <c r="H89" s="1"/>
      <c r="I89" s="1"/>
      <c r="J89" s="1"/>
      <c r="K89" s="1"/>
      <c r="L89" s="1"/>
      <c r="M89" s="1"/>
      <c r="N89" s="1"/>
      <c r="O89" s="1"/>
      <c r="P89" s="1"/>
      <c r="Q89" s="1"/>
      <c r="R89" s="1"/>
      <c r="S89" s="1"/>
      <c r="T89" s="1"/>
      <c r="U89" s="1"/>
      <c r="V89" s="1"/>
      <c r="W89" s="1"/>
      <c r="X89" s="1"/>
    </row>
    <row r="90" spans="1:24" x14ac:dyDescent="0.3">
      <c r="A90" s="95"/>
      <c r="B90" s="1"/>
      <c r="C90" s="48"/>
      <c r="D90" s="277"/>
      <c r="E90" s="179"/>
      <c r="F90" s="1"/>
      <c r="G90" s="1"/>
      <c r="H90" s="1"/>
      <c r="I90" s="1"/>
      <c r="J90" s="1"/>
      <c r="K90" s="1"/>
      <c r="L90" s="1"/>
      <c r="M90" s="1"/>
      <c r="N90" s="1"/>
      <c r="O90" s="1"/>
      <c r="P90" s="1"/>
      <c r="Q90" s="1"/>
      <c r="R90" s="1"/>
      <c r="S90" s="1"/>
      <c r="T90" s="1"/>
      <c r="U90" s="1"/>
      <c r="V90" s="1"/>
      <c r="W90" s="1"/>
      <c r="X90" s="1"/>
    </row>
    <row r="91" spans="1:24" x14ac:dyDescent="0.3">
      <c r="A91" s="95"/>
      <c r="B91" s="1"/>
      <c r="C91" s="48"/>
      <c r="D91" s="277"/>
      <c r="E91" s="179"/>
      <c r="F91" s="1"/>
      <c r="G91" s="1"/>
      <c r="H91" s="1"/>
      <c r="I91" s="1"/>
      <c r="J91" s="1"/>
      <c r="K91" s="1"/>
      <c r="L91" s="1"/>
      <c r="M91" s="1"/>
      <c r="N91" s="1"/>
      <c r="O91" s="1"/>
      <c r="P91" s="1"/>
      <c r="Q91" s="1"/>
      <c r="R91" s="1"/>
      <c r="S91" s="1"/>
      <c r="T91" s="1"/>
      <c r="U91" s="1"/>
      <c r="V91" s="1"/>
      <c r="W91" s="1"/>
      <c r="X91" s="1"/>
    </row>
    <row r="92" spans="1:24" x14ac:dyDescent="0.3">
      <c r="A92" s="95"/>
      <c r="B92" s="1"/>
      <c r="C92" s="48"/>
      <c r="D92" s="277"/>
      <c r="E92" s="179"/>
      <c r="F92" s="1"/>
      <c r="G92" s="1"/>
      <c r="H92" s="1"/>
      <c r="I92" s="1"/>
      <c r="J92" s="1"/>
      <c r="K92" s="1"/>
      <c r="L92" s="1"/>
      <c r="M92" s="1"/>
      <c r="N92" s="1"/>
      <c r="O92" s="1"/>
      <c r="P92" s="1"/>
      <c r="Q92" s="1"/>
      <c r="R92" s="1"/>
      <c r="S92" s="1"/>
      <c r="T92" s="1"/>
      <c r="U92" s="1"/>
      <c r="V92" s="1"/>
      <c r="W92" s="1"/>
      <c r="X92" s="1"/>
    </row>
    <row r="93" spans="1:24" x14ac:dyDescent="0.3">
      <c r="A93" s="95"/>
      <c r="B93" s="1"/>
      <c r="C93" s="48"/>
      <c r="D93" s="277"/>
      <c r="E93" s="179"/>
      <c r="F93" s="1"/>
      <c r="G93" s="1"/>
      <c r="H93" s="1"/>
      <c r="I93" s="1"/>
      <c r="J93" s="1"/>
      <c r="K93" s="1"/>
      <c r="L93" s="1"/>
      <c r="M93" s="1"/>
      <c r="N93" s="1"/>
      <c r="O93" s="1"/>
      <c r="P93" s="1"/>
      <c r="Q93" s="1"/>
      <c r="R93" s="1"/>
      <c r="S93" s="1"/>
      <c r="T93" s="1"/>
      <c r="U93" s="1"/>
      <c r="V93" s="1"/>
      <c r="W93" s="1"/>
      <c r="X93" s="1"/>
    </row>
    <row r="94" spans="1:24" x14ac:dyDescent="0.3">
      <c r="A94" s="95"/>
      <c r="B94" s="1"/>
      <c r="C94" s="48"/>
      <c r="D94" s="277"/>
      <c r="E94" s="179"/>
      <c r="F94" s="1"/>
      <c r="G94" s="1"/>
      <c r="H94" s="1"/>
      <c r="I94" s="1"/>
      <c r="J94" s="1"/>
      <c r="K94" s="1"/>
      <c r="L94" s="1"/>
      <c r="M94" s="1"/>
      <c r="N94" s="1"/>
      <c r="O94" s="1"/>
      <c r="P94" s="1"/>
      <c r="Q94" s="1"/>
      <c r="R94" s="1"/>
      <c r="S94" s="1"/>
      <c r="T94" s="1"/>
      <c r="U94" s="1"/>
      <c r="V94" s="1"/>
      <c r="W94" s="1"/>
      <c r="X94" s="1"/>
    </row>
    <row r="95" spans="1:24" x14ac:dyDescent="0.3">
      <c r="A95" s="95"/>
      <c r="B95" s="1"/>
      <c r="C95" s="48"/>
      <c r="D95" s="277"/>
      <c r="E95" s="179"/>
      <c r="F95" s="1"/>
      <c r="G95" s="1"/>
      <c r="H95" s="1"/>
      <c r="I95" s="1"/>
      <c r="J95" s="1"/>
      <c r="K95" s="1"/>
      <c r="L95" s="1"/>
      <c r="M95" s="1"/>
      <c r="N95" s="1"/>
      <c r="O95" s="1"/>
      <c r="P95" s="1"/>
      <c r="Q95" s="1"/>
      <c r="R95" s="1"/>
      <c r="S95" s="1"/>
      <c r="T95" s="1"/>
      <c r="U95" s="1"/>
      <c r="V95" s="1"/>
      <c r="W95" s="1"/>
      <c r="X95" s="1"/>
    </row>
    <row r="96" spans="1:24" x14ac:dyDescent="0.3">
      <c r="A96" s="95"/>
      <c r="B96" s="1"/>
      <c r="C96" s="48"/>
      <c r="D96" s="277"/>
      <c r="E96" s="179"/>
      <c r="F96" s="1"/>
      <c r="G96" s="1"/>
      <c r="H96" s="1"/>
      <c r="I96" s="1"/>
      <c r="J96" s="1"/>
      <c r="K96" s="1"/>
      <c r="L96" s="1"/>
      <c r="M96" s="1"/>
      <c r="N96" s="1"/>
      <c r="O96" s="1"/>
      <c r="P96" s="1"/>
      <c r="Q96" s="1"/>
      <c r="R96" s="1"/>
      <c r="S96" s="1"/>
      <c r="T96" s="1"/>
      <c r="U96" s="1"/>
      <c r="V96" s="1"/>
      <c r="W96" s="1"/>
      <c r="X96" s="1"/>
    </row>
    <row r="97" spans="1:24" x14ac:dyDescent="0.3">
      <c r="A97" s="95"/>
      <c r="B97" s="1"/>
      <c r="C97" s="48"/>
      <c r="D97" s="277"/>
      <c r="E97" s="179"/>
      <c r="F97" s="1"/>
      <c r="G97" s="1"/>
      <c r="H97" s="1"/>
      <c r="I97" s="1"/>
      <c r="J97" s="1"/>
      <c r="K97" s="1"/>
      <c r="L97" s="1"/>
      <c r="M97" s="1"/>
      <c r="N97" s="1"/>
      <c r="O97" s="1"/>
      <c r="P97" s="1"/>
      <c r="Q97" s="1"/>
      <c r="R97" s="1"/>
      <c r="S97" s="1"/>
      <c r="T97" s="1"/>
      <c r="U97" s="1"/>
      <c r="V97" s="1"/>
      <c r="W97" s="1"/>
      <c r="X97" s="1"/>
    </row>
    <row r="98" spans="1:24" x14ac:dyDescent="0.3">
      <c r="A98" s="95"/>
      <c r="B98" s="1"/>
      <c r="C98" s="48"/>
      <c r="D98" s="277"/>
      <c r="E98" s="179"/>
      <c r="F98" s="1"/>
      <c r="G98" s="1"/>
      <c r="H98" s="1"/>
      <c r="I98" s="1"/>
      <c r="J98" s="1"/>
      <c r="K98" s="1"/>
      <c r="L98" s="1"/>
      <c r="M98" s="1"/>
      <c r="N98" s="1"/>
      <c r="O98" s="1"/>
      <c r="P98" s="1"/>
      <c r="Q98" s="1"/>
      <c r="R98" s="1"/>
      <c r="S98" s="1"/>
      <c r="T98" s="1"/>
      <c r="U98" s="1"/>
      <c r="V98" s="1"/>
      <c r="W98" s="1"/>
      <c r="X98" s="1"/>
    </row>
    <row r="99" spans="1:24" x14ac:dyDescent="0.3">
      <c r="A99" s="95"/>
      <c r="B99" s="1"/>
      <c r="C99" s="48"/>
      <c r="D99" s="277"/>
      <c r="E99" s="179"/>
      <c r="F99" s="1"/>
      <c r="G99" s="1"/>
      <c r="H99" s="1"/>
      <c r="I99" s="1"/>
      <c r="J99" s="1"/>
      <c r="K99" s="1"/>
      <c r="L99" s="1"/>
      <c r="M99" s="1"/>
      <c r="N99" s="1"/>
      <c r="O99" s="1"/>
      <c r="P99" s="1"/>
      <c r="Q99" s="1"/>
      <c r="R99" s="1"/>
      <c r="S99" s="1"/>
      <c r="T99" s="1"/>
      <c r="U99" s="1"/>
      <c r="V99" s="1"/>
      <c r="W99" s="1"/>
      <c r="X99" s="1"/>
    </row>
    <row r="100" spans="1:24" x14ac:dyDescent="0.3">
      <c r="A100" s="95"/>
      <c r="B100" s="1"/>
      <c r="C100" s="48"/>
      <c r="D100" s="277"/>
      <c r="E100" s="179"/>
      <c r="F100" s="1"/>
      <c r="G100" s="1"/>
      <c r="H100" s="1"/>
      <c r="I100" s="1"/>
      <c r="J100" s="1"/>
      <c r="K100" s="1"/>
      <c r="L100" s="1"/>
      <c r="M100" s="1"/>
      <c r="N100" s="1"/>
      <c r="O100" s="1"/>
      <c r="P100" s="1"/>
      <c r="Q100" s="1"/>
      <c r="R100" s="1"/>
      <c r="S100" s="1"/>
      <c r="T100" s="1"/>
      <c r="U100" s="1"/>
      <c r="V100" s="1"/>
      <c r="W100" s="1"/>
      <c r="X100" s="1"/>
    </row>
  </sheetData>
  <mergeCells count="1">
    <mergeCell ref="A1:E1"/>
  </mergeCells>
  <pageMargins left="0.7" right="0.7" top="0.75" bottom="0.75" header="0.3" footer="0.3"/>
  <pageSetup scale="68"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A2D6021BEA655B4CA1356DEB960F1DF5" ma:contentTypeVersion="13" ma:contentTypeDescription="Ein neues Dokument erstellen." ma:contentTypeScope="" ma:versionID="85a414592bcbeb076bab4e1d31c272a7">
  <xsd:schema xmlns:xsd="http://www.w3.org/2001/XMLSchema" xmlns:xs="http://www.w3.org/2001/XMLSchema" xmlns:p="http://schemas.microsoft.com/office/2006/metadata/properties" xmlns:ns2="5519d140-74f4-4611-8c63-87e701bdfda4" xmlns:ns3="c4e42e14-298e-456d-afab-c8bdce1e6052" targetNamespace="http://schemas.microsoft.com/office/2006/metadata/properties" ma:root="true" ma:fieldsID="120bc1badff8d03e12d9429ddd605c63" ns2:_="" ns3:_="">
    <xsd:import namespace="5519d140-74f4-4611-8c63-87e701bdfda4"/>
    <xsd:import namespace="c4e42e14-298e-456d-afab-c8bdce1e605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Location"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519d140-74f4-4611-8c63-87e701bdfd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Bildmarkierungen" ma:readOnly="false" ma:fieldId="{5cf76f15-5ced-4ddc-b409-7134ff3c332f}" ma:taxonomyMulti="true" ma:sspId="1a14e36f-e084-4b04-bba6-548b1473dca1" ma:termSetId="09814cd3-568e-fe90-9814-8d621ff8fb84" ma:anchorId="fba54fb3-c3e1-fe81-a776-ca4b69148c4d" ma:open="true" ma:isKeyword="false">
      <xsd:complexType>
        <xsd:sequence>
          <xsd:element ref="pc:Terms" minOccurs="0" maxOccurs="1"/>
        </xsd:sequence>
      </xsd:complexType>
    </xsd:element>
    <xsd:element name="MediaServiceLocation" ma:index="18" nillable="true" ma:displayName="Location" ma:indexed="true" ma:internalName="MediaServiceLocation" ma:readOnly="true">
      <xsd:simpleType>
        <xsd:restriction base="dms:Text"/>
      </xsd:simpleType>
    </xsd:element>
    <xsd:element name="MediaServiceBillingMetadata" ma:index="19" nillable="true" ma:displayName="MediaServiceBillingMetadata" ma:hidden="true" ma:internalName="MediaServiceBillingMetadata" ma:readOnly="true">
      <xsd:simpleType>
        <xsd:restriction base="dms:Note"/>
      </xsd:simple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4e42e14-298e-456d-afab-c8bdce1e6052"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140354e2-5091-4085-873c-1aec571a9d3d}" ma:internalName="TaxCatchAll" ma:showField="CatchAllData" ma:web="c4e42e14-298e-456d-afab-c8bdce1e605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519d140-74f4-4611-8c63-87e701bdfda4">
      <Terms xmlns="http://schemas.microsoft.com/office/infopath/2007/PartnerControls"/>
    </lcf76f155ced4ddcb4097134ff3c332f>
    <TaxCatchAll xmlns="c4e42e14-298e-456d-afab-c8bdce1e6052" xsi:nil="true"/>
  </documentManagement>
</p:properties>
</file>

<file path=customXml/itemProps1.xml><?xml version="1.0" encoding="utf-8"?>
<ds:datastoreItem xmlns:ds="http://schemas.openxmlformats.org/officeDocument/2006/customXml" ds:itemID="{B6EDCC4D-D232-4CED-97C3-1D3C4EA26F27}">
  <ds:schemaRefs>
    <ds:schemaRef ds:uri="http://schemas.microsoft.com/sharepoint/v3/contenttype/forms"/>
  </ds:schemaRefs>
</ds:datastoreItem>
</file>

<file path=customXml/itemProps2.xml><?xml version="1.0" encoding="utf-8"?>
<ds:datastoreItem xmlns:ds="http://schemas.openxmlformats.org/officeDocument/2006/customXml" ds:itemID="{1E75ECB1-C88F-4B4E-AE81-27BB21CB6593}"/>
</file>

<file path=customXml/itemProps3.xml><?xml version="1.0" encoding="utf-8"?>
<ds:datastoreItem xmlns:ds="http://schemas.openxmlformats.org/officeDocument/2006/customXml" ds:itemID="{394490BB-AA0F-4059-8237-D61EEE8AF659}">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56f8a036-ae1b-4f85-92d3-f4203c03c43b}" enabled="1" method="Standard" siteId="{5f229ce1-773c-46ed-a6fa-974006fae09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33</vt:i4>
      </vt:variant>
      <vt:variant>
        <vt:lpstr>Benannte Bereiche</vt:lpstr>
      </vt:variant>
      <vt:variant>
        <vt:i4>36</vt:i4>
      </vt:variant>
    </vt:vector>
  </HeadingPairs>
  <TitlesOfParts>
    <vt:vector size="69" baseType="lpstr">
      <vt:lpstr>About</vt:lpstr>
      <vt:lpstr>Index</vt:lpstr>
      <vt:lpstr>References</vt:lpstr>
      <vt:lpstr>Health &amp; Safety</vt:lpstr>
      <vt:lpstr>Workforce</vt:lpstr>
      <vt:lpstr>2022 U.S. Employee Data EEO-1</vt:lpstr>
      <vt:lpstr>Communities</vt:lpstr>
      <vt:lpstr>Key Economic Contributions</vt:lpstr>
      <vt:lpstr>Cash Payments to Governments</vt:lpstr>
      <vt:lpstr>Economic Value Contributed</vt:lpstr>
      <vt:lpstr>Human Rights</vt:lpstr>
      <vt:lpstr>Business Ethics</vt:lpstr>
      <vt:lpstr>Procurement Spend Distribution</vt:lpstr>
      <vt:lpstr>Procurement - by site</vt:lpstr>
      <vt:lpstr>GHG Emissions</vt:lpstr>
      <vt:lpstr>GHG Emissions - 2030 Targets</vt:lpstr>
      <vt:lpstr>Dual Reporting</vt:lpstr>
      <vt:lpstr>Scope 3 Inventory Development</vt:lpstr>
      <vt:lpstr>Air Emissions</vt:lpstr>
      <vt:lpstr>Energy Consumption - by site</vt:lpstr>
      <vt:lpstr>2022 Energy Consumption - Type</vt:lpstr>
      <vt:lpstr>2022 Indirect Energy - Source</vt:lpstr>
      <vt:lpstr>2022 Direct Energy - Source</vt:lpstr>
      <vt:lpstr>Water</vt:lpstr>
      <vt:lpstr>Water - by region</vt:lpstr>
      <vt:lpstr>Mining.Mineral Processing Waste</vt:lpstr>
      <vt:lpstr>Non-Mineral Waste.Recycled</vt:lpstr>
      <vt:lpstr>Biodiversity and Land</vt:lpstr>
      <vt:lpstr>Tailings Impoundments</vt:lpstr>
      <vt:lpstr>Environmental Compliance</vt:lpstr>
      <vt:lpstr>SASB</vt:lpstr>
      <vt:lpstr>GRI Index; SDGs</vt:lpstr>
      <vt:lpstr>ICMM</vt:lpstr>
      <vt:lpstr>'2022 Direct Energy - Source'!Druckbereich</vt:lpstr>
      <vt:lpstr>'2022 Energy Consumption - Type'!Druckbereich</vt:lpstr>
      <vt:lpstr>'2022 Indirect Energy - Source'!Druckbereich</vt:lpstr>
      <vt:lpstr>'2022 U.S. Employee Data EEO-1'!Druckbereich</vt:lpstr>
      <vt:lpstr>About!Druckbereich</vt:lpstr>
      <vt:lpstr>'Air Emissions'!Druckbereich</vt:lpstr>
      <vt:lpstr>'Biodiversity and Land'!Druckbereich</vt:lpstr>
      <vt:lpstr>'Business Ethics'!Druckbereich</vt:lpstr>
      <vt:lpstr>'Cash Payments to Governments'!Druckbereich</vt:lpstr>
      <vt:lpstr>Communities!Druckbereich</vt:lpstr>
      <vt:lpstr>'Dual Reporting'!Druckbereich</vt:lpstr>
      <vt:lpstr>'Economic Value Contributed'!Druckbereich</vt:lpstr>
      <vt:lpstr>'Energy Consumption - by site'!Druckbereich</vt:lpstr>
      <vt:lpstr>'Environmental Compliance'!Druckbereich</vt:lpstr>
      <vt:lpstr>'GHG Emissions'!Druckbereich</vt:lpstr>
      <vt:lpstr>'GHG Emissions - 2030 Targets'!Druckbereich</vt:lpstr>
      <vt:lpstr>'GRI Index; SDGs'!Druckbereich</vt:lpstr>
      <vt:lpstr>'Health &amp; Safety'!Druckbereich</vt:lpstr>
      <vt:lpstr>'Human Rights'!Druckbereich</vt:lpstr>
      <vt:lpstr>ICMM!Druckbereich</vt:lpstr>
      <vt:lpstr>Index!Druckbereich</vt:lpstr>
      <vt:lpstr>'Key Economic Contributions'!Druckbereich</vt:lpstr>
      <vt:lpstr>'Mining.Mineral Processing Waste'!Druckbereich</vt:lpstr>
      <vt:lpstr>'Non-Mineral Waste.Recycled'!Druckbereich</vt:lpstr>
      <vt:lpstr>'Procurement - by site'!Druckbereich</vt:lpstr>
      <vt:lpstr>'Procurement Spend Distribution'!Druckbereich</vt:lpstr>
      <vt:lpstr>References!Druckbereich</vt:lpstr>
      <vt:lpstr>SASB!Druckbereich</vt:lpstr>
      <vt:lpstr>'Scope 3 Inventory Development'!Druckbereich</vt:lpstr>
      <vt:lpstr>'Tailings Impoundments'!Druckbereich</vt:lpstr>
      <vt:lpstr>Water!Druckbereich</vt:lpstr>
      <vt:lpstr>'Water - by region'!Druckbereich</vt:lpstr>
      <vt:lpstr>Workforce!Druckbereich</vt:lpstr>
      <vt:lpstr>'2022 U.S. Employee Data EEO-1'!Drucktitel</vt:lpstr>
      <vt:lpstr>SASB!Drucktitel</vt:lpstr>
      <vt:lpstr>'Water - by region'!Drucktitel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Gardner, Rebecca</dc:creator>
  <cp:lastModifiedBy>Lutter, Franz Stephan</cp:lastModifiedBy>
  <cp:lastPrinted>2023-04-18T18:01:31Z</cp:lastPrinted>
  <dcterms:created xsi:type="dcterms:W3CDTF">2022-03-04T23:04:12Z</dcterms:created>
  <dcterms:modified xsi:type="dcterms:W3CDTF">2024-04-05T14:32:46Z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f8a036-ae1b-4f85-92d3-f4203c03c43b_Enabled">
    <vt:lpwstr>true</vt:lpwstr>
  </property>
  <property fmtid="{D5CDD505-2E9C-101B-9397-08002B2CF9AE}" pid="3" name="MSIP_Label_56f8a036-ae1b-4f85-92d3-f4203c03c43b_SetDate">
    <vt:lpwstr>2022-06-14T22:25:57Z</vt:lpwstr>
  </property>
  <property fmtid="{D5CDD505-2E9C-101B-9397-08002B2CF9AE}" pid="4" name="MSIP_Label_56f8a036-ae1b-4f85-92d3-f4203c03c43b_Method">
    <vt:lpwstr>Standard</vt:lpwstr>
  </property>
  <property fmtid="{D5CDD505-2E9C-101B-9397-08002B2CF9AE}" pid="5" name="MSIP_Label_56f8a036-ae1b-4f85-92d3-f4203c03c43b_Name">
    <vt:lpwstr>56f8a036-ae1b-4f85-92d3-f4203c03c43b</vt:lpwstr>
  </property>
  <property fmtid="{D5CDD505-2E9C-101B-9397-08002B2CF9AE}" pid="6" name="MSIP_Label_56f8a036-ae1b-4f85-92d3-f4203c03c43b_SiteId">
    <vt:lpwstr>5f229ce1-773c-46ed-a6fa-974006fae097</vt:lpwstr>
  </property>
  <property fmtid="{D5CDD505-2E9C-101B-9397-08002B2CF9AE}" pid="7" name="MSIP_Label_56f8a036-ae1b-4f85-92d3-f4203c03c43b_ActionId">
    <vt:lpwstr>e4c37596-0397-4f1a-90e0-cdda2908df0a</vt:lpwstr>
  </property>
  <property fmtid="{D5CDD505-2E9C-101B-9397-08002B2CF9AE}" pid="8" name="MSIP_Label_56f8a036-ae1b-4f85-92d3-f4203c03c43b_ContentBits">
    <vt:lpwstr>0</vt:lpwstr>
  </property>
  <property fmtid="{D5CDD505-2E9C-101B-9397-08002B2CF9AE}" pid="9" name="ContentTypeId">
    <vt:lpwstr>0x010100A2D6021BEA655B4CA1356DEB960F1DF5</vt:lpwstr>
  </property>
  <property fmtid="{D5CDD505-2E9C-101B-9397-08002B2CF9AE}" pid="10" name="Order">
    <vt:r8>29098800</vt:r8>
  </property>
</Properties>
</file>